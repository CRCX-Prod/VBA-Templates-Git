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tables/table9.xml" ContentType="application/vnd.openxmlformats-officedocument.spreadsheetml.table+xml"/>
  <Override PartName="/xl/drawings/drawing12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tables/table10.xml" ContentType="application/vnd.openxmlformats-officedocument.spreadsheetml.table+xml"/>
  <Override PartName="/xl/drawings/drawing13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tables/table11.xml" ContentType="application/vnd.openxmlformats-officedocument.spreadsheetml.table+xml"/>
  <Override PartName="/xl/drawings/drawing1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tables/table12.xml" ContentType="application/vnd.openxmlformats-officedocument.spreadsheetml.table+xml"/>
  <Override PartName="/xl/drawings/drawing15.xml" ContentType="application/vnd.openxmlformats-officedocument.drawing+xml"/>
  <Override PartName="/xl/ctrlProps/ctrlProp27.xml" ContentType="application/vnd.ms-excel.controlproperties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hubiC\Apollo Towers\08-IT\VBA-Templates-Git\MySQL ODBC Excel\"/>
    </mc:Choice>
  </mc:AlternateContent>
  <xr:revisionPtr revIDLastSave="0" documentId="10_ncr:8100000_{097B1570-18FA-4E2F-AEFE-FBADAF553761}" xr6:coauthVersionLast="33" xr6:coauthVersionMax="33" xr10:uidLastSave="{00000000-0000-0000-0000-000000000000}"/>
  <bookViews>
    <workbookView xWindow="0" yWindow="0" windowWidth="20490" windowHeight="7530" tabRatio="710" xr2:uid="{00000000-000D-0000-FFFF-FFFF00000000}"/>
  </bookViews>
  <sheets>
    <sheet name="Main" sheetId="19" r:id="rId1"/>
    <sheet name="New Colo Form" sheetId="17" state="veryHidden" r:id="rId2"/>
    <sheet name="OML" sheetId="72" state="veryHidden" r:id="rId3"/>
    <sheet name="MPT" sheetId="73" state="veryHidden" r:id="rId4"/>
    <sheet name="Mytel" sheetId="75" state="veryHidden" r:id="rId5"/>
    <sheet name="Amara" sheetId="76" state="veryHidden" r:id="rId6"/>
    <sheet name="TN" sheetId="74" state="veryHidden" r:id="rId7"/>
    <sheet name="SAQ" sheetId="29" state="veryHidden" r:id="rId8"/>
    <sheet name="RF" sheetId="28" state="veryHidden" r:id="rId9"/>
    <sheet name="Power" sheetId="30" state="veryHidden" r:id="rId10"/>
    <sheet name="Structural" sheetId="32" state="veryHidden" r:id="rId11"/>
    <sheet name="CW" sheetId="33" state="veryHidden" r:id="rId12"/>
    <sheet name="Community" sheetId="41" state="veryHidden" r:id="rId13"/>
    <sheet name="Validation" sheetId="70" state="veryHidden" r:id="rId14"/>
    <sheet name="Review List" sheetId="80" state="veryHidden" r:id="rId15"/>
    <sheet name="01towers" sheetId="79" state="veryHidden" r:id="rId16"/>
  </sheets>
  <functionGroups builtInGroupCount="19"/>
  <definedNames>
    <definedName name="_xlnm._FilterDatabase" localSheetId="5" hidden="1">Amara!$A$15:$H$15</definedName>
    <definedName name="_xlnm._FilterDatabase" localSheetId="12" hidden="1">Community!$A$15:$H$15</definedName>
    <definedName name="_xlnm._FilterDatabase" localSheetId="11" hidden="1">CW!$A$15:$G$15</definedName>
    <definedName name="_xlnm._FilterDatabase" localSheetId="3" hidden="1">MPT!$A$15:$H$15</definedName>
    <definedName name="_xlnm._FilterDatabase" localSheetId="4" hidden="1">Mytel!$A$15:$H$15</definedName>
    <definedName name="_xlnm._FilterDatabase" localSheetId="2" hidden="1">OML!$A$15:$H$15</definedName>
    <definedName name="_xlnm._FilterDatabase" localSheetId="9" hidden="1">Power!$A$15:$H$15</definedName>
    <definedName name="_xlnm._FilterDatabase" localSheetId="14" hidden="1">'Review List'!$A$15:$H$15</definedName>
    <definedName name="_xlnm._FilterDatabase" localSheetId="8" hidden="1">RF!$A$15:$G$15</definedName>
    <definedName name="_xlnm._FilterDatabase" localSheetId="7" hidden="1">SAQ!$A$15:$H$15</definedName>
    <definedName name="_xlnm._FilterDatabase" localSheetId="10" hidden="1">Structural!$A$15:$H$15</definedName>
    <definedName name="_xlnm._FilterDatabase" localSheetId="6" hidden="1">TN!$A$15:$H$15</definedName>
    <definedName name="_xlnm._FilterDatabase" localSheetId="13" hidden="1">Validation!$A$15:$H$15</definedName>
    <definedName name="ExternalData_1" localSheetId="0" hidden="1">Main!#REF!</definedName>
    <definedName name="ExternalData_2" localSheetId="0" hidden="1">Main!#REF!</definedName>
  </definedNames>
  <calcPr calcId="162913"/>
</workbook>
</file>

<file path=xl/calcChain.xml><?xml version="1.0" encoding="utf-8"?>
<calcChain xmlns="http://schemas.openxmlformats.org/spreadsheetml/2006/main">
  <c r="D5" i="80" l="1"/>
  <c r="C5" i="80"/>
  <c r="B5" i="80"/>
  <c r="D4" i="80"/>
  <c r="C4" i="80"/>
  <c r="B4" i="80"/>
  <c r="A4" i="80"/>
  <c r="D5" i="76" l="1"/>
  <c r="C5" i="76"/>
  <c r="B5" i="76"/>
  <c r="D4" i="76"/>
  <c r="C4" i="76"/>
  <c r="B4" i="76"/>
  <c r="A4" i="76"/>
  <c r="D5" i="75"/>
  <c r="C5" i="75"/>
  <c r="B5" i="75"/>
  <c r="D4" i="75"/>
  <c r="C4" i="75"/>
  <c r="B4" i="75"/>
  <c r="A4" i="75"/>
  <c r="D5" i="74"/>
  <c r="C5" i="74"/>
  <c r="B5" i="74"/>
  <c r="D4" i="74"/>
  <c r="C4" i="74"/>
  <c r="B4" i="74"/>
  <c r="A4" i="74"/>
  <c r="D4" i="73"/>
  <c r="D5" i="73" s="1"/>
  <c r="C4" i="73"/>
  <c r="C5" i="73" s="1"/>
  <c r="B4" i="73"/>
  <c r="B5" i="73" s="1"/>
  <c r="A4" i="73"/>
  <c r="D4" i="72"/>
  <c r="D5" i="72" s="1"/>
  <c r="C4" i="72"/>
  <c r="C5" i="72" s="1"/>
  <c r="B4" i="72"/>
  <c r="B5" i="72" s="1"/>
  <c r="A4" i="72"/>
  <c r="D4" i="70"/>
  <c r="D5" i="70" s="1"/>
  <c r="C4" i="70"/>
  <c r="C5" i="70" s="1"/>
  <c r="B4" i="70"/>
  <c r="B5" i="70" s="1"/>
  <c r="A4" i="70"/>
  <c r="C4" i="41" l="1"/>
  <c r="C5" i="41" s="1"/>
  <c r="B4" i="41"/>
  <c r="B5" i="41" s="1"/>
  <c r="A4" i="41"/>
  <c r="M12" i="17" l="1"/>
  <c r="D4" i="33" l="1"/>
  <c r="D5" i="33" s="1"/>
  <c r="C4" i="33"/>
  <c r="C5" i="33" s="1"/>
  <c r="B4" i="33"/>
  <c r="B5" i="33" s="1"/>
  <c r="A4" i="33"/>
  <c r="B4" i="28"/>
  <c r="C4" i="28"/>
  <c r="D4" i="32"/>
  <c r="D5" i="32" s="1"/>
  <c r="C4" i="32"/>
  <c r="C5" i="32" s="1"/>
  <c r="B4" i="32"/>
  <c r="B5" i="32" s="1"/>
  <c r="A4" i="32"/>
  <c r="F4" i="30" l="1"/>
  <c r="F5" i="30" s="1"/>
  <c r="E4" i="30"/>
  <c r="E5" i="30" s="1"/>
  <c r="D4" i="30"/>
  <c r="D5" i="30" s="1"/>
  <c r="C4" i="30"/>
  <c r="C5" i="30" s="1"/>
  <c r="B4" i="30"/>
  <c r="B5" i="30" s="1"/>
  <c r="A4" i="30"/>
  <c r="C5" i="28" l="1"/>
  <c r="D4" i="28"/>
  <c r="D5" i="28" s="1"/>
  <c r="E4" i="28"/>
  <c r="E5" i="28" s="1"/>
  <c r="C4" i="29"/>
  <c r="C5" i="29" s="1"/>
  <c r="B4" i="29"/>
  <c r="B5" i="29" s="1"/>
  <c r="A4" i="29"/>
  <c r="B5" i="28"/>
  <c r="A4" i="28"/>
  <c r="H3" i="17"/>
  <c r="G3" i="17"/>
  <c r="F3" i="17"/>
  <c r="E3" i="17" l="1"/>
  <c r="B3" i="17" l="1"/>
  <c r="A3" i="17"/>
  <c r="C3" i="17"/>
  <c r="D3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01towers" description="Connection to the '01towers' query in the workbook." type="5" refreshedVersion="6" background="1" saveData="1">
    <dbPr connection="Provider=Microsoft.Mashup.OleDb.1;Data Source=$Workbook$;Location=01towers;Extended Properties=&quot;&quot;" command="SELECT * FROM [01towers]"/>
  </connection>
  <connection id="2" xr16:uid="{00000000-0015-0000-FFFF-FFFF01000000}" keepAlive="1" name="Query - 01towers (2)" description="Connection to the '01towers (2)' query in the workbook." type="5" refreshedVersion="6" background="1" saveData="1">
    <dbPr connection="Provider=Microsoft.Mashup.OleDb.1;Data Source=$Workbook$;Location=01towers (2);Extended Properties=&quot;&quot;" command="SELECT * FROM [01towers (2)]"/>
  </connection>
  <connection id="3" xr16:uid="{00000000-0015-0000-FFFF-FFFF02000000}" keepAlive="1" name="Query - 05colo_validation" description="Connection to the '05colo_validation' query in the workbook." type="5" refreshedVersion="0" background="1">
    <dbPr connection="Provider=Microsoft.Mashup.OleDb.1;Data Source=$Workbook$;Location=05colo_validation;Extended Properties=&quot;&quot;" command="SELECT * FROM [05colo_validation]"/>
  </connection>
  <connection id="4" xr16:uid="{00000000-0015-0000-FFFF-FFFF03000000}" keepAlive="1" name="Query - 05colo_validation (2)" description="Connection to the '05colo_validation (2)' query in the workbook." type="5" refreshedVersion="6" background="1" saveData="1">
    <dbPr connection="Provider=Microsoft.Mashup.OleDb.1;Data Source=$Workbook$;Location=05colo_validation (2);Extended Properties=&quot;&quot;" command="SELECT * FROM [05colo_validation (2)]"/>
  </connection>
  <connection id="5" xr16:uid="{00000000-0015-0000-FFFF-FFFF04000000}" keepAlive="1" name="Query - 05colo_validation (3)" description="Connection to the '05colo_validation (3)' query in the workbook." type="5" refreshedVersion="0" background="1">
    <dbPr connection="Provider=Microsoft.Mashup.OleDb.1;Data Source=$Workbook$;Location=&quot;05colo_validation (3)&quot;;Extended Properties=&quot;&quot;" command="SELECT * FROM [05colo_validation (3)]"/>
  </connection>
</connections>
</file>

<file path=xl/sharedStrings.xml><?xml version="1.0" encoding="utf-8"?>
<sst xmlns="http://schemas.openxmlformats.org/spreadsheetml/2006/main" count="3149" uniqueCount="2561">
  <si>
    <t>AT Site ID</t>
  </si>
  <si>
    <t>Operator</t>
  </si>
  <si>
    <t>No ID yet</t>
  </si>
  <si>
    <t>Open_Date</t>
  </si>
  <si>
    <t>AT_Site_ID</t>
  </si>
  <si>
    <t>05_id</t>
  </si>
  <si>
    <t>ASMO_0183</t>
  </si>
  <si>
    <t>Select Site ID</t>
  </si>
  <si>
    <t>Request by Operator</t>
  </si>
  <si>
    <t>Request Date</t>
  </si>
  <si>
    <t>Table Name</t>
  </si>
  <si>
    <t>New Colocation Request  Form</t>
  </si>
  <si>
    <t>05colo_validation</t>
  </si>
  <si>
    <t>New Colocation ID</t>
  </si>
  <si>
    <t>New_Colo_ID</t>
  </si>
  <si>
    <t>Default Value</t>
  </si>
  <si>
    <t>Filters</t>
  </si>
  <si>
    <t>Import Data</t>
  </si>
  <si>
    <t>Update Data</t>
  </si>
  <si>
    <t>Result</t>
  </si>
  <si>
    <t>Remarks</t>
  </si>
  <si>
    <t>Request ID</t>
  </si>
  <si>
    <t>New Colo ID</t>
  </si>
  <si>
    <t>Remark</t>
  </si>
  <si>
    <t>MPT</t>
  </si>
  <si>
    <t>EPA Requested</t>
  </si>
  <si>
    <t>Power Requested</t>
  </si>
  <si>
    <t>Tower Space Requested</t>
  </si>
  <si>
    <t>from</t>
  </si>
  <si>
    <t>to</t>
  </si>
  <si>
    <t>lower Requested</t>
  </si>
  <si>
    <t>Power_Requested</t>
  </si>
  <si>
    <t>EPA_Requested</t>
  </si>
  <si>
    <t>Upper_Requested</t>
  </si>
  <si>
    <t>Lower_Requested</t>
  </si>
  <si>
    <t>SAQ Prevalidation</t>
  </si>
  <si>
    <t>SAQ_Result</t>
  </si>
  <si>
    <t>SAQ_Remarks</t>
  </si>
  <si>
    <t>Timestamp</t>
  </si>
  <si>
    <t>SAQ_Timestamp</t>
  </si>
  <si>
    <t>RF Prevalidation</t>
  </si>
  <si>
    <t>RF_Result</t>
  </si>
  <si>
    <t>RF_Remarks</t>
  </si>
  <si>
    <t>Lower Requested</t>
  </si>
  <si>
    <t>Upper Requested</t>
  </si>
  <si>
    <t>Lower Suggested</t>
  </si>
  <si>
    <t>Upper Suggested</t>
  </si>
  <si>
    <t>Power_Suggested</t>
  </si>
  <si>
    <t>Power_Result</t>
  </si>
  <si>
    <t>Power_Remarks</t>
  </si>
  <si>
    <t>Power_Forecast</t>
  </si>
  <si>
    <t>Power Prevalidation</t>
  </si>
  <si>
    <t>Power Suggested</t>
  </si>
  <si>
    <t>Power Result</t>
  </si>
  <si>
    <t>Power Remarks</t>
  </si>
  <si>
    <t>Structural_EPA</t>
  </si>
  <si>
    <t>Structural_Result</t>
  </si>
  <si>
    <t>EPA Suggested</t>
  </si>
  <si>
    <t>Structural_Remarks</t>
  </si>
  <si>
    <t>RF_Lower</t>
  </si>
  <si>
    <t>RF_Upper</t>
  </si>
  <si>
    <t>CW Prevalidation</t>
  </si>
  <si>
    <t>Structural Prevalidation</t>
  </si>
  <si>
    <t>CW_Extension_Needed</t>
  </si>
  <si>
    <t>CW_Result</t>
  </si>
  <si>
    <t>CW_Remarks</t>
  </si>
  <si>
    <t>Extension Needed</t>
  </si>
  <si>
    <t>Lower Space</t>
  </si>
  <si>
    <t>Upper Space</t>
  </si>
  <si>
    <t>Power Forecast after Colo Approval</t>
  </si>
  <si>
    <t>SAQ</t>
  </si>
  <si>
    <t>RF</t>
  </si>
  <si>
    <t>Structural</t>
  </si>
  <si>
    <t>Power</t>
  </si>
  <si>
    <t>CW</t>
  </si>
  <si>
    <t>RF Remarks</t>
  </si>
  <si>
    <t>Structural EPA</t>
  </si>
  <si>
    <t>Structural Remarks</t>
  </si>
  <si>
    <t>CW Remarks</t>
  </si>
  <si>
    <t>SAQ Remarks</t>
  </si>
  <si>
    <t>Community Prevalidation</t>
  </si>
  <si>
    <t>Community_Result</t>
  </si>
  <si>
    <t>Community_Remarks</t>
  </si>
  <si>
    <t>Community_Timestamp</t>
  </si>
  <si>
    <t>Community</t>
  </si>
  <si>
    <t>Community Remarks</t>
  </si>
  <si>
    <t>Status</t>
  </si>
  <si>
    <t>In Process</t>
  </si>
  <si>
    <t>Validation</t>
  </si>
  <si>
    <t>ACRK_0023</t>
  </si>
  <si>
    <t>Mytel</t>
  </si>
  <si>
    <t>ANKC_0015</t>
  </si>
  <si>
    <t>ANMD_0065</t>
  </si>
  <si>
    <t>ANMD_0119</t>
  </si>
  <si>
    <t>ANMD_0148</t>
  </si>
  <si>
    <t>ANMD_0174</t>
  </si>
  <si>
    <t>ANSG_0344</t>
  </si>
  <si>
    <t>ANSG_0363</t>
  </si>
  <si>
    <t>ANSH_0006</t>
  </si>
  <si>
    <t>ASKA_0150</t>
  </si>
  <si>
    <t>ASMO_0275</t>
  </si>
  <si>
    <t>AYYN_0095</t>
  </si>
  <si>
    <t>AYYN_0121</t>
  </si>
  <si>
    <t>AYYN_0148</t>
  </si>
  <si>
    <t>AYYN_0153</t>
  </si>
  <si>
    <t>AYYN_0363</t>
  </si>
  <si>
    <t>AYYN_0389</t>
  </si>
  <si>
    <t>AYYN_0396</t>
  </si>
  <si>
    <t>AYYN_0583</t>
  </si>
  <si>
    <t>ANMD_0273</t>
  </si>
  <si>
    <t>AYYN_0269</t>
  </si>
  <si>
    <t>Amara</t>
  </si>
  <si>
    <t>AYYN_0171</t>
  </si>
  <si>
    <t>ANSG_0355</t>
  </si>
  <si>
    <t>AYYN_0099</t>
  </si>
  <si>
    <t>AYYN_0251</t>
  </si>
  <si>
    <t>ANMD_0224</t>
  </si>
  <si>
    <t>OML</t>
  </si>
  <si>
    <t>ASMO_0163</t>
  </si>
  <si>
    <t>AYYN_0338</t>
  </si>
  <si>
    <t>AYYN_0611</t>
  </si>
  <si>
    <t>AYYN_0529</t>
  </si>
  <si>
    <t>ANSG_0380</t>
  </si>
  <si>
    <t>ANSG_0343</t>
  </si>
  <si>
    <t>ANNP_0252</t>
  </si>
  <si>
    <t>AYYN_0135</t>
  </si>
  <si>
    <t>ANKC_0017</t>
  </si>
  <si>
    <t>ANMD_0073</t>
  </si>
  <si>
    <t>ANMD_0088</t>
  </si>
  <si>
    <t>ANMG_0024</t>
  </si>
  <si>
    <t>ANMG_0187</t>
  </si>
  <si>
    <t>ANSH_0034</t>
  </si>
  <si>
    <t>ACBA_0052</t>
  </si>
  <si>
    <t>ACBA_0118</t>
  </si>
  <si>
    <t>ACBA_0075</t>
  </si>
  <si>
    <t>ACBA_0073</t>
  </si>
  <si>
    <t>ACBA_0067</t>
  </si>
  <si>
    <t>ACBA_0124</t>
  </si>
  <si>
    <t>ANNP_0243</t>
  </si>
  <si>
    <t>ANNP_0241</t>
  </si>
  <si>
    <t>ASMO_0202</t>
  </si>
  <si>
    <t>ANSH_0016</t>
  </si>
  <si>
    <t>ANMD_0122</t>
  </si>
  <si>
    <t>ANMD_0166</t>
  </si>
  <si>
    <t>ANMD_0080</t>
  </si>
  <si>
    <t>ANMD_0004</t>
  </si>
  <si>
    <t>AYYN_0527</t>
  </si>
  <si>
    <t>ASKA_0137</t>
  </si>
  <si>
    <t>TN</t>
  </si>
  <si>
    <t>Telenor</t>
  </si>
  <si>
    <t>Ooredoo</t>
  </si>
  <si>
    <t>ACAY_0001</t>
  </si>
  <si>
    <t>ACAY_0002</t>
  </si>
  <si>
    <t>ACAY_0003</t>
  </si>
  <si>
    <t>ACAY_0004</t>
  </si>
  <si>
    <t>ACAY_0005</t>
  </si>
  <si>
    <t>ACAY_0006</t>
  </si>
  <si>
    <t>ACAY_0007</t>
  </si>
  <si>
    <t>ACAY_0008</t>
  </si>
  <si>
    <t>ACAY_0009</t>
  </si>
  <si>
    <t>ACAY_0010</t>
  </si>
  <si>
    <t>ACAY_0011</t>
  </si>
  <si>
    <t>ACAY_0012</t>
  </si>
  <si>
    <t>ACAY_0013</t>
  </si>
  <si>
    <t>ACAY_0014</t>
  </si>
  <si>
    <t>ACAY_0015</t>
  </si>
  <si>
    <t>ACAY_0016</t>
  </si>
  <si>
    <t>ACAY_0017</t>
  </si>
  <si>
    <t>ACAY_0018</t>
  </si>
  <si>
    <t>ACAY_0019</t>
  </si>
  <si>
    <t>ACAY_0020</t>
  </si>
  <si>
    <t>ACAY_0021</t>
  </si>
  <si>
    <t>ACAY_0022</t>
  </si>
  <si>
    <t>ACAY_0023</t>
  </si>
  <si>
    <t>ACAY_0024</t>
  </si>
  <si>
    <t>ACAY_0025</t>
  </si>
  <si>
    <t>ACAY_0026</t>
  </si>
  <si>
    <t>ACAY_0039</t>
  </si>
  <si>
    <t>ACAY_0040</t>
  </si>
  <si>
    <t>ACAY_0041</t>
  </si>
  <si>
    <t>ACAY_0044</t>
  </si>
  <si>
    <t>ACAY_0045</t>
  </si>
  <si>
    <t>ACAY_0047</t>
  </si>
  <si>
    <t>ACAY_0054</t>
  </si>
  <si>
    <t>ACAY_0055</t>
  </si>
  <si>
    <t>ACAY_0056</t>
  </si>
  <si>
    <t>ACAY_0059</t>
  </si>
  <si>
    <t>ACAY_0060</t>
  </si>
  <si>
    <t>ACAY_0061</t>
  </si>
  <si>
    <t>ACAY_0062</t>
  </si>
  <si>
    <t>ACAY_0065</t>
  </si>
  <si>
    <t>ACAY_0066</t>
  </si>
  <si>
    <t>ACAY_0067</t>
  </si>
  <si>
    <t>ACAY_0068</t>
  </si>
  <si>
    <t>ACAY_0069</t>
  </si>
  <si>
    <t>ACAY_0070</t>
  </si>
  <si>
    <t>ACAY_0071</t>
  </si>
  <si>
    <t>ACAY_0072</t>
  </si>
  <si>
    <t>ACAY_0073</t>
  </si>
  <si>
    <t>ACAY_0074</t>
  </si>
  <si>
    <t>ACAY_0075</t>
  </si>
  <si>
    <t>ACAY_0076</t>
  </si>
  <si>
    <t>ACAY_0077</t>
  </si>
  <si>
    <t>ACAY_0078</t>
  </si>
  <si>
    <t>ACAY_0079</t>
  </si>
  <si>
    <t>ACAY_0080</t>
  </si>
  <si>
    <t>ACAY_0081</t>
  </si>
  <si>
    <t>ACAY_0082</t>
  </si>
  <si>
    <t>ACAY_0083</t>
  </si>
  <si>
    <t>ACAY_0084</t>
  </si>
  <si>
    <t>ACAY_0085</t>
  </si>
  <si>
    <t>ACAY_0086</t>
  </si>
  <si>
    <t>ACAY_0087</t>
  </si>
  <si>
    <t>ACAY_0088</t>
  </si>
  <si>
    <t>ACAY_0089</t>
  </si>
  <si>
    <t>ACAY_0090</t>
  </si>
  <si>
    <t>ACAY_0091</t>
  </si>
  <si>
    <t>ACAY_0092</t>
  </si>
  <si>
    <t>ACAY_0093</t>
  </si>
  <si>
    <t>ACAY_0094</t>
  </si>
  <si>
    <t>ACAY_0095</t>
  </si>
  <si>
    <t>ACAY_0096</t>
  </si>
  <si>
    <t>ACAY_0097</t>
  </si>
  <si>
    <t>ACAY_0098</t>
  </si>
  <si>
    <t>ACAY_0099</t>
  </si>
  <si>
    <t>ACAY_0100</t>
  </si>
  <si>
    <t>ACAY_0101</t>
  </si>
  <si>
    <t>ACAY_0102</t>
  </si>
  <si>
    <t>ACAY_0103</t>
  </si>
  <si>
    <t>ACAY_0104</t>
  </si>
  <si>
    <t>ACAY_0105</t>
  </si>
  <si>
    <t>ACAY_0106</t>
  </si>
  <si>
    <t>ACAY_0107</t>
  </si>
  <si>
    <t>ACAY_0108</t>
  </si>
  <si>
    <t>ACAY_0109</t>
  </si>
  <si>
    <t>ACAY_0110</t>
  </si>
  <si>
    <t>ACAY_0111</t>
  </si>
  <si>
    <t>ACAY_0112</t>
  </si>
  <si>
    <t>ACAY_0113</t>
  </si>
  <si>
    <t>ACAY_0114</t>
  </si>
  <si>
    <t>ACAY_0115</t>
  </si>
  <si>
    <t>ACAY_0116</t>
  </si>
  <si>
    <t>ACAY_0117</t>
  </si>
  <si>
    <t>ACAY_0118</t>
  </si>
  <si>
    <t>ACAY_0119</t>
  </si>
  <si>
    <t>ACAY_0120</t>
  </si>
  <si>
    <t>ACAY_0121</t>
  </si>
  <si>
    <t>ACAY_0122</t>
  </si>
  <si>
    <t>ACAY_0123</t>
  </si>
  <si>
    <t>ACAY_0124</t>
  </si>
  <si>
    <t>ACAY_0125</t>
  </si>
  <si>
    <t>ACAY_0126</t>
  </si>
  <si>
    <t>ACAY_0127</t>
  </si>
  <si>
    <t>ACAY_0128</t>
  </si>
  <si>
    <t>ACAY_0129</t>
  </si>
  <si>
    <t>ACAY_0130</t>
  </si>
  <si>
    <t>ACAY_0131</t>
  </si>
  <si>
    <t>ACAY_0132</t>
  </si>
  <si>
    <t>ACAY_0133</t>
  </si>
  <si>
    <t>ACAY_0134</t>
  </si>
  <si>
    <t>ACAY_0135</t>
  </si>
  <si>
    <t>ACAY_0136</t>
  </si>
  <si>
    <t>ACAY_0137</t>
  </si>
  <si>
    <t>ACAY_0138</t>
  </si>
  <si>
    <t>ACAY_0139</t>
  </si>
  <si>
    <t>ACAY_0140</t>
  </si>
  <si>
    <t>ACAY_0141</t>
  </si>
  <si>
    <t>ACAY_0142</t>
  </si>
  <si>
    <t>ACAY_0143</t>
  </si>
  <si>
    <t>ACAY_0144</t>
  </si>
  <si>
    <t>ACAY_0145</t>
  </si>
  <si>
    <t>ACAY_0146</t>
  </si>
  <si>
    <t>ACAY_0147</t>
  </si>
  <si>
    <t>ACAY_0148</t>
  </si>
  <si>
    <t>ACAY_0149</t>
  </si>
  <si>
    <t>ACAY_0150</t>
  </si>
  <si>
    <t>ACAY_0151</t>
  </si>
  <si>
    <t>ACAY_0152</t>
  </si>
  <si>
    <t>ACAY_0153</t>
  </si>
  <si>
    <t>ACAY_0154</t>
  </si>
  <si>
    <t>ACAY_0155</t>
  </si>
  <si>
    <t>ACAY_0156</t>
  </si>
  <si>
    <t>ACAY_0157</t>
  </si>
  <si>
    <t>ACAY_0158</t>
  </si>
  <si>
    <t>ACAY_0159</t>
  </si>
  <si>
    <t>ACAY_0160</t>
  </si>
  <si>
    <t>ACAY_0161</t>
  </si>
  <si>
    <t>ACAY_0162</t>
  </si>
  <si>
    <t>ACAY_0163</t>
  </si>
  <si>
    <t>ACAY_0164</t>
  </si>
  <si>
    <t>ACAY_0165</t>
  </si>
  <si>
    <t>ACAY_0166</t>
  </si>
  <si>
    <t>ACAY_0167</t>
  </si>
  <si>
    <t>ACAY_0168</t>
  </si>
  <si>
    <t>ACAY_0169</t>
  </si>
  <si>
    <t>ACAY_0170</t>
  </si>
  <si>
    <t>ACAY_0171</t>
  </si>
  <si>
    <t>ACAY_0172</t>
  </si>
  <si>
    <t>ACAY_0173</t>
  </si>
  <si>
    <t>ACAY_0174</t>
  </si>
  <si>
    <t>ACAY_0175</t>
  </si>
  <si>
    <t>ACAY_0176</t>
  </si>
  <si>
    <t>ACAY_0177</t>
  </si>
  <si>
    <t>ACAY_0178</t>
  </si>
  <si>
    <t>ACAY_0179</t>
  </si>
  <si>
    <t>ACAY_0180</t>
  </si>
  <si>
    <t>ACAY_0181</t>
  </si>
  <si>
    <t>ACAY_0182</t>
  </si>
  <si>
    <t>ACAY_0183</t>
  </si>
  <si>
    <t>ACAY_0184</t>
  </si>
  <si>
    <t>ACAY_0185</t>
  </si>
  <si>
    <t>ACAY_3000</t>
  </si>
  <si>
    <t>ACAY_3001</t>
  </si>
  <si>
    <t>ACAY_3002</t>
  </si>
  <si>
    <t>ACAY_3003</t>
  </si>
  <si>
    <t>ACAY_9957</t>
  </si>
  <si>
    <t>ACAY_9981</t>
  </si>
  <si>
    <t>ACAY_9982</t>
  </si>
  <si>
    <t>ACAY_9983</t>
  </si>
  <si>
    <t>ACAY_9984</t>
  </si>
  <si>
    <t>ACAY_9985</t>
  </si>
  <si>
    <t>ACAY_9986</t>
  </si>
  <si>
    <t>ACAY_9987</t>
  </si>
  <si>
    <t>ACAY_9988</t>
  </si>
  <si>
    <t>ACAY_9989</t>
  </si>
  <si>
    <t>ACAY_9990</t>
  </si>
  <si>
    <t>ACAY_9991</t>
  </si>
  <si>
    <t>ACAY_9992</t>
  </si>
  <si>
    <t>ACAY_9993</t>
  </si>
  <si>
    <t>ACAY_9994</t>
  </si>
  <si>
    <t>ACAY_9995</t>
  </si>
  <si>
    <t>ACAY_9996</t>
  </si>
  <si>
    <t>ACAY_9997</t>
  </si>
  <si>
    <t>ACAY_9998</t>
  </si>
  <si>
    <t>ACAY_9999</t>
  </si>
  <si>
    <t>ACBA_0027</t>
  </si>
  <si>
    <t>ACBA_0028</t>
  </si>
  <si>
    <t>ACBA_0029</t>
  </si>
  <si>
    <t>ACBA_0030</t>
  </si>
  <si>
    <t>ACBA_0031</t>
  </si>
  <si>
    <t>ACBA_0032</t>
  </si>
  <si>
    <t>ACBA_0033</t>
  </si>
  <si>
    <t>ACBA_0034</t>
  </si>
  <si>
    <t>ACBA_0035</t>
  </si>
  <si>
    <t>ACBA_0036</t>
  </si>
  <si>
    <t>ACBA_0037</t>
  </si>
  <si>
    <t>ACBA_0038</t>
  </si>
  <si>
    <t>ACBA_0039</t>
  </si>
  <si>
    <t>ACBA_0040</t>
  </si>
  <si>
    <t>ACBA_0041</t>
  </si>
  <si>
    <t>ACBA_0042</t>
  </si>
  <si>
    <t>ACBA_0043</t>
  </si>
  <si>
    <t>ACBA_0044</t>
  </si>
  <si>
    <t>ACBA_0045</t>
  </si>
  <si>
    <t>ACBA_0046</t>
  </si>
  <si>
    <t>ACBA_0047</t>
  </si>
  <si>
    <t>ACBA_0048</t>
  </si>
  <si>
    <t>ACBA_0049</t>
  </si>
  <si>
    <t>ACBA_0050</t>
  </si>
  <si>
    <t>ACBA_0051</t>
  </si>
  <si>
    <t>ACBA_0053</t>
  </si>
  <si>
    <t>ACBA_0054</t>
  </si>
  <si>
    <t>ACBA_0055</t>
  </si>
  <si>
    <t>ACBA_0056</t>
  </si>
  <si>
    <t>ACBA_0057</t>
  </si>
  <si>
    <t>ACBA_0058</t>
  </si>
  <si>
    <t>ACBA_0059</t>
  </si>
  <si>
    <t>ACBA_0060</t>
  </si>
  <si>
    <t>ACBA_0061</t>
  </si>
  <si>
    <t>ACBA_0062</t>
  </si>
  <si>
    <t>ACBA_0063</t>
  </si>
  <si>
    <t>ACBA_0064</t>
  </si>
  <si>
    <t>ACBA_0065</t>
  </si>
  <si>
    <t>ACBA_0066</t>
  </si>
  <si>
    <t>ACBA_0068</t>
  </si>
  <si>
    <t>ACBA_0069</t>
  </si>
  <si>
    <t>ACBA_0070</t>
  </si>
  <si>
    <t>ACBA_0071</t>
  </si>
  <si>
    <t>ACBA_0072</t>
  </si>
  <si>
    <t>ACBA_0074</t>
  </si>
  <si>
    <t>ACBA_0076</t>
  </si>
  <si>
    <t>ACBA_0077</t>
  </si>
  <si>
    <t>ACBA_0078</t>
  </si>
  <si>
    <t>ACBA_0079</t>
  </si>
  <si>
    <t>ACBA_0080</t>
  </si>
  <si>
    <t>ACBA_0081</t>
  </si>
  <si>
    <t>ACBA_0082</t>
  </si>
  <si>
    <t>ACBA_0083</t>
  </si>
  <si>
    <t>ACBA_0084</t>
  </si>
  <si>
    <t>ACBA_0085</t>
  </si>
  <si>
    <t>ACBA_0086</t>
  </si>
  <si>
    <t>ACBA_0087</t>
  </si>
  <si>
    <t>ACBA_0088</t>
  </si>
  <si>
    <t>ACBA_0089</t>
  </si>
  <si>
    <t>ACBA_0090</t>
  </si>
  <si>
    <t>ACBA_0091</t>
  </si>
  <si>
    <t>ACBA_0092</t>
  </si>
  <si>
    <t>ACBA_0093</t>
  </si>
  <si>
    <t>ACBA_0094</t>
  </si>
  <si>
    <t>ACBA_0095</t>
  </si>
  <si>
    <t>ACBA_0096</t>
  </si>
  <si>
    <t>ACBA_0097</t>
  </si>
  <si>
    <t>ACBA_0098</t>
  </si>
  <si>
    <t>ACBA_0099</t>
  </si>
  <si>
    <t>ACBA_0100</t>
  </si>
  <si>
    <t>ACBA_0101</t>
  </si>
  <si>
    <t>ACBA_0102</t>
  </si>
  <si>
    <t>ACBA_0103</t>
  </si>
  <si>
    <t>ACBA_0104</t>
  </si>
  <si>
    <t>ACBA_0105</t>
  </si>
  <si>
    <t>ACBA_0106</t>
  </si>
  <si>
    <t>ACBA_0107</t>
  </si>
  <si>
    <t>ACBA_0108</t>
  </si>
  <si>
    <t>ACBA_0109</t>
  </si>
  <si>
    <t>ACBA_0110</t>
  </si>
  <si>
    <t>ACBA_0111</t>
  </si>
  <si>
    <t>ACBA_0112</t>
  </si>
  <si>
    <t>ACBA_0113</t>
  </si>
  <si>
    <t>ACBA_0114</t>
  </si>
  <si>
    <t>ACBA_0115</t>
  </si>
  <si>
    <t>ACBA_0116</t>
  </si>
  <si>
    <t>ACBA_0117</t>
  </si>
  <si>
    <t>ACBA_0119</t>
  </si>
  <si>
    <t>ACBA_0120</t>
  </si>
  <si>
    <t>ACBA_0121</t>
  </si>
  <si>
    <t>ACBA_0122</t>
  </si>
  <si>
    <t>ACBA_0123</t>
  </si>
  <si>
    <t>ACBA_0125</t>
  </si>
  <si>
    <t>ACBA_0126</t>
  </si>
  <si>
    <t>ACBA_0127</t>
  </si>
  <si>
    <t>ACBA_0128</t>
  </si>
  <si>
    <t>ACBA_0129</t>
  </si>
  <si>
    <t>ACBA_0130</t>
  </si>
  <si>
    <t>ACBA_0134</t>
  </si>
  <si>
    <t>ACBA_0135</t>
  </si>
  <si>
    <t>ACBA_0137</t>
  </si>
  <si>
    <t>ACBA_0139</t>
  </si>
  <si>
    <t>ACBA_0140</t>
  </si>
  <si>
    <t>ACBA_0141</t>
  </si>
  <si>
    <t>ACBA_0142</t>
  </si>
  <si>
    <t>ACBA_0143</t>
  </si>
  <si>
    <t>ACBA_0144</t>
  </si>
  <si>
    <t>ACBA_0145</t>
  </si>
  <si>
    <t>ACBA_0146</t>
  </si>
  <si>
    <t>ACBA_0147</t>
  </si>
  <si>
    <t>ACBA_0148</t>
  </si>
  <si>
    <t>ACBA_0149</t>
  </si>
  <si>
    <t>ACBA_0150</t>
  </si>
  <si>
    <t>ACBA_0151</t>
  </si>
  <si>
    <t>ACBA_0152</t>
  </si>
  <si>
    <t>ACBA_0153</t>
  </si>
  <si>
    <t>ACBA_0154</t>
  </si>
  <si>
    <t>ACBA_0155</t>
  </si>
  <si>
    <t>ACBA_0156</t>
  </si>
  <si>
    <t>ACBA_0157</t>
  </si>
  <si>
    <t>ACBA_0158</t>
  </si>
  <si>
    <t>ACBA_0159</t>
  </si>
  <si>
    <t>ACBA_0160</t>
  </si>
  <si>
    <t>ACBA_0161</t>
  </si>
  <si>
    <t>ACBA_0162</t>
  </si>
  <si>
    <t>ACBA_0163</t>
  </si>
  <si>
    <t>ACBA_0164</t>
  </si>
  <si>
    <t>ACBA_0165</t>
  </si>
  <si>
    <t>ACBA_0166</t>
  </si>
  <si>
    <t>ACBA_0167</t>
  </si>
  <si>
    <t>ACBA_0168</t>
  </si>
  <si>
    <t>ACBA_0169</t>
  </si>
  <si>
    <t>ACBA_0170</t>
  </si>
  <si>
    <t>ACBA_0171</t>
  </si>
  <si>
    <t>ACBA_0172</t>
  </si>
  <si>
    <t>ACBA_0173</t>
  </si>
  <si>
    <t>ACBA_0174</t>
  </si>
  <si>
    <t>ACBA_0175</t>
  </si>
  <si>
    <t>ACBA_0176</t>
  </si>
  <si>
    <t>ACBA_0177</t>
  </si>
  <si>
    <t>ACBA_0178</t>
  </si>
  <si>
    <t>ACBA_0179</t>
  </si>
  <si>
    <t>ACBA_0180</t>
  </si>
  <si>
    <t>ACBA_0181</t>
  </si>
  <si>
    <t>ACBA_0182</t>
  </si>
  <si>
    <t>ACBA_0183</t>
  </si>
  <si>
    <t>ACBA_0184</t>
  </si>
  <si>
    <t>ACBA_0185</t>
  </si>
  <si>
    <t>ACBA_0186</t>
  </si>
  <si>
    <t>ACBA_0187</t>
  </si>
  <si>
    <t>ACBA_0188</t>
  </si>
  <si>
    <t>ACBA_0189</t>
  </si>
  <si>
    <t>ACBA_0190</t>
  </si>
  <si>
    <t>ACBA_0191</t>
  </si>
  <si>
    <t>ACBA_0192</t>
  </si>
  <si>
    <t>ACBA_0193</t>
  </si>
  <si>
    <t>ACBA_0194</t>
  </si>
  <si>
    <t>ACBA_0195</t>
  </si>
  <si>
    <t>ACBA_0196</t>
  </si>
  <si>
    <t>ACBA_0197</t>
  </si>
  <si>
    <t>ACBA_0198</t>
  </si>
  <si>
    <t>ACBA_0199</t>
  </si>
  <si>
    <t>ACBA_0200</t>
  </si>
  <si>
    <t>ACBA_0201</t>
  </si>
  <si>
    <t>ACBA_0202</t>
  </si>
  <si>
    <t>ACBA_0203</t>
  </si>
  <si>
    <t>ACBA_0204</t>
  </si>
  <si>
    <t>ACBA_0205</t>
  </si>
  <si>
    <t>ACBA_0206</t>
  </si>
  <si>
    <t>ACBA_0207</t>
  </si>
  <si>
    <t>ACBA_0208</t>
  </si>
  <si>
    <t>ACBA_0209</t>
  </si>
  <si>
    <t>ACBA_0210</t>
  </si>
  <si>
    <t>ACBA_0211</t>
  </si>
  <si>
    <t>ACBA_0212</t>
  </si>
  <si>
    <t>ACBA_0213</t>
  </si>
  <si>
    <t>ACBA_0214</t>
  </si>
  <si>
    <t>ACBA_0215</t>
  </si>
  <si>
    <t>ACBA_0216</t>
  </si>
  <si>
    <t>ACBA_0217</t>
  </si>
  <si>
    <t>ACBA_0218</t>
  </si>
  <si>
    <t>ACBA_0219</t>
  </si>
  <si>
    <t>ACBA_0220</t>
  </si>
  <si>
    <t>ACBA_0221</t>
  </si>
  <si>
    <t>ACBA_0222</t>
  </si>
  <si>
    <t>ACBA_0223</t>
  </si>
  <si>
    <t>ACBA_0224</t>
  </si>
  <si>
    <t>ACBA_0225</t>
  </si>
  <si>
    <t>ACBA_0226</t>
  </si>
  <si>
    <t>ACBA_0227</t>
  </si>
  <si>
    <t>ACBA_0228</t>
  </si>
  <si>
    <t>ACBA_0229</t>
  </si>
  <si>
    <t>ACBA_0230</t>
  </si>
  <si>
    <t>ACBA_0231</t>
  </si>
  <si>
    <t>ACBA_0232</t>
  </si>
  <si>
    <t>ACBA_0233</t>
  </si>
  <si>
    <t>ACBA_0234</t>
  </si>
  <si>
    <t>ACBA_0235</t>
  </si>
  <si>
    <t>ACBA_0236</t>
  </si>
  <si>
    <t>ACBA_0237</t>
  </si>
  <si>
    <t>ACBA_0238</t>
  </si>
  <si>
    <t>ACBA_0239</t>
  </si>
  <si>
    <t>ACBA_0240</t>
  </si>
  <si>
    <t>ACBA_0241</t>
  </si>
  <si>
    <t>ACBA_0242</t>
  </si>
  <si>
    <t>ACBA_0243</t>
  </si>
  <si>
    <t>ACBA_0244</t>
  </si>
  <si>
    <t>ACBA_0245</t>
  </si>
  <si>
    <t>ACBA_0246</t>
  </si>
  <si>
    <t>ACBA_0247</t>
  </si>
  <si>
    <t>ACBA_0248</t>
  </si>
  <si>
    <t>ACBA_0249</t>
  </si>
  <si>
    <t>ACBA_0250</t>
  </si>
  <si>
    <t>ACBA_0251</t>
  </si>
  <si>
    <t>ACBA_0252</t>
  </si>
  <si>
    <t>ACBA_0253</t>
  </si>
  <si>
    <t>ACBA_0254</t>
  </si>
  <si>
    <t>ACBA_0255</t>
  </si>
  <si>
    <t>ACBA_0256</t>
  </si>
  <si>
    <t>ACBA_0257</t>
  </si>
  <si>
    <t>ACBA_0258</t>
  </si>
  <si>
    <t>ACBA_0259</t>
  </si>
  <si>
    <t>ACBA_0260</t>
  </si>
  <si>
    <t>ACBA_0261</t>
  </si>
  <si>
    <t>ACBA_0262</t>
  </si>
  <si>
    <t>ACBA_0263</t>
  </si>
  <si>
    <t>ACBA_0264</t>
  </si>
  <si>
    <t>ACBA_0265</t>
  </si>
  <si>
    <t>ACBA_0266</t>
  </si>
  <si>
    <t>ACBA_0267</t>
  </si>
  <si>
    <t>ACBA_0268</t>
  </si>
  <si>
    <t>ACBA_0269</t>
  </si>
  <si>
    <t>ACBA_0270</t>
  </si>
  <si>
    <t>ACBA_0271</t>
  </si>
  <si>
    <t>ACBA_0272</t>
  </si>
  <si>
    <t>ACBA_0273</t>
  </si>
  <si>
    <t>ACBA_0274</t>
  </si>
  <si>
    <t>ACBA_0275</t>
  </si>
  <si>
    <t>ACBA_0278</t>
  </si>
  <si>
    <t>ACBA_0279</t>
  </si>
  <si>
    <t>ACBA_0280</t>
  </si>
  <si>
    <t>ACBA_3000</t>
  </si>
  <si>
    <t>ACBA_3001</t>
  </si>
  <si>
    <t>ACBA_9977</t>
  </si>
  <si>
    <t>ACBA_9978</t>
  </si>
  <si>
    <t>ACBA_9979</t>
  </si>
  <si>
    <t>ACBA_9980</t>
  </si>
  <si>
    <t>ACBA_9981</t>
  </si>
  <si>
    <t>ACBA_9982</t>
  </si>
  <si>
    <t>ACBA_9983</t>
  </si>
  <si>
    <t>ACBA_9984</t>
  </si>
  <si>
    <t>ACBA_9985</t>
  </si>
  <si>
    <t>ACBA_9986</t>
  </si>
  <si>
    <t>ACBA_9987</t>
  </si>
  <si>
    <t>ACBA_9988</t>
  </si>
  <si>
    <t>ACBA_9989</t>
  </si>
  <si>
    <t>ACBA_9990</t>
  </si>
  <si>
    <t>ACBA_9991</t>
  </si>
  <si>
    <t>ACBA_9992</t>
  </si>
  <si>
    <t>ACBA_9993</t>
  </si>
  <si>
    <t>ACBA_9994</t>
  </si>
  <si>
    <t>ACBA_9995</t>
  </si>
  <si>
    <t>ACBA_9996</t>
  </si>
  <si>
    <t>ACBA_9997</t>
  </si>
  <si>
    <t>ACBA_9998</t>
  </si>
  <si>
    <t>ACBA_9999</t>
  </si>
  <si>
    <t>ACRK_0001</t>
  </si>
  <si>
    <t>ACRK_0002</t>
  </si>
  <si>
    <t>ACRK_0003</t>
  </si>
  <si>
    <t>ACRK_0004</t>
  </si>
  <si>
    <t>ACRK_0005</t>
  </si>
  <si>
    <t>ACRK_0006</t>
  </si>
  <si>
    <t>ACRK_0007</t>
  </si>
  <si>
    <t>ACRK_0008</t>
  </si>
  <si>
    <t>ACRK_0009</t>
  </si>
  <si>
    <t>ACRK_0010</t>
  </si>
  <si>
    <t>ACRK_0011</t>
  </si>
  <si>
    <t>ACRK_0012</t>
  </si>
  <si>
    <t>ACRK_0013</t>
  </si>
  <si>
    <t>ACRK_0014</t>
  </si>
  <si>
    <t>ACRK_0015</t>
  </si>
  <si>
    <t>ACRK_0016</t>
  </si>
  <si>
    <t>ACRK_0017</t>
  </si>
  <si>
    <t>ACRK_0018</t>
  </si>
  <si>
    <t>ACRK_0019</t>
  </si>
  <si>
    <t>ACRK_0020</t>
  </si>
  <si>
    <t>ACRK_0021</t>
  </si>
  <si>
    <t>ACRK_0022</t>
  </si>
  <si>
    <t>ACRK_0024</t>
  </si>
  <si>
    <t>ACRK_0025</t>
  </si>
  <si>
    <t>ACRK_0026</t>
  </si>
  <si>
    <t>ACRK_0027</t>
  </si>
  <si>
    <t>ACRK_0028</t>
  </si>
  <si>
    <t>ACRK_0029</t>
  </si>
  <si>
    <t>ACRK_0030</t>
  </si>
  <si>
    <t>ACRK_0031</t>
  </si>
  <si>
    <t>ACRK_0033</t>
  </si>
  <si>
    <t>ACRK_0034</t>
  </si>
  <si>
    <t>ANCH_0001</t>
  </si>
  <si>
    <t>ANCH_0002</t>
  </si>
  <si>
    <t>ANCH_0003</t>
  </si>
  <si>
    <t>ANCH_0004</t>
  </si>
  <si>
    <t>ANCH_0005</t>
  </si>
  <si>
    <t>ANKC_0001</t>
  </si>
  <si>
    <t>ANKC_0002</t>
  </si>
  <si>
    <t>ANKC_0003</t>
  </si>
  <si>
    <t>ANKC_0004</t>
  </si>
  <si>
    <t>ANKC_0005</t>
  </si>
  <si>
    <t>ANKC_0006</t>
  </si>
  <si>
    <t>ANKC_0007</t>
  </si>
  <si>
    <t>ANKC_0008</t>
  </si>
  <si>
    <t>ANKC_0009</t>
  </si>
  <si>
    <t>ANKC_0010</t>
  </si>
  <si>
    <t>ANKC_0011</t>
  </si>
  <si>
    <t>ANKC_0012</t>
  </si>
  <si>
    <t>ANKC_0013</t>
  </si>
  <si>
    <t>ANKC_0014</t>
  </si>
  <si>
    <t>ANKC_0016</t>
  </si>
  <si>
    <t>ANKC_0018</t>
  </si>
  <si>
    <t>ANKC_0019</t>
  </si>
  <si>
    <t>ANKC_0020</t>
  </si>
  <si>
    <t>ANKC_0021</t>
  </si>
  <si>
    <t>ANKC_0022</t>
  </si>
  <si>
    <t>ANKC_0023</t>
  </si>
  <si>
    <t>ANKC_0024</t>
  </si>
  <si>
    <t>ANKC_0025</t>
  </si>
  <si>
    <t>ANKC_0026</t>
  </si>
  <si>
    <t>ANKC_0027</t>
  </si>
  <si>
    <t>ANKC_0028</t>
  </si>
  <si>
    <t>ANKC_0029</t>
  </si>
  <si>
    <t>ANKC_0030</t>
  </si>
  <si>
    <t>ANKC_0031</t>
  </si>
  <si>
    <t>ANKC_0032</t>
  </si>
  <si>
    <t>ANKC_0033</t>
  </si>
  <si>
    <t>ANKC_0034</t>
  </si>
  <si>
    <t>ANKC_0035</t>
  </si>
  <si>
    <t>ANKC_0036</t>
  </si>
  <si>
    <t>ANKC_0037</t>
  </si>
  <si>
    <t>ANKC_0038</t>
  </si>
  <si>
    <t>ANKC_0039</t>
  </si>
  <si>
    <t>ANKC_0040</t>
  </si>
  <si>
    <t>ANKC_0041</t>
  </si>
  <si>
    <t>ANKC_0042</t>
  </si>
  <si>
    <t>ANKC_0043</t>
  </si>
  <si>
    <t>ANKC_0044</t>
  </si>
  <si>
    <t>ANKC_0045</t>
  </si>
  <si>
    <t>ANMD_0003</t>
  </si>
  <si>
    <t>ANMD_0005</t>
  </si>
  <si>
    <t>ANMD_0006</t>
  </si>
  <si>
    <t>ANMD_0007</t>
  </si>
  <si>
    <t>ANMD_0008</t>
  </si>
  <si>
    <t>ANMD_0009</t>
  </si>
  <si>
    <t>ANMD_0010</t>
  </si>
  <si>
    <t>ANMD_0011</t>
  </si>
  <si>
    <t>ANMD_0012</t>
  </si>
  <si>
    <t>ANMD_0013</t>
  </si>
  <si>
    <t>ANMD_0014</t>
  </si>
  <si>
    <t>ANMD_0015</t>
  </si>
  <si>
    <t>ANMD_0016</t>
  </si>
  <si>
    <t>ANMD_0017</t>
  </si>
  <si>
    <t>ANMD_0018</t>
  </si>
  <si>
    <t>ANMD_0019</t>
  </si>
  <si>
    <t>ANMD_0020</t>
  </si>
  <si>
    <t>ANMD_0021</t>
  </si>
  <si>
    <t>ANMD_0022</t>
  </si>
  <si>
    <t>ANMD_0023</t>
  </si>
  <si>
    <t>ANMD_0024</t>
  </si>
  <si>
    <t>ANMD_0025</t>
  </si>
  <si>
    <t>ANMD_0026</t>
  </si>
  <si>
    <t>ANMD_0027</t>
  </si>
  <si>
    <t>ANMD_0028</t>
  </si>
  <si>
    <t>ANMD_0029</t>
  </si>
  <si>
    <t>ANMD_0030</t>
  </si>
  <si>
    <t>ANMD_0031</t>
  </si>
  <si>
    <t>ANMD_0032</t>
  </si>
  <si>
    <t>ANMD_0033</t>
  </si>
  <si>
    <t>ANMD_0034</t>
  </si>
  <si>
    <t>ANMD_0035</t>
  </si>
  <si>
    <t>ANMD_0036</t>
  </si>
  <si>
    <t>ANMD_0037</t>
  </si>
  <si>
    <t>ANMD_0045</t>
  </si>
  <si>
    <t>ANMD_0046</t>
  </si>
  <si>
    <t>ANMD_0047</t>
  </si>
  <si>
    <t>ANMD_0058</t>
  </si>
  <si>
    <t>ANMD_0060</t>
  </si>
  <si>
    <t>ANMD_0061</t>
  </si>
  <si>
    <t>ANMD_0062</t>
  </si>
  <si>
    <t>ANMD_0063</t>
  </si>
  <si>
    <t>ANMD_0064</t>
  </si>
  <si>
    <t>ANMD_0066</t>
  </si>
  <si>
    <t>ANMD_0067</t>
  </si>
  <si>
    <t>ANMD_0068</t>
  </si>
  <si>
    <t>ANMD_0069</t>
  </si>
  <si>
    <t>ANMD_0070</t>
  </si>
  <si>
    <t>ANMD_0071</t>
  </si>
  <si>
    <t>ANMD_0072</t>
  </si>
  <si>
    <t>ANMD_0074</t>
  </si>
  <si>
    <t>ANMD_0075</t>
  </si>
  <si>
    <t>ANMD_0076</t>
  </si>
  <si>
    <t>ANMD_0077</t>
  </si>
  <si>
    <t>ANMD_0078</t>
  </si>
  <si>
    <t>ANMD_0079</t>
  </si>
  <si>
    <t>ANMD_0081</t>
  </si>
  <si>
    <t>ANMD_0082</t>
  </si>
  <si>
    <t>ANMD_0083</t>
  </si>
  <si>
    <t>ANMD_0084</t>
  </si>
  <si>
    <t>ANMD_0085</t>
  </si>
  <si>
    <t>ANMD_0086</t>
  </si>
  <si>
    <t>ANMD_0087</t>
  </si>
  <si>
    <t>ANMD_0089</t>
  </si>
  <si>
    <t>ANMD_0090</t>
  </si>
  <si>
    <t>ANMD_0091</t>
  </si>
  <si>
    <t>ANMD_0092</t>
  </si>
  <si>
    <t>ANMD_0093</t>
  </si>
  <si>
    <t>ANMD_0094</t>
  </si>
  <si>
    <t>ANMD_0095</t>
  </si>
  <si>
    <t>ANMD_0096</t>
  </si>
  <si>
    <t>ANMD_0097</t>
  </si>
  <si>
    <t>ANMD_0098</t>
  </si>
  <si>
    <t>ANMD_0099</t>
  </si>
  <si>
    <t>ANMD_0100</t>
  </si>
  <si>
    <t>ANMD_0101</t>
  </si>
  <si>
    <t>ANMD_0102</t>
  </si>
  <si>
    <t>ANMD_0103</t>
  </si>
  <si>
    <t>ANMD_0104</t>
  </si>
  <si>
    <t>ANMD_0105</t>
  </si>
  <si>
    <t>ANMD_0106</t>
  </si>
  <si>
    <t>ANMD_0107</t>
  </si>
  <si>
    <t>ANMD_0108</t>
  </si>
  <si>
    <t>ANMD_0109</t>
  </si>
  <si>
    <t>ANMD_0110</t>
  </si>
  <si>
    <t>ANMD_0111</t>
  </si>
  <si>
    <t>ANMD_0112</t>
  </si>
  <si>
    <t>ANMD_0113</t>
  </si>
  <si>
    <t>ANMD_0114</t>
  </si>
  <si>
    <t>ANMD_0115</t>
  </si>
  <si>
    <t>ANMD_0116</t>
  </si>
  <si>
    <t>ANMD_0117</t>
  </si>
  <si>
    <t>ANMD_0118</t>
  </si>
  <si>
    <t>ANMD_0120</t>
  </si>
  <si>
    <t>ANMD_0121</t>
  </si>
  <si>
    <t>ANMD_0123</t>
  </si>
  <si>
    <t>ANMD_0124</t>
  </si>
  <si>
    <t>ANMD_0125</t>
  </si>
  <si>
    <t>ANMD_0126</t>
  </si>
  <si>
    <t>ANMD_0127</t>
  </si>
  <si>
    <t>ANMD_0128</t>
  </si>
  <si>
    <t>ANMD_0129</t>
  </si>
  <si>
    <t>ANMD_0130</t>
  </si>
  <si>
    <t>ANMD_0131</t>
  </si>
  <si>
    <t>ANMD_0132</t>
  </si>
  <si>
    <t>ANMD_0133</t>
  </si>
  <si>
    <t>ANMD_0134</t>
  </si>
  <si>
    <t>ANMD_0135</t>
  </si>
  <si>
    <t>ANMD_0136</t>
  </si>
  <si>
    <t>ANMD_0137</t>
  </si>
  <si>
    <t>ANMD_0138</t>
  </si>
  <si>
    <t>ANMD_0139</t>
  </si>
  <si>
    <t>ANMD_0140</t>
  </si>
  <si>
    <t>ANMD_0141</t>
  </si>
  <si>
    <t>ANMD_0142</t>
  </si>
  <si>
    <t>ANMD_0143</t>
  </si>
  <si>
    <t>ANMD_0144</t>
  </si>
  <si>
    <t>ANMD_0145</t>
  </si>
  <si>
    <t>ANMD_0146</t>
  </si>
  <si>
    <t>ANMD_0147</t>
  </si>
  <si>
    <t>ANMD_0149</t>
  </si>
  <si>
    <t>ANMD_0150</t>
  </si>
  <si>
    <t>ANMD_0151</t>
  </si>
  <si>
    <t>ANMD_0153</t>
  </si>
  <si>
    <t>ANMD_0154</t>
  </si>
  <si>
    <t>ANMD_0155</t>
  </si>
  <si>
    <t>ANMD_0156</t>
  </si>
  <si>
    <t>ANMD_0157</t>
  </si>
  <si>
    <t>ANMD_0158</t>
  </si>
  <si>
    <t>ANMD_0159</t>
  </si>
  <si>
    <t>ANMD_0160</t>
  </si>
  <si>
    <t>ANMD_0161</t>
  </si>
  <si>
    <t>ANMD_0162</t>
  </si>
  <si>
    <t>ANMD_0163</t>
  </si>
  <si>
    <t>ANMD_0164</t>
  </si>
  <si>
    <t>ANMD_0165</t>
  </si>
  <si>
    <t>ANMD_0167</t>
  </si>
  <si>
    <t>ANMD_0168</t>
  </si>
  <si>
    <t>ANMD_0169</t>
  </si>
  <si>
    <t>ANMD_0170</t>
  </si>
  <si>
    <t>ANMD_0171</t>
  </si>
  <si>
    <t>ANMD_0172</t>
  </si>
  <si>
    <t>ANMD_0173</t>
  </si>
  <si>
    <t>ANMD_0175</t>
  </si>
  <si>
    <t>ANMD_0176</t>
  </si>
  <si>
    <t>ANMD_0177</t>
  </si>
  <si>
    <t>ANMD_0178</t>
  </si>
  <si>
    <t>ANMD_0179</t>
  </si>
  <si>
    <t>ANMD_0180</t>
  </si>
  <si>
    <t>ANMD_0181</t>
  </si>
  <si>
    <t>ANMD_0182</t>
  </si>
  <si>
    <t>ANMD_0183</t>
  </si>
  <si>
    <t>ANMD_0184</t>
  </si>
  <si>
    <t>ANMD_0185</t>
  </si>
  <si>
    <t>ANMD_0186</t>
  </si>
  <si>
    <t>ANMD_0187</t>
  </si>
  <si>
    <t>ANMD_0188</t>
  </si>
  <si>
    <t>ANMD_0189</t>
  </si>
  <si>
    <t>ANMD_0190</t>
  </si>
  <si>
    <t>ANMD_0191</t>
  </si>
  <si>
    <t>ANMD_0192</t>
  </si>
  <si>
    <t>ANMD_0193</t>
  </si>
  <si>
    <t>ANMD_0194</t>
  </si>
  <si>
    <t>ANMD_0195</t>
  </si>
  <si>
    <t>ANMD_0196</t>
  </si>
  <si>
    <t>ANMD_0197</t>
  </si>
  <si>
    <t>ANMD_0198</t>
  </si>
  <si>
    <t>ANMD_0199</t>
  </si>
  <si>
    <t>ANMD_0200</t>
  </si>
  <si>
    <t>ANMD_0201</t>
  </si>
  <si>
    <t>ANMD_0202</t>
  </si>
  <si>
    <t>ANMD_0203</t>
  </si>
  <si>
    <t>ANMD_0204</t>
  </si>
  <si>
    <t>ANMD_0205</t>
  </si>
  <si>
    <t>ANMD_0206</t>
  </si>
  <si>
    <t>ANMD_0207</t>
  </si>
  <si>
    <t>ANMD_0208</t>
  </si>
  <si>
    <t>ANMD_0209</t>
  </si>
  <si>
    <t>ANMD_0210</t>
  </si>
  <si>
    <t>ANMD_0211</t>
  </si>
  <si>
    <t>ANMD_0212</t>
  </si>
  <si>
    <t>ANMD_0213</t>
  </si>
  <si>
    <t>ANMD_0214</t>
  </si>
  <si>
    <t>ANMD_0215</t>
  </si>
  <si>
    <t>ANMD_0216</t>
  </si>
  <si>
    <t>ANMD_0217</t>
  </si>
  <si>
    <t>ANMD_0218</t>
  </si>
  <si>
    <t>ANMD_0219</t>
  </si>
  <si>
    <t>ANMD_0220</t>
  </si>
  <si>
    <t>ANMD_0221</t>
  </si>
  <si>
    <t>ANMD_0222</t>
  </si>
  <si>
    <t>ANMD_0223</t>
  </si>
  <si>
    <t>ANMD_0225</t>
  </si>
  <si>
    <t>ANMD_0226</t>
  </si>
  <si>
    <t>ANMD_0227</t>
  </si>
  <si>
    <t>ANMD_0228</t>
  </si>
  <si>
    <t>ANMD_0229</t>
  </si>
  <si>
    <t>ANMD_0230</t>
  </si>
  <si>
    <t>ANMD_0231</t>
  </si>
  <si>
    <t>ANMD_0232</t>
  </si>
  <si>
    <t>ANMD_0233</t>
  </si>
  <si>
    <t>ANMD_0234</t>
  </si>
  <si>
    <t>ANMD_0235</t>
  </si>
  <si>
    <t>ANMD_0236</t>
  </si>
  <si>
    <t>ANMD_0237</t>
  </si>
  <si>
    <t>ANMD_0238</t>
  </si>
  <si>
    <t>ANMD_0239</t>
  </si>
  <si>
    <t>ANMD_0240</t>
  </si>
  <si>
    <t>ANMD_0241</t>
  </si>
  <si>
    <t>ANMD_0242</t>
  </si>
  <si>
    <t>ANMD_0243</t>
  </si>
  <si>
    <t>ANMD_0244</t>
  </si>
  <si>
    <t>ANMD_0245</t>
  </si>
  <si>
    <t>ANMD_0246</t>
  </si>
  <si>
    <t>ANMD_0247</t>
  </si>
  <si>
    <t>ANMD_0248</t>
  </si>
  <si>
    <t>ANMD_0249</t>
  </si>
  <si>
    <t>ANMD_0250</t>
  </si>
  <si>
    <t>ANMD_0251</t>
  </si>
  <si>
    <t>ANMD_0252</t>
  </si>
  <si>
    <t>ANMD_0253</t>
  </si>
  <si>
    <t>ANMD_0254</t>
  </si>
  <si>
    <t>ANMD_0255</t>
  </si>
  <si>
    <t>ANMD_0256</t>
  </si>
  <si>
    <t>ANMD_0257</t>
  </si>
  <si>
    <t>ANMD_0258</t>
  </si>
  <si>
    <t>ANMD_0259</t>
  </si>
  <si>
    <t>ANMD_0260</t>
  </si>
  <si>
    <t>ANMD_0261</t>
  </si>
  <si>
    <t>ANMD_0262</t>
  </si>
  <si>
    <t>ANMD_0263</t>
  </si>
  <si>
    <t>ANMD_0264</t>
  </si>
  <si>
    <t>ANMD_0265</t>
  </si>
  <si>
    <t>ANMD_0266</t>
  </si>
  <si>
    <t>ANMD_0267</t>
  </si>
  <si>
    <t>ANMD_0268</t>
  </si>
  <si>
    <t>ANMD_0272</t>
  </si>
  <si>
    <t>ANMD_0274</t>
  </si>
  <si>
    <t>ANMD_0275</t>
  </si>
  <si>
    <t>ANMD_0276</t>
  </si>
  <si>
    <t>ANMD_0277</t>
  </si>
  <si>
    <t>ANMD_0278</t>
  </si>
  <si>
    <t>ANMD_0279</t>
  </si>
  <si>
    <t>ANMD_3000</t>
  </si>
  <si>
    <t>ANMD_3001</t>
  </si>
  <si>
    <t>ANMD_9987</t>
  </si>
  <si>
    <t>ANMD_9988</t>
  </si>
  <si>
    <t>ANMD_9989</t>
  </si>
  <si>
    <t>ANMD_9990</t>
  </si>
  <si>
    <t>ANMD_9991</t>
  </si>
  <si>
    <t>ANMD_9992</t>
  </si>
  <si>
    <t>ANMD_9993</t>
  </si>
  <si>
    <t>ANMD_9994</t>
  </si>
  <si>
    <t>ANMD_9995</t>
  </si>
  <si>
    <t>ANMD_9996</t>
  </si>
  <si>
    <t>ANMD_9997</t>
  </si>
  <si>
    <t>ANMD_9998</t>
  </si>
  <si>
    <t>ANMD_9999</t>
  </si>
  <si>
    <t>ANMG_0001</t>
  </si>
  <si>
    <t>ANMG_0002</t>
  </si>
  <si>
    <t>ANMG_0003</t>
  </si>
  <si>
    <t>ANMG_0004</t>
  </si>
  <si>
    <t>ANMG_0005</t>
  </si>
  <si>
    <t>ANMG_0006</t>
  </si>
  <si>
    <t>ANMG_0007</t>
  </si>
  <si>
    <t>ANMG_0008</t>
  </si>
  <si>
    <t>ANMG_0009</t>
  </si>
  <si>
    <t>ANMG_0010</t>
  </si>
  <si>
    <t>ANMG_0011</t>
  </si>
  <si>
    <t>ANMG_0012</t>
  </si>
  <si>
    <t>ANMG_0013</t>
  </si>
  <si>
    <t>ANMG_0014</t>
  </si>
  <si>
    <t>ANMG_0015</t>
  </si>
  <si>
    <t>ANMG_0016</t>
  </si>
  <si>
    <t>ANMG_0017</t>
  </si>
  <si>
    <t>ANMG_0018</t>
  </si>
  <si>
    <t>ANMG_0019</t>
  </si>
  <si>
    <t>ANMG_0020</t>
  </si>
  <si>
    <t>ANMG_0022</t>
  </si>
  <si>
    <t>ANMG_0023</t>
  </si>
  <si>
    <t>ANMG_0025</t>
  </si>
  <si>
    <t>ANMG_0026</t>
  </si>
  <si>
    <t>ANMG_0027</t>
  </si>
  <si>
    <t>ANMG_0028</t>
  </si>
  <si>
    <t>ANMG_0029</t>
  </si>
  <si>
    <t>ANMG_0030</t>
  </si>
  <si>
    <t>ANMG_0031</t>
  </si>
  <si>
    <t>ANMG_0032</t>
  </si>
  <si>
    <t>ANMG_0033</t>
  </si>
  <si>
    <t>ANMG_0034</t>
  </si>
  <si>
    <t>ANMG_0035</t>
  </si>
  <si>
    <t>ANMG_0036</t>
  </si>
  <si>
    <t>ANMG_0037</t>
  </si>
  <si>
    <t>ANMG_0038</t>
  </si>
  <si>
    <t>ANMG_0039</t>
  </si>
  <si>
    <t>ANMG_0040</t>
  </si>
  <si>
    <t>ANMG_0041</t>
  </si>
  <si>
    <t>ANMG_0042</t>
  </si>
  <si>
    <t>ANMG_0043</t>
  </si>
  <si>
    <t>ANMG_0044</t>
  </si>
  <si>
    <t>ANMG_0045</t>
  </si>
  <si>
    <t>ANMG_0046</t>
  </si>
  <si>
    <t>ANMG_0047</t>
  </si>
  <si>
    <t>ANMG_0048</t>
  </si>
  <si>
    <t>ANMG_0049</t>
  </si>
  <si>
    <t>ANMG_0050</t>
  </si>
  <si>
    <t>ANMG_0051</t>
  </si>
  <si>
    <t>ANMG_0052</t>
  </si>
  <si>
    <t>ANMG_0053</t>
  </si>
  <si>
    <t>ANMG_0054</t>
  </si>
  <si>
    <t>ANMG_0055</t>
  </si>
  <si>
    <t>ANMG_0056</t>
  </si>
  <si>
    <t>ANMG_0057</t>
  </si>
  <si>
    <t>ANMG_0058</t>
  </si>
  <si>
    <t>ANMG_0059</t>
  </si>
  <si>
    <t>ANMG_0060</t>
  </si>
  <si>
    <t>ANMG_0061</t>
  </si>
  <si>
    <t>ANMG_0062</t>
  </si>
  <si>
    <t>ANMG_0063</t>
  </si>
  <si>
    <t>ANMG_0064</t>
  </si>
  <si>
    <t>ANMG_0065</t>
  </si>
  <si>
    <t>ANMG_0073</t>
  </si>
  <si>
    <t>ANMG_0074</t>
  </si>
  <si>
    <t>ANMG_0075</t>
  </si>
  <si>
    <t>ANMG_0076</t>
  </si>
  <si>
    <t>ANMG_0080</t>
  </si>
  <si>
    <t>ANMG_0081</t>
  </si>
  <si>
    <t>ANMG_0084</t>
  </si>
  <si>
    <t>ANMG_0086</t>
  </si>
  <si>
    <t>ANMG_0087</t>
  </si>
  <si>
    <t>ANMG_0095</t>
  </si>
  <si>
    <t>ANMG_0096</t>
  </si>
  <si>
    <t>ANMG_0097</t>
  </si>
  <si>
    <t>ANMG_0098</t>
  </si>
  <si>
    <t>ANMG_0099</t>
  </si>
  <si>
    <t>ANMG_0100</t>
  </si>
  <si>
    <t>ANMG_0101</t>
  </si>
  <si>
    <t>ANMG_0102</t>
  </si>
  <si>
    <t>ANMG_0103</t>
  </si>
  <si>
    <t>ANMG_0104</t>
  </si>
  <si>
    <t>ANMG_0105</t>
  </si>
  <si>
    <t>ANMG_0106</t>
  </si>
  <si>
    <t>ANMG_0107</t>
  </si>
  <si>
    <t>ANMG_0108</t>
  </si>
  <si>
    <t>ANMG_0109</t>
  </si>
  <si>
    <t>ANMG_0110</t>
  </si>
  <si>
    <t>ANMG_0111</t>
  </si>
  <si>
    <t>ANMG_0113</t>
  </si>
  <si>
    <t>ANMG_0114</t>
  </si>
  <si>
    <t>ANMG_0115</t>
  </si>
  <si>
    <t>ANMG_0117</t>
  </si>
  <si>
    <t>ANMG_0118</t>
  </si>
  <si>
    <t>ANMG_0119</t>
  </si>
  <si>
    <t>ANMG_0120</t>
  </si>
  <si>
    <t>ANMG_0121</t>
  </si>
  <si>
    <t>ANMG_0122</t>
  </si>
  <si>
    <t>ANMG_0123</t>
  </si>
  <si>
    <t>ANMG_0124</t>
  </si>
  <si>
    <t>ANMG_0125</t>
  </si>
  <si>
    <t>ANMG_0126</t>
  </si>
  <si>
    <t>ANMG_0127</t>
  </si>
  <si>
    <t>ANMG_0128</t>
  </si>
  <si>
    <t>ANMG_0129</t>
  </si>
  <si>
    <t>ANMG_0130</t>
  </si>
  <si>
    <t>ANMG_0131</t>
  </si>
  <si>
    <t>ANMG_0132</t>
  </si>
  <si>
    <t>ANMG_0133</t>
  </si>
  <si>
    <t>ANMG_0134</t>
  </si>
  <si>
    <t>ANMG_0135</t>
  </si>
  <si>
    <t>ANMG_0136</t>
  </si>
  <si>
    <t>ANMG_0137</t>
  </si>
  <si>
    <t>ANMG_0138</t>
  </si>
  <si>
    <t>ANMG_0139</t>
  </si>
  <si>
    <t>ANMG_0140</t>
  </si>
  <si>
    <t>ANMG_0141</t>
  </si>
  <si>
    <t>ANMG_0142</t>
  </si>
  <si>
    <t>ANMG_0143</t>
  </si>
  <si>
    <t>ANMG_0144</t>
  </si>
  <si>
    <t>ANMG_0145</t>
  </si>
  <si>
    <t>ANMG_0146</t>
  </si>
  <si>
    <t>ANMG_0147</t>
  </si>
  <si>
    <t>ANMG_0148</t>
  </si>
  <si>
    <t>ANMG_0149</t>
  </si>
  <si>
    <t>ANMG_0150</t>
  </si>
  <si>
    <t>ANMG_0151</t>
  </si>
  <si>
    <t>ANMG_0152</t>
  </si>
  <si>
    <t>ANMG_0153</t>
  </si>
  <si>
    <t>ANMG_0154</t>
  </si>
  <si>
    <t>ANMG_0155</t>
  </si>
  <si>
    <t>ANMG_0156</t>
  </si>
  <si>
    <t>ANMG_0157</t>
  </si>
  <si>
    <t>ANMG_0158</t>
  </si>
  <si>
    <t>ANMG_0159</t>
  </si>
  <si>
    <t>ANMG_0160</t>
  </si>
  <si>
    <t>ANMG_0161</t>
  </si>
  <si>
    <t>ANMG_0162</t>
  </si>
  <si>
    <t>ANMG_0163</t>
  </si>
  <si>
    <t>ANMG_0164</t>
  </si>
  <si>
    <t>ANMG_0165</t>
  </si>
  <si>
    <t>ANMG_0166</t>
  </si>
  <si>
    <t>ANMG_0167</t>
  </si>
  <si>
    <t>ANMG_0168</t>
  </si>
  <si>
    <t>ANMG_0169</t>
  </si>
  <si>
    <t>ANMG_0170</t>
  </si>
  <si>
    <t>ANMG_0171</t>
  </si>
  <si>
    <t>ANMG_0172</t>
  </si>
  <si>
    <t>ANMG_0173</t>
  </si>
  <si>
    <t>ANMG_0174</t>
  </si>
  <si>
    <t>ANMG_0175</t>
  </si>
  <si>
    <t>ANMG_0176</t>
  </si>
  <si>
    <t>ANMG_0177</t>
  </si>
  <si>
    <t>ANMG_0178</t>
  </si>
  <si>
    <t>ANMG_0179</t>
  </si>
  <si>
    <t>ANMG_0180</t>
  </si>
  <si>
    <t>ANMG_0181</t>
  </si>
  <si>
    <t>ANMG_0182</t>
  </si>
  <si>
    <t>ANMG_0183</t>
  </si>
  <si>
    <t>ANMG_0184</t>
  </si>
  <si>
    <t>ANMG_0185</t>
  </si>
  <si>
    <t>ANMG_0186</t>
  </si>
  <si>
    <t>ANMG_0188</t>
  </si>
  <si>
    <t>ANMG_0190</t>
  </si>
  <si>
    <t>ANMG_0191</t>
  </si>
  <si>
    <t>ANMG_0194</t>
  </si>
  <si>
    <t>ANMG_9990</t>
  </si>
  <si>
    <t>ANMG_9991</t>
  </si>
  <si>
    <t>ANMG_9992</t>
  </si>
  <si>
    <t>ANMG_9993</t>
  </si>
  <si>
    <t>ANMG_9995</t>
  </si>
  <si>
    <t>ANMG_9996</t>
  </si>
  <si>
    <t>ANMG_9997</t>
  </si>
  <si>
    <t>ANMG_9998</t>
  </si>
  <si>
    <t>ANMG_9999</t>
  </si>
  <si>
    <t>ANNP_0203</t>
  </si>
  <si>
    <t>ANNP_0204</t>
  </si>
  <si>
    <t>ANNP_0205</t>
  </si>
  <si>
    <t>ANNP_0206</t>
  </si>
  <si>
    <t>ANNP_0208</t>
  </si>
  <si>
    <t>ANNP_0209</t>
  </si>
  <si>
    <t>ANNP_0210</t>
  </si>
  <si>
    <t>ANNP_0211</t>
  </si>
  <si>
    <t>ANNP_0212</t>
  </si>
  <si>
    <t>ANNP_0213</t>
  </si>
  <si>
    <t>ANNP_0214</t>
  </si>
  <si>
    <t>ANNP_0215</t>
  </si>
  <si>
    <t>ANNP_0216</t>
  </si>
  <si>
    <t>ANNP_0217</t>
  </si>
  <si>
    <t>ANNP_0218</t>
  </si>
  <si>
    <t>ANNP_0219</t>
  </si>
  <si>
    <t>ANNP_0220</t>
  </si>
  <si>
    <t>ANNP_0221</t>
  </si>
  <si>
    <t>ANNP_0222</t>
  </si>
  <si>
    <t>ANNP_0223</t>
  </si>
  <si>
    <t>ANNP_0224</t>
  </si>
  <si>
    <t>ANNP_0225</t>
  </si>
  <si>
    <t>ANNP_0226</t>
  </si>
  <si>
    <t>ANNP_0227</t>
  </si>
  <si>
    <t>ANNP_0228</t>
  </si>
  <si>
    <t>ANNP_0229</t>
  </si>
  <si>
    <t>ANNP_0230</t>
  </si>
  <si>
    <t>ANNP_0231</t>
  </si>
  <si>
    <t>ANNP_0232</t>
  </si>
  <si>
    <t>ANNP_0233</t>
  </si>
  <si>
    <t>ANNP_0234</t>
  </si>
  <si>
    <t>ANNP_0235</t>
  </si>
  <si>
    <t>ANNP_0236</t>
  </si>
  <si>
    <t>ANNP_0237</t>
  </si>
  <si>
    <t>ANNP_0238</t>
  </si>
  <si>
    <t>ANNP_0239</t>
  </si>
  <si>
    <t>ANNP_0240</t>
  </si>
  <si>
    <t>ANNP_0242</t>
  </si>
  <si>
    <t>ANNP_0244</t>
  </si>
  <si>
    <t>ANNP_0245</t>
  </si>
  <si>
    <t>ANNP_0246</t>
  </si>
  <si>
    <t>ANNP_0247</t>
  </si>
  <si>
    <t>ANNP_0248</t>
  </si>
  <si>
    <t>ANNP_0249</t>
  </si>
  <si>
    <t>ANNP_0250</t>
  </si>
  <si>
    <t>ANNP_0251</t>
  </si>
  <si>
    <t>ANNP_0253</t>
  </si>
  <si>
    <t>ANNP_0254</t>
  </si>
  <si>
    <t>ANNP_0255</t>
  </si>
  <si>
    <t>ANNP_0256</t>
  </si>
  <si>
    <t>ANNP_0257</t>
  </si>
  <si>
    <t>ANNP_0258</t>
  </si>
  <si>
    <t>ANNP_0259</t>
  </si>
  <si>
    <t>ANNP_0260</t>
  </si>
  <si>
    <t>ANNP_0261</t>
  </si>
  <si>
    <t>ANNP_0262</t>
  </si>
  <si>
    <t>ANNP_0263</t>
  </si>
  <si>
    <t>ANNP_0264</t>
  </si>
  <si>
    <t>ANNP_0265</t>
  </si>
  <si>
    <t>ANNP_0266</t>
  </si>
  <si>
    <t>ANNP_0267</t>
  </si>
  <si>
    <t>ANNP_0268</t>
  </si>
  <si>
    <t>ANNP_0269</t>
  </si>
  <si>
    <t>ANNP_0270</t>
  </si>
  <si>
    <t>ANNP_0271</t>
  </si>
  <si>
    <t>ANNP_0272</t>
  </si>
  <si>
    <t>ANNP_0273</t>
  </si>
  <si>
    <t>ANNP_0274</t>
  </si>
  <si>
    <t>ANNP_0275</t>
  </si>
  <si>
    <t>ANNP_0276</t>
  </si>
  <si>
    <t>ANNP_0277</t>
  </si>
  <si>
    <t>ANNP_0278</t>
  </si>
  <si>
    <t>ANNP_0279</t>
  </si>
  <si>
    <t>ANNP_0280</t>
  </si>
  <si>
    <t>ANNP_0281</t>
  </si>
  <si>
    <t>ANNP_0282</t>
  </si>
  <si>
    <t>ANNP_0283</t>
  </si>
  <si>
    <t>ANNP_0284</t>
  </si>
  <si>
    <t>ANNP_0285</t>
  </si>
  <si>
    <t>ANNP_0286</t>
  </si>
  <si>
    <t>ANNP_0287</t>
  </si>
  <si>
    <t>ANNP_0288</t>
  </si>
  <si>
    <t>ANNP_0289</t>
  </si>
  <si>
    <t>ANNP_0290</t>
  </si>
  <si>
    <t>ANNP_0291</t>
  </si>
  <si>
    <t>ANNP_0292</t>
  </si>
  <si>
    <t>ANNP_0293</t>
  </si>
  <si>
    <t>ANNP_0294</t>
  </si>
  <si>
    <t>ANNP_0295</t>
  </si>
  <si>
    <t>ANNP_0296</t>
  </si>
  <si>
    <t>ANNP_0297</t>
  </si>
  <si>
    <t>ANNP_0298</t>
  </si>
  <si>
    <t>ANNP_0299</t>
  </si>
  <si>
    <t>ANNP_0300</t>
  </si>
  <si>
    <t>ANNP_0301</t>
  </si>
  <si>
    <t>ANNP_0302</t>
  </si>
  <si>
    <t>ANNP_0303</t>
  </si>
  <si>
    <t>ANNP_0304</t>
  </si>
  <si>
    <t>ANNP_0305</t>
  </si>
  <si>
    <t>ANNP_0306</t>
  </si>
  <si>
    <t>ANNP_0307</t>
  </si>
  <si>
    <t>ANNP_0308</t>
  </si>
  <si>
    <t>ANNP_0309</t>
  </si>
  <si>
    <t>ANNP_0310</t>
  </si>
  <si>
    <t>ANNP_0311</t>
  </si>
  <si>
    <t>ANNP_0312</t>
  </si>
  <si>
    <t>ANNP_0313</t>
  </si>
  <si>
    <t>ANNP_0314</t>
  </si>
  <si>
    <t>ANNP_0315</t>
  </si>
  <si>
    <t>ANNP_0316</t>
  </si>
  <si>
    <t>ANNP_0317</t>
  </si>
  <si>
    <t>ANNP_0318</t>
  </si>
  <si>
    <t>ANNP_0319</t>
  </si>
  <si>
    <t>ANNP_0320</t>
  </si>
  <si>
    <t>ANNP_0321</t>
  </si>
  <si>
    <t>ANNP_0322</t>
  </si>
  <si>
    <t>ANNP_0323</t>
  </si>
  <si>
    <t>ANNP_0324</t>
  </si>
  <si>
    <t>ANNP_0325</t>
  </si>
  <si>
    <t>ANNP_0326</t>
  </si>
  <si>
    <t>ANNP_0327</t>
  </si>
  <si>
    <t>ANNP_0328</t>
  </si>
  <si>
    <t>ANNP_0329</t>
  </si>
  <si>
    <t>ANNP_0330</t>
  </si>
  <si>
    <t>ANNP_0331</t>
  </si>
  <si>
    <t>ANNP_0332</t>
  </si>
  <si>
    <t>ANNP_0333</t>
  </si>
  <si>
    <t>ANNP_0334</t>
  </si>
  <si>
    <t>ANNP_0335</t>
  </si>
  <si>
    <t>ANNP_0336</t>
  </si>
  <si>
    <t>ANNP_0337</t>
  </si>
  <si>
    <t>ANNP_0362</t>
  </si>
  <si>
    <t>ANNP_0363</t>
  </si>
  <si>
    <t>ANNP_0364</t>
  </si>
  <si>
    <t>ANNP_0367</t>
  </si>
  <si>
    <t>ANNP_0368</t>
  </si>
  <si>
    <t>ANNP_0369</t>
  </si>
  <si>
    <t>ANNP_0370</t>
  </si>
  <si>
    <t>ANNP_0371</t>
  </si>
  <si>
    <t>ANNP_0372</t>
  </si>
  <si>
    <t>ANNP_0373</t>
  </si>
  <si>
    <t>ANNP_0374</t>
  </si>
  <si>
    <t>ANNP_0375</t>
  </si>
  <si>
    <t>ANNP_0376</t>
  </si>
  <si>
    <t>ANNP_0377</t>
  </si>
  <si>
    <t>ANNP_0378</t>
  </si>
  <si>
    <t>ANNP_0379</t>
  </si>
  <si>
    <t>ANNP_0380</t>
  </si>
  <si>
    <t>ANNP_0381</t>
  </si>
  <si>
    <t>ANNP_0382</t>
  </si>
  <si>
    <t>ANNP_0383</t>
  </si>
  <si>
    <t>ANNP_0384</t>
  </si>
  <si>
    <t>ANNP_0385</t>
  </si>
  <si>
    <t>ANNP_0386</t>
  </si>
  <si>
    <t>ANNP_0387</t>
  </si>
  <si>
    <t>ANNP_0388</t>
  </si>
  <si>
    <t>ANNP_0389</t>
  </si>
  <si>
    <t>ANNP_0390</t>
  </si>
  <si>
    <t>ANNP_0391</t>
  </si>
  <si>
    <t>ANNP_0392</t>
  </si>
  <si>
    <t>ANNP_0393</t>
  </si>
  <si>
    <t>ANNP_0394</t>
  </si>
  <si>
    <t>ANNP_0395</t>
  </si>
  <si>
    <t>ANNP_0396</t>
  </si>
  <si>
    <t>ANNP_0397</t>
  </si>
  <si>
    <t>ANNP_0398</t>
  </si>
  <si>
    <t>ANNP_0399</t>
  </si>
  <si>
    <t>ANNP_0400</t>
  </si>
  <si>
    <t>ANNP_0401</t>
  </si>
  <si>
    <t>ANNP_0404</t>
  </si>
  <si>
    <t>ANNP_0410</t>
  </si>
  <si>
    <t>ANNP_0412</t>
  </si>
  <si>
    <t>ANNP_9978</t>
  </si>
  <si>
    <t>ANNP_9979</t>
  </si>
  <si>
    <t>ANNP_9980</t>
  </si>
  <si>
    <t>ANNP_9981</t>
  </si>
  <si>
    <t>ANNP_9982</t>
  </si>
  <si>
    <t>ANNP_9984</t>
  </si>
  <si>
    <t>ANNP_9985</t>
  </si>
  <si>
    <t>ANNP_9986</t>
  </si>
  <si>
    <t>ANNP_9987</t>
  </si>
  <si>
    <t>ANNP_9988</t>
  </si>
  <si>
    <t>ANNP_9989</t>
  </si>
  <si>
    <t>ANNP_9990</t>
  </si>
  <si>
    <t>ANNP_9991</t>
  </si>
  <si>
    <t>ANNP_9992</t>
  </si>
  <si>
    <t>ANNP_9993</t>
  </si>
  <si>
    <t>ANNP_9994</t>
  </si>
  <si>
    <t>ANNP_9995</t>
  </si>
  <si>
    <t>ANNP_9996</t>
  </si>
  <si>
    <t>ANNP_9997</t>
  </si>
  <si>
    <t>ANNP_9998</t>
  </si>
  <si>
    <t>ANNP_9999</t>
  </si>
  <si>
    <t>ANSG_0338</t>
  </si>
  <si>
    <t>ANSG_0339</t>
  </si>
  <si>
    <t>ANSG_0340</t>
  </si>
  <si>
    <t>ANSG_0341</t>
  </si>
  <si>
    <t>ANSG_0342</t>
  </si>
  <si>
    <t>ANSG_0345</t>
  </si>
  <si>
    <t>ANSG_0346</t>
  </si>
  <si>
    <t>ANSG_0347</t>
  </si>
  <si>
    <t>ANSG_0348</t>
  </si>
  <si>
    <t>ANSG_0349</t>
  </si>
  <si>
    <t>ANSG_0350</t>
  </si>
  <si>
    <t>ANSG_0351</t>
  </si>
  <si>
    <t>ANSG_0352</t>
  </si>
  <si>
    <t>ANSG_0353</t>
  </si>
  <si>
    <t>ANSG_0354</t>
  </si>
  <si>
    <t>ANSG_0356</t>
  </si>
  <si>
    <t>ANSG_0357</t>
  </si>
  <si>
    <t>ANSG_0358</t>
  </si>
  <si>
    <t>ANSG_0359</t>
  </si>
  <si>
    <t>ANSG_0361</t>
  </si>
  <si>
    <t>ANSG_0362</t>
  </si>
  <si>
    <t>ANSG_0364</t>
  </si>
  <si>
    <t>ANSG_0365</t>
  </si>
  <si>
    <t>ANSG_0366</t>
  </si>
  <si>
    <t>ANSG_0367</t>
  </si>
  <si>
    <t>ANSG_0368</t>
  </si>
  <si>
    <t>ANSG_0369</t>
  </si>
  <si>
    <t>ANSG_0370</t>
  </si>
  <si>
    <t>ANSG_0371</t>
  </si>
  <si>
    <t>ANSG_0372</t>
  </si>
  <si>
    <t>ANSG_0373</t>
  </si>
  <si>
    <t>ANSG_0374</t>
  </si>
  <si>
    <t>ANSG_0375</t>
  </si>
  <si>
    <t>ANSG_0376</t>
  </si>
  <si>
    <t>ANSG_0377</t>
  </si>
  <si>
    <t>ANSG_0378</t>
  </si>
  <si>
    <t>ANSG_0379</t>
  </si>
  <si>
    <t>ANSG_0381</t>
  </si>
  <si>
    <t>ANSG_0382</t>
  </si>
  <si>
    <t>ANSG_0383</t>
  </si>
  <si>
    <t>ANSG_0384</t>
  </si>
  <si>
    <t>ANSG_0385</t>
  </si>
  <si>
    <t>ANSG_0386</t>
  </si>
  <si>
    <t>ANSG_0387</t>
  </si>
  <si>
    <t>ANSG_0388</t>
  </si>
  <si>
    <t>ANSG_0389</t>
  </si>
  <si>
    <t>ANSG_0390</t>
  </si>
  <si>
    <t>ANSG_0391</t>
  </si>
  <si>
    <t>ANSG_0392</t>
  </si>
  <si>
    <t>ANSG_0393</t>
  </si>
  <si>
    <t>ANSG_0394</t>
  </si>
  <si>
    <t>ANSG_0395</t>
  </si>
  <si>
    <t>ANSG_0396</t>
  </si>
  <si>
    <t>ANSG_0397</t>
  </si>
  <si>
    <t>ANSG_0398</t>
  </si>
  <si>
    <t>ANSG_0399</t>
  </si>
  <si>
    <t>ANSG_0400</t>
  </si>
  <si>
    <t>ANSG_0401</t>
  </si>
  <si>
    <t>ANSG_0402</t>
  </si>
  <si>
    <t>ANSG_0403</t>
  </si>
  <si>
    <t>ANSG_0404</t>
  </si>
  <si>
    <t>ANSG_0405</t>
  </si>
  <si>
    <t>ANSG_0406</t>
  </si>
  <si>
    <t>ANSG_0407</t>
  </si>
  <si>
    <t>ANSG_0414</t>
  </si>
  <si>
    <t>ANSG_0415</t>
  </si>
  <si>
    <t>ANSG_0416</t>
  </si>
  <si>
    <t>ANSG_0417</t>
  </si>
  <si>
    <t>ANSG_0418</t>
  </si>
  <si>
    <t>ANSG_0420</t>
  </si>
  <si>
    <t>ANSG_0421</t>
  </si>
  <si>
    <t>ANSG_0422</t>
  </si>
  <si>
    <t>ANSG_0423</t>
  </si>
  <si>
    <t>ANSG_0424</t>
  </si>
  <si>
    <t>ANSG_0425</t>
  </si>
  <si>
    <t>ANSG_0426</t>
  </si>
  <si>
    <t>ANSG_0427</t>
  </si>
  <si>
    <t>ANSG_0428</t>
  </si>
  <si>
    <t>ANSG_0429</t>
  </si>
  <si>
    <t>ANSG_0430</t>
  </si>
  <si>
    <t>ANSG_0431</t>
  </si>
  <si>
    <t>ANSG_0432</t>
  </si>
  <si>
    <t>ANSG_0433</t>
  </si>
  <si>
    <t>ANSG_0434</t>
  </si>
  <si>
    <t>ANSG_0435</t>
  </si>
  <si>
    <t>ANSG_0436</t>
  </si>
  <si>
    <t>ANSG_0437</t>
  </si>
  <si>
    <t>ANSG_0438</t>
  </si>
  <si>
    <t>ANSG_0439</t>
  </si>
  <si>
    <t>ANSG_0440</t>
  </si>
  <si>
    <t>ANSG_0441</t>
  </si>
  <si>
    <t>ANSG_0442</t>
  </si>
  <si>
    <t>ANSG_0443</t>
  </si>
  <si>
    <t>ANSG_0444</t>
  </si>
  <si>
    <t>ANSG_0445</t>
  </si>
  <si>
    <t>ANSG_0446</t>
  </si>
  <si>
    <t>ANSG_0447</t>
  </si>
  <si>
    <t>ANSG_0448</t>
  </si>
  <si>
    <t>ANSG_0449</t>
  </si>
  <si>
    <t>ANSG_0450</t>
  </si>
  <si>
    <t>ANSG_0451</t>
  </si>
  <si>
    <t>ANSG_0452</t>
  </si>
  <si>
    <t>ANSG_0453</t>
  </si>
  <si>
    <t>ANSG_0454</t>
  </si>
  <si>
    <t>ANSG_0455</t>
  </si>
  <si>
    <t>ANSG_0456</t>
  </si>
  <si>
    <t>ANSG_0457</t>
  </si>
  <si>
    <t>ANSG_0458</t>
  </si>
  <si>
    <t>ANSG_0459</t>
  </si>
  <si>
    <t>ANSG_0460</t>
  </si>
  <si>
    <t>ANSG_0461</t>
  </si>
  <si>
    <t>ANSG_0462</t>
  </si>
  <si>
    <t>ANSG_0463</t>
  </si>
  <si>
    <t>ANSG_0464</t>
  </si>
  <si>
    <t>ANSG_0465</t>
  </si>
  <si>
    <t>ANSG_0466</t>
  </si>
  <si>
    <t>ANSG_0467</t>
  </si>
  <si>
    <t>ANSG_0468</t>
  </si>
  <si>
    <t>ANSG_0469</t>
  </si>
  <si>
    <t>ANSG_0470</t>
  </si>
  <si>
    <t>ANSG_0471</t>
  </si>
  <si>
    <t>ANSG_0472</t>
  </si>
  <si>
    <t>ANSG_0473</t>
  </si>
  <si>
    <t>ANSG_0474</t>
  </si>
  <si>
    <t>ANSG_0475</t>
  </si>
  <si>
    <t>ANSG_0476</t>
  </si>
  <si>
    <t>ANSG_0477</t>
  </si>
  <si>
    <t>ANSG_0478</t>
  </si>
  <si>
    <t>ANSG_0479</t>
  </si>
  <si>
    <t>ANSG_0480</t>
  </si>
  <si>
    <t>ANSG_0481</t>
  </si>
  <si>
    <t>ANSG_0482</t>
  </si>
  <si>
    <t>ANSG_0483</t>
  </si>
  <si>
    <t>ANSG_0484</t>
  </si>
  <si>
    <t>ANSG_0485</t>
  </si>
  <si>
    <t>ANSG_0486</t>
  </si>
  <si>
    <t>ANSG_0487</t>
  </si>
  <si>
    <t>ANSG_0488</t>
  </si>
  <si>
    <t>ANSG_0489</t>
  </si>
  <si>
    <t>ANSG_0490</t>
  </si>
  <si>
    <t>ANSG_0491</t>
  </si>
  <si>
    <t>ANSG_0492</t>
  </si>
  <si>
    <t>ANSG_0493</t>
  </si>
  <si>
    <t>ANSG_0494</t>
  </si>
  <si>
    <t>ANSG_0495</t>
  </si>
  <si>
    <t>ANSG_0496</t>
  </si>
  <si>
    <t>ANSG_0497</t>
  </si>
  <si>
    <t>ANSG_0498</t>
  </si>
  <si>
    <t>ANSG_0499</t>
  </si>
  <si>
    <t>ANSG_0500</t>
  </si>
  <si>
    <t>ANSG_0501</t>
  </si>
  <si>
    <t>ANSG_0502</t>
  </si>
  <si>
    <t>ANSG_0503</t>
  </si>
  <si>
    <t>ANSG_0504</t>
  </si>
  <si>
    <t>ANSG_0505</t>
  </si>
  <si>
    <t>ANSG_0506</t>
  </si>
  <si>
    <t>ANSG_0507</t>
  </si>
  <si>
    <t>ANSG_0508</t>
  </si>
  <si>
    <t>ANSG_0509</t>
  </si>
  <si>
    <t>ANSG_0510</t>
  </si>
  <si>
    <t>ANSG_0511</t>
  </si>
  <si>
    <t>ANSG_0512</t>
  </si>
  <si>
    <t>ANSG_0513</t>
  </si>
  <si>
    <t>ANSG_0514</t>
  </si>
  <si>
    <t>ANSG_0515</t>
  </si>
  <si>
    <t>ANSG_0516</t>
  </si>
  <si>
    <t>ANSG_0517</t>
  </si>
  <si>
    <t>ANSG_0518</t>
  </si>
  <si>
    <t>ANSG_0519</t>
  </si>
  <si>
    <t>ANSG_0520</t>
  </si>
  <si>
    <t>ANSG_0521</t>
  </si>
  <si>
    <t>ANSG_0522</t>
  </si>
  <si>
    <t>ANSG_0523</t>
  </si>
  <si>
    <t>ANSG_0524</t>
  </si>
  <si>
    <t>ANSG_0525</t>
  </si>
  <si>
    <t>ANSG_0526</t>
  </si>
  <si>
    <t>ANSG_0527</t>
  </si>
  <si>
    <t>ANSG_0538</t>
  </si>
  <si>
    <t>ANSG_9997</t>
  </si>
  <si>
    <t>ANSG_9999</t>
  </si>
  <si>
    <t>ANSH_0001</t>
  </si>
  <si>
    <t>ANSH_0003</t>
  </si>
  <si>
    <t>ANSH_0004</t>
  </si>
  <si>
    <t>ANSH_0005</t>
  </si>
  <si>
    <t>ANSH_0007</t>
  </si>
  <si>
    <t>ANSH_0008</t>
  </si>
  <si>
    <t>ANSH_0009</t>
  </si>
  <si>
    <t>ANSH_0010</t>
  </si>
  <si>
    <t>ANSH_0011</t>
  </si>
  <si>
    <t>ANSH_0012</t>
  </si>
  <si>
    <t>ANSH_0013</t>
  </si>
  <si>
    <t>ANSH_0014</t>
  </si>
  <si>
    <t>ANSH_0015</t>
  </si>
  <si>
    <t>ANSH_0017</t>
  </si>
  <si>
    <t>ANSH_0018</t>
  </si>
  <si>
    <t>ANSH_0019</t>
  </si>
  <si>
    <t>ANSH_0020</t>
  </si>
  <si>
    <t>ANSH_0021</t>
  </si>
  <si>
    <t>ANSH_0022</t>
  </si>
  <si>
    <t>ANSH_0023</t>
  </si>
  <si>
    <t>ANSH_0024</t>
  </si>
  <si>
    <t>ANSH_0025</t>
  </si>
  <si>
    <t>ANSH_0026</t>
  </si>
  <si>
    <t>ANSH_0027</t>
  </si>
  <si>
    <t>ANSH_0028</t>
  </si>
  <si>
    <t>ANSH_0029</t>
  </si>
  <si>
    <t>ANSH_0030</t>
  </si>
  <si>
    <t>ANSH_0031</t>
  </si>
  <si>
    <t>ANSH_0032</t>
  </si>
  <si>
    <t>ANSH_0033</t>
  </si>
  <si>
    <t>ANSH_0035</t>
  </si>
  <si>
    <t>ANSH_0036</t>
  </si>
  <si>
    <t>ANSH_0037</t>
  </si>
  <si>
    <t>ANSH_0038</t>
  </si>
  <si>
    <t>ANSH_0039</t>
  </si>
  <si>
    <t>ANSH_0040</t>
  </si>
  <si>
    <t>ANSH_0041</t>
  </si>
  <si>
    <t>ANSH_0042</t>
  </si>
  <si>
    <t>ANSH_0043</t>
  </si>
  <si>
    <t>ANSH_0044</t>
  </si>
  <si>
    <t>ANSH_0045</t>
  </si>
  <si>
    <t>ANSH_0046</t>
  </si>
  <si>
    <t>ANSH_0047</t>
  </si>
  <si>
    <t>ANSH_0048</t>
  </si>
  <si>
    <t>ANSH_0049</t>
  </si>
  <si>
    <t>ANSH_0050</t>
  </si>
  <si>
    <t>ANSH_0051</t>
  </si>
  <si>
    <t>ANSH_0052</t>
  </si>
  <si>
    <t>ANSH_0053</t>
  </si>
  <si>
    <t>ANSH_0054</t>
  </si>
  <si>
    <t>ANSH_0055</t>
  </si>
  <si>
    <t>ANSH_0056</t>
  </si>
  <si>
    <t>ANSH_0057</t>
  </si>
  <si>
    <t>ANSH_0058</t>
  </si>
  <si>
    <t>ANSH_0059</t>
  </si>
  <si>
    <t>ANSH_0060</t>
  </si>
  <si>
    <t>ANSH_0061</t>
  </si>
  <si>
    <t>ANSH_0062</t>
  </si>
  <si>
    <t>ANSH_0063</t>
  </si>
  <si>
    <t>ANSH_0064</t>
  </si>
  <si>
    <t>ANSH_0065</t>
  </si>
  <si>
    <t>ANSH_0066</t>
  </si>
  <si>
    <t>ANSH_0067</t>
  </si>
  <si>
    <t>ANSH_0068</t>
  </si>
  <si>
    <t>ANSH_0069</t>
  </si>
  <si>
    <t>ANSH_0070</t>
  </si>
  <si>
    <t>ANSH_0071</t>
  </si>
  <si>
    <t>ANSH_0072</t>
  </si>
  <si>
    <t>ANSH_0073</t>
  </si>
  <si>
    <t>ANSH_0074</t>
  </si>
  <si>
    <t>ANSH_0075</t>
  </si>
  <si>
    <t>ANSH_0076</t>
  </si>
  <si>
    <t>ANSH_0077</t>
  </si>
  <si>
    <t>ANSH_0078</t>
  </si>
  <si>
    <t>ANSH_0079</t>
  </si>
  <si>
    <t>ANSH_0080</t>
  </si>
  <si>
    <t>ANSH_0081</t>
  </si>
  <si>
    <t>ANSH_0082</t>
  </si>
  <si>
    <t>ANSH_0083</t>
  </si>
  <si>
    <t>ANSH_0084</t>
  </si>
  <si>
    <t>ANSH_0085</t>
  </si>
  <si>
    <t>ANSH_0086</t>
  </si>
  <si>
    <t>ANSH_0087</t>
  </si>
  <si>
    <t>ANSH_0094</t>
  </si>
  <si>
    <t>ANSH_0095</t>
  </si>
  <si>
    <t>ANSH_9981</t>
  </si>
  <si>
    <t>ANSH_9982</t>
  </si>
  <si>
    <t>ANSH_9983</t>
  </si>
  <si>
    <t>ANSH_9984</t>
  </si>
  <si>
    <t>ANSH_9985</t>
  </si>
  <si>
    <t>ANSH_9986</t>
  </si>
  <si>
    <t>ANSH_9987</t>
  </si>
  <si>
    <t>ANSH_9988</t>
  </si>
  <si>
    <t>ANSH_9989</t>
  </si>
  <si>
    <t>ANSH_9990</t>
  </si>
  <si>
    <t>ANSH_9991</t>
  </si>
  <si>
    <t>ANSH_9992</t>
  </si>
  <si>
    <t>ANSH_9993</t>
  </si>
  <si>
    <t>ANSH_9994</t>
  </si>
  <si>
    <t>ANSH_9995</t>
  </si>
  <si>
    <t>ANSH_9996</t>
  </si>
  <si>
    <t>ANSH_9997</t>
  </si>
  <si>
    <t>ANSH_9998</t>
  </si>
  <si>
    <t>ANSH_9999</t>
  </si>
  <si>
    <t>ASKA_0130</t>
  </si>
  <si>
    <t>ASKA_0131</t>
  </si>
  <si>
    <t>ASKA_0132</t>
  </si>
  <si>
    <t>ASKA_0133</t>
  </si>
  <si>
    <t>ASKA_0134</t>
  </si>
  <si>
    <t>ASKA_0135</t>
  </si>
  <si>
    <t>ASKA_0136</t>
  </si>
  <si>
    <t>ASKA_0138</t>
  </si>
  <si>
    <t>ASKA_0139</t>
  </si>
  <si>
    <t>ASKA_0140</t>
  </si>
  <si>
    <t>ASKA_0141</t>
  </si>
  <si>
    <t>ASKA_0142</t>
  </si>
  <si>
    <t>ASKA_0143</t>
  </si>
  <si>
    <t>ASKA_0144</t>
  </si>
  <si>
    <t>ASKA_0145</t>
  </si>
  <si>
    <t>ASKA_0146</t>
  </si>
  <si>
    <t>ASKA_0147</t>
  </si>
  <si>
    <t>ASKA_0148</t>
  </si>
  <si>
    <t>ASKA_0149</t>
  </si>
  <si>
    <t>ASKA_0151</t>
  </si>
  <si>
    <t>ASKA_0152</t>
  </si>
  <si>
    <t>ASKA_0153</t>
  </si>
  <si>
    <t>ASKA_0154</t>
  </si>
  <si>
    <t>ASKA_0155</t>
  </si>
  <si>
    <t>ASKA_0165</t>
  </si>
  <si>
    <t>ASKA_0167</t>
  </si>
  <si>
    <t>ASKA_0169</t>
  </si>
  <si>
    <t>ASKA_0170</t>
  </si>
  <si>
    <t>ASKA_0171</t>
  </si>
  <si>
    <t>ASKA_0172</t>
  </si>
  <si>
    <t>ASKA_0173</t>
  </si>
  <si>
    <t>ASKA_0174</t>
  </si>
  <si>
    <t>ASKA_0175</t>
  </si>
  <si>
    <t>ASKA_0176</t>
  </si>
  <si>
    <t>ASKA_0177</t>
  </si>
  <si>
    <t>ASKA_0178</t>
  </si>
  <si>
    <t>ASKA_0179</t>
  </si>
  <si>
    <t>ASKA_0180</t>
  </si>
  <si>
    <t>ASKA_0181</t>
  </si>
  <si>
    <t>ASKA_0182</t>
  </si>
  <si>
    <t>ASKA_0183</t>
  </si>
  <si>
    <t>ASKA_0184</t>
  </si>
  <si>
    <t>ASKA_0185</t>
  </si>
  <si>
    <t>ASKA_0186</t>
  </si>
  <si>
    <t>ASKA_0187</t>
  </si>
  <si>
    <t>ASKA_0188</t>
  </si>
  <si>
    <t>ASKA_0189</t>
  </si>
  <si>
    <t>ASKA_0190</t>
  </si>
  <si>
    <t>ASKA_0191</t>
  </si>
  <si>
    <t>ASKA_0192</t>
  </si>
  <si>
    <t>ASKA_0196</t>
  </si>
  <si>
    <t>ASKA_3000</t>
  </si>
  <si>
    <t>ASKA_3001</t>
  </si>
  <si>
    <t>ASKA_9995</t>
  </si>
  <si>
    <t>ASKA_9996</t>
  </si>
  <si>
    <t>ASKA_9997</t>
  </si>
  <si>
    <t>ASKH_0001</t>
  </si>
  <si>
    <t>ASKH_0002</t>
  </si>
  <si>
    <t>ASKH_0003</t>
  </si>
  <si>
    <t>ASKH_0004</t>
  </si>
  <si>
    <t>ASKH_0005</t>
  </si>
  <si>
    <t>ASKH_0006</t>
  </si>
  <si>
    <t>ASKH_0007</t>
  </si>
  <si>
    <t>ASKH_0008</t>
  </si>
  <si>
    <t>ASKH_0009</t>
  </si>
  <si>
    <t>ASKH_0010</t>
  </si>
  <si>
    <t>ASKH_0011</t>
  </si>
  <si>
    <t>ASKH_0012</t>
  </si>
  <si>
    <t>ASKH_0013</t>
  </si>
  <si>
    <t>ASKH_0014</t>
  </si>
  <si>
    <t>ASKH_0015</t>
  </si>
  <si>
    <t>ASKH_0016</t>
  </si>
  <si>
    <t>ASKH_0017</t>
  </si>
  <si>
    <t>ASKH_0019</t>
  </si>
  <si>
    <t>ASKH_3000</t>
  </si>
  <si>
    <t>ASMO_0108</t>
  </si>
  <si>
    <t>ASMO_0109</t>
  </si>
  <si>
    <t>ASMO_0110</t>
  </si>
  <si>
    <t>ASMO_0111</t>
  </si>
  <si>
    <t>ASMO_0112</t>
  </si>
  <si>
    <t>ASMO_0114</t>
  </si>
  <si>
    <t>ASMO_0117</t>
  </si>
  <si>
    <t>ASMO_0130</t>
  </si>
  <si>
    <t>ASMO_0133</t>
  </si>
  <si>
    <t>ASMO_0141</t>
  </si>
  <si>
    <t>ASMO_0142</t>
  </si>
  <si>
    <t>ASMO_0150</t>
  </si>
  <si>
    <t>ASMO_0151</t>
  </si>
  <si>
    <t>ASMO_0152</t>
  </si>
  <si>
    <t>ASMO_0153</t>
  </si>
  <si>
    <t>ASMO_0154</t>
  </si>
  <si>
    <t>ASMO_0155</t>
  </si>
  <si>
    <t>ASMO_0156</t>
  </si>
  <si>
    <t>ASMO_0157</t>
  </si>
  <si>
    <t>ASMO_0158</t>
  </si>
  <si>
    <t>ASMO_0159</t>
  </si>
  <si>
    <t>ASMO_0160</t>
  </si>
  <si>
    <t>ASMO_0161</t>
  </si>
  <si>
    <t>ASMO_0162</t>
  </si>
  <si>
    <t>ASMO_0164</t>
  </si>
  <si>
    <t>ASMO_0165</t>
  </si>
  <si>
    <t>ASMO_0166</t>
  </si>
  <si>
    <t>ASMO_0167</t>
  </si>
  <si>
    <t>ASMO_0168</t>
  </si>
  <si>
    <t>ASMO_0169</t>
  </si>
  <si>
    <t>ASMO_0170</t>
  </si>
  <si>
    <t>ASMO_0171</t>
  </si>
  <si>
    <t>ASMO_0172</t>
  </si>
  <si>
    <t>ASMO_0173</t>
  </si>
  <si>
    <t>ASMO_0174</t>
  </si>
  <si>
    <t>ASMO_0175</t>
  </si>
  <si>
    <t>ASMO_0176</t>
  </si>
  <si>
    <t>ASMO_0177</t>
  </si>
  <si>
    <t>ASMO_0178</t>
  </si>
  <si>
    <t>ASMO_0179</t>
  </si>
  <si>
    <t>ASMO_0180</t>
  </si>
  <si>
    <t>ASMO_0181</t>
  </si>
  <si>
    <t>ASMO_0182</t>
  </si>
  <si>
    <t>ASMO_0184</t>
  </si>
  <si>
    <t>ASMO_0185</t>
  </si>
  <si>
    <t>ASMO_0186</t>
  </si>
  <si>
    <t>ASMO_0187</t>
  </si>
  <si>
    <t>ASMO_0188</t>
  </si>
  <si>
    <t>ASMO_0189</t>
  </si>
  <si>
    <t>ASMO_0190</t>
  </si>
  <si>
    <t>ASMO_0191</t>
  </si>
  <si>
    <t>ASMO_0192</t>
  </si>
  <si>
    <t>ASMO_0193</t>
  </si>
  <si>
    <t>ASMO_0194</t>
  </si>
  <si>
    <t>ASMO_0195</t>
  </si>
  <si>
    <t>ASMO_0196</t>
  </si>
  <si>
    <t>ASMO_0197</t>
  </si>
  <si>
    <t>ASMO_0198</t>
  </si>
  <si>
    <t>ASMO_0199</t>
  </si>
  <si>
    <t>ASMO_0200</t>
  </si>
  <si>
    <t>ASMO_0201</t>
  </si>
  <si>
    <t>ASMO_0203</t>
  </si>
  <si>
    <t>ASMO_0204</t>
  </si>
  <si>
    <t>ASMO_0205</t>
  </si>
  <si>
    <t>ASMO_0206</t>
  </si>
  <si>
    <t>ASMO_0207</t>
  </si>
  <si>
    <t>ASMO_0208</t>
  </si>
  <si>
    <t>ASMO_0209</t>
  </si>
  <si>
    <t>ASMO_0210</t>
  </si>
  <si>
    <t>ASMO_0211</t>
  </si>
  <si>
    <t>ASMO_0212</t>
  </si>
  <si>
    <t>ASMO_0213</t>
  </si>
  <si>
    <t>ASMO_0214</t>
  </si>
  <si>
    <t>ASMO_0215</t>
  </si>
  <si>
    <t>ASMO_0216</t>
  </si>
  <si>
    <t>ASMO_0217</t>
  </si>
  <si>
    <t>ASMO_0218</t>
  </si>
  <si>
    <t>ASMO_0219</t>
  </si>
  <si>
    <t>ASMO_0220</t>
  </si>
  <si>
    <t>ASMO_0221</t>
  </si>
  <si>
    <t>ASMO_0222</t>
  </si>
  <si>
    <t>ASMO_0223</t>
  </si>
  <si>
    <t>ASMO_0224</t>
  </si>
  <si>
    <t>ASMO_0225</t>
  </si>
  <si>
    <t>ASMO_0226</t>
  </si>
  <si>
    <t>ASMO_0227</t>
  </si>
  <si>
    <t>ASMO_0228</t>
  </si>
  <si>
    <t>ASMO_0229</t>
  </si>
  <si>
    <t>ASMO_0230</t>
  </si>
  <si>
    <t>ASMO_0231</t>
  </si>
  <si>
    <t>ASMO_0232</t>
  </si>
  <si>
    <t>ASMO_0233</t>
  </si>
  <si>
    <t>ASMO_0234</t>
  </si>
  <si>
    <t>ASMO_0235</t>
  </si>
  <si>
    <t>ASMO_0236</t>
  </si>
  <si>
    <t>ASMO_0237</t>
  </si>
  <si>
    <t>ASMO_0238</t>
  </si>
  <si>
    <t>ASMO_0239</t>
  </si>
  <si>
    <t>ASMO_0240</t>
  </si>
  <si>
    <t>ASMO_0241</t>
  </si>
  <si>
    <t>ASMO_0242</t>
  </si>
  <si>
    <t>ASMO_0243</t>
  </si>
  <si>
    <t>ASMO_0244</t>
  </si>
  <si>
    <t>ASMO_0245</t>
  </si>
  <si>
    <t>ASMO_0246</t>
  </si>
  <si>
    <t>ASMO_0247</t>
  </si>
  <si>
    <t>ASMO_0248</t>
  </si>
  <si>
    <t>ASMO_0249</t>
  </si>
  <si>
    <t>ASMO_0250</t>
  </si>
  <si>
    <t>ASMO_0251</t>
  </si>
  <si>
    <t>ASMO_0252</t>
  </si>
  <si>
    <t>ASMO_0253</t>
  </si>
  <si>
    <t>ASMO_0254</t>
  </si>
  <si>
    <t>ASMO_0255</t>
  </si>
  <si>
    <t>ASMO_0256</t>
  </si>
  <si>
    <t>ASMO_0257</t>
  </si>
  <si>
    <t>ASMO_0258</t>
  </si>
  <si>
    <t>ASMO_0259</t>
  </si>
  <si>
    <t>ASMO_0260</t>
  </si>
  <si>
    <t>ASMO_0261</t>
  </si>
  <si>
    <t>ASMO_0262</t>
  </si>
  <si>
    <t>ASMO_0263</t>
  </si>
  <si>
    <t>ASMO_0264</t>
  </si>
  <si>
    <t>ASMO_0265</t>
  </si>
  <si>
    <t>ASMO_0266</t>
  </si>
  <si>
    <t>ASMO_0267</t>
  </si>
  <si>
    <t>ASMO_0268</t>
  </si>
  <si>
    <t>ASMO_0269</t>
  </si>
  <si>
    <t>ASMO_0270</t>
  </si>
  <si>
    <t>ASMO_0271</t>
  </si>
  <si>
    <t>ASMO_0272</t>
  </si>
  <si>
    <t>ASMO_0273</t>
  </si>
  <si>
    <t>ASMO_0274</t>
  </si>
  <si>
    <t>ASMO_0276</t>
  </si>
  <si>
    <t>ASMO_0277</t>
  </si>
  <si>
    <t>ASMO_0278</t>
  </si>
  <si>
    <t>ASMO_0279</t>
  </si>
  <si>
    <t>ASMO_0280</t>
  </si>
  <si>
    <t>ASMO_0281</t>
  </si>
  <si>
    <t>ASMO_0282</t>
  </si>
  <si>
    <t>ASMO_0283</t>
  </si>
  <si>
    <t>ASMO_0284</t>
  </si>
  <si>
    <t>ASMO_0285</t>
  </si>
  <si>
    <t>ASMO_0286</t>
  </si>
  <si>
    <t>ASMO_0287</t>
  </si>
  <si>
    <t>ASMO_0288</t>
  </si>
  <si>
    <t>ASMO_0289</t>
  </si>
  <si>
    <t>ASMO_0290</t>
  </si>
  <si>
    <t>ASMO_0291</t>
  </si>
  <si>
    <t>ASMO_0292</t>
  </si>
  <si>
    <t>ASMO_0293</t>
  </si>
  <si>
    <t>ASMO_0294</t>
  </si>
  <si>
    <t>ASMO_0295</t>
  </si>
  <si>
    <t>ASMO_0296</t>
  </si>
  <si>
    <t>ASMO_0297</t>
  </si>
  <si>
    <t>ASMO_0298</t>
  </si>
  <si>
    <t>ASMO_0299</t>
  </si>
  <si>
    <t>ASMO_0300</t>
  </si>
  <si>
    <t>ASMO_0301</t>
  </si>
  <si>
    <t>ASMO_0302</t>
  </si>
  <si>
    <t>ASMO_0303</t>
  </si>
  <si>
    <t>ASMO_0304</t>
  </si>
  <si>
    <t>ASMO_0305</t>
  </si>
  <si>
    <t>ASMO_0306</t>
  </si>
  <si>
    <t>ASMO_0307</t>
  </si>
  <si>
    <t>ASMO_0308</t>
  </si>
  <si>
    <t>ASMO_0309</t>
  </si>
  <si>
    <t>ASMO_0311</t>
  </si>
  <si>
    <t>ASMO_0313</t>
  </si>
  <si>
    <t>ASMO_0314</t>
  </si>
  <si>
    <t>ASMO_0315</t>
  </si>
  <si>
    <t>ASMO_0316</t>
  </si>
  <si>
    <t>ASMO_9983</t>
  </si>
  <si>
    <t>ASMO_9984</t>
  </si>
  <si>
    <t>ASMO_9985</t>
  </si>
  <si>
    <t>ASMO_9986</t>
  </si>
  <si>
    <t>ASMO_9987</t>
  </si>
  <si>
    <t>ASMO_9988</t>
  </si>
  <si>
    <t>ASMO_9989</t>
  </si>
  <si>
    <t>ASMO_9990</t>
  </si>
  <si>
    <t>ASMO_9991</t>
  </si>
  <si>
    <t>ASMO_9992</t>
  </si>
  <si>
    <t>ASMO_9993</t>
  </si>
  <si>
    <t>ASMO_9994</t>
  </si>
  <si>
    <t>ASMO_9995</t>
  </si>
  <si>
    <t>ASMO_9996</t>
  </si>
  <si>
    <t>ASMO_9997</t>
  </si>
  <si>
    <t>ASMO_9999</t>
  </si>
  <si>
    <t>ASTN_0001</t>
  </si>
  <si>
    <t>ASTN_0002</t>
  </si>
  <si>
    <t>ASTN_0003</t>
  </si>
  <si>
    <t>ASTN_0004</t>
  </si>
  <si>
    <t>ASTN_0005</t>
  </si>
  <si>
    <t>ASTN_0006</t>
  </si>
  <si>
    <t>ASTN_0007</t>
  </si>
  <si>
    <t>ASTN_0008</t>
  </si>
  <si>
    <t>ASTN_0009</t>
  </si>
  <si>
    <t>ASTN_0010</t>
  </si>
  <si>
    <t>ASTN_0011</t>
  </si>
  <si>
    <t>ASTN_0012</t>
  </si>
  <si>
    <t>ASTN_0013</t>
  </si>
  <si>
    <t>ASTN_0014</t>
  </si>
  <si>
    <t>ASTN_0015</t>
  </si>
  <si>
    <t>ASTN_0016</t>
  </si>
  <si>
    <t>ASTN_0017</t>
  </si>
  <si>
    <t>ASTN_0018</t>
  </si>
  <si>
    <t>ASTN_0019</t>
  </si>
  <si>
    <t>ASTN_0020</t>
  </si>
  <si>
    <t>ASTN_0021</t>
  </si>
  <si>
    <t>ASTN_0022</t>
  </si>
  <si>
    <t>ASTN_0023</t>
  </si>
  <si>
    <t>ASTN_0024</t>
  </si>
  <si>
    <t>ASTN_0025</t>
  </si>
  <si>
    <t>ASTN_0026</t>
  </si>
  <si>
    <t>ASTN_0027</t>
  </si>
  <si>
    <t>ASTN_0028</t>
  </si>
  <si>
    <t>ASTN_0029</t>
  </si>
  <si>
    <t>ASTN_0030</t>
  </si>
  <si>
    <t>ASTN_0031</t>
  </si>
  <si>
    <t>ASTN_0032</t>
  </si>
  <si>
    <t>ASTN_0033</t>
  </si>
  <si>
    <t>ASTN_0034</t>
  </si>
  <si>
    <t>ASTN_0035</t>
  </si>
  <si>
    <t>ASTN_0036</t>
  </si>
  <si>
    <t>ASTN_0037</t>
  </si>
  <si>
    <t>ASTN_0038</t>
  </si>
  <si>
    <t>ASTN_0039</t>
  </si>
  <si>
    <t>ASTN_0040</t>
  </si>
  <si>
    <t>ASTN_0041</t>
  </si>
  <si>
    <t>ASTN_0042</t>
  </si>
  <si>
    <t>ASTN_0043</t>
  </si>
  <si>
    <t>ASTN_0044</t>
  </si>
  <si>
    <t>ASTN_0045</t>
  </si>
  <si>
    <t>ASTN_0055</t>
  </si>
  <si>
    <t>ASTN_0056</t>
  </si>
  <si>
    <t>ASTN_0057</t>
  </si>
  <si>
    <t>ASTN_0058</t>
  </si>
  <si>
    <t>ASTN_0073</t>
  </si>
  <si>
    <t>ASTN_0074</t>
  </si>
  <si>
    <t>AYYN_0001</t>
  </si>
  <si>
    <t>AYYN_0002</t>
  </si>
  <si>
    <t>AYYN_0003</t>
  </si>
  <si>
    <t>AYYN_0004</t>
  </si>
  <si>
    <t>AYYN_0005</t>
  </si>
  <si>
    <t>AYYN_0006</t>
  </si>
  <si>
    <t>AYYN_0007</t>
  </si>
  <si>
    <t>AYYN_0008</t>
  </si>
  <si>
    <t>AYYN_0009</t>
  </si>
  <si>
    <t>AYYN_0010</t>
  </si>
  <si>
    <t>AYYN_0011</t>
  </si>
  <si>
    <t>AYYN_0012</t>
  </si>
  <si>
    <t>AYYN_0013</t>
  </si>
  <si>
    <t>AYYN_0014</t>
  </si>
  <si>
    <t>AYYN_0015</t>
  </si>
  <si>
    <t>AYYN_0016</t>
  </si>
  <si>
    <t>AYYN_0017</t>
  </si>
  <si>
    <t>AYYN_0018</t>
  </si>
  <si>
    <t>AYYN_0019</t>
  </si>
  <si>
    <t>AYYN_0020</t>
  </si>
  <si>
    <t>AYYN_0021</t>
  </si>
  <si>
    <t>AYYN_0022</t>
  </si>
  <si>
    <t>AYYN_0023</t>
  </si>
  <si>
    <t>AYYN_0024</t>
  </si>
  <si>
    <t>AYYN_0025</t>
  </si>
  <si>
    <t>AYYN_0026</t>
  </si>
  <si>
    <t>AYYN_0027</t>
  </si>
  <si>
    <t>AYYN_0028</t>
  </si>
  <si>
    <t>AYYN_0030</t>
  </si>
  <si>
    <t>AYYN_0034</t>
  </si>
  <si>
    <t>AYYN_0035</t>
  </si>
  <si>
    <t>AYYN_0036</t>
  </si>
  <si>
    <t>AYYN_0037</t>
  </si>
  <si>
    <t>AYYN_0038</t>
  </si>
  <si>
    <t>AYYN_0042</t>
  </si>
  <si>
    <t>AYYN_0046</t>
  </si>
  <si>
    <t>AYYN_0047</t>
  </si>
  <si>
    <t>AYYN_0048</t>
  </si>
  <si>
    <t>AYYN_0049</t>
  </si>
  <si>
    <t>AYYN_0059</t>
  </si>
  <si>
    <t>AYYN_0060</t>
  </si>
  <si>
    <t>AYYN_0063</t>
  </si>
  <si>
    <t>AYYN_0064</t>
  </si>
  <si>
    <t>AYYN_0065</t>
  </si>
  <si>
    <t>AYYN_0066</t>
  </si>
  <si>
    <t>AYYN_0067</t>
  </si>
  <si>
    <t>AYYN_0068</t>
  </si>
  <si>
    <t>AYYN_0069</t>
  </si>
  <si>
    <t>AYYN_0070</t>
  </si>
  <si>
    <t>AYYN_0071</t>
  </si>
  <si>
    <t>AYYN_0072</t>
  </si>
  <si>
    <t>AYYN_0073</t>
  </si>
  <si>
    <t>AYYN_0074</t>
  </si>
  <si>
    <t>AYYN_0075</t>
  </si>
  <si>
    <t>AYYN_0076</t>
  </si>
  <si>
    <t>AYYN_0077</t>
  </si>
  <si>
    <t>AYYN_0078</t>
  </si>
  <si>
    <t>AYYN_0079</t>
  </si>
  <si>
    <t>AYYN_0080</t>
  </si>
  <si>
    <t>AYYN_0081</t>
  </si>
  <si>
    <t>AYYN_0082</t>
  </si>
  <si>
    <t>AYYN_0083</t>
  </si>
  <si>
    <t>AYYN_0084</t>
  </si>
  <si>
    <t>AYYN_0085</t>
  </si>
  <si>
    <t>AYYN_0086</t>
  </si>
  <si>
    <t>AYYN_0087</t>
  </si>
  <si>
    <t>AYYN_0088</t>
  </si>
  <si>
    <t>AYYN_0089</t>
  </si>
  <si>
    <t>AYYN_0090</t>
  </si>
  <si>
    <t>AYYN_0091</t>
  </si>
  <si>
    <t>AYYN_0092</t>
  </si>
  <si>
    <t>AYYN_0093</t>
  </si>
  <si>
    <t>AYYN_0094</t>
  </si>
  <si>
    <t>AYYN_0096</t>
  </si>
  <si>
    <t>AYYN_0097</t>
  </si>
  <si>
    <t>AYYN_0098</t>
  </si>
  <si>
    <t>AYYN_0100</t>
  </si>
  <si>
    <t>AYYN_0101</t>
  </si>
  <si>
    <t>AYYN_0102</t>
  </si>
  <si>
    <t>AYYN_0103</t>
  </si>
  <si>
    <t>AYYN_0104</t>
  </si>
  <si>
    <t>AYYN_0105</t>
  </si>
  <si>
    <t>AYYN_0106</t>
  </si>
  <si>
    <t>AYYN_0107</t>
  </si>
  <si>
    <t>AYYN_0108</t>
  </si>
  <si>
    <t>AYYN_0109</t>
  </si>
  <si>
    <t>AYYN_0110</t>
  </si>
  <si>
    <t>AYYN_0111</t>
  </si>
  <si>
    <t>AYYN_0112</t>
  </si>
  <si>
    <t>AYYN_0113</t>
  </si>
  <si>
    <t>AYYN_0114</t>
  </si>
  <si>
    <t>AYYN_0115</t>
  </si>
  <si>
    <t>AYYN_0116</t>
  </si>
  <si>
    <t>AYYN_0117</t>
  </si>
  <si>
    <t>AYYN_0118</t>
  </si>
  <si>
    <t>AYYN_0119</t>
  </si>
  <si>
    <t>AYYN_0120</t>
  </si>
  <si>
    <t>AYYN_0122</t>
  </si>
  <si>
    <t>AYYN_0123</t>
  </si>
  <si>
    <t>AYYN_0124</t>
  </si>
  <si>
    <t>AYYN_0125</t>
  </si>
  <si>
    <t>AYYN_0127</t>
  </si>
  <si>
    <t>AYYN_0128</t>
  </si>
  <si>
    <t>AYYN_0129</t>
  </si>
  <si>
    <t>AYYN_0130</t>
  </si>
  <si>
    <t>AYYN_0131</t>
  </si>
  <si>
    <t>AYYN_0132</t>
  </si>
  <si>
    <t>AYYN_0133</t>
  </si>
  <si>
    <t>AYYN_0134</t>
  </si>
  <si>
    <t>AYYN_0136</t>
  </si>
  <si>
    <t>AYYN_0137</t>
  </si>
  <si>
    <t>AYYN_0138</t>
  </si>
  <si>
    <t>AYYN_0139</t>
  </si>
  <si>
    <t>AYYN_0140</t>
  </si>
  <si>
    <t>AYYN_0141</t>
  </si>
  <si>
    <t>AYYN_0142</t>
  </si>
  <si>
    <t>AYYN_0143</t>
  </si>
  <si>
    <t>AYYN_0144</t>
  </si>
  <si>
    <t>AYYN_0145</t>
  </si>
  <si>
    <t>AYYN_0146</t>
  </si>
  <si>
    <t>AYYN_0147</t>
  </si>
  <si>
    <t>AYYN_0149</t>
  </si>
  <si>
    <t>AYYN_0150</t>
  </si>
  <si>
    <t>AYYN_0151</t>
  </si>
  <si>
    <t>AYYN_0152</t>
  </si>
  <si>
    <t>AYYN_0154</t>
  </si>
  <si>
    <t>AYYN_0155</t>
  </si>
  <si>
    <t>AYYN_0156</t>
  </si>
  <si>
    <t>AYYN_0157</t>
  </si>
  <si>
    <t>AYYN_0158</t>
  </si>
  <si>
    <t>AYYN_0159</t>
  </si>
  <si>
    <t>AYYN_0160</t>
  </si>
  <si>
    <t>AYYN_0161</t>
  </si>
  <si>
    <t>AYYN_0162</t>
  </si>
  <si>
    <t>AYYN_0163</t>
  </si>
  <si>
    <t>AYYN_0164</t>
  </si>
  <si>
    <t>AYYN_0165</t>
  </si>
  <si>
    <t>AYYN_0166</t>
  </si>
  <si>
    <t>AYYN_0167</t>
  </si>
  <si>
    <t>AYYN_0168</t>
  </si>
  <si>
    <t>AYYN_0169</t>
  </si>
  <si>
    <t>AYYN_0170</t>
  </si>
  <si>
    <t>AYYN_0172</t>
  </si>
  <si>
    <t>AYYN_0173</t>
  </si>
  <si>
    <t>AYYN_0174</t>
  </si>
  <si>
    <t>AYYN_0175</t>
  </si>
  <si>
    <t>AYYN_0176</t>
  </si>
  <si>
    <t>AYYN_0177</t>
  </si>
  <si>
    <t>AYYN_0178</t>
  </si>
  <si>
    <t>AYYN_0179</t>
  </si>
  <si>
    <t>AYYN_0180</t>
  </si>
  <si>
    <t>AYYN_0181</t>
  </si>
  <si>
    <t>AYYN_0182</t>
  </si>
  <si>
    <t>AYYN_0183</t>
  </si>
  <si>
    <t>AYYN_0184</t>
  </si>
  <si>
    <t>AYYN_0185</t>
  </si>
  <si>
    <t>AYYN_0186</t>
  </si>
  <si>
    <t>AYYN_0187</t>
  </si>
  <si>
    <t>AYYN_0188</t>
  </si>
  <si>
    <t>AYYN_0189</t>
  </si>
  <si>
    <t>AYYN_0190</t>
  </si>
  <si>
    <t>AYYN_0191</t>
  </si>
  <si>
    <t>AYYN_0192</t>
  </si>
  <si>
    <t>AYYN_0193</t>
  </si>
  <si>
    <t>AYYN_0194</t>
  </si>
  <si>
    <t>AYYN_0196</t>
  </si>
  <si>
    <t>AYYN_0197</t>
  </si>
  <si>
    <t>AYYN_0198</t>
  </si>
  <si>
    <t>AYYN_0199</t>
  </si>
  <si>
    <t>AYYN_0200</t>
  </si>
  <si>
    <t>AYYN_0201</t>
  </si>
  <si>
    <t>AYYN_0202</t>
  </si>
  <si>
    <t>AYYN_0203</t>
  </si>
  <si>
    <t>AYYN_0204</t>
  </si>
  <si>
    <t>AYYN_0205</t>
  </si>
  <si>
    <t>AYYN_0206</t>
  </si>
  <si>
    <t>AYYN_0207</t>
  </si>
  <si>
    <t>AYYN_0208</t>
  </si>
  <si>
    <t>AYYN_0209</t>
  </si>
  <si>
    <t>AYYN_0210</t>
  </si>
  <si>
    <t>AYYN_0211</t>
  </si>
  <si>
    <t>AYYN_0212</t>
  </si>
  <si>
    <t>AYYN_0213</t>
  </si>
  <si>
    <t>AYYN_0214</t>
  </si>
  <si>
    <t>AYYN_0215</t>
  </si>
  <si>
    <t>AYYN_0216</t>
  </si>
  <si>
    <t>AYYN_0217</t>
  </si>
  <si>
    <t>AYYN_0218</t>
  </si>
  <si>
    <t>AYYN_0219</t>
  </si>
  <si>
    <t>AYYN_0220</t>
  </si>
  <si>
    <t>AYYN_0221</t>
  </si>
  <si>
    <t>AYYN_0222</t>
  </si>
  <si>
    <t>AYYN_0223</t>
  </si>
  <si>
    <t>AYYN_0224</t>
  </si>
  <si>
    <t>AYYN_0225</t>
  </si>
  <si>
    <t>AYYN_0226</t>
  </si>
  <si>
    <t>AYYN_0227</t>
  </si>
  <si>
    <t>AYYN_0228</t>
  </si>
  <si>
    <t>AYYN_0229</t>
  </si>
  <si>
    <t>AYYN_0230</t>
  </si>
  <si>
    <t>AYYN_0231</t>
  </si>
  <si>
    <t>AYYN_0232</t>
  </si>
  <si>
    <t>AYYN_0233</t>
  </si>
  <si>
    <t>AYYN_0234</t>
  </si>
  <si>
    <t>AYYN_0235</t>
  </si>
  <si>
    <t>AYYN_0236</t>
  </si>
  <si>
    <t>AYYN_0237</t>
  </si>
  <si>
    <t>AYYN_0238</t>
  </si>
  <si>
    <t>AYYN_0239</t>
  </si>
  <si>
    <t>AYYN_0240</t>
  </si>
  <si>
    <t>AYYN_0241</t>
  </si>
  <si>
    <t>AYYN_0242</t>
  </si>
  <si>
    <t>AYYN_0243</t>
  </si>
  <si>
    <t>AYYN_0244</t>
  </si>
  <si>
    <t>AYYN_0245</t>
  </si>
  <si>
    <t>AYYN_0246</t>
  </si>
  <si>
    <t>AYYN_0247</t>
  </si>
  <si>
    <t>AYYN_0248</t>
  </si>
  <si>
    <t>AYYN_0249</t>
  </si>
  <si>
    <t>AYYN_0250</t>
  </si>
  <si>
    <t>AYYN_0252</t>
  </si>
  <si>
    <t>AYYN_0253</t>
  </si>
  <si>
    <t>AYYN_0254</t>
  </si>
  <si>
    <t>AYYN_0255</t>
  </si>
  <si>
    <t>AYYN_0256</t>
  </si>
  <si>
    <t>AYYN_0257</t>
  </si>
  <si>
    <t>AYYN_0258</t>
  </si>
  <si>
    <t>AYYN_0259</t>
  </si>
  <si>
    <t>AYYN_0260</t>
  </si>
  <si>
    <t>AYYN_0261</t>
  </si>
  <si>
    <t>AYYN_0262</t>
  </si>
  <si>
    <t>AYYN_0263</t>
  </si>
  <si>
    <t>AYYN_0264</t>
  </si>
  <si>
    <t>AYYN_0265</t>
  </si>
  <si>
    <t>AYYN_0267</t>
  </si>
  <si>
    <t>AYYN_0268</t>
  </si>
  <si>
    <t>AYYN_0270</t>
  </si>
  <si>
    <t>AYYN_0271</t>
  </si>
  <si>
    <t>AYYN_0272</t>
  </si>
  <si>
    <t>AYYN_0273</t>
  </si>
  <si>
    <t>AYYN_0274</t>
  </si>
  <si>
    <t>AYYN_0275</t>
  </si>
  <si>
    <t>AYYN_0276</t>
  </si>
  <si>
    <t>AYYN_0277</t>
  </si>
  <si>
    <t>AYYN_0278</t>
  </si>
  <si>
    <t>AYYN_0279</t>
  </si>
  <si>
    <t>AYYN_0280</t>
  </si>
  <si>
    <t>AYYN_0281</t>
  </si>
  <si>
    <t>AYYN_0282</t>
  </si>
  <si>
    <t>AYYN_0283</t>
  </si>
  <si>
    <t>AYYN_0284</t>
  </si>
  <si>
    <t>AYYN_0285</t>
  </si>
  <si>
    <t>AYYN_0286</t>
  </si>
  <si>
    <t>AYYN_0287</t>
  </si>
  <si>
    <t>AYYN_0288</t>
  </si>
  <si>
    <t>AYYN_0289</t>
  </si>
  <si>
    <t>AYYN_0290</t>
  </si>
  <si>
    <t>AYYN_0291</t>
  </si>
  <si>
    <t>AYYN_0292</t>
  </si>
  <si>
    <t>AYYN_0293</t>
  </si>
  <si>
    <t>AYYN_0294</t>
  </si>
  <si>
    <t>AYYN_0295</t>
  </si>
  <si>
    <t>AYYN_0296</t>
  </si>
  <si>
    <t>AYYN_0297</t>
  </si>
  <si>
    <t>AYYN_0298</t>
  </si>
  <si>
    <t>AYYN_0299</t>
  </si>
  <si>
    <t>AYYN_0300</t>
  </si>
  <si>
    <t>AYYN_0301</t>
  </si>
  <si>
    <t>AYYN_0302</t>
  </si>
  <si>
    <t>AYYN_0303</t>
  </si>
  <si>
    <t>AYYN_0304</t>
  </si>
  <si>
    <t>AYYN_0305</t>
  </si>
  <si>
    <t>AYYN_0306</t>
  </si>
  <si>
    <t>AYYN_0307</t>
  </si>
  <si>
    <t>AYYN_0308</t>
  </si>
  <si>
    <t>AYYN_0309</t>
  </si>
  <si>
    <t>AYYN_0310</t>
  </si>
  <si>
    <t>AYYN_0311</t>
  </si>
  <si>
    <t>AYYN_0312</t>
  </si>
  <si>
    <t>AYYN_0313</t>
  </si>
  <si>
    <t>AYYN_0314</t>
  </si>
  <si>
    <t>AYYN_0315</t>
  </si>
  <si>
    <t>AYYN_0316</t>
  </si>
  <si>
    <t>AYYN_0317</t>
  </si>
  <si>
    <t>AYYN_0318</t>
  </si>
  <si>
    <t>AYYN_0319</t>
  </si>
  <si>
    <t>AYYN_0320</t>
  </si>
  <si>
    <t>AYYN_0321</t>
  </si>
  <si>
    <t>AYYN_0322</t>
  </si>
  <si>
    <t>AYYN_0323</t>
  </si>
  <si>
    <t>AYYN_0325</t>
  </si>
  <si>
    <t>AYYN_0326</t>
  </si>
  <si>
    <t>AYYN_0327</t>
  </si>
  <si>
    <t>AYYN_0328</t>
  </si>
  <si>
    <t>AYYN_0329</t>
  </si>
  <si>
    <t>AYYN_0330</t>
  </si>
  <si>
    <t>AYYN_0331</t>
  </si>
  <si>
    <t>AYYN_0332</t>
  </si>
  <si>
    <t>AYYN_0333</t>
  </si>
  <si>
    <t>AYYN_0334</t>
  </si>
  <si>
    <t>AYYN_0335</t>
  </si>
  <si>
    <t>AYYN_0336</t>
  </si>
  <si>
    <t>AYYN_0337</t>
  </si>
  <si>
    <t>AYYN_0339</t>
  </si>
  <si>
    <t>AYYN_0340</t>
  </si>
  <si>
    <t>AYYN_0341</t>
  </si>
  <si>
    <t>AYYN_0342</t>
  </si>
  <si>
    <t>AYYN_0343</t>
  </si>
  <si>
    <t>AYYN_0344</t>
  </si>
  <si>
    <t>AYYN_0345</t>
  </si>
  <si>
    <t>AYYN_0346</t>
  </si>
  <si>
    <t>AYYN_0347</t>
  </si>
  <si>
    <t>AYYN_0348</t>
  </si>
  <si>
    <t>AYYN_0349</t>
  </si>
  <si>
    <t>AYYN_0350</t>
  </si>
  <si>
    <t>AYYN_0351</t>
  </si>
  <si>
    <t>AYYN_0352</t>
  </si>
  <si>
    <t>AYYN_0353</t>
  </si>
  <si>
    <t>AYYN_0354</t>
  </si>
  <si>
    <t>AYYN_0355</t>
  </si>
  <si>
    <t>AYYN_0356</t>
  </si>
  <si>
    <t>AYYN_0357</t>
  </si>
  <si>
    <t>AYYN_0358</t>
  </si>
  <si>
    <t>AYYN_0359</t>
  </si>
  <si>
    <t>AYYN_0361</t>
  </si>
  <si>
    <t>AYYN_0362</t>
  </si>
  <si>
    <t>AYYN_0364</t>
  </si>
  <si>
    <t>AYYN_0365</t>
  </si>
  <si>
    <t>AYYN_0366</t>
  </si>
  <si>
    <t>AYYN_0367</t>
  </si>
  <si>
    <t>AYYN_0368</t>
  </si>
  <si>
    <t>AYYN_0369</t>
  </si>
  <si>
    <t>AYYN_0370</t>
  </si>
  <si>
    <t>AYYN_0371</t>
  </si>
  <si>
    <t>AYYN_0372</t>
  </si>
  <si>
    <t>AYYN_0373</t>
  </si>
  <si>
    <t>AYYN_0374</t>
  </si>
  <si>
    <t>AYYN_0375</t>
  </si>
  <si>
    <t>AYYN_0376</t>
  </si>
  <si>
    <t>AYYN_0377</t>
  </si>
  <si>
    <t>AYYN_0378</t>
  </si>
  <si>
    <t>AYYN_0379</t>
  </si>
  <si>
    <t>AYYN_0380</t>
  </si>
  <si>
    <t>AYYN_0381</t>
  </si>
  <si>
    <t>AYYN_0382</t>
  </si>
  <si>
    <t>AYYN_0383</t>
  </si>
  <si>
    <t>AYYN_0384</t>
  </si>
  <si>
    <t>AYYN_0385</t>
  </si>
  <si>
    <t>AYYN_0386</t>
  </si>
  <si>
    <t>AYYN_0387</t>
  </si>
  <si>
    <t>AYYN_0388</t>
  </si>
  <si>
    <t>AYYN_0390</t>
  </si>
  <si>
    <t>AYYN_0391</t>
  </si>
  <si>
    <t>AYYN_0392</t>
  </si>
  <si>
    <t>AYYN_0393</t>
  </si>
  <si>
    <t>AYYN_0394</t>
  </si>
  <si>
    <t>AYYN_0395</t>
  </si>
  <si>
    <t>AYYN_0397</t>
  </si>
  <si>
    <t>AYYN_0398</t>
  </si>
  <si>
    <t>AYYN_0399</t>
  </si>
  <si>
    <t>AYYN_0400</t>
  </si>
  <si>
    <t>AYYN_0401</t>
  </si>
  <si>
    <t>AYYN_0402</t>
  </si>
  <si>
    <t>AYYN_0403</t>
  </si>
  <si>
    <t>AYYN_0404</t>
  </si>
  <si>
    <t>AYYN_0405</t>
  </si>
  <si>
    <t>AYYN_0406</t>
  </si>
  <si>
    <t>AYYN_0407</t>
  </si>
  <si>
    <t>AYYN_0408</t>
  </si>
  <si>
    <t>AYYN_0409</t>
  </si>
  <si>
    <t>AYYN_0410</t>
  </si>
  <si>
    <t>AYYN_0411</t>
  </si>
  <si>
    <t>AYYN_0412</t>
  </si>
  <si>
    <t>AYYN_0413</t>
  </si>
  <si>
    <t>AYYN_0414</t>
  </si>
  <si>
    <t>AYYN_0415</t>
  </si>
  <si>
    <t>AYYN_0416</t>
  </si>
  <si>
    <t>AYYN_0417</t>
  </si>
  <si>
    <t>AYYN_0418</t>
  </si>
  <si>
    <t>AYYN_0419</t>
  </si>
  <si>
    <t>AYYN_0420</t>
  </si>
  <si>
    <t>AYYN_0421</t>
  </si>
  <si>
    <t>AYYN_0422</t>
  </si>
  <si>
    <t>AYYN_0423</t>
  </si>
  <si>
    <t>AYYN_0424</t>
  </si>
  <si>
    <t>AYYN_0425</t>
  </si>
  <si>
    <t>AYYN_0426</t>
  </si>
  <si>
    <t>AYYN_0427</t>
  </si>
  <si>
    <t>AYYN_0428</t>
  </si>
  <si>
    <t>AYYN_0429</t>
  </si>
  <si>
    <t>AYYN_0430</t>
  </si>
  <si>
    <t>AYYN_0431</t>
  </si>
  <si>
    <t>AYYN_0432</t>
  </si>
  <si>
    <t>AYYN_0433</t>
  </si>
  <si>
    <t>AYYN_0434</t>
  </si>
  <si>
    <t>AYYN_0435</t>
  </si>
  <si>
    <t>AYYN_0436</t>
  </si>
  <si>
    <t>AYYN_0437</t>
  </si>
  <si>
    <t>AYYN_0438</t>
  </si>
  <si>
    <t>AYYN_0439</t>
  </si>
  <si>
    <t>AYYN_0440</t>
  </si>
  <si>
    <t>AYYN_0441</t>
  </si>
  <si>
    <t>AYYN_0442</t>
  </si>
  <si>
    <t>AYYN_0443</t>
  </si>
  <si>
    <t>AYYN_0444</t>
  </si>
  <si>
    <t>AYYN_0445</t>
  </si>
  <si>
    <t>AYYN_0446</t>
  </si>
  <si>
    <t>AYYN_0447</t>
  </si>
  <si>
    <t>AYYN_0448</t>
  </si>
  <si>
    <t>AYYN_0449</t>
  </si>
  <si>
    <t>AYYN_0450</t>
  </si>
  <si>
    <t>AYYN_0451</t>
  </si>
  <si>
    <t>AYYN_0452</t>
  </si>
  <si>
    <t>AYYN_0453</t>
  </si>
  <si>
    <t>AYYN_0454</t>
  </si>
  <si>
    <t>AYYN_0455</t>
  </si>
  <si>
    <t>AYYN_0456</t>
  </si>
  <si>
    <t>AYYN_0457</t>
  </si>
  <si>
    <t>AYYN_0458</t>
  </si>
  <si>
    <t>AYYN_0459</t>
  </si>
  <si>
    <t>AYYN_0460</t>
  </si>
  <si>
    <t>AYYN_0461</t>
  </si>
  <si>
    <t>AYYN_0462</t>
  </si>
  <si>
    <t>AYYN_0463</t>
  </si>
  <si>
    <t>AYYN_0464</t>
  </si>
  <si>
    <t>AYYN_0465</t>
  </si>
  <si>
    <t>AYYN_0466</t>
  </si>
  <si>
    <t>AYYN_0467</t>
  </si>
  <si>
    <t>AYYN_0468</t>
  </si>
  <si>
    <t>AYYN_0469</t>
  </si>
  <si>
    <t>AYYN_0470</t>
  </si>
  <si>
    <t>AYYN_0471</t>
  </si>
  <si>
    <t>AYYN_0472</t>
  </si>
  <si>
    <t>AYYN_0473</t>
  </si>
  <si>
    <t>AYYN_0474</t>
  </si>
  <si>
    <t>AYYN_0475</t>
  </si>
  <si>
    <t>AYYN_0476</t>
  </si>
  <si>
    <t>AYYN_0477</t>
  </si>
  <si>
    <t>AYYN_0478</t>
  </si>
  <si>
    <t>AYYN_0479</t>
  </si>
  <si>
    <t>AYYN_0480</t>
  </si>
  <si>
    <t>AYYN_0481</t>
  </si>
  <si>
    <t>AYYN_0482</t>
  </si>
  <si>
    <t>AYYN_0483</t>
  </si>
  <si>
    <t>AYYN_0484</t>
  </si>
  <si>
    <t>AYYN_0485</t>
  </si>
  <si>
    <t>AYYN_0486</t>
  </si>
  <si>
    <t>AYYN_0487</t>
  </si>
  <si>
    <t>AYYN_0488</t>
  </si>
  <si>
    <t>AYYN_0489</t>
  </si>
  <si>
    <t>AYYN_0490</t>
  </si>
  <si>
    <t>AYYN_0491</t>
  </si>
  <si>
    <t>AYYN_0492</t>
  </si>
  <si>
    <t>AYYN_0493</t>
  </si>
  <si>
    <t>AYYN_0494</t>
  </si>
  <si>
    <t>AYYN_0495</t>
  </si>
  <si>
    <t>AYYN_0496</t>
  </si>
  <si>
    <t>AYYN_0497</t>
  </si>
  <si>
    <t>AYYN_0498</t>
  </si>
  <si>
    <t>AYYN_0499</t>
  </si>
  <si>
    <t>AYYN_0500</t>
  </si>
  <si>
    <t>AYYN_0501</t>
  </si>
  <si>
    <t>AYYN_0502</t>
  </si>
  <si>
    <t>AYYN_0503</t>
  </si>
  <si>
    <t>AYYN_0504</t>
  </si>
  <si>
    <t>AYYN_0505</t>
  </si>
  <si>
    <t>AYYN_0506</t>
  </si>
  <si>
    <t>AYYN_0507</t>
  </si>
  <si>
    <t>AYYN_0508</t>
  </si>
  <si>
    <t>AYYN_0509</t>
  </si>
  <si>
    <t>AYYN_0510</t>
  </si>
  <si>
    <t>AYYN_0511</t>
  </si>
  <si>
    <t>AYYN_0512</t>
  </si>
  <si>
    <t>AYYN_0513</t>
  </si>
  <si>
    <t>AYYN_0514</t>
  </si>
  <si>
    <t>AYYN_0515</t>
  </si>
  <si>
    <t>AYYN_0516</t>
  </si>
  <si>
    <t>AYYN_0517</t>
  </si>
  <si>
    <t>AYYN_0518</t>
  </si>
  <si>
    <t>AYYN_0519</t>
  </si>
  <si>
    <t>AYYN_0520</t>
  </si>
  <si>
    <t>AYYN_0521</t>
  </si>
  <si>
    <t>AYYN_0522</t>
  </si>
  <si>
    <t>AYYN_0523</t>
  </si>
  <si>
    <t>AYYN_0524</t>
  </si>
  <si>
    <t>AYYN_0525</t>
  </si>
  <si>
    <t>AYYN_0526</t>
  </si>
  <si>
    <t>AYYN_0528</t>
  </si>
  <si>
    <t>AYYN_0530</t>
  </si>
  <si>
    <t>AYYN_0531</t>
  </si>
  <si>
    <t>AYYN_0532</t>
  </si>
  <si>
    <t>AYYN_0533</t>
  </si>
  <si>
    <t>AYYN_0534</t>
  </si>
  <si>
    <t>AYYN_0535</t>
  </si>
  <si>
    <t>AYYN_0536</t>
  </si>
  <si>
    <t>AYYN_0537</t>
  </si>
  <si>
    <t>AYYN_0538</t>
  </si>
  <si>
    <t>AYYN_0539</t>
  </si>
  <si>
    <t>AYYN_0540</t>
  </si>
  <si>
    <t>AYYN_0541</t>
  </si>
  <si>
    <t>AYYN_0542</t>
  </si>
  <si>
    <t>AYYN_0543</t>
  </si>
  <si>
    <t>AYYN_0544</t>
  </si>
  <si>
    <t>AYYN_0545</t>
  </si>
  <si>
    <t>AYYN_0546</t>
  </si>
  <si>
    <t>AYYN_0547</t>
  </si>
  <si>
    <t>AYYN_0548</t>
  </si>
  <si>
    <t>AYYN_0549</t>
  </si>
  <si>
    <t>AYYN_0550</t>
  </si>
  <si>
    <t>AYYN_0551</t>
  </si>
  <si>
    <t>AYYN_0552</t>
  </si>
  <si>
    <t>AYYN_0553</t>
  </si>
  <si>
    <t>AYYN_0554</t>
  </si>
  <si>
    <t>AYYN_0555</t>
  </si>
  <si>
    <t>AYYN_0556</t>
  </si>
  <si>
    <t>AYYN_0557</t>
  </si>
  <si>
    <t>AYYN_0558</t>
  </si>
  <si>
    <t>AYYN_0559</t>
  </si>
  <si>
    <t>AYYN_0560</t>
  </si>
  <si>
    <t>AYYN_0561</t>
  </si>
  <si>
    <t>AYYN_0562</t>
  </si>
  <si>
    <t>AYYN_0563</t>
  </si>
  <si>
    <t>AYYN_0564</t>
  </si>
  <si>
    <t>AYYN_0565</t>
  </si>
  <si>
    <t>AYYN_0566</t>
  </si>
  <si>
    <t>AYYN_0567</t>
  </si>
  <si>
    <t>AYYN_0568</t>
  </si>
  <si>
    <t>AYYN_0569</t>
  </si>
  <si>
    <t>AYYN_0570</t>
  </si>
  <si>
    <t>AYYN_0571</t>
  </si>
  <si>
    <t>AYYN_0572</t>
  </si>
  <si>
    <t>AYYN_0573</t>
  </si>
  <si>
    <t>AYYN_0574</t>
  </si>
  <si>
    <t>AYYN_0575</t>
  </si>
  <si>
    <t>AYYN_0576</t>
  </si>
  <si>
    <t>AYYN_0577</t>
  </si>
  <si>
    <t>AYYN_0578</t>
  </si>
  <si>
    <t>AYYN_0579</t>
  </si>
  <si>
    <t>AYYN_0580</t>
  </si>
  <si>
    <t>AYYN_0581</t>
  </si>
  <si>
    <t>AYYN_0582</t>
  </si>
  <si>
    <t>AYYN_0584</t>
  </si>
  <si>
    <t>AYYN_0585</t>
  </si>
  <si>
    <t>AYYN_0586</t>
  </si>
  <si>
    <t>AYYN_0587</t>
  </si>
  <si>
    <t>AYYN_0588</t>
  </si>
  <si>
    <t>AYYN_0589</t>
  </si>
  <si>
    <t>AYYN_0590</t>
  </si>
  <si>
    <t>AYYN_0591</t>
  </si>
  <si>
    <t>AYYN_0592</t>
  </si>
  <si>
    <t>AYYN_0593</t>
  </si>
  <si>
    <t>AYYN_0594</t>
  </si>
  <si>
    <t>AYYN_0595</t>
  </si>
  <si>
    <t>AYYN_0596</t>
  </si>
  <si>
    <t>AYYN_0597</t>
  </si>
  <si>
    <t>AYYN_0598</t>
  </si>
  <si>
    <t>AYYN_0599</t>
  </si>
  <si>
    <t>AYYN_0600</t>
  </si>
  <si>
    <t>AYYN_0601</t>
  </si>
  <si>
    <t>AYYN_0602</t>
  </si>
  <si>
    <t>AYYN_0603</t>
  </si>
  <si>
    <t>AYYN_0604</t>
  </si>
  <si>
    <t>AYYN_0605</t>
  </si>
  <si>
    <t>AYYN_0606</t>
  </si>
  <si>
    <t>AYYN_0607</t>
  </si>
  <si>
    <t>AYYN_0608</t>
  </si>
  <si>
    <t>AYYN_0609</t>
  </si>
  <si>
    <t>AYYN_0610</t>
  </si>
  <si>
    <t>AYYN_0612</t>
  </si>
  <si>
    <t>AYYN_0613</t>
  </si>
  <si>
    <t>AYYN_0614</t>
  </si>
  <si>
    <t>AYYN_0615</t>
  </si>
  <si>
    <t>AYYN_0616</t>
  </si>
  <si>
    <t>AYYN_0617</t>
  </si>
  <si>
    <t>AYYN_0618</t>
  </si>
  <si>
    <t>AYYN_0619</t>
  </si>
  <si>
    <t>AYYN_0620</t>
  </si>
  <si>
    <t>AYYN_0621</t>
  </si>
  <si>
    <t>AYYN_0622</t>
  </si>
  <si>
    <t>AYYN_0623</t>
  </si>
  <si>
    <t>AYYN_0624</t>
  </si>
  <si>
    <t>AYYN_0625</t>
  </si>
  <si>
    <t>AYYN_0626</t>
  </si>
  <si>
    <t>AYYN_0627</t>
  </si>
  <si>
    <t>AYYN_0628</t>
  </si>
  <si>
    <t>AYYN_0629</t>
  </si>
  <si>
    <t>AYYN_0630</t>
  </si>
  <si>
    <t>AYYN_0631</t>
  </si>
  <si>
    <t>AYYN_0632</t>
  </si>
  <si>
    <t>AYYN_0633</t>
  </si>
  <si>
    <t>AYYN_0634</t>
  </si>
  <si>
    <t>AYYN_0635</t>
  </si>
  <si>
    <t>AYYN_0636</t>
  </si>
  <si>
    <t>AYYN_0637</t>
  </si>
  <si>
    <t>AYYN_0638</t>
  </si>
  <si>
    <t>AYYN_0639</t>
  </si>
  <si>
    <t>AYYN_0640</t>
  </si>
  <si>
    <t>AYYN_0641</t>
  </si>
  <si>
    <t>AYYN_0642</t>
  </si>
  <si>
    <t>AYYN_0643</t>
  </si>
  <si>
    <t>AYYN_0644</t>
  </si>
  <si>
    <t>AYYN_0645</t>
  </si>
  <si>
    <t>AYYN_0648</t>
  </si>
  <si>
    <t>AYYN_0649</t>
  </si>
  <si>
    <t>AYYN_9947</t>
  </si>
  <si>
    <t>AYYN_9948</t>
  </si>
  <si>
    <t>AYYN_9949</t>
  </si>
  <si>
    <t>AYYN_9950</t>
  </si>
  <si>
    <t>AYYN_9951</t>
  </si>
  <si>
    <t>AYYN_9952</t>
  </si>
  <si>
    <t>AYYN_9953</t>
  </si>
  <si>
    <t>AYYN_9954</t>
  </si>
  <si>
    <t>AYYN_9955</t>
  </si>
  <si>
    <t>AYYN_9956</t>
  </si>
  <si>
    <t>AYYN_9957</t>
  </si>
  <si>
    <t>AYYN_9958</t>
  </si>
  <si>
    <t>AYYN_9959</t>
  </si>
  <si>
    <t>AYYN_9960</t>
  </si>
  <si>
    <t>AYYN_9961</t>
  </si>
  <si>
    <t>AYYN_9963</t>
  </si>
  <si>
    <t>AYYN_9964</t>
  </si>
  <si>
    <t>AYYN_9965</t>
  </si>
  <si>
    <t>AYYN_9966</t>
  </si>
  <si>
    <t xml:space="preserve">AYYN_9967 </t>
  </si>
  <si>
    <t>AYYN_9968</t>
  </si>
  <si>
    <t>AYYN_9969</t>
  </si>
  <si>
    <t>AYYN_9970</t>
  </si>
  <si>
    <t>AYYN_9971</t>
  </si>
  <si>
    <t>AYYN_9972</t>
  </si>
  <si>
    <t>AYYN_9973</t>
  </si>
  <si>
    <t>AYYN_9974</t>
  </si>
  <si>
    <t>AYYN_9975</t>
  </si>
  <si>
    <t>AYYN_9976</t>
  </si>
  <si>
    <t>AYYN_9977</t>
  </si>
  <si>
    <t>AYYN_9978</t>
  </si>
  <si>
    <t>AYYN_9979</t>
  </si>
  <si>
    <t>AYYN_9980</t>
  </si>
  <si>
    <t>AYYN_9981</t>
  </si>
  <si>
    <t>AYYN_9982</t>
  </si>
  <si>
    <t>AYYN_9983</t>
  </si>
  <si>
    <t>AYYN_9984</t>
  </si>
  <si>
    <t>AYYN_9985</t>
  </si>
  <si>
    <t>AYYN_9986</t>
  </si>
  <si>
    <t>AYYN_9987</t>
  </si>
  <si>
    <t>AYYN_9988</t>
  </si>
  <si>
    <t>AYYN_9989</t>
  </si>
  <si>
    <t>AYYN_9990</t>
  </si>
  <si>
    <t>AYYN_9991</t>
  </si>
  <si>
    <t>AYYN_9992</t>
  </si>
  <si>
    <t>AYYN_9993</t>
  </si>
  <si>
    <t>AYYN_9994</t>
  </si>
  <si>
    <t>AYYN_9995</t>
  </si>
  <si>
    <t>AYYN_9996</t>
  </si>
  <si>
    <t>AYYN_9997</t>
  </si>
  <si>
    <t>AYYN_9998</t>
  </si>
  <si>
    <t>AYYN_9999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</si>
</sst>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7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\ &quot;kW&quot;"/>
    <numFmt numFmtId="301" formatCode="0.0\ &quot;EPA&quot;"/>
    <numFmt numFmtId="302" formatCode="0.0\ &quot;m&quot;"/>
    <numFmt numFmtId="303" formatCode="0\ &quot;Weeks after colo Approval&quot;"/>
  </numFmts>
  <fonts count="26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7D7D7"/>
        <bgColor indexed="64"/>
      </patternFill>
    </fill>
  </fills>
  <borders count="8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3833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</cellStyleXfs>
  <cellXfs count="216">
    <xf numFmtId="164" fontId="0" fillId="0" borderId="0" xfId="0"/>
    <xf numFmtId="164" fontId="0" fillId="0" borderId="0" xfId="0" applyAlignment="1">
      <alignment horizontal="center" vertical="center" wrapText="1"/>
    </xf>
    <xf numFmtId="0" fontId="0" fillId="0" borderId="0" xfId="0" applyNumberFormat="1"/>
    <xf numFmtId="164" fontId="254" fillId="87" borderId="0" xfId="0" applyFont="1" applyFill="1"/>
    <xf numFmtId="164" fontId="0" fillId="87" borderId="0" xfId="0" applyFill="1"/>
    <xf numFmtId="164" fontId="254" fillId="88" borderId="70" xfId="0" applyFont="1" applyFill="1" applyBorder="1"/>
    <xf numFmtId="14" fontId="254" fillId="88" borderId="70" xfId="0" applyNumberFormat="1" applyFont="1" applyFill="1" applyBorder="1"/>
    <xf numFmtId="164" fontId="254" fillId="88" borderId="71" xfId="0" applyFont="1" applyFill="1" applyBorder="1"/>
    <xf numFmtId="164" fontId="254" fillId="88" borderId="0" xfId="0" applyFont="1" applyFill="1" applyBorder="1"/>
    <xf numFmtId="164" fontId="254" fillId="87" borderId="0" xfId="0" applyFont="1" applyFill="1" applyBorder="1"/>
    <xf numFmtId="164" fontId="0" fillId="0" borderId="0" xfId="0" applyBorder="1"/>
    <xf numFmtId="164" fontId="0" fillId="89" borderId="0" xfId="0" applyFill="1" applyBorder="1"/>
    <xf numFmtId="164" fontId="0" fillId="89" borderId="0" xfId="0" applyFill="1"/>
    <xf numFmtId="164" fontId="0" fillId="90" borderId="0" xfId="0" applyFill="1"/>
    <xf numFmtId="164" fontId="0" fillId="90" borderId="0" xfId="0" applyFill="1" applyBorder="1"/>
    <xf numFmtId="164" fontId="254" fillId="91" borderId="71" xfId="0" applyFont="1" applyFill="1" applyBorder="1"/>
    <xf numFmtId="164" fontId="254" fillId="91" borderId="0" xfId="0" applyFont="1" applyFill="1" applyBorder="1"/>
    <xf numFmtId="164" fontId="0" fillId="90" borderId="70" xfId="0" applyFill="1" applyBorder="1"/>
    <xf numFmtId="0" fontId="254" fillId="88" borderId="70" xfId="0" applyNumberFormat="1" applyFont="1" applyFill="1" applyBorder="1"/>
    <xf numFmtId="0" fontId="254" fillId="88" borderId="0" xfId="0" applyNumberFormat="1" applyFont="1" applyFill="1" applyBorder="1"/>
    <xf numFmtId="0" fontId="254" fillId="87" borderId="0" xfId="0" applyNumberFormat="1" applyFont="1" applyFill="1" applyBorder="1"/>
    <xf numFmtId="0" fontId="254" fillId="87" borderId="0" xfId="0" applyNumberFormat="1" applyFont="1" applyFill="1"/>
    <xf numFmtId="0" fontId="0" fillId="90" borderId="0" xfId="0" applyNumberFormat="1" applyFill="1"/>
    <xf numFmtId="0" fontId="0" fillId="90" borderId="0" xfId="0" applyNumberFormat="1" applyFill="1" applyBorder="1"/>
    <xf numFmtId="0" fontId="0" fillId="87" borderId="0" xfId="0" applyNumberFormat="1" applyFill="1"/>
    <xf numFmtId="164" fontId="0" fillId="0" borderId="0" xfId="0" applyFill="1" applyBorder="1" applyAlignment="1">
      <alignment horizontal="center" vertical="center" wrapText="1"/>
    </xf>
    <xf numFmtId="164" fontId="0" fillId="0" borderId="0" xfId="0" applyBorder="1" applyAlignment="1">
      <alignment horizontal="center" vertical="center" wrapText="1"/>
    </xf>
    <xf numFmtId="164" fontId="0" fillId="87" borderId="0" xfId="0" applyFill="1" applyAlignment="1">
      <alignment horizontal="center" vertical="center" wrapText="1"/>
    </xf>
    <xf numFmtId="14" fontId="254" fillId="87" borderId="0" xfId="0" applyNumberFormat="1" applyFont="1" applyFill="1"/>
    <xf numFmtId="14" fontId="0" fillId="87" borderId="0" xfId="0" applyNumberFormat="1" applyFill="1"/>
    <xf numFmtId="49" fontId="0" fillId="0" borderId="0" xfId="0" applyNumberFormat="1" applyFont="1" applyFill="1" applyBorder="1" applyProtection="1">
      <protection locked="0"/>
    </xf>
    <xf numFmtId="14" fontId="254" fillId="88" borderId="0" xfId="0" applyNumberFormat="1" applyFont="1" applyFill="1" applyBorder="1"/>
    <xf numFmtId="164" fontId="0" fillId="0" borderId="0" xfId="0" applyFill="1" applyBorder="1" applyAlignment="1" applyProtection="1">
      <alignment horizontal="center"/>
      <protection locked="0"/>
    </xf>
    <xf numFmtId="14" fontId="0" fillId="0" borderId="0" xfId="0" applyNumberFormat="1" applyFill="1" applyBorder="1" applyAlignment="1" applyProtection="1">
      <alignment horizontal="center"/>
      <protection locked="0"/>
    </xf>
    <xf numFmtId="300" fontId="0" fillId="0" borderId="0" xfId="0" applyNumberFormat="1" applyFill="1" applyBorder="1" applyAlignment="1" applyProtection="1">
      <alignment horizontal="center"/>
      <protection locked="0"/>
    </xf>
    <xf numFmtId="301" fontId="0" fillId="0" borderId="0" xfId="0" applyNumberFormat="1" applyFill="1" applyBorder="1" applyAlignment="1" applyProtection="1">
      <alignment horizontal="center"/>
      <protection locked="0"/>
    </xf>
    <xf numFmtId="302" fontId="0" fillId="0" borderId="0" xfId="0" applyNumberFormat="1" applyFill="1" applyBorder="1" applyAlignment="1" applyProtection="1">
      <alignment horizontal="center"/>
      <protection locked="0"/>
    </xf>
    <xf numFmtId="164" fontId="254" fillId="88" borderId="44" xfId="0" applyFont="1" applyFill="1" applyBorder="1" applyProtection="1"/>
    <xf numFmtId="164" fontId="254" fillId="88" borderId="71" xfId="0" applyFont="1" applyFill="1" applyBorder="1" applyProtection="1"/>
    <xf numFmtId="164" fontId="254" fillId="87" borderId="0" xfId="0" applyFont="1" applyFill="1" applyBorder="1" applyProtection="1"/>
    <xf numFmtId="164" fontId="254" fillId="87" borderId="0" xfId="0" applyFont="1" applyFill="1" applyProtection="1"/>
    <xf numFmtId="164" fontId="254" fillId="88" borderId="70" xfId="0" applyFont="1" applyFill="1" applyBorder="1" applyProtection="1"/>
    <xf numFmtId="164" fontId="254" fillId="88" borderId="0" xfId="0" applyFont="1" applyFill="1" applyBorder="1" applyProtection="1"/>
    <xf numFmtId="14" fontId="254" fillId="88" borderId="70" xfId="0" applyNumberFormat="1" applyFont="1" applyFill="1" applyBorder="1" applyProtection="1"/>
    <xf numFmtId="164" fontId="254" fillId="87" borderId="50" xfId="0" applyFont="1" applyFill="1" applyBorder="1" applyProtection="1"/>
    <xf numFmtId="164" fontId="0" fillId="0" borderId="50" xfId="0" applyFill="1" applyBorder="1" applyProtection="1"/>
    <xf numFmtId="164" fontId="0" fillId="0" borderId="0" xfId="0" applyFill="1" applyBorder="1" applyProtection="1"/>
    <xf numFmtId="164" fontId="0" fillId="89" borderId="0" xfId="0" applyFill="1" applyBorder="1" applyProtection="1"/>
    <xf numFmtId="164" fontId="0" fillId="87" borderId="0" xfId="0" applyFill="1" applyProtection="1"/>
    <xf numFmtId="164" fontId="198" fillId="89" borderId="0" xfId="0" applyFont="1" applyFill="1" applyBorder="1" applyProtection="1"/>
    <xf numFmtId="164" fontId="0" fillId="89" borderId="0" xfId="0" applyFill="1" applyProtection="1"/>
    <xf numFmtId="164" fontId="198" fillId="0" borderId="0" xfId="0" applyFont="1" applyFill="1" applyBorder="1" applyProtection="1"/>
    <xf numFmtId="164" fontId="0" fillId="0" borderId="0" xfId="0" applyFill="1" applyProtection="1"/>
    <xf numFmtId="164" fontId="0" fillId="0" borderId="0" xfId="0" applyFill="1" applyBorder="1" applyAlignment="1" applyProtection="1">
      <alignment horizontal="right"/>
    </xf>
    <xf numFmtId="164" fontId="0" fillId="0" borderId="0" xfId="0" applyFill="1" applyAlignment="1" applyProtection="1">
      <alignment horizontal="center"/>
    </xf>
    <xf numFmtId="0" fontId="254" fillId="88" borderId="0" xfId="0" applyNumberFormat="1" applyFont="1" applyFill="1" applyBorder="1" applyProtection="1"/>
    <xf numFmtId="0" fontId="256" fillId="91" borderId="44" xfId="0" applyNumberFormat="1" applyFont="1" applyFill="1" applyBorder="1"/>
    <xf numFmtId="0" fontId="256" fillId="88" borderId="44" xfId="0" applyNumberFormat="1" applyFont="1" applyFill="1" applyBorder="1"/>
    <xf numFmtId="0" fontId="0" fillId="90" borderId="70" xfId="0" applyNumberFormat="1" applyFill="1" applyBorder="1"/>
    <xf numFmtId="0" fontId="256" fillId="89" borderId="50" xfId="0" applyNumberFormat="1" applyFont="1" applyFill="1" applyBorder="1"/>
    <xf numFmtId="0" fontId="0" fillId="89" borderId="0" xfId="0" applyNumberFormat="1" applyFill="1"/>
    <xf numFmtId="0" fontId="198" fillId="90" borderId="0" xfId="0" applyNumberFormat="1" applyFont="1" applyFill="1"/>
    <xf numFmtId="14" fontId="254" fillId="91" borderId="71" xfId="0" applyNumberFormat="1" applyFont="1" applyFill="1" applyBorder="1"/>
    <xf numFmtId="14" fontId="0" fillId="89" borderId="0" xfId="0" applyNumberFormat="1" applyFill="1"/>
    <xf numFmtId="14" fontId="0" fillId="90" borderId="0" xfId="0" applyNumberFormat="1" applyFill="1"/>
    <xf numFmtId="14" fontId="0" fillId="90" borderId="70" xfId="0" applyNumberFormat="1" applyFill="1" applyBorder="1"/>
    <xf numFmtId="14" fontId="0" fillId="0" borderId="0" xfId="0" applyNumberFormat="1"/>
    <xf numFmtId="0" fontId="254" fillId="91" borderId="71" xfId="0" applyNumberFormat="1" applyFont="1" applyFill="1" applyBorder="1"/>
    <xf numFmtId="0" fontId="254" fillId="88" borderId="70" xfId="0" applyNumberFormat="1" applyFont="1" applyFill="1" applyBorder="1" applyProtection="1"/>
    <xf numFmtId="164" fontId="254" fillId="87" borderId="71" xfId="0" applyFont="1" applyFill="1" applyBorder="1"/>
    <xf numFmtId="0" fontId="0" fillId="0" borderId="0" xfId="0" applyNumberFormat="1" applyProtection="1">
      <protection locked="0"/>
    </xf>
    <xf numFmtId="164" fontId="0" fillId="0" borderId="0" xfId="0" applyProtection="1">
      <protection locked="0"/>
    </xf>
    <xf numFmtId="14" fontId="0" fillId="0" borderId="0" xfId="0" applyNumberFormat="1" applyProtection="1">
      <protection locked="0"/>
    </xf>
    <xf numFmtId="164" fontId="0" fillId="0" borderId="0" xfId="0" applyBorder="1" applyProtection="1">
      <protection locked="0"/>
    </xf>
    <xf numFmtId="0" fontId="256" fillId="91" borderId="44" xfId="0" applyNumberFormat="1" applyFont="1" applyFill="1" applyBorder="1" applyProtection="1"/>
    <xf numFmtId="164" fontId="254" fillId="91" borderId="71" xfId="0" applyFont="1" applyFill="1" applyBorder="1" applyProtection="1"/>
    <xf numFmtId="14" fontId="254" fillId="91" borderId="71" xfId="0" applyNumberFormat="1" applyFont="1" applyFill="1" applyBorder="1" applyProtection="1"/>
    <xf numFmtId="0" fontId="254" fillId="91" borderId="71" xfId="0" applyNumberFormat="1" applyFont="1" applyFill="1" applyBorder="1" applyProtection="1"/>
    <xf numFmtId="164" fontId="254" fillId="91" borderId="0" xfId="0" applyFont="1" applyFill="1" applyBorder="1" applyProtection="1"/>
    <xf numFmtId="0" fontId="256" fillId="88" borderId="44" xfId="0" applyNumberFormat="1" applyFont="1" applyFill="1" applyBorder="1" applyProtection="1"/>
    <xf numFmtId="164" fontId="254" fillId="87" borderId="71" xfId="0" applyFont="1" applyFill="1" applyBorder="1" applyProtection="1"/>
    <xf numFmtId="14" fontId="254" fillId="88" borderId="0" xfId="0" applyNumberFormat="1" applyFont="1" applyFill="1" applyBorder="1" applyProtection="1"/>
    <xf numFmtId="0" fontId="0" fillId="90" borderId="70" xfId="0" applyNumberFormat="1" applyFill="1" applyBorder="1" applyProtection="1"/>
    <xf numFmtId="0" fontId="254" fillId="87" borderId="0" xfId="0" applyNumberFormat="1" applyFont="1" applyFill="1" applyBorder="1" applyProtection="1"/>
    <xf numFmtId="0" fontId="254" fillId="87" borderId="0" xfId="0" applyNumberFormat="1" applyFont="1" applyFill="1" applyProtection="1"/>
    <xf numFmtId="14" fontId="254" fillId="87" borderId="0" xfId="0" applyNumberFormat="1" applyFont="1" applyFill="1" applyProtection="1"/>
    <xf numFmtId="0" fontId="256" fillId="89" borderId="50" xfId="0" applyNumberFormat="1" applyFont="1" applyFill="1" applyBorder="1" applyProtection="1"/>
    <xf numFmtId="14" fontId="0" fillId="89" borderId="0" xfId="0" applyNumberFormat="1" applyFill="1" applyProtection="1"/>
    <xf numFmtId="0" fontId="0" fillId="89" borderId="0" xfId="0" applyNumberFormat="1" applyFill="1" applyProtection="1"/>
    <xf numFmtId="0" fontId="198" fillId="90" borderId="0" xfId="0" applyNumberFormat="1" applyFont="1" applyFill="1" applyProtection="1"/>
    <xf numFmtId="164" fontId="0" fillId="90" borderId="0" xfId="0" applyFill="1" applyProtection="1"/>
    <xf numFmtId="14" fontId="0" fillId="90" borderId="0" xfId="0" applyNumberFormat="1" applyFill="1" applyProtection="1"/>
    <xf numFmtId="0" fontId="0" fillId="90" borderId="0" xfId="0" applyNumberFormat="1" applyFill="1" applyProtection="1"/>
    <xf numFmtId="164" fontId="0" fillId="90" borderId="0" xfId="0" applyFill="1" applyBorder="1" applyProtection="1"/>
    <xf numFmtId="164" fontId="0" fillId="90" borderId="70" xfId="0" applyFill="1" applyBorder="1" applyProtection="1"/>
    <xf numFmtId="14" fontId="0" fillId="90" borderId="70" xfId="0" applyNumberFormat="1" applyFill="1" applyBorder="1" applyProtection="1"/>
    <xf numFmtId="0" fontId="0" fillId="90" borderId="0" xfId="0" applyNumberFormat="1" applyFill="1" applyBorder="1" applyProtection="1"/>
    <xf numFmtId="0" fontId="0" fillId="87" borderId="0" xfId="0" applyNumberFormat="1" applyFill="1" applyProtection="1"/>
    <xf numFmtId="14" fontId="0" fillId="87" borderId="0" xfId="0" applyNumberFormat="1" applyFill="1" applyProtection="1"/>
    <xf numFmtId="0" fontId="0" fillId="0" borderId="0" xfId="0" applyNumberFormat="1" applyProtection="1"/>
    <xf numFmtId="164" fontId="0" fillId="0" borderId="0" xfId="0" applyProtection="1"/>
    <xf numFmtId="14" fontId="0" fillId="0" borderId="0" xfId="0" applyNumberFormat="1" applyProtection="1"/>
    <xf numFmtId="164" fontId="0" fillId="0" borderId="0" xfId="0" applyBorder="1" applyProtection="1"/>
    <xf numFmtId="164" fontId="0" fillId="87" borderId="0" xfId="0" applyFill="1" applyAlignment="1" applyProtection="1">
      <alignment horizontal="center" vertical="center" wrapText="1"/>
    </xf>
    <xf numFmtId="302" fontId="0" fillId="0" borderId="0" xfId="0" applyNumberFormat="1" applyProtection="1">
      <protection locked="0"/>
    </xf>
    <xf numFmtId="164" fontId="254" fillId="92" borderId="0" xfId="0" applyFont="1" applyFill="1" applyBorder="1" applyProtection="1"/>
    <xf numFmtId="0" fontId="254" fillId="92" borderId="0" xfId="0" applyNumberFormat="1" applyFont="1" applyFill="1" applyBorder="1" applyProtection="1"/>
    <xf numFmtId="164" fontId="0" fillId="92" borderId="0" xfId="0" applyFill="1" applyProtection="1"/>
    <xf numFmtId="0" fontId="0" fillId="92" borderId="0" xfId="0" applyNumberFormat="1" applyFill="1" applyProtection="1"/>
    <xf numFmtId="164" fontId="0" fillId="92" borderId="0" xfId="0" applyFill="1" applyAlignment="1" applyProtection="1">
      <alignment horizontal="center" vertical="center" wrapText="1"/>
    </xf>
    <xf numFmtId="302" fontId="0" fillId="0" borderId="0" xfId="0" applyNumberFormat="1" applyFill="1" applyBorder="1"/>
    <xf numFmtId="0" fontId="256" fillId="89" borderId="0" xfId="0" applyNumberFormat="1" applyFont="1" applyFill="1" applyBorder="1"/>
    <xf numFmtId="0" fontId="256" fillId="89" borderId="0" xfId="0" applyNumberFormat="1" applyFont="1" applyFill="1" applyBorder="1" applyProtection="1"/>
    <xf numFmtId="164" fontId="257" fillId="0" borderId="0" xfId="0" applyFont="1" applyBorder="1" applyAlignment="1">
      <alignment horizontal="left"/>
    </xf>
    <xf numFmtId="164" fontId="257" fillId="0" borderId="0" xfId="0" applyFont="1" applyBorder="1" applyAlignment="1" applyProtection="1">
      <alignment horizontal="left"/>
    </xf>
    <xf numFmtId="164" fontId="259" fillId="93" borderId="72" xfId="0" applyFont="1" applyFill="1" applyBorder="1" applyAlignment="1">
      <alignment horizontal="left" vertical="center" textRotation="90" wrapText="1"/>
    </xf>
    <xf numFmtId="164" fontId="259" fillId="87" borderId="72" xfId="0" applyFont="1" applyFill="1" applyBorder="1" applyAlignment="1">
      <alignment horizontal="left" vertical="center" textRotation="90" wrapText="1"/>
    </xf>
    <xf numFmtId="164" fontId="259" fillId="91" borderId="72" xfId="0" applyFont="1" applyFill="1" applyBorder="1" applyAlignment="1">
      <alignment horizontal="left" vertical="center" textRotation="90" wrapText="1"/>
    </xf>
    <xf numFmtId="164" fontId="259" fillId="89" borderId="72" xfId="0" applyFont="1" applyFill="1" applyBorder="1" applyAlignment="1">
      <alignment horizontal="left" vertical="center" textRotation="90" wrapText="1"/>
    </xf>
    <xf numFmtId="0" fontId="0" fillId="0" borderId="72" xfId="0" applyNumberFormat="1" applyFill="1" applyBorder="1" applyAlignment="1">
      <alignment horizontal="center" vertical="center" wrapText="1"/>
    </xf>
    <xf numFmtId="164" fontId="0" fillId="0" borderId="72" xfId="0" applyFill="1" applyBorder="1" applyAlignment="1">
      <alignment horizontal="center" vertical="center" wrapText="1"/>
    </xf>
    <xf numFmtId="14" fontId="0" fillId="0" borderId="72" xfId="0" applyNumberFormat="1" applyFill="1" applyBorder="1" applyAlignment="1">
      <alignment horizontal="center" vertical="center" wrapText="1"/>
    </xf>
    <xf numFmtId="0" fontId="0" fillId="0" borderId="72" xfId="0" applyNumberFormat="1" applyFill="1" applyBorder="1"/>
    <xf numFmtId="164" fontId="0" fillId="0" borderId="72" xfId="0" applyFill="1" applyBorder="1"/>
    <xf numFmtId="14" fontId="0" fillId="0" borderId="72" xfId="0" applyNumberFormat="1" applyFill="1" applyBorder="1"/>
    <xf numFmtId="300" fontId="0" fillId="0" borderId="72" xfId="0" applyNumberFormat="1" applyFill="1" applyBorder="1"/>
    <xf numFmtId="302" fontId="0" fillId="0" borderId="72" xfId="0" applyNumberFormat="1" applyFill="1" applyBorder="1"/>
    <xf numFmtId="302" fontId="0" fillId="0" borderId="72" xfId="0" applyNumberFormat="1" applyFill="1" applyBorder="1" applyAlignment="1">
      <alignment wrapText="1"/>
    </xf>
    <xf numFmtId="302" fontId="0" fillId="0" borderId="72" xfId="0" applyNumberFormat="1" applyFill="1" applyBorder="1" applyAlignment="1">
      <alignment horizontal="center" shrinkToFit="1"/>
    </xf>
    <xf numFmtId="164" fontId="0" fillId="93" borderId="72" xfId="0" applyFill="1" applyBorder="1" applyAlignment="1">
      <alignment horizontal="center" vertical="center" wrapText="1"/>
    </xf>
    <xf numFmtId="164" fontId="0" fillId="87" borderId="72" xfId="0" applyFill="1" applyBorder="1" applyAlignment="1">
      <alignment horizontal="center" vertical="center" wrapText="1"/>
    </xf>
    <xf numFmtId="164" fontId="0" fillId="89" borderId="72" xfId="0" applyFill="1" applyBorder="1" applyAlignment="1">
      <alignment horizontal="center" vertical="center" wrapText="1"/>
    </xf>
    <xf numFmtId="164" fontId="0" fillId="91" borderId="72" xfId="0" applyFill="1" applyBorder="1" applyAlignment="1">
      <alignment horizontal="center" vertical="center" wrapText="1"/>
    </xf>
    <xf numFmtId="164" fontId="259" fillId="88" borderId="72" xfId="0" applyFont="1" applyFill="1" applyBorder="1" applyAlignment="1">
      <alignment horizontal="left" vertical="center" textRotation="90" wrapText="1"/>
    </xf>
    <xf numFmtId="0" fontId="0" fillId="0" borderId="74" xfId="0" applyNumberFormat="1" applyFill="1" applyBorder="1" applyAlignment="1">
      <alignment horizontal="center" vertical="center" wrapText="1"/>
    </xf>
    <xf numFmtId="164" fontId="0" fillId="0" borderId="75" xfId="0" applyFill="1" applyBorder="1" applyAlignment="1">
      <alignment horizontal="center" vertical="center" wrapText="1"/>
    </xf>
    <xf numFmtId="14" fontId="0" fillId="0" borderId="75" xfId="0" applyNumberFormat="1" applyFill="1" applyBorder="1" applyAlignment="1">
      <alignment horizontal="center" vertical="center" wrapText="1"/>
    </xf>
    <xf numFmtId="0" fontId="0" fillId="0" borderId="77" xfId="0" applyNumberFormat="1" applyFill="1" applyBorder="1"/>
    <xf numFmtId="164" fontId="0" fillId="0" borderId="78" xfId="0" applyFill="1" applyBorder="1" applyAlignment="1">
      <alignment wrapText="1"/>
    </xf>
    <xf numFmtId="0" fontId="0" fillId="93" borderId="75" xfId="0" applyNumberFormat="1" applyFill="1" applyBorder="1" applyAlignment="1">
      <alignment horizontal="center" vertical="center" wrapText="1"/>
    </xf>
    <xf numFmtId="0" fontId="0" fillId="93" borderId="76" xfId="0" applyNumberFormat="1" applyFill="1" applyBorder="1" applyAlignment="1">
      <alignment horizontal="center" vertical="center" wrapText="1"/>
    </xf>
    <xf numFmtId="0" fontId="0" fillId="0" borderId="75" xfId="0" applyNumberFormat="1" applyFill="1" applyBorder="1" applyAlignment="1" applyProtection="1">
      <alignment horizontal="center" vertical="center" wrapText="1"/>
      <protection locked="0"/>
    </xf>
    <xf numFmtId="164" fontId="0" fillId="0" borderId="75" xfId="0" applyFill="1" applyBorder="1" applyAlignment="1" applyProtection="1">
      <alignment horizontal="center" vertical="center" wrapText="1"/>
      <protection locked="0"/>
    </xf>
    <xf numFmtId="0" fontId="0" fillId="0" borderId="79" xfId="0" applyNumberFormat="1" applyFill="1" applyBorder="1" applyProtection="1">
      <protection locked="0"/>
    </xf>
    <xf numFmtId="164" fontId="0" fillId="0" borderId="73" xfId="0" applyFill="1" applyBorder="1" applyProtection="1">
      <protection locked="0"/>
    </xf>
    <xf numFmtId="14" fontId="0" fillId="0" borderId="73" xfId="0" applyNumberFormat="1" applyFill="1" applyBorder="1" applyProtection="1">
      <protection locked="0"/>
    </xf>
    <xf numFmtId="300" fontId="0" fillId="0" borderId="73" xfId="0" applyNumberFormat="1" applyFill="1" applyBorder="1" applyProtection="1">
      <protection locked="0"/>
    </xf>
    <xf numFmtId="300" fontId="0" fillId="0" borderId="73" xfId="0" applyNumberFormat="1" applyFill="1" applyBorder="1" applyAlignment="1" applyProtection="1">
      <alignment wrapText="1"/>
      <protection locked="0"/>
    </xf>
    <xf numFmtId="303" fontId="0" fillId="0" borderId="73" xfId="0" applyNumberFormat="1" applyFill="1" applyBorder="1" applyAlignment="1" applyProtection="1">
      <alignment wrapText="1"/>
      <protection locked="0"/>
    </xf>
    <xf numFmtId="164" fontId="0" fillId="0" borderId="80" xfId="0" applyFill="1" applyBorder="1" applyProtection="1">
      <protection locked="0"/>
    </xf>
    <xf numFmtId="0" fontId="0" fillId="91" borderId="75" xfId="0" applyNumberFormat="1" applyFill="1" applyBorder="1" applyAlignment="1" applyProtection="1">
      <alignment horizontal="center" vertical="center" wrapText="1"/>
      <protection locked="0"/>
    </xf>
    <xf numFmtId="164" fontId="0" fillId="91" borderId="75" xfId="0" applyFill="1" applyBorder="1" applyAlignment="1" applyProtection="1">
      <alignment horizontal="center" vertical="center" wrapText="1"/>
      <protection locked="0"/>
    </xf>
    <xf numFmtId="164" fontId="0" fillId="91" borderId="76" xfId="0" applyFill="1" applyBorder="1" applyAlignment="1" applyProtection="1">
      <alignment horizontal="center" vertical="center" wrapText="1"/>
      <protection locked="0"/>
    </xf>
    <xf numFmtId="0" fontId="0" fillId="0" borderId="74" xfId="0" applyNumberFormat="1" applyFill="1" applyBorder="1" applyAlignment="1" applyProtection="1">
      <alignment horizontal="center" vertical="center" wrapText="1"/>
      <protection locked="0"/>
    </xf>
    <xf numFmtId="14" fontId="0" fillId="0" borderId="75" xfId="0" applyNumberFormat="1" applyFill="1" applyBorder="1" applyAlignment="1" applyProtection="1">
      <alignment horizontal="center" vertical="center" wrapText="1"/>
      <protection locked="0"/>
    </xf>
    <xf numFmtId="164" fontId="254" fillId="0" borderId="0" xfId="0" applyFont="1" applyFill="1" applyBorder="1" applyProtection="1"/>
    <xf numFmtId="0" fontId="254" fillId="0" borderId="0" xfId="0" applyNumberFormat="1" applyFont="1" applyFill="1" applyBorder="1" applyProtection="1"/>
    <xf numFmtId="0" fontId="0" fillId="0" borderId="0" xfId="0" applyNumberFormat="1" applyFill="1" applyProtection="1"/>
    <xf numFmtId="164" fontId="0" fillId="0" borderId="0" xfId="0" applyFill="1" applyAlignment="1" applyProtection="1">
      <alignment horizontal="center" vertical="center" wrapText="1"/>
    </xf>
    <xf numFmtId="0" fontId="0" fillId="0" borderId="84" xfId="0" applyNumberFormat="1" applyFill="1" applyBorder="1" applyProtection="1">
      <protection locked="0"/>
    </xf>
    <xf numFmtId="164" fontId="0" fillId="0" borderId="85" xfId="0" applyFill="1" applyBorder="1" applyProtection="1">
      <protection locked="0"/>
    </xf>
    <xf numFmtId="14" fontId="0" fillId="0" borderId="85" xfId="0" applyNumberFormat="1" applyFill="1" applyBorder="1" applyProtection="1">
      <protection locked="0"/>
    </xf>
    <xf numFmtId="302" fontId="0" fillId="0" borderId="85" xfId="0" applyNumberFormat="1" applyFill="1" applyBorder="1" applyProtection="1">
      <protection locked="0"/>
    </xf>
    <xf numFmtId="302" fontId="0" fillId="0" borderId="85" xfId="0" applyNumberFormat="1" applyFill="1" applyBorder="1" applyAlignment="1" applyProtection="1">
      <alignment wrapText="1"/>
      <protection locked="0"/>
    </xf>
    <xf numFmtId="164" fontId="0" fillId="0" borderId="82" xfId="0" applyFill="1" applyBorder="1" applyProtection="1">
      <protection locked="0"/>
    </xf>
    <xf numFmtId="0" fontId="0" fillId="87" borderId="75" xfId="0" applyNumberFormat="1" applyFill="1" applyBorder="1" applyAlignment="1" applyProtection="1">
      <alignment horizontal="center" vertical="center" wrapText="1"/>
      <protection locked="0"/>
    </xf>
    <xf numFmtId="164" fontId="0" fillId="87" borderId="75" xfId="0" applyFill="1" applyBorder="1" applyAlignment="1" applyProtection="1">
      <alignment horizontal="center" vertical="center" wrapText="1"/>
      <protection locked="0"/>
    </xf>
    <xf numFmtId="164" fontId="0" fillId="87" borderId="76" xfId="0" applyFill="1" applyBorder="1" applyAlignment="1" applyProtection="1">
      <alignment horizontal="center" vertical="center" wrapText="1"/>
      <protection locked="0"/>
    </xf>
    <xf numFmtId="0" fontId="0" fillId="89" borderId="75" xfId="0" applyNumberFormat="1" applyFill="1" applyBorder="1" applyAlignment="1" applyProtection="1">
      <alignment horizontal="center" vertical="center" wrapText="1"/>
      <protection locked="0"/>
    </xf>
    <xf numFmtId="0" fontId="0" fillId="89" borderId="76" xfId="0" applyNumberFormat="1" applyFill="1" applyBorder="1" applyAlignment="1" applyProtection="1">
      <alignment horizontal="center" vertical="center" wrapText="1"/>
      <protection locked="0"/>
    </xf>
    <xf numFmtId="301" fontId="0" fillId="0" borderId="85" xfId="0" applyNumberFormat="1" applyFill="1" applyBorder="1" applyProtection="1">
      <protection locked="0"/>
    </xf>
    <xf numFmtId="301" fontId="0" fillId="0" borderId="85" xfId="0" applyNumberFormat="1" applyFill="1" applyBorder="1" applyAlignment="1" applyProtection="1">
      <alignment wrapText="1"/>
      <protection locked="0"/>
    </xf>
    <xf numFmtId="302" fontId="0" fillId="0" borderId="82" xfId="0" applyNumberFormat="1" applyFill="1" applyBorder="1" applyAlignment="1" applyProtection="1">
      <alignment wrapText="1"/>
      <protection locked="0"/>
    </xf>
    <xf numFmtId="0" fontId="0" fillId="88" borderId="75" xfId="0" applyNumberFormat="1" applyFill="1" applyBorder="1" applyAlignment="1" applyProtection="1">
      <alignment horizontal="center" vertical="center" wrapText="1"/>
      <protection locked="0"/>
    </xf>
    <xf numFmtId="0" fontId="0" fillId="88" borderId="76" xfId="0" applyNumberFormat="1" applyFill="1" applyBorder="1" applyAlignment="1" applyProtection="1">
      <alignment horizontal="center" vertical="center" wrapText="1"/>
      <protection locked="0"/>
    </xf>
    <xf numFmtId="0" fontId="0" fillId="0" borderId="84" xfId="0" applyNumberFormat="1" applyFill="1" applyBorder="1"/>
    <xf numFmtId="164" fontId="0" fillId="0" borderId="85" xfId="0" applyFill="1" applyBorder="1"/>
    <xf numFmtId="14" fontId="0" fillId="0" borderId="85" xfId="0" applyNumberFormat="1" applyFill="1" applyBorder="1"/>
    <xf numFmtId="0" fontId="0" fillId="0" borderId="85" xfId="0" applyNumberFormat="1" applyFill="1" applyBorder="1"/>
    <xf numFmtId="164" fontId="0" fillId="0" borderId="82" xfId="0" applyFill="1" applyBorder="1" applyAlignment="1">
      <alignment wrapText="1"/>
    </xf>
    <xf numFmtId="164" fontId="259" fillId="94" borderId="72" xfId="0" applyFont="1" applyFill="1" applyBorder="1" applyAlignment="1">
      <alignment horizontal="left" vertical="center" textRotation="90" wrapText="1"/>
    </xf>
    <xf numFmtId="0" fontId="0" fillId="94" borderId="75" xfId="0" applyNumberFormat="1" applyFill="1" applyBorder="1" applyAlignment="1">
      <alignment horizontal="center" vertical="center" wrapText="1"/>
    </xf>
    <xf numFmtId="0" fontId="0" fillId="94" borderId="76" xfId="0" applyNumberFormat="1" applyFill="1" applyBorder="1" applyAlignment="1">
      <alignment horizontal="center" vertical="center" wrapText="1"/>
    </xf>
    <xf numFmtId="0" fontId="0" fillId="88" borderId="72" xfId="0" applyNumberFormat="1" applyFill="1" applyBorder="1" applyAlignment="1" applyProtection="1">
      <alignment horizontal="center" vertical="center" wrapText="1"/>
      <protection locked="0"/>
    </xf>
    <xf numFmtId="164" fontId="0" fillId="88" borderId="72" xfId="0" applyFill="1" applyBorder="1" applyAlignment="1">
      <alignment horizontal="center" vertical="center" wrapText="1"/>
    </xf>
    <xf numFmtId="164" fontId="0" fillId="94" borderId="72" xfId="0" applyFill="1" applyBorder="1" applyAlignment="1">
      <alignment horizontal="center" vertical="center" wrapText="1"/>
    </xf>
    <xf numFmtId="164" fontId="254" fillId="91" borderId="83" xfId="0" applyFont="1" applyFill="1" applyBorder="1" applyProtection="1"/>
    <xf numFmtId="14" fontId="254" fillId="91" borderId="83" xfId="0" applyNumberFormat="1" applyFont="1" applyFill="1" applyBorder="1"/>
    <xf numFmtId="14" fontId="0" fillId="90" borderId="81" xfId="0" applyNumberFormat="1" applyFill="1" applyBorder="1"/>
    <xf numFmtId="0" fontId="0" fillId="0" borderId="75" xfId="0" applyNumberFormat="1" applyFill="1" applyBorder="1" applyAlignment="1">
      <alignment horizontal="center" vertical="center" wrapText="1"/>
    </xf>
    <xf numFmtId="0" fontId="0" fillId="0" borderId="72" xfId="0" applyNumberFormat="1" applyFont="1" applyFill="1" applyBorder="1"/>
    <xf numFmtId="0" fontId="254" fillId="91" borderId="83" xfId="0" applyNumberFormat="1" applyFont="1" applyFill="1" applyBorder="1" applyProtection="1"/>
    <xf numFmtId="0" fontId="0" fillId="90" borderId="81" xfId="0" applyNumberFormat="1" applyFill="1" applyBorder="1" applyProtection="1"/>
    <xf numFmtId="300" fontId="0" fillId="0" borderId="85" xfId="0" applyNumberFormat="1" applyFill="1" applyBorder="1" applyProtection="1">
      <protection locked="0"/>
    </xf>
    <xf numFmtId="14" fontId="254" fillId="91" borderId="83" xfId="0" applyNumberFormat="1" applyFont="1" applyFill="1" applyBorder="1" applyProtection="1"/>
    <xf numFmtId="14" fontId="0" fillId="90" borderId="81" xfId="0" applyNumberFormat="1" applyFill="1" applyBorder="1" applyProtection="1"/>
    <xf numFmtId="164" fontId="254" fillId="0" borderId="0" xfId="0" applyFont="1" applyFill="1" applyProtection="1"/>
    <xf numFmtId="14" fontId="0" fillId="0" borderId="0" xfId="0" applyNumberFormat="1" applyFill="1" applyBorder="1" applyProtection="1"/>
    <xf numFmtId="164" fontId="254" fillId="89" borderId="0" xfId="0" applyFont="1" applyFill="1" applyBorder="1" applyProtection="1"/>
    <xf numFmtId="164" fontId="198" fillId="95" borderId="0" xfId="0" applyFont="1" applyFill="1"/>
    <xf numFmtId="49" fontId="0" fillId="0" borderId="0" xfId="0" applyNumberFormat="1" applyFont="1" applyFill="1"/>
    <xf numFmtId="164" fontId="255" fillId="0" borderId="50" xfId="0" applyFont="1" applyFill="1" applyBorder="1" applyAlignment="1" applyProtection="1">
      <alignment horizontal="center"/>
    </xf>
    <xf numFmtId="164" fontId="255" fillId="0" borderId="0" xfId="0" applyFont="1" applyFill="1" applyBorder="1" applyAlignment="1" applyProtection="1">
      <alignment horizontal="center"/>
    </xf>
    <xf numFmtId="164" fontId="257" fillId="0" borderId="50" xfId="0" applyFont="1" applyBorder="1" applyAlignment="1">
      <alignment horizontal="left"/>
    </xf>
    <xf numFmtId="164" fontId="257" fillId="0" borderId="0" xfId="0" applyFont="1" applyBorder="1" applyAlignment="1">
      <alignment horizontal="left"/>
    </xf>
    <xf numFmtId="164" fontId="257" fillId="0" borderId="50" xfId="0" applyFont="1" applyBorder="1" applyAlignment="1" applyProtection="1">
      <alignment horizontal="left"/>
    </xf>
    <xf numFmtId="164" fontId="257" fillId="0" borderId="0" xfId="0" applyFont="1" applyBorder="1" applyAlignment="1" applyProtection="1">
      <alignment horizontal="left"/>
    </xf>
    <xf numFmtId="164" fontId="254" fillId="0" borderId="0" xfId="0" applyFont="1" applyFill="1" applyBorder="1"/>
    <xf numFmtId="164" fontId="254" fillId="0" borderId="0" xfId="0" applyFont="1" applyFill="1"/>
    <xf numFmtId="0" fontId="254" fillId="0" borderId="0" xfId="0" applyNumberFormat="1" applyFont="1" applyFill="1" applyBorder="1"/>
    <xf numFmtId="0" fontId="254" fillId="0" borderId="0" xfId="0" applyNumberFormat="1" applyFont="1" applyFill="1"/>
    <xf numFmtId="164" fontId="0" fillId="0" borderId="0" xfId="0" applyFill="1" applyBorder="1"/>
    <xf numFmtId="164" fontId="0" fillId="0" borderId="0" xfId="0" applyFill="1"/>
    <xf numFmtId="0" fontId="0" fillId="0" borderId="0" xfId="0" applyNumberFormat="1" applyFill="1" applyBorder="1"/>
    <xf numFmtId="0" fontId="0" fillId="0" borderId="0" xfId="0" applyNumberFormat="1" applyFill="1"/>
    <xf numFmtId="164" fontId="0" fillId="0" borderId="0" xfId="0" applyFill="1" applyAlignment="1">
      <alignment horizontal="center" vertical="center" wrapText="1"/>
    </xf>
  </cellXfs>
  <cellStyles count="33833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56840000}"/>
    <cellStyle name="Normal 25" xfId="23322" xr:uid="{00000000-0005-0000-0000-00001E5B0000}"/>
    <cellStyle name="Normal 25 2" xfId="23323" xr:uid="{00000000-0005-0000-0000-00001F5B0000}"/>
    <cellStyle name="Normal 26" xfId="23324" xr:uid="{00000000-0005-0000-0000-0000205B0000}"/>
    <cellStyle name="Normal 26 2" xfId="23325" xr:uid="{00000000-0005-0000-0000-0000215B0000}"/>
    <cellStyle name="Normal 26 2 2" xfId="23326" xr:uid="{00000000-0005-0000-0000-0000225B0000}"/>
    <cellStyle name="Normal 26 2 3" xfId="23327" xr:uid="{00000000-0005-0000-0000-0000235B0000}"/>
    <cellStyle name="Normal 26 3" xfId="23328" xr:uid="{00000000-0005-0000-0000-0000245B0000}"/>
    <cellStyle name="Normal 26 4" xfId="23329" xr:uid="{00000000-0005-0000-0000-0000255B0000}"/>
    <cellStyle name="Normal 266" xfId="23330" xr:uid="{00000000-0005-0000-0000-0000265B0000}"/>
    <cellStyle name="Normal 27" xfId="23331" xr:uid="{00000000-0005-0000-0000-0000275B0000}"/>
    <cellStyle name="Normal 27 2" xfId="23332" xr:uid="{00000000-0005-0000-0000-0000285B0000}"/>
    <cellStyle name="Normal 27 2 2" xfId="23333" xr:uid="{00000000-0005-0000-0000-0000295B0000}"/>
    <cellStyle name="Normal 27 3" xfId="23334" xr:uid="{00000000-0005-0000-0000-00002A5B0000}"/>
    <cellStyle name="Normal 28" xfId="23335" xr:uid="{00000000-0005-0000-0000-00002B5B0000}"/>
    <cellStyle name="Normal 28 2" xfId="23336" xr:uid="{00000000-0005-0000-0000-00002C5B0000}"/>
    <cellStyle name="Normal 29" xfId="23337" xr:uid="{00000000-0005-0000-0000-00002D5B0000}"/>
    <cellStyle name="Normal 29 2" xfId="23338" xr:uid="{00000000-0005-0000-0000-00002E5B0000}"/>
    <cellStyle name="Normal 29 2 2" xfId="23339" xr:uid="{00000000-0005-0000-0000-00002F5B0000}"/>
    <cellStyle name="Normal 29 3" xfId="23340" xr:uid="{00000000-0005-0000-0000-0000305B0000}"/>
    <cellStyle name="Normal 3" xfId="23341" xr:uid="{00000000-0005-0000-0000-0000315B0000}"/>
    <cellStyle name="Normal 3 10" xfId="23342" xr:uid="{00000000-0005-0000-0000-0000325B0000}"/>
    <cellStyle name="Normal 3 10 2" xfId="23343" xr:uid="{00000000-0005-0000-0000-0000335B0000}"/>
    <cellStyle name="Normal 3 11" xfId="23344" xr:uid="{00000000-0005-0000-0000-0000345B0000}"/>
    <cellStyle name="Normal 3 11 2" xfId="23345" xr:uid="{00000000-0005-0000-0000-0000355B0000}"/>
    <cellStyle name="Normal 3 12" xfId="23346" xr:uid="{00000000-0005-0000-0000-0000365B0000}"/>
    <cellStyle name="Normal 3 12 2" xfId="23347" xr:uid="{00000000-0005-0000-0000-0000375B0000}"/>
    <cellStyle name="Normal 3 13" xfId="23348" xr:uid="{00000000-0005-0000-0000-0000385B0000}"/>
    <cellStyle name="Normal 3 13 2" xfId="23349" xr:uid="{00000000-0005-0000-0000-0000395B0000}"/>
    <cellStyle name="Normal 3 14" xfId="23350" xr:uid="{00000000-0005-0000-0000-00003A5B0000}"/>
    <cellStyle name="Normal 3 14 2" xfId="23351" xr:uid="{00000000-0005-0000-0000-00003B5B0000}"/>
    <cellStyle name="Normal 3 15" xfId="23352" xr:uid="{00000000-0005-0000-0000-00003C5B0000}"/>
    <cellStyle name="Normal 3 15 2" xfId="23353" xr:uid="{00000000-0005-0000-0000-00003D5B0000}"/>
    <cellStyle name="Normal 3 16" xfId="23354" xr:uid="{00000000-0005-0000-0000-00003E5B0000}"/>
    <cellStyle name="Normal 3 16 2" xfId="23355" xr:uid="{00000000-0005-0000-0000-00003F5B0000}"/>
    <cellStyle name="Normal 3 17" xfId="23356" xr:uid="{00000000-0005-0000-0000-0000405B0000}"/>
    <cellStyle name="Normal 3 17 2" xfId="23357" xr:uid="{00000000-0005-0000-0000-0000415B0000}"/>
    <cellStyle name="Normal 3 18" xfId="23358" xr:uid="{00000000-0005-0000-0000-0000425B0000}"/>
    <cellStyle name="Normal 3 18 2" xfId="23359" xr:uid="{00000000-0005-0000-0000-0000435B0000}"/>
    <cellStyle name="Normal 3 19" xfId="23360" xr:uid="{00000000-0005-0000-0000-0000445B0000}"/>
    <cellStyle name="Normal 3 19 2" xfId="23361" xr:uid="{00000000-0005-0000-0000-0000455B0000}"/>
    <cellStyle name="Normal 3 2" xfId="23362" xr:uid="{00000000-0005-0000-0000-0000465B0000}"/>
    <cellStyle name="Normal 3 2 10" xfId="23363" xr:uid="{00000000-0005-0000-0000-0000475B0000}"/>
    <cellStyle name="Normal 3 2 10 2" xfId="23364" xr:uid="{00000000-0005-0000-0000-0000485B0000}"/>
    <cellStyle name="Normal 3 2 11" xfId="23365" xr:uid="{00000000-0005-0000-0000-0000495B0000}"/>
    <cellStyle name="Normal 3 2 11 2" xfId="23366" xr:uid="{00000000-0005-0000-0000-00004A5B0000}"/>
    <cellStyle name="Normal 3 2 12" xfId="23367" xr:uid="{00000000-0005-0000-0000-00004B5B0000}"/>
    <cellStyle name="Normal 3 2 12 2" xfId="23368" xr:uid="{00000000-0005-0000-0000-00004C5B0000}"/>
    <cellStyle name="Normal 3 2 13" xfId="23369" xr:uid="{00000000-0005-0000-0000-00004D5B0000}"/>
    <cellStyle name="Normal 3 2 13 2" xfId="23370" xr:uid="{00000000-0005-0000-0000-00004E5B0000}"/>
    <cellStyle name="Normal 3 2 14" xfId="23371" xr:uid="{00000000-0005-0000-0000-00004F5B0000}"/>
    <cellStyle name="Normal 3 2 14 2" xfId="23372" xr:uid="{00000000-0005-0000-0000-0000505B0000}"/>
    <cellStyle name="Normal 3 2 15" xfId="23373" xr:uid="{00000000-0005-0000-0000-0000515B0000}"/>
    <cellStyle name="Normal 3 2 15 2" xfId="23374" xr:uid="{00000000-0005-0000-0000-0000525B0000}"/>
    <cellStyle name="Normal 3 2 16" xfId="23375" xr:uid="{00000000-0005-0000-0000-0000535B0000}"/>
    <cellStyle name="Normal 3 2 16 2" xfId="23376" xr:uid="{00000000-0005-0000-0000-0000545B0000}"/>
    <cellStyle name="Normal 3 2 17" xfId="23377" xr:uid="{00000000-0005-0000-0000-0000555B0000}"/>
    <cellStyle name="Normal 3 2 17 2" xfId="23378" xr:uid="{00000000-0005-0000-0000-0000565B0000}"/>
    <cellStyle name="Normal 3 2 18" xfId="23379" xr:uid="{00000000-0005-0000-0000-0000575B0000}"/>
    <cellStyle name="Normal 3 2 18 2" xfId="23380" xr:uid="{00000000-0005-0000-0000-0000585B0000}"/>
    <cellStyle name="Normal 3 2 19" xfId="23381" xr:uid="{00000000-0005-0000-0000-0000595B0000}"/>
    <cellStyle name="Normal 3 2 19 2" xfId="23382" xr:uid="{00000000-0005-0000-0000-00005A5B0000}"/>
    <cellStyle name="Normal 3 2 2" xfId="23383" xr:uid="{00000000-0005-0000-0000-00005B5B0000}"/>
    <cellStyle name="Normal 3 2 2 2" xfId="23384" xr:uid="{00000000-0005-0000-0000-00005C5B0000}"/>
    <cellStyle name="Normal 3 2 2 2 2" xfId="23385" xr:uid="{00000000-0005-0000-0000-00005D5B0000}"/>
    <cellStyle name="Normal 3 2 2 3" xfId="23386" xr:uid="{00000000-0005-0000-0000-00005E5B0000}"/>
    <cellStyle name="Normal 3 2 20" xfId="23387" xr:uid="{00000000-0005-0000-0000-00005F5B0000}"/>
    <cellStyle name="Normal 3 2 21" xfId="23388" xr:uid="{00000000-0005-0000-0000-0000605B0000}"/>
    <cellStyle name="Normal 3 2 22" xfId="23389" xr:uid="{00000000-0005-0000-0000-0000615B0000}"/>
    <cellStyle name="Normal 3 2 23" xfId="23390" xr:uid="{00000000-0005-0000-0000-0000625B0000}"/>
    <cellStyle name="Normal 3 2 24" xfId="23391" xr:uid="{00000000-0005-0000-0000-0000635B0000}"/>
    <cellStyle name="Normal 3 2 25" xfId="23392" xr:uid="{00000000-0005-0000-0000-0000645B0000}"/>
    <cellStyle name="Normal 3 2 26" xfId="23393" xr:uid="{00000000-0005-0000-0000-0000655B0000}"/>
    <cellStyle name="Normal 3 2 27" xfId="23394" xr:uid="{00000000-0005-0000-0000-0000665B0000}"/>
    <cellStyle name="Normal 3 2 28" xfId="23395" xr:uid="{00000000-0005-0000-0000-0000675B0000}"/>
    <cellStyle name="Normal 3 2 29" xfId="23396" xr:uid="{00000000-0005-0000-0000-0000685B0000}"/>
    <cellStyle name="Normal 3 2 3" xfId="23397" xr:uid="{00000000-0005-0000-0000-0000695B0000}"/>
    <cellStyle name="Normal 3 2 3 2" xfId="23398" xr:uid="{00000000-0005-0000-0000-00006A5B0000}"/>
    <cellStyle name="Normal 3 2 30" xfId="23399" xr:uid="{00000000-0005-0000-0000-00006B5B0000}"/>
    <cellStyle name="Normal 3 2 31" xfId="23400" xr:uid="{00000000-0005-0000-0000-00006C5B0000}"/>
    <cellStyle name="Normal 3 2 32" xfId="23401" xr:uid="{00000000-0005-0000-0000-00006D5B0000}"/>
    <cellStyle name="Normal 3 2 33" xfId="23402" xr:uid="{00000000-0005-0000-0000-00006E5B0000}"/>
    <cellStyle name="Normal 3 2 34" xfId="23403" xr:uid="{00000000-0005-0000-0000-00006F5B0000}"/>
    <cellStyle name="Normal 3 2 35" xfId="23404" xr:uid="{00000000-0005-0000-0000-0000705B0000}"/>
    <cellStyle name="Normal 3 2 36" xfId="23405" xr:uid="{00000000-0005-0000-0000-0000715B0000}"/>
    <cellStyle name="Normal 3 2 37" xfId="23406" xr:uid="{00000000-0005-0000-0000-0000725B0000}"/>
    <cellStyle name="Normal 3 2 38" xfId="23407" xr:uid="{00000000-0005-0000-0000-0000735B0000}"/>
    <cellStyle name="Normal 3 2 39" xfId="23408" xr:uid="{00000000-0005-0000-0000-0000745B0000}"/>
    <cellStyle name="Normal 3 2 4" xfId="23409" xr:uid="{00000000-0005-0000-0000-0000755B0000}"/>
    <cellStyle name="Normal 3 2 4 2" xfId="23410" xr:uid="{00000000-0005-0000-0000-0000765B0000}"/>
    <cellStyle name="Normal 3 2 40" xfId="23411" xr:uid="{00000000-0005-0000-0000-0000775B0000}"/>
    <cellStyle name="Normal 3 2 41" xfId="23412" xr:uid="{00000000-0005-0000-0000-0000785B0000}"/>
    <cellStyle name="Normal 3 2 42" xfId="23413" xr:uid="{00000000-0005-0000-0000-0000795B0000}"/>
    <cellStyle name="Normal 3 2 43" xfId="23414" xr:uid="{00000000-0005-0000-0000-00007A5B0000}"/>
    <cellStyle name="Normal 3 2 44" xfId="23415" xr:uid="{00000000-0005-0000-0000-00007B5B0000}"/>
    <cellStyle name="Normal 3 2 45" xfId="23416" xr:uid="{00000000-0005-0000-0000-00007C5B0000}"/>
    <cellStyle name="Normal 3 2 46" xfId="23417" xr:uid="{00000000-0005-0000-0000-00007D5B0000}"/>
    <cellStyle name="Normal 3 2 47" xfId="23418" xr:uid="{00000000-0005-0000-0000-00007E5B0000}"/>
    <cellStyle name="Normal 3 2 48" xfId="23419" xr:uid="{00000000-0005-0000-0000-00007F5B0000}"/>
    <cellStyle name="Normal 3 2 49" xfId="23420" xr:uid="{00000000-0005-0000-0000-0000805B0000}"/>
    <cellStyle name="Normal 3 2 5" xfId="23421" xr:uid="{00000000-0005-0000-0000-0000815B0000}"/>
    <cellStyle name="Normal 3 2 5 2" xfId="23422" xr:uid="{00000000-0005-0000-0000-0000825B0000}"/>
    <cellStyle name="Normal 3 2 50" xfId="23423" xr:uid="{00000000-0005-0000-0000-0000835B0000}"/>
    <cellStyle name="Normal 3 2 51" xfId="23424" xr:uid="{00000000-0005-0000-0000-0000845B0000}"/>
    <cellStyle name="Normal 3 2 52" xfId="23425" xr:uid="{00000000-0005-0000-0000-0000855B0000}"/>
    <cellStyle name="Normal 3 2 53" xfId="23426" xr:uid="{00000000-0005-0000-0000-0000865B0000}"/>
    <cellStyle name="Normal 3 2 54" xfId="23427" xr:uid="{00000000-0005-0000-0000-0000875B0000}"/>
    <cellStyle name="Normal 3 2 55" xfId="23428" xr:uid="{00000000-0005-0000-0000-0000885B0000}"/>
    <cellStyle name="Normal 3 2 56" xfId="23429" xr:uid="{00000000-0005-0000-0000-0000895B0000}"/>
    <cellStyle name="Normal 3 2 57" xfId="23430" xr:uid="{00000000-0005-0000-0000-00008A5B0000}"/>
    <cellStyle name="Normal 3 2 58" xfId="23431" xr:uid="{00000000-0005-0000-0000-00008B5B0000}"/>
    <cellStyle name="Normal 3 2 59" xfId="23432" xr:uid="{00000000-0005-0000-0000-00008C5B0000}"/>
    <cellStyle name="Normal 3 2 6" xfId="23433" xr:uid="{00000000-0005-0000-0000-00008D5B0000}"/>
    <cellStyle name="Normal 3 2 6 2" xfId="23434" xr:uid="{00000000-0005-0000-0000-00008E5B0000}"/>
    <cellStyle name="Normal 3 2 60" xfId="23435" xr:uid="{00000000-0005-0000-0000-00008F5B0000}"/>
    <cellStyle name="Normal 3 2 61" xfId="23436" xr:uid="{00000000-0005-0000-0000-0000905B0000}"/>
    <cellStyle name="Normal 3 2 62" xfId="23437" xr:uid="{00000000-0005-0000-0000-0000915B0000}"/>
    <cellStyle name="Normal 3 2 63" xfId="23438" xr:uid="{00000000-0005-0000-0000-0000925B0000}"/>
    <cellStyle name="Normal 3 2 64" xfId="23439" xr:uid="{00000000-0005-0000-0000-0000935B0000}"/>
    <cellStyle name="Normal 3 2 65" xfId="23440" xr:uid="{00000000-0005-0000-0000-0000945B0000}"/>
    <cellStyle name="Normal 3 2 66" xfId="23441" xr:uid="{00000000-0005-0000-0000-0000955B0000}"/>
    <cellStyle name="Normal 3 2 67" xfId="23442" xr:uid="{00000000-0005-0000-0000-0000965B0000}"/>
    <cellStyle name="Normal 3 2 68" xfId="23443" xr:uid="{00000000-0005-0000-0000-0000975B0000}"/>
    <cellStyle name="Normal 3 2 69" xfId="23444" xr:uid="{00000000-0005-0000-0000-0000985B0000}"/>
    <cellStyle name="Normal 3 2 7" xfId="23445" xr:uid="{00000000-0005-0000-0000-0000995B0000}"/>
    <cellStyle name="Normal 3 2 7 2" xfId="23446" xr:uid="{00000000-0005-0000-0000-00009A5B0000}"/>
    <cellStyle name="Normal 3 2 70" xfId="23447" xr:uid="{00000000-0005-0000-0000-00009B5B0000}"/>
    <cellStyle name="Normal 3 2 71" xfId="23448" xr:uid="{00000000-0005-0000-0000-00009C5B0000}"/>
    <cellStyle name="Normal 3 2 72" xfId="23449" xr:uid="{00000000-0005-0000-0000-00009D5B0000}"/>
    <cellStyle name="Normal 3 2 8" xfId="23450" xr:uid="{00000000-0005-0000-0000-00009E5B0000}"/>
    <cellStyle name="Normal 3 2 8 2" xfId="23451" xr:uid="{00000000-0005-0000-0000-00009F5B0000}"/>
    <cellStyle name="Normal 3 2 9" xfId="23452" xr:uid="{00000000-0005-0000-0000-0000A05B0000}"/>
    <cellStyle name="Normal 3 2 9 2" xfId="23453" xr:uid="{00000000-0005-0000-0000-0000A15B0000}"/>
    <cellStyle name="Normal 3 20" xfId="23454" xr:uid="{00000000-0005-0000-0000-0000A25B0000}"/>
    <cellStyle name="Normal 3 20 2" xfId="23455" xr:uid="{00000000-0005-0000-0000-0000A35B0000}"/>
    <cellStyle name="Normal 3 21" xfId="23456" xr:uid="{00000000-0005-0000-0000-0000A45B0000}"/>
    <cellStyle name="Normal 3 21 2" xfId="23457" xr:uid="{00000000-0005-0000-0000-0000A55B0000}"/>
    <cellStyle name="Normal 3 22" xfId="23458" xr:uid="{00000000-0005-0000-0000-0000A65B0000}"/>
    <cellStyle name="Normal 3 22 2" xfId="23459" xr:uid="{00000000-0005-0000-0000-0000A75B0000}"/>
    <cellStyle name="Normal 3 23" xfId="23460" xr:uid="{00000000-0005-0000-0000-0000A85B0000}"/>
    <cellStyle name="Normal 3 23 2" xfId="23461" xr:uid="{00000000-0005-0000-0000-0000A95B0000}"/>
    <cellStyle name="Normal 3 24" xfId="23462" xr:uid="{00000000-0005-0000-0000-0000AA5B0000}"/>
    <cellStyle name="Normal 3 24 2" xfId="23463" xr:uid="{00000000-0005-0000-0000-0000AB5B0000}"/>
    <cellStyle name="Normal 3 25" xfId="23464" xr:uid="{00000000-0005-0000-0000-0000AC5B0000}"/>
    <cellStyle name="Normal 3 25 2" xfId="23465" xr:uid="{00000000-0005-0000-0000-0000AD5B0000}"/>
    <cellStyle name="Normal 3 26" xfId="23466" xr:uid="{00000000-0005-0000-0000-0000AE5B0000}"/>
    <cellStyle name="Normal 3 26 2" xfId="23467" xr:uid="{00000000-0005-0000-0000-0000AF5B0000}"/>
    <cellStyle name="Normal 3 27" xfId="23468" xr:uid="{00000000-0005-0000-0000-0000B05B0000}"/>
    <cellStyle name="Normal 3 27 2" xfId="23469" xr:uid="{00000000-0005-0000-0000-0000B15B0000}"/>
    <cellStyle name="Normal 3 28" xfId="23470" xr:uid="{00000000-0005-0000-0000-0000B25B0000}"/>
    <cellStyle name="Normal 3 28 2" xfId="23471" xr:uid="{00000000-0005-0000-0000-0000B35B0000}"/>
    <cellStyle name="Normal 3 29" xfId="23472" xr:uid="{00000000-0005-0000-0000-0000B45B0000}"/>
    <cellStyle name="Normal 3 29 2" xfId="23473" xr:uid="{00000000-0005-0000-0000-0000B55B0000}"/>
    <cellStyle name="Normal 3 3" xfId="23474" xr:uid="{00000000-0005-0000-0000-0000B65B0000}"/>
    <cellStyle name="Normal 3 3 2" xfId="23475" xr:uid="{00000000-0005-0000-0000-0000B75B0000}"/>
    <cellStyle name="Normal 3 3 2 2" xfId="23476" xr:uid="{00000000-0005-0000-0000-0000B85B0000}"/>
    <cellStyle name="Normal 3 3 2 2 2" xfId="23477" xr:uid="{00000000-0005-0000-0000-0000B95B0000}"/>
    <cellStyle name="Normal 3 3 2 3" xfId="23478" xr:uid="{00000000-0005-0000-0000-0000BA5B0000}"/>
    <cellStyle name="Normal 3 3 3" xfId="23479" xr:uid="{00000000-0005-0000-0000-0000BB5B0000}"/>
    <cellStyle name="Normal 3 3 3 2" xfId="23480" xr:uid="{00000000-0005-0000-0000-0000BC5B0000}"/>
    <cellStyle name="Normal 3 3 4" xfId="23481" xr:uid="{00000000-0005-0000-0000-0000BD5B0000}"/>
    <cellStyle name="Normal 3 3 4 2" xfId="23482" xr:uid="{00000000-0005-0000-0000-0000BE5B0000}"/>
    <cellStyle name="Normal 3 3 5" xfId="23483" xr:uid="{00000000-0005-0000-0000-0000BF5B0000}"/>
    <cellStyle name="Normal 3 30" xfId="23484" xr:uid="{00000000-0005-0000-0000-0000C05B0000}"/>
    <cellStyle name="Normal 3 30 2" xfId="23485" xr:uid="{00000000-0005-0000-0000-0000C15B0000}"/>
    <cellStyle name="Normal 3 31" xfId="23486" xr:uid="{00000000-0005-0000-0000-0000C25B0000}"/>
    <cellStyle name="Normal 3 31 2" xfId="23487" xr:uid="{00000000-0005-0000-0000-0000C35B0000}"/>
    <cellStyle name="Normal 3 32" xfId="23488" xr:uid="{00000000-0005-0000-0000-0000C45B0000}"/>
    <cellStyle name="Normal 3 32 2" xfId="23489" xr:uid="{00000000-0005-0000-0000-0000C55B0000}"/>
    <cellStyle name="Normal 3 33" xfId="23490" xr:uid="{00000000-0005-0000-0000-0000C65B0000}"/>
    <cellStyle name="Normal 3 33 2" xfId="23491" xr:uid="{00000000-0005-0000-0000-0000C75B0000}"/>
    <cellStyle name="Normal 3 34" xfId="23492" xr:uid="{00000000-0005-0000-0000-0000C85B0000}"/>
    <cellStyle name="Normal 3 34 2" xfId="23493" xr:uid="{00000000-0005-0000-0000-0000C95B0000}"/>
    <cellStyle name="Normal 3 35" xfId="23494" xr:uid="{00000000-0005-0000-0000-0000CA5B0000}"/>
    <cellStyle name="Normal 3 35 2" xfId="23495" xr:uid="{00000000-0005-0000-0000-0000CB5B0000}"/>
    <cellStyle name="Normal 3 36" xfId="23496" xr:uid="{00000000-0005-0000-0000-0000CC5B0000}"/>
    <cellStyle name="Normal 3 36 2" xfId="23497" xr:uid="{00000000-0005-0000-0000-0000CD5B0000}"/>
    <cellStyle name="Normal 3 37" xfId="23498" xr:uid="{00000000-0005-0000-0000-0000CE5B0000}"/>
    <cellStyle name="Normal 3 37 2" xfId="23499" xr:uid="{00000000-0005-0000-0000-0000CF5B0000}"/>
    <cellStyle name="Normal 3 38" xfId="23500" xr:uid="{00000000-0005-0000-0000-0000D05B0000}"/>
    <cellStyle name="Normal 3 38 2" xfId="23501" xr:uid="{00000000-0005-0000-0000-0000D15B0000}"/>
    <cellStyle name="Normal 3 39" xfId="23502" xr:uid="{00000000-0005-0000-0000-0000D25B0000}"/>
    <cellStyle name="Normal 3 39 2" xfId="23503" xr:uid="{00000000-0005-0000-0000-0000D35B0000}"/>
    <cellStyle name="Normal 3 4" xfId="23504" xr:uid="{00000000-0005-0000-0000-0000D45B0000}"/>
    <cellStyle name="Normal 3 4 2" xfId="23505" xr:uid="{00000000-0005-0000-0000-0000D55B0000}"/>
    <cellStyle name="Normal 3 4 2 2" xfId="23506" xr:uid="{00000000-0005-0000-0000-0000D65B0000}"/>
    <cellStyle name="Normal 3 4 2 2 2" xfId="23507" xr:uid="{00000000-0005-0000-0000-0000D75B0000}"/>
    <cellStyle name="Normal 3 4 2 3" xfId="23508" xr:uid="{00000000-0005-0000-0000-0000D85B0000}"/>
    <cellStyle name="Normal 3 4 3" xfId="23509" xr:uid="{00000000-0005-0000-0000-0000D95B0000}"/>
    <cellStyle name="Normal 3 4 3 2" xfId="23510" xr:uid="{00000000-0005-0000-0000-0000DA5B0000}"/>
    <cellStyle name="Normal 3 4 4" xfId="23511" xr:uid="{00000000-0005-0000-0000-0000DB5B0000}"/>
    <cellStyle name="Normal 3 4 4 2" xfId="23512" xr:uid="{00000000-0005-0000-0000-0000DC5B0000}"/>
    <cellStyle name="Normal 3 4 5" xfId="23513" xr:uid="{00000000-0005-0000-0000-0000DD5B0000}"/>
    <cellStyle name="Normal 3 40" xfId="23514" xr:uid="{00000000-0005-0000-0000-0000DE5B0000}"/>
    <cellStyle name="Normal 3 40 2" xfId="23515" xr:uid="{00000000-0005-0000-0000-0000DF5B0000}"/>
    <cellStyle name="Normal 3 41" xfId="23516" xr:uid="{00000000-0005-0000-0000-0000E05B0000}"/>
    <cellStyle name="Normal 3 41 2" xfId="23517" xr:uid="{00000000-0005-0000-0000-0000E15B0000}"/>
    <cellStyle name="Normal 3 42" xfId="23518" xr:uid="{00000000-0005-0000-0000-0000E25B0000}"/>
    <cellStyle name="Normal 3 42 2" xfId="23519" xr:uid="{00000000-0005-0000-0000-0000E35B0000}"/>
    <cellStyle name="Normal 3 43" xfId="23520" xr:uid="{00000000-0005-0000-0000-0000E45B0000}"/>
    <cellStyle name="Normal 3 43 2" xfId="23521" xr:uid="{00000000-0005-0000-0000-0000E55B0000}"/>
    <cellStyle name="Normal 3 44" xfId="23522" xr:uid="{00000000-0005-0000-0000-0000E65B0000}"/>
    <cellStyle name="Normal 3 44 2" xfId="23523" xr:uid="{00000000-0005-0000-0000-0000E75B0000}"/>
    <cellStyle name="Normal 3 45" xfId="23524" xr:uid="{00000000-0005-0000-0000-0000E85B0000}"/>
    <cellStyle name="Normal 3 45 2" xfId="23525" xr:uid="{00000000-0005-0000-0000-0000E95B0000}"/>
    <cellStyle name="Normal 3 46" xfId="23526" xr:uid="{00000000-0005-0000-0000-0000EA5B0000}"/>
    <cellStyle name="Normal 3 46 2" xfId="23527" xr:uid="{00000000-0005-0000-0000-0000EB5B0000}"/>
    <cellStyle name="Normal 3 47" xfId="23528" xr:uid="{00000000-0005-0000-0000-0000EC5B0000}"/>
    <cellStyle name="Normal 3 47 2" xfId="23529" xr:uid="{00000000-0005-0000-0000-0000ED5B0000}"/>
    <cellStyle name="Normal 3 48" xfId="23530" xr:uid="{00000000-0005-0000-0000-0000EE5B0000}"/>
    <cellStyle name="Normal 3 48 2" xfId="23531" xr:uid="{00000000-0005-0000-0000-0000EF5B0000}"/>
    <cellStyle name="Normal 3 49" xfId="23532" xr:uid="{00000000-0005-0000-0000-0000F05B0000}"/>
    <cellStyle name="Normal 3 49 2" xfId="23533" xr:uid="{00000000-0005-0000-0000-0000F15B0000}"/>
    <cellStyle name="Normal 3 5" xfId="23534" xr:uid="{00000000-0005-0000-0000-0000F25B0000}"/>
    <cellStyle name="Normal 3 5 2" xfId="23535" xr:uid="{00000000-0005-0000-0000-0000F35B0000}"/>
    <cellStyle name="Normal 3 5 2 2" xfId="23536" xr:uid="{00000000-0005-0000-0000-0000F45B0000}"/>
    <cellStyle name="Normal 3 5 3" xfId="23537" xr:uid="{00000000-0005-0000-0000-0000F55B0000}"/>
    <cellStyle name="Normal 3 50" xfId="23538" xr:uid="{00000000-0005-0000-0000-0000F65B0000}"/>
    <cellStyle name="Normal 3 50 2" xfId="23539" xr:uid="{00000000-0005-0000-0000-0000F75B0000}"/>
    <cellStyle name="Normal 3 51" xfId="23540" xr:uid="{00000000-0005-0000-0000-0000F85B0000}"/>
    <cellStyle name="Normal 3 51 2" xfId="23541" xr:uid="{00000000-0005-0000-0000-0000F95B0000}"/>
    <cellStyle name="Normal 3 52" xfId="23542" xr:uid="{00000000-0005-0000-0000-0000FA5B0000}"/>
    <cellStyle name="Normal 3 52 2" xfId="23543" xr:uid="{00000000-0005-0000-0000-0000FB5B0000}"/>
    <cellStyle name="Normal 3 53" xfId="23544" xr:uid="{00000000-0005-0000-0000-0000FC5B0000}"/>
    <cellStyle name="Normal 3 53 2" xfId="23545" xr:uid="{00000000-0005-0000-0000-0000FD5B0000}"/>
    <cellStyle name="Normal 3 54" xfId="23546" xr:uid="{00000000-0005-0000-0000-0000FE5B0000}"/>
    <cellStyle name="Normal 3 54 2" xfId="23547" xr:uid="{00000000-0005-0000-0000-0000FF5B0000}"/>
    <cellStyle name="Normal 3 55" xfId="23548" xr:uid="{00000000-0005-0000-0000-0000005C0000}"/>
    <cellStyle name="Normal 3 55 2" xfId="23549" xr:uid="{00000000-0005-0000-0000-0000015C0000}"/>
    <cellStyle name="Normal 3 56" xfId="23550" xr:uid="{00000000-0005-0000-0000-0000025C0000}"/>
    <cellStyle name="Normal 3 56 2" xfId="23551" xr:uid="{00000000-0005-0000-0000-0000035C0000}"/>
    <cellStyle name="Normal 3 57" xfId="23552" xr:uid="{00000000-0005-0000-0000-0000045C0000}"/>
    <cellStyle name="Normal 3 57 2" xfId="23553" xr:uid="{00000000-0005-0000-0000-0000055C0000}"/>
    <cellStyle name="Normal 3 58" xfId="23554" xr:uid="{00000000-0005-0000-0000-0000065C0000}"/>
    <cellStyle name="Normal 3 58 2" xfId="23555" xr:uid="{00000000-0005-0000-0000-0000075C0000}"/>
    <cellStyle name="Normal 3 59" xfId="23556" xr:uid="{00000000-0005-0000-0000-0000085C0000}"/>
    <cellStyle name="Normal 3 59 2" xfId="23557" xr:uid="{00000000-0005-0000-0000-0000095C0000}"/>
    <cellStyle name="Normal 3 6" xfId="23558" xr:uid="{00000000-0005-0000-0000-00000A5C0000}"/>
    <cellStyle name="Normal 3 6 2" xfId="23559" xr:uid="{00000000-0005-0000-0000-00000B5C0000}"/>
    <cellStyle name="Normal 3 6 2 2" xfId="23560" xr:uid="{00000000-0005-0000-0000-00000C5C0000}"/>
    <cellStyle name="Normal 3 6 3" xfId="23561" xr:uid="{00000000-0005-0000-0000-00000D5C0000}"/>
    <cellStyle name="Normal 3 60" xfId="23562" xr:uid="{00000000-0005-0000-0000-00000E5C0000}"/>
    <cellStyle name="Normal 3 60 2" xfId="23563" xr:uid="{00000000-0005-0000-0000-00000F5C0000}"/>
    <cellStyle name="Normal 3 61" xfId="23564" xr:uid="{00000000-0005-0000-0000-0000105C0000}"/>
    <cellStyle name="Normal 3 61 2" xfId="23565" xr:uid="{00000000-0005-0000-0000-0000115C0000}"/>
    <cellStyle name="Normal 3 62" xfId="23566" xr:uid="{00000000-0005-0000-0000-0000125C0000}"/>
    <cellStyle name="Normal 3 62 2" xfId="23567" xr:uid="{00000000-0005-0000-0000-0000135C0000}"/>
    <cellStyle name="Normal 3 63" xfId="23568" xr:uid="{00000000-0005-0000-0000-0000145C0000}"/>
    <cellStyle name="Normal 3 63 2" xfId="23569" xr:uid="{00000000-0005-0000-0000-0000155C0000}"/>
    <cellStyle name="Normal 3 64" xfId="23570" xr:uid="{00000000-0005-0000-0000-0000165C0000}"/>
    <cellStyle name="Normal 3 64 2" xfId="23571" xr:uid="{00000000-0005-0000-0000-0000175C0000}"/>
    <cellStyle name="Normal 3 65" xfId="23572" xr:uid="{00000000-0005-0000-0000-0000185C0000}"/>
    <cellStyle name="Normal 3 65 2" xfId="23573" xr:uid="{00000000-0005-0000-0000-0000195C0000}"/>
    <cellStyle name="Normal 3 66" xfId="23574" xr:uid="{00000000-0005-0000-0000-00001A5C0000}"/>
    <cellStyle name="Normal 3 66 2" xfId="23575" xr:uid="{00000000-0005-0000-0000-00001B5C0000}"/>
    <cellStyle name="Normal 3 67" xfId="23576" xr:uid="{00000000-0005-0000-0000-00001C5C0000}"/>
    <cellStyle name="Normal 3 67 2" xfId="23577" xr:uid="{00000000-0005-0000-0000-00001D5C0000}"/>
    <cellStyle name="Normal 3 68" xfId="23578" xr:uid="{00000000-0005-0000-0000-00001E5C0000}"/>
    <cellStyle name="Normal 3 68 2" xfId="23579" xr:uid="{00000000-0005-0000-0000-00001F5C0000}"/>
    <cellStyle name="Normal 3 69" xfId="23580" xr:uid="{00000000-0005-0000-0000-0000205C0000}"/>
    <cellStyle name="Normal 3 69 2" xfId="23581" xr:uid="{00000000-0005-0000-0000-0000215C0000}"/>
    <cellStyle name="Normal 3 7" xfId="23582" xr:uid="{00000000-0005-0000-0000-0000225C0000}"/>
    <cellStyle name="Normal 3 7 2" xfId="23583" xr:uid="{00000000-0005-0000-0000-0000235C0000}"/>
    <cellStyle name="Normal 3 70" xfId="23584" xr:uid="{00000000-0005-0000-0000-0000245C0000}"/>
    <cellStyle name="Normal 3 70 2" xfId="23585" xr:uid="{00000000-0005-0000-0000-0000255C0000}"/>
    <cellStyle name="Normal 3 71" xfId="23586" xr:uid="{00000000-0005-0000-0000-0000265C0000}"/>
    <cellStyle name="Normal 3 72" xfId="23587" xr:uid="{00000000-0005-0000-0000-0000275C0000}"/>
    <cellStyle name="Normal 3 73" xfId="23588" xr:uid="{00000000-0005-0000-0000-0000285C0000}"/>
    <cellStyle name="Normal 3 8" xfId="23589" xr:uid="{00000000-0005-0000-0000-0000295C0000}"/>
    <cellStyle name="Normal 3 8 2" xfId="23590" xr:uid="{00000000-0005-0000-0000-00002A5C0000}"/>
    <cellStyle name="Normal 3 9" xfId="23591" xr:uid="{00000000-0005-0000-0000-00002B5C0000}"/>
    <cellStyle name="Normal 3 9 2" xfId="23592" xr:uid="{00000000-0005-0000-0000-00002C5C0000}"/>
    <cellStyle name="Normal 30" xfId="23593" xr:uid="{00000000-0005-0000-0000-00002D5C0000}"/>
    <cellStyle name="Normal 30 2" xfId="23594" xr:uid="{00000000-0005-0000-0000-00002E5C0000}"/>
    <cellStyle name="Normal 31" xfId="23595" xr:uid="{00000000-0005-0000-0000-00002F5C0000}"/>
    <cellStyle name="Normal 31 2" xfId="23596" xr:uid="{00000000-0005-0000-0000-0000305C0000}"/>
    <cellStyle name="Normal 32" xfId="23597" xr:uid="{00000000-0005-0000-0000-0000315C0000}"/>
    <cellStyle name="Normal 33" xfId="23598" xr:uid="{00000000-0005-0000-0000-0000325C0000}"/>
    <cellStyle name="Normal 33 2" xfId="23599" xr:uid="{00000000-0005-0000-0000-0000335C0000}"/>
    <cellStyle name="Normal 34" xfId="23600" xr:uid="{00000000-0005-0000-0000-0000345C0000}"/>
    <cellStyle name="Normal 34 2" xfId="23601" xr:uid="{00000000-0005-0000-0000-0000355C0000}"/>
    <cellStyle name="Normal 35" xfId="23602" xr:uid="{00000000-0005-0000-0000-0000365C0000}"/>
    <cellStyle name="Normal 35 2" xfId="23603" xr:uid="{00000000-0005-0000-0000-0000375C0000}"/>
    <cellStyle name="Normal 36" xfId="23604" xr:uid="{00000000-0005-0000-0000-0000385C0000}"/>
    <cellStyle name="Normal 36 2" xfId="23605" xr:uid="{00000000-0005-0000-0000-0000395C0000}"/>
    <cellStyle name="Normal 37" xfId="23606" xr:uid="{00000000-0005-0000-0000-00003A5C0000}"/>
    <cellStyle name="Normal 37 2" xfId="23607" xr:uid="{00000000-0005-0000-0000-00003B5C0000}"/>
    <cellStyle name="Normal 37 3" xfId="23608" xr:uid="{00000000-0005-0000-0000-00003C5C0000}"/>
    <cellStyle name="Normal 38" xfId="23609" xr:uid="{00000000-0005-0000-0000-00003D5C0000}"/>
    <cellStyle name="Normal 38 2" xfId="23610" xr:uid="{00000000-0005-0000-0000-00003E5C0000}"/>
    <cellStyle name="Normal 39" xfId="23611" xr:uid="{00000000-0005-0000-0000-00003F5C0000}"/>
    <cellStyle name="Normal 39 2" xfId="23612" xr:uid="{00000000-0005-0000-0000-0000405C0000}"/>
    <cellStyle name="Normal 4" xfId="23613" xr:uid="{00000000-0005-0000-0000-0000415C0000}"/>
    <cellStyle name="Normal 4 10" xfId="23614" xr:uid="{00000000-0005-0000-0000-0000425C0000}"/>
    <cellStyle name="Normal 4 11" xfId="23615" xr:uid="{00000000-0005-0000-0000-0000435C0000}"/>
    <cellStyle name="Normal 4 12" xfId="23616" xr:uid="{00000000-0005-0000-0000-0000445C0000}"/>
    <cellStyle name="Normal 4 13" xfId="23617" xr:uid="{00000000-0005-0000-0000-0000455C0000}"/>
    <cellStyle name="Normal 4 14" xfId="23618" xr:uid="{00000000-0005-0000-0000-0000465C0000}"/>
    <cellStyle name="Normal 4 15" xfId="23619" xr:uid="{00000000-0005-0000-0000-0000475C0000}"/>
    <cellStyle name="Normal 4 16" xfId="23620" xr:uid="{00000000-0005-0000-0000-0000485C0000}"/>
    <cellStyle name="Normal 4 17" xfId="23621" xr:uid="{00000000-0005-0000-0000-0000495C0000}"/>
    <cellStyle name="Normal 4 18" xfId="23622" xr:uid="{00000000-0005-0000-0000-00004A5C0000}"/>
    <cellStyle name="Normal 4 19" xfId="23623" xr:uid="{00000000-0005-0000-0000-00004B5C0000}"/>
    <cellStyle name="Normal 4 2" xfId="23624" xr:uid="{00000000-0005-0000-0000-00004C5C0000}"/>
    <cellStyle name="Normal 4 2 2" xfId="23625" xr:uid="{00000000-0005-0000-0000-00004D5C0000}"/>
    <cellStyle name="Normal 4 2 2 2" xfId="23626" xr:uid="{00000000-0005-0000-0000-00004E5C0000}"/>
    <cellStyle name="Normal 4 2 2 2 2" xfId="23627" xr:uid="{00000000-0005-0000-0000-00004F5C0000}"/>
    <cellStyle name="Normal 4 2 2 3" xfId="23628" xr:uid="{00000000-0005-0000-0000-0000505C0000}"/>
    <cellStyle name="Normal 4 2 2 4" xfId="23629" xr:uid="{00000000-0005-0000-0000-0000515C0000}"/>
    <cellStyle name="Normal 4 2 2 5" xfId="23630" xr:uid="{00000000-0005-0000-0000-0000525C0000}"/>
    <cellStyle name="Normal 4 2 2 6" xfId="23631" xr:uid="{00000000-0005-0000-0000-0000535C0000}"/>
    <cellStyle name="Normal 4 2 2 7" xfId="23632" xr:uid="{00000000-0005-0000-0000-0000545C0000}"/>
    <cellStyle name="Normal 4 2 2 8" xfId="23633" xr:uid="{00000000-0005-0000-0000-0000555C0000}"/>
    <cellStyle name="Normal 4 2 3" xfId="23634" xr:uid="{00000000-0005-0000-0000-0000565C0000}"/>
    <cellStyle name="Normal 4 2 4" xfId="23635" xr:uid="{00000000-0005-0000-0000-0000575C0000}"/>
    <cellStyle name="Normal 4 2 5" xfId="23636" xr:uid="{00000000-0005-0000-0000-0000585C0000}"/>
    <cellStyle name="Normal 4 2 6" xfId="23637" xr:uid="{00000000-0005-0000-0000-0000595C0000}"/>
    <cellStyle name="Normal 4 2 7" xfId="23638" xr:uid="{00000000-0005-0000-0000-00005A5C0000}"/>
    <cellStyle name="Normal 4 2 8" xfId="23639" xr:uid="{00000000-0005-0000-0000-00005B5C0000}"/>
    <cellStyle name="Normal 4 20" xfId="23640" xr:uid="{00000000-0005-0000-0000-00005C5C0000}"/>
    <cellStyle name="Normal 4 21" xfId="23641" xr:uid="{00000000-0005-0000-0000-00005D5C0000}"/>
    <cellStyle name="Normal 4 22" xfId="23642" xr:uid="{00000000-0005-0000-0000-00005E5C0000}"/>
    <cellStyle name="Normal 4 23" xfId="23643" xr:uid="{00000000-0005-0000-0000-00005F5C0000}"/>
    <cellStyle name="Normal 4 24" xfId="23644" xr:uid="{00000000-0005-0000-0000-0000605C0000}"/>
    <cellStyle name="Normal 4 25" xfId="23645" xr:uid="{00000000-0005-0000-0000-0000615C0000}"/>
    <cellStyle name="Normal 4 26" xfId="23646" xr:uid="{00000000-0005-0000-0000-0000625C0000}"/>
    <cellStyle name="Normal 4 27" xfId="23647" xr:uid="{00000000-0005-0000-0000-0000635C0000}"/>
    <cellStyle name="Normal 4 28" xfId="23648" xr:uid="{00000000-0005-0000-0000-0000645C0000}"/>
    <cellStyle name="Normal 4 29" xfId="23649" xr:uid="{00000000-0005-0000-0000-0000655C0000}"/>
    <cellStyle name="Normal 4 3" xfId="23650" xr:uid="{00000000-0005-0000-0000-0000665C0000}"/>
    <cellStyle name="Normal 4 3 2" xfId="23651" xr:uid="{00000000-0005-0000-0000-0000675C0000}"/>
    <cellStyle name="Normal 4 30" xfId="23652" xr:uid="{00000000-0005-0000-0000-0000685C0000}"/>
    <cellStyle name="Normal 4 31" xfId="23653" xr:uid="{00000000-0005-0000-0000-0000695C0000}"/>
    <cellStyle name="Normal 4 32" xfId="23654" xr:uid="{00000000-0005-0000-0000-00006A5C0000}"/>
    <cellStyle name="Normal 4 33" xfId="23655" xr:uid="{00000000-0005-0000-0000-00006B5C0000}"/>
    <cellStyle name="Normal 4 34" xfId="23656" xr:uid="{00000000-0005-0000-0000-00006C5C0000}"/>
    <cellStyle name="Normal 4 35" xfId="23657" xr:uid="{00000000-0005-0000-0000-00006D5C0000}"/>
    <cellStyle name="Normal 4 36" xfId="23658" xr:uid="{00000000-0005-0000-0000-00006E5C0000}"/>
    <cellStyle name="Normal 4 37" xfId="23659" xr:uid="{00000000-0005-0000-0000-00006F5C0000}"/>
    <cellStyle name="Normal 4 38" xfId="23660" xr:uid="{00000000-0005-0000-0000-0000705C0000}"/>
    <cellStyle name="Normal 4 39" xfId="23661" xr:uid="{00000000-0005-0000-0000-0000715C0000}"/>
    <cellStyle name="Normal 4 4" xfId="23662" xr:uid="{00000000-0005-0000-0000-0000725C0000}"/>
    <cellStyle name="Normal 4 4 2" xfId="23663" xr:uid="{00000000-0005-0000-0000-0000735C0000}"/>
    <cellStyle name="Normal 4 40" xfId="23664" xr:uid="{00000000-0005-0000-0000-0000745C0000}"/>
    <cellStyle name="Normal 4 41" xfId="23665" xr:uid="{00000000-0005-0000-0000-0000755C0000}"/>
    <cellStyle name="Normal 4 42" xfId="23666" xr:uid="{00000000-0005-0000-0000-0000765C0000}"/>
    <cellStyle name="Normal 4 43" xfId="23667" xr:uid="{00000000-0005-0000-0000-0000775C0000}"/>
    <cellStyle name="Normal 4 44" xfId="23668" xr:uid="{00000000-0005-0000-0000-0000785C0000}"/>
    <cellStyle name="Normal 4 45" xfId="23669" xr:uid="{00000000-0005-0000-0000-0000795C0000}"/>
    <cellStyle name="Normal 4 46" xfId="23670" xr:uid="{00000000-0005-0000-0000-00007A5C0000}"/>
    <cellStyle name="Normal 4 47" xfId="23671" xr:uid="{00000000-0005-0000-0000-00007B5C0000}"/>
    <cellStyle name="Normal 4 48" xfId="23672" xr:uid="{00000000-0005-0000-0000-00007C5C0000}"/>
    <cellStyle name="Normal 4 49" xfId="23673" xr:uid="{00000000-0005-0000-0000-00007D5C0000}"/>
    <cellStyle name="Normal 4 5" xfId="23674" xr:uid="{00000000-0005-0000-0000-00007E5C0000}"/>
    <cellStyle name="Normal 4 5 2" xfId="23675" xr:uid="{00000000-0005-0000-0000-00007F5C0000}"/>
    <cellStyle name="Normal 4 50" xfId="23676" xr:uid="{00000000-0005-0000-0000-0000805C0000}"/>
    <cellStyle name="Normal 4 51" xfId="23677" xr:uid="{00000000-0005-0000-0000-0000815C0000}"/>
    <cellStyle name="Normal 4 52" xfId="23678" xr:uid="{00000000-0005-0000-0000-0000825C0000}"/>
    <cellStyle name="Normal 4 53" xfId="23679" xr:uid="{00000000-0005-0000-0000-0000835C0000}"/>
    <cellStyle name="Normal 4 54" xfId="23680" xr:uid="{00000000-0005-0000-0000-0000845C0000}"/>
    <cellStyle name="Normal 4 55" xfId="23681" xr:uid="{00000000-0005-0000-0000-0000855C0000}"/>
    <cellStyle name="Normal 4 56" xfId="23682" xr:uid="{00000000-0005-0000-0000-0000865C0000}"/>
    <cellStyle name="Normal 4 57" xfId="23683" xr:uid="{00000000-0005-0000-0000-0000875C0000}"/>
    <cellStyle name="Normal 4 58" xfId="23684" xr:uid="{00000000-0005-0000-0000-0000885C0000}"/>
    <cellStyle name="Normal 4 59" xfId="23685" xr:uid="{00000000-0005-0000-0000-0000895C0000}"/>
    <cellStyle name="Normal 4 6" xfId="23686" xr:uid="{00000000-0005-0000-0000-00008A5C0000}"/>
    <cellStyle name="Normal 4 60" xfId="23687" xr:uid="{00000000-0005-0000-0000-00008B5C0000}"/>
    <cellStyle name="Normal 4 61" xfId="23688" xr:uid="{00000000-0005-0000-0000-00008C5C0000}"/>
    <cellStyle name="Normal 4 62" xfId="23689" xr:uid="{00000000-0005-0000-0000-00008D5C0000}"/>
    <cellStyle name="Normal 4 63" xfId="23690" xr:uid="{00000000-0005-0000-0000-00008E5C0000}"/>
    <cellStyle name="Normal 4 64" xfId="23691" xr:uid="{00000000-0005-0000-0000-00008F5C0000}"/>
    <cellStyle name="Normal 4 65" xfId="23692" xr:uid="{00000000-0005-0000-0000-0000905C0000}"/>
    <cellStyle name="Normal 4 66" xfId="23693" xr:uid="{00000000-0005-0000-0000-0000915C0000}"/>
    <cellStyle name="Normal 4 67" xfId="23694" xr:uid="{00000000-0005-0000-0000-0000925C0000}"/>
    <cellStyle name="Normal 4 68" xfId="23695" xr:uid="{00000000-0005-0000-0000-0000935C0000}"/>
    <cellStyle name="Normal 4 69" xfId="23696" xr:uid="{00000000-0005-0000-0000-0000945C0000}"/>
    <cellStyle name="Normal 4 7" xfId="23697" xr:uid="{00000000-0005-0000-0000-0000955C0000}"/>
    <cellStyle name="Normal 4 70" xfId="23698" xr:uid="{00000000-0005-0000-0000-0000965C0000}"/>
    <cellStyle name="Normal 4 8" xfId="23699" xr:uid="{00000000-0005-0000-0000-0000975C0000}"/>
    <cellStyle name="Normal 4 9" xfId="23700" xr:uid="{00000000-0005-0000-0000-0000985C0000}"/>
    <cellStyle name="Normal 40" xfId="23701" xr:uid="{00000000-0005-0000-0000-0000995C0000}"/>
    <cellStyle name="Normal 40 2" xfId="23702" xr:uid="{00000000-0005-0000-0000-00009A5C0000}"/>
    <cellStyle name="Normal 41" xfId="23703" xr:uid="{00000000-0005-0000-0000-00009B5C0000}"/>
    <cellStyle name="Normal 41 2" xfId="23704" xr:uid="{00000000-0005-0000-0000-00009C5C0000}"/>
    <cellStyle name="Normal 42" xfId="23705" xr:uid="{00000000-0005-0000-0000-00009D5C0000}"/>
    <cellStyle name="Normal 42 2" xfId="23706" xr:uid="{00000000-0005-0000-0000-00009E5C0000}"/>
    <cellStyle name="Normal 43" xfId="23707" xr:uid="{00000000-0005-0000-0000-00009F5C0000}"/>
    <cellStyle name="Normal 43 2" xfId="23708" xr:uid="{00000000-0005-0000-0000-0000A05C0000}"/>
    <cellStyle name="Normal 44" xfId="23709" xr:uid="{00000000-0005-0000-0000-0000A15C0000}"/>
    <cellStyle name="Normal 44 2" xfId="23710" xr:uid="{00000000-0005-0000-0000-0000A25C0000}"/>
    <cellStyle name="Normal 45" xfId="23711" xr:uid="{00000000-0005-0000-0000-0000A35C0000}"/>
    <cellStyle name="Normal 45 2" xfId="23712" xr:uid="{00000000-0005-0000-0000-0000A45C0000}"/>
    <cellStyle name="Normal 46" xfId="23713" xr:uid="{00000000-0005-0000-0000-0000A55C0000}"/>
    <cellStyle name="Normal 46 2" xfId="23714" xr:uid="{00000000-0005-0000-0000-0000A65C0000}"/>
    <cellStyle name="Normal 47" xfId="23715" xr:uid="{00000000-0005-0000-0000-0000A75C0000}"/>
    <cellStyle name="Normal 47 2" xfId="23716" xr:uid="{00000000-0005-0000-0000-0000A85C0000}"/>
    <cellStyle name="Normal 48" xfId="23717" xr:uid="{00000000-0005-0000-0000-0000A95C0000}"/>
    <cellStyle name="Normal 48 2" xfId="23718" xr:uid="{00000000-0005-0000-0000-0000AA5C0000}"/>
    <cellStyle name="Normal 49" xfId="23719" xr:uid="{00000000-0005-0000-0000-0000AB5C0000}"/>
    <cellStyle name="Normal 49 2" xfId="23720" xr:uid="{00000000-0005-0000-0000-0000AC5C0000}"/>
    <cellStyle name="Normal 5" xfId="23721" xr:uid="{00000000-0005-0000-0000-0000AD5C0000}"/>
    <cellStyle name="Normal 5 10" xfId="23722" xr:uid="{00000000-0005-0000-0000-0000AE5C0000}"/>
    <cellStyle name="Normal 5 10 2" xfId="23723" xr:uid="{00000000-0005-0000-0000-0000AF5C0000}"/>
    <cellStyle name="Normal 5 10 2 2" xfId="23724" xr:uid="{00000000-0005-0000-0000-0000B05C0000}"/>
    <cellStyle name="Normal 5 11" xfId="23725" xr:uid="{00000000-0005-0000-0000-0000B15C0000}"/>
    <cellStyle name="Normal 5 12" xfId="23726" xr:uid="{00000000-0005-0000-0000-0000B25C0000}"/>
    <cellStyle name="Normal 5 13" xfId="23727" xr:uid="{00000000-0005-0000-0000-0000B35C0000}"/>
    <cellStyle name="Normal 5 14" xfId="23728" xr:uid="{00000000-0005-0000-0000-0000B45C0000}"/>
    <cellStyle name="Normal 5 15" xfId="23729" xr:uid="{00000000-0005-0000-0000-0000B55C0000}"/>
    <cellStyle name="Normal 5 16" xfId="23730" xr:uid="{00000000-0005-0000-0000-0000B65C0000}"/>
    <cellStyle name="Normal 5 17" xfId="23731" xr:uid="{00000000-0005-0000-0000-0000B75C0000}"/>
    <cellStyle name="Normal 5 18" xfId="23732" xr:uid="{00000000-0005-0000-0000-0000B85C0000}"/>
    <cellStyle name="Normal 5 19" xfId="23733" xr:uid="{00000000-0005-0000-0000-0000B95C0000}"/>
    <cellStyle name="Normal 5 2" xfId="23734" xr:uid="{00000000-0005-0000-0000-0000BA5C0000}"/>
    <cellStyle name="Normal 5 2 2" xfId="23735" xr:uid="{00000000-0005-0000-0000-0000BB5C0000}"/>
    <cellStyle name="Normal 5 2 2 2" xfId="23736" xr:uid="{00000000-0005-0000-0000-0000BC5C0000}"/>
    <cellStyle name="Normal 5 2 3" xfId="23737" xr:uid="{00000000-0005-0000-0000-0000BD5C0000}"/>
    <cellStyle name="Normal 5 2 4" xfId="23738" xr:uid="{00000000-0005-0000-0000-0000BE5C0000}"/>
    <cellStyle name="Normal 5 2 5" xfId="23739" xr:uid="{00000000-0005-0000-0000-0000BF5C0000}"/>
    <cellStyle name="Normal 5 2 6" xfId="23740" xr:uid="{00000000-0005-0000-0000-0000C05C0000}"/>
    <cellStyle name="Normal 5 20" xfId="23741" xr:uid="{00000000-0005-0000-0000-0000C15C0000}"/>
    <cellStyle name="Normal 5 21" xfId="23742" xr:uid="{00000000-0005-0000-0000-0000C25C0000}"/>
    <cellStyle name="Normal 5 22" xfId="23743" xr:uid="{00000000-0005-0000-0000-0000C35C0000}"/>
    <cellStyle name="Normal 5 23" xfId="23744" xr:uid="{00000000-0005-0000-0000-0000C45C0000}"/>
    <cellStyle name="Normal 5 24" xfId="23745" xr:uid="{00000000-0005-0000-0000-0000C55C0000}"/>
    <cellStyle name="Normal 5 25" xfId="23746" xr:uid="{00000000-0005-0000-0000-0000C65C0000}"/>
    <cellStyle name="Normal 5 26" xfId="23747" xr:uid="{00000000-0005-0000-0000-0000C75C0000}"/>
    <cellStyle name="Normal 5 27" xfId="23748" xr:uid="{00000000-0005-0000-0000-0000C85C0000}"/>
    <cellStyle name="Normal 5 28" xfId="23749" xr:uid="{00000000-0005-0000-0000-0000C95C0000}"/>
    <cellStyle name="Normal 5 29" xfId="23750" xr:uid="{00000000-0005-0000-0000-0000CA5C0000}"/>
    <cellStyle name="Normal 5 3" xfId="23751" xr:uid="{00000000-0005-0000-0000-0000CB5C0000}"/>
    <cellStyle name="Normal 5 3 2" xfId="23752" xr:uid="{00000000-0005-0000-0000-0000CC5C0000}"/>
    <cellStyle name="Normal 5 30" xfId="23753" xr:uid="{00000000-0005-0000-0000-0000CD5C0000}"/>
    <cellStyle name="Normal 5 31" xfId="23754" xr:uid="{00000000-0005-0000-0000-0000CE5C0000}"/>
    <cellStyle name="Normal 5 32" xfId="23755" xr:uid="{00000000-0005-0000-0000-0000CF5C0000}"/>
    <cellStyle name="Normal 5 33" xfId="23756" xr:uid="{00000000-0005-0000-0000-0000D05C0000}"/>
    <cellStyle name="Normal 5 34" xfId="23757" xr:uid="{00000000-0005-0000-0000-0000D15C0000}"/>
    <cellStyle name="Normal 5 35" xfId="23758" xr:uid="{00000000-0005-0000-0000-0000D25C0000}"/>
    <cellStyle name="Normal 5 36" xfId="23759" xr:uid="{00000000-0005-0000-0000-0000D35C0000}"/>
    <cellStyle name="Normal 5 37" xfId="23760" xr:uid="{00000000-0005-0000-0000-0000D45C0000}"/>
    <cellStyle name="Normal 5 38" xfId="23761" xr:uid="{00000000-0005-0000-0000-0000D55C0000}"/>
    <cellStyle name="Normal 5 39" xfId="23762" xr:uid="{00000000-0005-0000-0000-0000D65C0000}"/>
    <cellStyle name="Normal 5 4" xfId="23763" xr:uid="{00000000-0005-0000-0000-0000D75C0000}"/>
    <cellStyle name="Normal 5 4 2" xfId="23764" xr:uid="{00000000-0005-0000-0000-0000D85C0000}"/>
    <cellStyle name="Normal 5 40" xfId="23765" xr:uid="{00000000-0005-0000-0000-0000D95C0000}"/>
    <cellStyle name="Normal 5 41" xfId="23766" xr:uid="{00000000-0005-0000-0000-0000DA5C0000}"/>
    <cellStyle name="Normal 5 42" xfId="23767" xr:uid="{00000000-0005-0000-0000-0000DB5C0000}"/>
    <cellStyle name="Normal 5 43" xfId="23768" xr:uid="{00000000-0005-0000-0000-0000DC5C0000}"/>
    <cellStyle name="Normal 5 44" xfId="23769" xr:uid="{00000000-0005-0000-0000-0000DD5C0000}"/>
    <cellStyle name="Normal 5 45" xfId="23770" xr:uid="{00000000-0005-0000-0000-0000DE5C0000}"/>
    <cellStyle name="Normal 5 46" xfId="23771" xr:uid="{00000000-0005-0000-0000-0000DF5C0000}"/>
    <cellStyle name="Normal 5 47" xfId="23772" xr:uid="{00000000-0005-0000-0000-0000E05C0000}"/>
    <cellStyle name="Normal 5 48" xfId="23773" xr:uid="{00000000-0005-0000-0000-0000E15C0000}"/>
    <cellStyle name="Normal 5 49" xfId="23774" xr:uid="{00000000-0005-0000-0000-0000E25C0000}"/>
    <cellStyle name="Normal 5 5" xfId="23775" xr:uid="{00000000-0005-0000-0000-0000E35C0000}"/>
    <cellStyle name="Normal 5 5 2" xfId="23776" xr:uid="{00000000-0005-0000-0000-0000E45C0000}"/>
    <cellStyle name="Normal 5 50" xfId="23777" xr:uid="{00000000-0005-0000-0000-0000E55C0000}"/>
    <cellStyle name="Normal 5 51" xfId="23778" xr:uid="{00000000-0005-0000-0000-0000E65C0000}"/>
    <cellStyle name="Normal 5 52" xfId="23779" xr:uid="{00000000-0005-0000-0000-0000E75C0000}"/>
    <cellStyle name="Normal 5 53" xfId="23780" xr:uid="{00000000-0005-0000-0000-0000E85C0000}"/>
    <cellStyle name="Normal 5 54" xfId="23781" xr:uid="{00000000-0005-0000-0000-0000E95C0000}"/>
    <cellStyle name="Normal 5 55" xfId="23782" xr:uid="{00000000-0005-0000-0000-0000EA5C0000}"/>
    <cellStyle name="Normal 5 56" xfId="23783" xr:uid="{00000000-0005-0000-0000-0000EB5C0000}"/>
    <cellStyle name="Normal 5 57" xfId="23784" xr:uid="{00000000-0005-0000-0000-0000EC5C0000}"/>
    <cellStyle name="Normal 5 58" xfId="23785" xr:uid="{00000000-0005-0000-0000-0000ED5C0000}"/>
    <cellStyle name="Normal 5 59" xfId="23786" xr:uid="{00000000-0005-0000-0000-0000EE5C0000}"/>
    <cellStyle name="Normal 5 6" xfId="23787" xr:uid="{00000000-0005-0000-0000-0000EF5C0000}"/>
    <cellStyle name="Normal 5 6 2" xfId="23788" xr:uid="{00000000-0005-0000-0000-0000F05C0000}"/>
    <cellStyle name="Normal 5 6 3" xfId="23789" xr:uid="{00000000-0005-0000-0000-0000F15C0000}"/>
    <cellStyle name="Normal 5 60" xfId="23790" xr:uid="{00000000-0005-0000-0000-0000F25C0000}"/>
    <cellStyle name="Normal 5 61" xfId="23791" xr:uid="{00000000-0005-0000-0000-0000F35C0000}"/>
    <cellStyle name="Normal 5 62" xfId="23792" xr:uid="{00000000-0005-0000-0000-0000F45C0000}"/>
    <cellStyle name="Normal 5 63" xfId="23793" xr:uid="{00000000-0005-0000-0000-0000F55C0000}"/>
    <cellStyle name="Normal 5 64" xfId="23794" xr:uid="{00000000-0005-0000-0000-0000F65C0000}"/>
    <cellStyle name="Normal 5 65" xfId="23795" xr:uid="{00000000-0005-0000-0000-0000F75C0000}"/>
    <cellStyle name="Normal 5 66" xfId="23796" xr:uid="{00000000-0005-0000-0000-0000F85C0000}"/>
    <cellStyle name="Normal 5 67" xfId="23797" xr:uid="{00000000-0005-0000-0000-0000F95C0000}"/>
    <cellStyle name="Normal 5 68" xfId="23798" xr:uid="{00000000-0005-0000-0000-0000FA5C0000}"/>
    <cellStyle name="Normal 5 69" xfId="23799" xr:uid="{00000000-0005-0000-0000-0000FB5C0000}"/>
    <cellStyle name="Normal 5 7" xfId="23800" xr:uid="{00000000-0005-0000-0000-0000FC5C0000}"/>
    <cellStyle name="Normal 5 70" xfId="23801" xr:uid="{00000000-0005-0000-0000-0000FD5C0000}"/>
    <cellStyle name="Normal 5 71" xfId="23802" xr:uid="{00000000-0005-0000-0000-0000FE5C0000}"/>
    <cellStyle name="Normal 5 8" xfId="23803" xr:uid="{00000000-0005-0000-0000-0000FF5C0000}"/>
    <cellStyle name="Normal 5 9" xfId="23804" xr:uid="{00000000-0005-0000-0000-0000005D0000}"/>
    <cellStyle name="Normal 5_20100303 Annex 27 Part 2.1b Prices Serbia and Hungary, Core  20100410 V2.0" xfId="23805" xr:uid="{00000000-0005-0000-0000-0000015D0000}"/>
    <cellStyle name="Normal 50" xfId="23806" xr:uid="{00000000-0005-0000-0000-0000025D0000}"/>
    <cellStyle name="Normal 50 2" xfId="23807" xr:uid="{00000000-0005-0000-0000-0000035D0000}"/>
    <cellStyle name="Normal 51" xfId="23808" xr:uid="{00000000-0005-0000-0000-0000045D0000}"/>
    <cellStyle name="Normal 51 2" xfId="23809" xr:uid="{00000000-0005-0000-0000-0000055D0000}"/>
    <cellStyle name="Normal 52" xfId="23810" xr:uid="{00000000-0005-0000-0000-0000065D0000}"/>
    <cellStyle name="Normal 52 2" xfId="23811" xr:uid="{00000000-0005-0000-0000-0000075D0000}"/>
    <cellStyle name="Normal 53" xfId="23812" xr:uid="{00000000-0005-0000-0000-0000085D0000}"/>
    <cellStyle name="Normal 53 2" xfId="23813" xr:uid="{00000000-0005-0000-0000-0000095D0000}"/>
    <cellStyle name="Normal 54" xfId="23814" xr:uid="{00000000-0005-0000-0000-00000A5D0000}"/>
    <cellStyle name="Normal 54 2" xfId="23815" xr:uid="{00000000-0005-0000-0000-00000B5D0000}"/>
    <cellStyle name="Normal 55" xfId="23816" xr:uid="{00000000-0005-0000-0000-00000C5D0000}"/>
    <cellStyle name="Normal 55 2" xfId="23817" xr:uid="{00000000-0005-0000-0000-00000D5D0000}"/>
    <cellStyle name="Normal 56" xfId="23818" xr:uid="{00000000-0005-0000-0000-00000E5D0000}"/>
    <cellStyle name="Normal 56 2" xfId="23819" xr:uid="{00000000-0005-0000-0000-00000F5D0000}"/>
    <cellStyle name="Normal 57" xfId="23820" xr:uid="{00000000-0005-0000-0000-0000105D0000}"/>
    <cellStyle name="Normal 57 2" xfId="23821" xr:uid="{00000000-0005-0000-0000-0000115D0000}"/>
    <cellStyle name="Normal 58" xfId="23822" xr:uid="{00000000-0005-0000-0000-0000125D0000}"/>
    <cellStyle name="Normal 58 2" xfId="23823" xr:uid="{00000000-0005-0000-0000-0000135D0000}"/>
    <cellStyle name="Normal 59" xfId="23824" xr:uid="{00000000-0005-0000-0000-0000145D0000}"/>
    <cellStyle name="Normal 59 2" xfId="23825" xr:uid="{00000000-0005-0000-0000-0000155D0000}"/>
    <cellStyle name="Normal 6" xfId="23826" xr:uid="{00000000-0005-0000-0000-0000165D0000}"/>
    <cellStyle name="Normal 6 10" xfId="23827" xr:uid="{00000000-0005-0000-0000-0000175D0000}"/>
    <cellStyle name="Normal 6 10 2" xfId="23828" xr:uid="{00000000-0005-0000-0000-0000185D0000}"/>
    <cellStyle name="Normal 6 11" xfId="23829" xr:uid="{00000000-0005-0000-0000-0000195D0000}"/>
    <cellStyle name="Normal 6 11 2" xfId="23830" xr:uid="{00000000-0005-0000-0000-00001A5D0000}"/>
    <cellStyle name="Normal 6 12" xfId="23831" xr:uid="{00000000-0005-0000-0000-00001B5D0000}"/>
    <cellStyle name="Normal 6 12 2" xfId="23832" xr:uid="{00000000-0005-0000-0000-00001C5D0000}"/>
    <cellStyle name="Normal 6 13" xfId="23833" xr:uid="{00000000-0005-0000-0000-00001D5D0000}"/>
    <cellStyle name="Normal 6 13 2" xfId="23834" xr:uid="{00000000-0005-0000-0000-00001E5D0000}"/>
    <cellStyle name="Normal 6 14" xfId="23835" xr:uid="{00000000-0005-0000-0000-00001F5D0000}"/>
    <cellStyle name="Normal 6 14 2" xfId="23836" xr:uid="{00000000-0005-0000-0000-0000205D0000}"/>
    <cellStyle name="Normal 6 15" xfId="23837" xr:uid="{00000000-0005-0000-0000-0000215D0000}"/>
    <cellStyle name="Normal 6 15 2" xfId="23838" xr:uid="{00000000-0005-0000-0000-0000225D0000}"/>
    <cellStyle name="Normal 6 16" xfId="23839" xr:uid="{00000000-0005-0000-0000-0000235D0000}"/>
    <cellStyle name="Normal 6 16 2" xfId="23840" xr:uid="{00000000-0005-0000-0000-0000245D0000}"/>
    <cellStyle name="Normal 6 17" xfId="23841" xr:uid="{00000000-0005-0000-0000-0000255D0000}"/>
    <cellStyle name="Normal 6 17 2" xfId="23842" xr:uid="{00000000-0005-0000-0000-0000265D0000}"/>
    <cellStyle name="Normal 6 18" xfId="23843" xr:uid="{00000000-0005-0000-0000-0000275D0000}"/>
    <cellStyle name="Normal 6 18 2" xfId="23844" xr:uid="{00000000-0005-0000-0000-0000285D0000}"/>
    <cellStyle name="Normal 6 19" xfId="23845" xr:uid="{00000000-0005-0000-0000-0000295D0000}"/>
    <cellStyle name="Normal 6 19 2" xfId="23846" xr:uid="{00000000-0005-0000-0000-00002A5D0000}"/>
    <cellStyle name="Normal 6 2" xfId="23847" xr:uid="{00000000-0005-0000-0000-00002B5D0000}"/>
    <cellStyle name="Normal 6 2 2" xfId="23848" xr:uid="{00000000-0005-0000-0000-00002C5D0000}"/>
    <cellStyle name="Normal 6 2 2 2" xfId="23849" xr:uid="{00000000-0005-0000-0000-00002D5D0000}"/>
    <cellStyle name="Normal 6 2 2 2 2" xfId="23850" xr:uid="{00000000-0005-0000-0000-00002E5D0000}"/>
    <cellStyle name="Normal 6 2 2 3" xfId="23851" xr:uid="{00000000-0005-0000-0000-00002F5D0000}"/>
    <cellStyle name="Normal 6 2 3" xfId="23852" xr:uid="{00000000-0005-0000-0000-0000305D0000}"/>
    <cellStyle name="Normal 6 2 3 2" xfId="23853" xr:uid="{00000000-0005-0000-0000-0000315D0000}"/>
    <cellStyle name="Normal 6 2 4" xfId="23854" xr:uid="{00000000-0005-0000-0000-0000325D0000}"/>
    <cellStyle name="Normal 6 2 5" xfId="23855" xr:uid="{00000000-0005-0000-0000-0000335D0000}"/>
    <cellStyle name="Normal 6 2 6" xfId="23856" xr:uid="{00000000-0005-0000-0000-0000345D0000}"/>
    <cellStyle name="Normal 6 2 7" xfId="23857" xr:uid="{00000000-0005-0000-0000-0000355D0000}"/>
    <cellStyle name="Normal 6 2 8" xfId="23858" xr:uid="{00000000-0005-0000-0000-0000365D0000}"/>
    <cellStyle name="Normal 6 2 9" xfId="23859" xr:uid="{00000000-0005-0000-0000-0000375D0000}"/>
    <cellStyle name="Normal 6 20" xfId="23860" xr:uid="{00000000-0005-0000-0000-0000385D0000}"/>
    <cellStyle name="Normal 6 20 2" xfId="23861" xr:uid="{00000000-0005-0000-0000-0000395D0000}"/>
    <cellStyle name="Normal 6 21" xfId="23862" xr:uid="{00000000-0005-0000-0000-00003A5D0000}"/>
    <cellStyle name="Normal 6 21 2" xfId="23863" xr:uid="{00000000-0005-0000-0000-00003B5D0000}"/>
    <cellStyle name="Normal 6 22" xfId="23864" xr:uid="{00000000-0005-0000-0000-00003C5D0000}"/>
    <cellStyle name="Normal 6 22 2" xfId="23865" xr:uid="{00000000-0005-0000-0000-00003D5D0000}"/>
    <cellStyle name="Normal 6 23" xfId="23866" xr:uid="{00000000-0005-0000-0000-00003E5D0000}"/>
    <cellStyle name="Normal 6 23 2" xfId="23867" xr:uid="{00000000-0005-0000-0000-00003F5D0000}"/>
    <cellStyle name="Normal 6 24" xfId="23868" xr:uid="{00000000-0005-0000-0000-0000405D0000}"/>
    <cellStyle name="Normal 6 24 2" xfId="23869" xr:uid="{00000000-0005-0000-0000-0000415D0000}"/>
    <cellStyle name="Normal 6 25" xfId="23870" xr:uid="{00000000-0005-0000-0000-0000425D0000}"/>
    <cellStyle name="Normal 6 25 2" xfId="23871" xr:uid="{00000000-0005-0000-0000-0000435D0000}"/>
    <cellStyle name="Normal 6 26" xfId="23872" xr:uid="{00000000-0005-0000-0000-0000445D0000}"/>
    <cellStyle name="Normal 6 26 2" xfId="23873" xr:uid="{00000000-0005-0000-0000-0000455D0000}"/>
    <cellStyle name="Normal 6 27" xfId="23874" xr:uid="{00000000-0005-0000-0000-0000465D0000}"/>
    <cellStyle name="Normal 6 27 2" xfId="23875" xr:uid="{00000000-0005-0000-0000-0000475D0000}"/>
    <cellStyle name="Normal 6 28" xfId="23876" xr:uid="{00000000-0005-0000-0000-0000485D0000}"/>
    <cellStyle name="Normal 6 28 2" xfId="23877" xr:uid="{00000000-0005-0000-0000-0000495D0000}"/>
    <cellStyle name="Normal 6 29" xfId="23878" xr:uid="{00000000-0005-0000-0000-00004A5D0000}"/>
    <cellStyle name="Normal 6 29 2" xfId="23879" xr:uid="{00000000-0005-0000-0000-00004B5D0000}"/>
    <cellStyle name="Normal 6 3" xfId="23880" xr:uid="{00000000-0005-0000-0000-00004C5D0000}"/>
    <cellStyle name="Normal 6 3 2" xfId="23881" xr:uid="{00000000-0005-0000-0000-00004D5D0000}"/>
    <cellStyle name="Normal 6 3 2 2" xfId="23882" xr:uid="{00000000-0005-0000-0000-00004E5D0000}"/>
    <cellStyle name="Normal 6 3 3" xfId="23883" xr:uid="{00000000-0005-0000-0000-00004F5D0000}"/>
    <cellStyle name="Normal 6 30" xfId="23884" xr:uid="{00000000-0005-0000-0000-0000505D0000}"/>
    <cellStyle name="Normal 6 30 2" xfId="23885" xr:uid="{00000000-0005-0000-0000-0000515D0000}"/>
    <cellStyle name="Normal 6 31" xfId="23886" xr:uid="{00000000-0005-0000-0000-0000525D0000}"/>
    <cellStyle name="Normal 6 31 2" xfId="23887" xr:uid="{00000000-0005-0000-0000-0000535D0000}"/>
    <cellStyle name="Normal 6 32" xfId="23888" xr:uid="{00000000-0005-0000-0000-0000545D0000}"/>
    <cellStyle name="Normal 6 32 2" xfId="23889" xr:uid="{00000000-0005-0000-0000-0000555D0000}"/>
    <cellStyle name="Normal 6 33" xfId="23890" xr:uid="{00000000-0005-0000-0000-0000565D0000}"/>
    <cellStyle name="Normal 6 33 2" xfId="23891" xr:uid="{00000000-0005-0000-0000-0000575D0000}"/>
    <cellStyle name="Normal 6 34" xfId="23892" xr:uid="{00000000-0005-0000-0000-0000585D0000}"/>
    <cellStyle name="Normal 6 34 2" xfId="23893" xr:uid="{00000000-0005-0000-0000-0000595D0000}"/>
    <cellStyle name="Normal 6 35" xfId="23894" xr:uid="{00000000-0005-0000-0000-00005A5D0000}"/>
    <cellStyle name="Normal 6 35 2" xfId="23895" xr:uid="{00000000-0005-0000-0000-00005B5D0000}"/>
    <cellStyle name="Normal 6 36" xfId="23896" xr:uid="{00000000-0005-0000-0000-00005C5D0000}"/>
    <cellStyle name="Normal 6 36 2" xfId="23897" xr:uid="{00000000-0005-0000-0000-00005D5D0000}"/>
    <cellStyle name="Normal 6 37" xfId="23898" xr:uid="{00000000-0005-0000-0000-00005E5D0000}"/>
    <cellStyle name="Normal 6 37 2" xfId="23899" xr:uid="{00000000-0005-0000-0000-00005F5D0000}"/>
    <cellStyle name="Normal 6 38" xfId="23900" xr:uid="{00000000-0005-0000-0000-0000605D0000}"/>
    <cellStyle name="Normal 6 38 2" xfId="23901" xr:uid="{00000000-0005-0000-0000-0000615D0000}"/>
    <cellStyle name="Normal 6 39" xfId="23902" xr:uid="{00000000-0005-0000-0000-0000625D0000}"/>
    <cellStyle name="Normal 6 39 2" xfId="23903" xr:uid="{00000000-0005-0000-0000-0000635D0000}"/>
    <cellStyle name="Normal 6 4" xfId="23904" xr:uid="{00000000-0005-0000-0000-0000645D0000}"/>
    <cellStyle name="Normal 6 4 2" xfId="23905" xr:uid="{00000000-0005-0000-0000-0000655D0000}"/>
    <cellStyle name="Normal 6 40" xfId="23906" xr:uid="{00000000-0005-0000-0000-0000665D0000}"/>
    <cellStyle name="Normal 6 40 2" xfId="23907" xr:uid="{00000000-0005-0000-0000-0000675D0000}"/>
    <cellStyle name="Normal 6 41" xfId="23908" xr:uid="{00000000-0005-0000-0000-0000685D0000}"/>
    <cellStyle name="Normal 6 41 2" xfId="23909" xr:uid="{00000000-0005-0000-0000-0000695D0000}"/>
    <cellStyle name="Normal 6 42" xfId="23910" xr:uid="{00000000-0005-0000-0000-00006A5D0000}"/>
    <cellStyle name="Normal 6 42 2" xfId="23911" xr:uid="{00000000-0005-0000-0000-00006B5D0000}"/>
    <cellStyle name="Normal 6 43" xfId="23912" xr:uid="{00000000-0005-0000-0000-00006C5D0000}"/>
    <cellStyle name="Normal 6 43 2" xfId="23913" xr:uid="{00000000-0005-0000-0000-00006D5D0000}"/>
    <cellStyle name="Normal 6 44" xfId="23914" xr:uid="{00000000-0005-0000-0000-00006E5D0000}"/>
    <cellStyle name="Normal 6 44 2" xfId="23915" xr:uid="{00000000-0005-0000-0000-00006F5D0000}"/>
    <cellStyle name="Normal 6 45" xfId="23916" xr:uid="{00000000-0005-0000-0000-0000705D0000}"/>
    <cellStyle name="Normal 6 45 2" xfId="23917" xr:uid="{00000000-0005-0000-0000-0000715D0000}"/>
    <cellStyle name="Normal 6 46" xfId="23918" xr:uid="{00000000-0005-0000-0000-0000725D0000}"/>
    <cellStyle name="Normal 6 46 2" xfId="23919" xr:uid="{00000000-0005-0000-0000-0000735D0000}"/>
    <cellStyle name="Normal 6 47" xfId="23920" xr:uid="{00000000-0005-0000-0000-0000745D0000}"/>
    <cellStyle name="Normal 6 47 2" xfId="23921" xr:uid="{00000000-0005-0000-0000-0000755D0000}"/>
    <cellStyle name="Normal 6 48" xfId="23922" xr:uid="{00000000-0005-0000-0000-0000765D0000}"/>
    <cellStyle name="Normal 6 48 2" xfId="23923" xr:uid="{00000000-0005-0000-0000-0000775D0000}"/>
    <cellStyle name="Normal 6 49" xfId="23924" xr:uid="{00000000-0005-0000-0000-0000785D0000}"/>
    <cellStyle name="Normal 6 49 2" xfId="23925" xr:uid="{00000000-0005-0000-0000-0000795D0000}"/>
    <cellStyle name="Normal 6 5" xfId="23926" xr:uid="{00000000-0005-0000-0000-00007A5D0000}"/>
    <cellStyle name="Normal 6 5 2" xfId="23927" xr:uid="{00000000-0005-0000-0000-00007B5D0000}"/>
    <cellStyle name="Normal 6 50" xfId="23928" xr:uid="{00000000-0005-0000-0000-00007C5D0000}"/>
    <cellStyle name="Normal 6 50 2" xfId="23929" xr:uid="{00000000-0005-0000-0000-00007D5D0000}"/>
    <cellStyle name="Normal 6 51" xfId="23930" xr:uid="{00000000-0005-0000-0000-00007E5D0000}"/>
    <cellStyle name="Normal 6 51 2" xfId="23931" xr:uid="{00000000-0005-0000-0000-00007F5D0000}"/>
    <cellStyle name="Normal 6 52" xfId="23932" xr:uid="{00000000-0005-0000-0000-0000805D0000}"/>
    <cellStyle name="Normal 6 52 2" xfId="23933" xr:uid="{00000000-0005-0000-0000-0000815D0000}"/>
    <cellStyle name="Normal 6 53" xfId="23934" xr:uid="{00000000-0005-0000-0000-0000825D0000}"/>
    <cellStyle name="Normal 6 53 2" xfId="23935" xr:uid="{00000000-0005-0000-0000-0000835D0000}"/>
    <cellStyle name="Normal 6 54" xfId="23936" xr:uid="{00000000-0005-0000-0000-0000845D0000}"/>
    <cellStyle name="Normal 6 54 2" xfId="23937" xr:uid="{00000000-0005-0000-0000-0000855D0000}"/>
    <cellStyle name="Normal 6 55" xfId="23938" xr:uid="{00000000-0005-0000-0000-0000865D0000}"/>
    <cellStyle name="Normal 6 55 2" xfId="23939" xr:uid="{00000000-0005-0000-0000-0000875D0000}"/>
    <cellStyle name="Normal 6 56" xfId="23940" xr:uid="{00000000-0005-0000-0000-0000885D0000}"/>
    <cellStyle name="Normal 6 56 2" xfId="23941" xr:uid="{00000000-0005-0000-0000-0000895D0000}"/>
    <cellStyle name="Normal 6 57" xfId="23942" xr:uid="{00000000-0005-0000-0000-00008A5D0000}"/>
    <cellStyle name="Normal 6 57 2" xfId="23943" xr:uid="{00000000-0005-0000-0000-00008B5D0000}"/>
    <cellStyle name="Normal 6 58" xfId="23944" xr:uid="{00000000-0005-0000-0000-00008C5D0000}"/>
    <cellStyle name="Normal 6 58 2" xfId="23945" xr:uid="{00000000-0005-0000-0000-00008D5D0000}"/>
    <cellStyle name="Normal 6 59" xfId="23946" xr:uid="{00000000-0005-0000-0000-00008E5D0000}"/>
    <cellStyle name="Normal 6 59 2" xfId="23947" xr:uid="{00000000-0005-0000-0000-00008F5D0000}"/>
    <cellStyle name="Normal 6 6" xfId="23948" xr:uid="{00000000-0005-0000-0000-0000905D0000}"/>
    <cellStyle name="Normal 6 6 2" xfId="23949" xr:uid="{00000000-0005-0000-0000-0000915D0000}"/>
    <cellStyle name="Normal 6 60" xfId="23950" xr:uid="{00000000-0005-0000-0000-0000925D0000}"/>
    <cellStyle name="Normal 6 60 2" xfId="23951" xr:uid="{00000000-0005-0000-0000-0000935D0000}"/>
    <cellStyle name="Normal 6 61" xfId="23952" xr:uid="{00000000-0005-0000-0000-0000945D0000}"/>
    <cellStyle name="Normal 6 61 2" xfId="23953" xr:uid="{00000000-0005-0000-0000-0000955D0000}"/>
    <cellStyle name="Normal 6 62" xfId="23954" xr:uid="{00000000-0005-0000-0000-0000965D0000}"/>
    <cellStyle name="Normal 6 62 2" xfId="23955" xr:uid="{00000000-0005-0000-0000-0000975D0000}"/>
    <cellStyle name="Normal 6 63" xfId="23956" xr:uid="{00000000-0005-0000-0000-0000985D0000}"/>
    <cellStyle name="Normal 6 63 2" xfId="23957" xr:uid="{00000000-0005-0000-0000-0000995D0000}"/>
    <cellStyle name="Normal 6 64" xfId="23958" xr:uid="{00000000-0005-0000-0000-00009A5D0000}"/>
    <cellStyle name="Normal 6 64 2" xfId="23959" xr:uid="{00000000-0005-0000-0000-00009B5D0000}"/>
    <cellStyle name="Normal 6 65" xfId="23960" xr:uid="{00000000-0005-0000-0000-00009C5D0000}"/>
    <cellStyle name="Normal 6 65 2" xfId="23961" xr:uid="{00000000-0005-0000-0000-00009D5D0000}"/>
    <cellStyle name="Normal 6 66" xfId="23962" xr:uid="{00000000-0005-0000-0000-00009E5D0000}"/>
    <cellStyle name="Normal 6 66 2" xfId="23963" xr:uid="{00000000-0005-0000-0000-00009F5D0000}"/>
    <cellStyle name="Normal 6 67" xfId="23964" xr:uid="{00000000-0005-0000-0000-0000A05D0000}"/>
    <cellStyle name="Normal 6 67 2" xfId="23965" xr:uid="{00000000-0005-0000-0000-0000A15D0000}"/>
    <cellStyle name="Normal 6 68" xfId="23966" xr:uid="{00000000-0005-0000-0000-0000A25D0000}"/>
    <cellStyle name="Normal 6 68 2" xfId="23967" xr:uid="{00000000-0005-0000-0000-0000A35D0000}"/>
    <cellStyle name="Normal 6 69" xfId="23968" xr:uid="{00000000-0005-0000-0000-0000A45D0000}"/>
    <cellStyle name="Normal 6 69 2" xfId="23969" xr:uid="{00000000-0005-0000-0000-0000A55D0000}"/>
    <cellStyle name="Normal 6 7" xfId="23970" xr:uid="{00000000-0005-0000-0000-0000A65D0000}"/>
    <cellStyle name="Normal 6 7 2" xfId="23971" xr:uid="{00000000-0005-0000-0000-0000A75D0000}"/>
    <cellStyle name="Normal 6 70" xfId="23972" xr:uid="{00000000-0005-0000-0000-0000A85D0000}"/>
    <cellStyle name="Normal 6 70 2" xfId="23973" xr:uid="{00000000-0005-0000-0000-0000A95D0000}"/>
    <cellStyle name="Normal 6 71" xfId="1" xr:uid="{00000000-0005-0000-0000-0000AA5D0000}"/>
    <cellStyle name="Normal 6 72" xfId="23974" xr:uid="{00000000-0005-0000-0000-0000AB5D0000}"/>
    <cellStyle name="Normal 6 8" xfId="23975" xr:uid="{00000000-0005-0000-0000-0000AC5D0000}"/>
    <cellStyle name="Normal 6 8 2" xfId="23976" xr:uid="{00000000-0005-0000-0000-0000AD5D0000}"/>
    <cellStyle name="Normal 6 9" xfId="23977" xr:uid="{00000000-0005-0000-0000-0000AE5D0000}"/>
    <cellStyle name="Normal 6 9 2" xfId="23978" xr:uid="{00000000-0005-0000-0000-0000AF5D0000}"/>
    <cellStyle name="Normal 60" xfId="23979" xr:uid="{00000000-0005-0000-0000-0000B05D0000}"/>
    <cellStyle name="Normal 60 2" xfId="23980" xr:uid="{00000000-0005-0000-0000-0000B15D0000}"/>
    <cellStyle name="Normal 61" xfId="23981" xr:uid="{00000000-0005-0000-0000-0000B25D0000}"/>
    <cellStyle name="Normal 61 2" xfId="23982" xr:uid="{00000000-0005-0000-0000-0000B35D0000}"/>
    <cellStyle name="Normal 62" xfId="23983" xr:uid="{00000000-0005-0000-0000-0000B45D0000}"/>
    <cellStyle name="Normal 62 2" xfId="23984" xr:uid="{00000000-0005-0000-0000-0000B55D0000}"/>
    <cellStyle name="Normal 63" xfId="23985" xr:uid="{00000000-0005-0000-0000-0000B65D0000}"/>
    <cellStyle name="Normal 63 2" xfId="23986" xr:uid="{00000000-0005-0000-0000-0000B75D0000}"/>
    <cellStyle name="Normal 64" xfId="23987" xr:uid="{00000000-0005-0000-0000-0000B85D0000}"/>
    <cellStyle name="Normal 64 2" xfId="23988" xr:uid="{00000000-0005-0000-0000-0000B95D0000}"/>
    <cellStyle name="Normal 65" xfId="23989" xr:uid="{00000000-0005-0000-0000-0000BA5D0000}"/>
    <cellStyle name="Normal 65 2" xfId="23990" xr:uid="{00000000-0005-0000-0000-0000BB5D0000}"/>
    <cellStyle name="Normal 66" xfId="23991" xr:uid="{00000000-0005-0000-0000-0000BC5D0000}"/>
    <cellStyle name="Normal 66 2" xfId="23992" xr:uid="{00000000-0005-0000-0000-0000BD5D0000}"/>
    <cellStyle name="Normal 67" xfId="23993" xr:uid="{00000000-0005-0000-0000-0000BE5D0000}"/>
    <cellStyle name="Normal 67 2" xfId="23994" xr:uid="{00000000-0005-0000-0000-0000BF5D0000}"/>
    <cellStyle name="Normal 68" xfId="23995" xr:uid="{00000000-0005-0000-0000-0000C05D0000}"/>
    <cellStyle name="Normal 68 2" xfId="23996" xr:uid="{00000000-0005-0000-0000-0000C15D0000}"/>
    <cellStyle name="Normal 69" xfId="23997" xr:uid="{00000000-0005-0000-0000-0000C25D0000}"/>
    <cellStyle name="Normal 69 2" xfId="23998" xr:uid="{00000000-0005-0000-0000-0000C35D0000}"/>
    <cellStyle name="Normal 7" xfId="23999" xr:uid="{00000000-0005-0000-0000-0000C45D0000}"/>
    <cellStyle name="Normal 7 10" xfId="24000" xr:uid="{00000000-0005-0000-0000-0000C55D0000}"/>
    <cellStyle name="Normal 7 10 2" xfId="24001" xr:uid="{00000000-0005-0000-0000-0000C65D0000}"/>
    <cellStyle name="Normal 7 11" xfId="24002" xr:uid="{00000000-0005-0000-0000-0000C75D0000}"/>
    <cellStyle name="Normal 7 11 2" xfId="24003" xr:uid="{00000000-0005-0000-0000-0000C85D0000}"/>
    <cellStyle name="Normal 7 12" xfId="24004" xr:uid="{00000000-0005-0000-0000-0000C95D0000}"/>
    <cellStyle name="Normal 7 12 2" xfId="24005" xr:uid="{00000000-0005-0000-0000-0000CA5D0000}"/>
    <cellStyle name="Normal 7 13" xfId="24006" xr:uid="{00000000-0005-0000-0000-0000CB5D0000}"/>
    <cellStyle name="Normal 7 13 2" xfId="24007" xr:uid="{00000000-0005-0000-0000-0000CC5D0000}"/>
    <cellStyle name="Normal 7 14" xfId="24008" xr:uid="{00000000-0005-0000-0000-0000CD5D0000}"/>
    <cellStyle name="Normal 7 14 2" xfId="24009" xr:uid="{00000000-0005-0000-0000-0000CE5D0000}"/>
    <cellStyle name="Normal 7 15" xfId="24010" xr:uid="{00000000-0005-0000-0000-0000CF5D0000}"/>
    <cellStyle name="Normal 7 15 2" xfId="24011" xr:uid="{00000000-0005-0000-0000-0000D05D0000}"/>
    <cellStyle name="Normal 7 16" xfId="24012" xr:uid="{00000000-0005-0000-0000-0000D15D0000}"/>
    <cellStyle name="Normal 7 16 2" xfId="24013" xr:uid="{00000000-0005-0000-0000-0000D25D0000}"/>
    <cellStyle name="Normal 7 17" xfId="24014" xr:uid="{00000000-0005-0000-0000-0000D35D0000}"/>
    <cellStyle name="Normal 7 17 2" xfId="24015" xr:uid="{00000000-0005-0000-0000-0000D45D0000}"/>
    <cellStyle name="Normal 7 18" xfId="24016" xr:uid="{00000000-0005-0000-0000-0000D55D0000}"/>
    <cellStyle name="Normal 7 18 2" xfId="24017" xr:uid="{00000000-0005-0000-0000-0000D65D0000}"/>
    <cellStyle name="Normal 7 19" xfId="24018" xr:uid="{00000000-0005-0000-0000-0000D75D0000}"/>
    <cellStyle name="Normal 7 19 2" xfId="24019" xr:uid="{00000000-0005-0000-0000-0000D85D0000}"/>
    <cellStyle name="Normal 7 2" xfId="24020" xr:uid="{00000000-0005-0000-0000-0000D95D0000}"/>
    <cellStyle name="Normal 7 2 2" xfId="24021" xr:uid="{00000000-0005-0000-0000-0000DA5D0000}"/>
    <cellStyle name="Normal 7 2 2 2" xfId="24022" xr:uid="{00000000-0005-0000-0000-0000DB5D0000}"/>
    <cellStyle name="Normal 7 2 2 2 2" xfId="24023" xr:uid="{00000000-0005-0000-0000-0000DC5D0000}"/>
    <cellStyle name="Normal 7 2 2 3" xfId="24024" xr:uid="{00000000-0005-0000-0000-0000DD5D0000}"/>
    <cellStyle name="Normal 7 2 3" xfId="24025" xr:uid="{00000000-0005-0000-0000-0000DE5D0000}"/>
    <cellStyle name="Normal 7 2 3 2" xfId="24026" xr:uid="{00000000-0005-0000-0000-0000DF5D0000}"/>
    <cellStyle name="Normal 7 2 4" xfId="24027" xr:uid="{00000000-0005-0000-0000-0000E05D0000}"/>
    <cellStyle name="Normal 7 20" xfId="24028" xr:uid="{00000000-0005-0000-0000-0000E15D0000}"/>
    <cellStyle name="Normal 7 20 2" xfId="24029" xr:uid="{00000000-0005-0000-0000-0000E25D0000}"/>
    <cellStyle name="Normal 7 21" xfId="24030" xr:uid="{00000000-0005-0000-0000-0000E35D0000}"/>
    <cellStyle name="Normal 7 21 2" xfId="24031" xr:uid="{00000000-0005-0000-0000-0000E45D0000}"/>
    <cellStyle name="Normal 7 22" xfId="24032" xr:uid="{00000000-0005-0000-0000-0000E55D0000}"/>
    <cellStyle name="Normal 7 22 2" xfId="24033" xr:uid="{00000000-0005-0000-0000-0000E65D0000}"/>
    <cellStyle name="Normal 7 23" xfId="24034" xr:uid="{00000000-0005-0000-0000-0000E75D0000}"/>
    <cellStyle name="Normal 7 23 2" xfId="24035" xr:uid="{00000000-0005-0000-0000-0000E85D0000}"/>
    <cellStyle name="Normal 7 24" xfId="24036" xr:uid="{00000000-0005-0000-0000-0000E95D0000}"/>
    <cellStyle name="Normal 7 24 2" xfId="24037" xr:uid="{00000000-0005-0000-0000-0000EA5D0000}"/>
    <cellStyle name="Normal 7 25" xfId="24038" xr:uid="{00000000-0005-0000-0000-0000EB5D0000}"/>
    <cellStyle name="Normal 7 25 2" xfId="24039" xr:uid="{00000000-0005-0000-0000-0000EC5D0000}"/>
    <cellStyle name="Normal 7 26" xfId="24040" xr:uid="{00000000-0005-0000-0000-0000ED5D0000}"/>
    <cellStyle name="Normal 7 26 2" xfId="24041" xr:uid="{00000000-0005-0000-0000-0000EE5D0000}"/>
    <cellStyle name="Normal 7 27" xfId="24042" xr:uid="{00000000-0005-0000-0000-0000EF5D0000}"/>
    <cellStyle name="Normal 7 27 2" xfId="24043" xr:uid="{00000000-0005-0000-0000-0000F05D0000}"/>
    <cellStyle name="Normal 7 28" xfId="24044" xr:uid="{00000000-0005-0000-0000-0000F15D0000}"/>
    <cellStyle name="Normal 7 28 2" xfId="24045" xr:uid="{00000000-0005-0000-0000-0000F25D0000}"/>
    <cellStyle name="Normal 7 29" xfId="24046" xr:uid="{00000000-0005-0000-0000-0000F35D0000}"/>
    <cellStyle name="Normal 7 29 2" xfId="24047" xr:uid="{00000000-0005-0000-0000-0000F45D0000}"/>
    <cellStyle name="Normal 7 3" xfId="24048" xr:uid="{00000000-0005-0000-0000-0000F55D0000}"/>
    <cellStyle name="Normal 7 3 2" xfId="24049" xr:uid="{00000000-0005-0000-0000-0000F65D0000}"/>
    <cellStyle name="Normal 7 3 2 2" xfId="24050" xr:uid="{00000000-0005-0000-0000-0000F75D0000}"/>
    <cellStyle name="Normal 7 3 3" xfId="24051" xr:uid="{00000000-0005-0000-0000-0000F85D0000}"/>
    <cellStyle name="Normal 7 30" xfId="24052" xr:uid="{00000000-0005-0000-0000-0000F95D0000}"/>
    <cellStyle name="Normal 7 30 2" xfId="24053" xr:uid="{00000000-0005-0000-0000-0000FA5D0000}"/>
    <cellStyle name="Normal 7 31" xfId="24054" xr:uid="{00000000-0005-0000-0000-0000FB5D0000}"/>
    <cellStyle name="Normal 7 31 2" xfId="24055" xr:uid="{00000000-0005-0000-0000-0000FC5D0000}"/>
    <cellStyle name="Normal 7 32" xfId="24056" xr:uid="{00000000-0005-0000-0000-0000FD5D0000}"/>
    <cellStyle name="Normal 7 32 2" xfId="24057" xr:uid="{00000000-0005-0000-0000-0000FE5D0000}"/>
    <cellStyle name="Normal 7 33" xfId="24058" xr:uid="{00000000-0005-0000-0000-0000FF5D0000}"/>
    <cellStyle name="Normal 7 33 2" xfId="24059" xr:uid="{00000000-0005-0000-0000-0000005E0000}"/>
    <cellStyle name="Normal 7 34" xfId="24060" xr:uid="{00000000-0005-0000-0000-0000015E0000}"/>
    <cellStyle name="Normal 7 34 2" xfId="24061" xr:uid="{00000000-0005-0000-0000-0000025E0000}"/>
    <cellStyle name="Normal 7 35" xfId="24062" xr:uid="{00000000-0005-0000-0000-0000035E0000}"/>
    <cellStyle name="Normal 7 35 2" xfId="24063" xr:uid="{00000000-0005-0000-0000-0000045E0000}"/>
    <cellStyle name="Normal 7 36" xfId="24064" xr:uid="{00000000-0005-0000-0000-0000055E0000}"/>
    <cellStyle name="Normal 7 36 2" xfId="24065" xr:uid="{00000000-0005-0000-0000-0000065E0000}"/>
    <cellStyle name="Normal 7 37" xfId="24066" xr:uid="{00000000-0005-0000-0000-0000075E0000}"/>
    <cellStyle name="Normal 7 37 2" xfId="24067" xr:uid="{00000000-0005-0000-0000-0000085E0000}"/>
    <cellStyle name="Normal 7 38" xfId="24068" xr:uid="{00000000-0005-0000-0000-0000095E0000}"/>
    <cellStyle name="Normal 7 38 2" xfId="24069" xr:uid="{00000000-0005-0000-0000-00000A5E0000}"/>
    <cellStyle name="Normal 7 39" xfId="24070" xr:uid="{00000000-0005-0000-0000-00000B5E0000}"/>
    <cellStyle name="Normal 7 39 2" xfId="24071" xr:uid="{00000000-0005-0000-0000-00000C5E0000}"/>
    <cellStyle name="Normal 7 4" xfId="24072" xr:uid="{00000000-0005-0000-0000-00000D5E0000}"/>
    <cellStyle name="Normal 7 4 2" xfId="24073" xr:uid="{00000000-0005-0000-0000-00000E5E0000}"/>
    <cellStyle name="Normal 7 40" xfId="24074" xr:uid="{00000000-0005-0000-0000-00000F5E0000}"/>
    <cellStyle name="Normal 7 40 2" xfId="24075" xr:uid="{00000000-0005-0000-0000-0000105E0000}"/>
    <cellStyle name="Normal 7 41" xfId="24076" xr:uid="{00000000-0005-0000-0000-0000115E0000}"/>
    <cellStyle name="Normal 7 41 2" xfId="24077" xr:uid="{00000000-0005-0000-0000-0000125E0000}"/>
    <cellStyle name="Normal 7 42" xfId="24078" xr:uid="{00000000-0005-0000-0000-0000135E0000}"/>
    <cellStyle name="Normal 7 42 2" xfId="24079" xr:uid="{00000000-0005-0000-0000-0000145E0000}"/>
    <cellStyle name="Normal 7 43" xfId="24080" xr:uid="{00000000-0005-0000-0000-0000155E0000}"/>
    <cellStyle name="Normal 7 43 2" xfId="24081" xr:uid="{00000000-0005-0000-0000-0000165E0000}"/>
    <cellStyle name="Normal 7 44" xfId="24082" xr:uid="{00000000-0005-0000-0000-0000175E0000}"/>
    <cellStyle name="Normal 7 44 2" xfId="24083" xr:uid="{00000000-0005-0000-0000-0000185E0000}"/>
    <cellStyle name="Normal 7 45" xfId="24084" xr:uid="{00000000-0005-0000-0000-0000195E0000}"/>
    <cellStyle name="Normal 7 45 2" xfId="24085" xr:uid="{00000000-0005-0000-0000-00001A5E0000}"/>
    <cellStyle name="Normal 7 46" xfId="24086" xr:uid="{00000000-0005-0000-0000-00001B5E0000}"/>
    <cellStyle name="Normal 7 46 2" xfId="24087" xr:uid="{00000000-0005-0000-0000-00001C5E0000}"/>
    <cellStyle name="Normal 7 47" xfId="24088" xr:uid="{00000000-0005-0000-0000-00001D5E0000}"/>
    <cellStyle name="Normal 7 47 2" xfId="24089" xr:uid="{00000000-0005-0000-0000-00001E5E0000}"/>
    <cellStyle name="Normal 7 48" xfId="24090" xr:uid="{00000000-0005-0000-0000-00001F5E0000}"/>
    <cellStyle name="Normal 7 48 2" xfId="24091" xr:uid="{00000000-0005-0000-0000-0000205E0000}"/>
    <cellStyle name="Normal 7 49" xfId="24092" xr:uid="{00000000-0005-0000-0000-0000215E0000}"/>
    <cellStyle name="Normal 7 49 2" xfId="24093" xr:uid="{00000000-0005-0000-0000-0000225E0000}"/>
    <cellStyle name="Normal 7 5" xfId="24094" xr:uid="{00000000-0005-0000-0000-0000235E0000}"/>
    <cellStyle name="Normal 7 5 2" xfId="24095" xr:uid="{00000000-0005-0000-0000-0000245E0000}"/>
    <cellStyle name="Normal 7 50" xfId="24096" xr:uid="{00000000-0005-0000-0000-0000255E0000}"/>
    <cellStyle name="Normal 7 50 2" xfId="24097" xr:uid="{00000000-0005-0000-0000-0000265E0000}"/>
    <cellStyle name="Normal 7 51" xfId="24098" xr:uid="{00000000-0005-0000-0000-0000275E0000}"/>
    <cellStyle name="Normal 7 51 2" xfId="24099" xr:uid="{00000000-0005-0000-0000-0000285E0000}"/>
    <cellStyle name="Normal 7 52" xfId="24100" xr:uid="{00000000-0005-0000-0000-0000295E0000}"/>
    <cellStyle name="Normal 7 52 2" xfId="24101" xr:uid="{00000000-0005-0000-0000-00002A5E0000}"/>
    <cellStyle name="Normal 7 53" xfId="24102" xr:uid="{00000000-0005-0000-0000-00002B5E0000}"/>
    <cellStyle name="Normal 7 53 2" xfId="24103" xr:uid="{00000000-0005-0000-0000-00002C5E0000}"/>
    <cellStyle name="Normal 7 54" xfId="24104" xr:uid="{00000000-0005-0000-0000-00002D5E0000}"/>
    <cellStyle name="Normal 7 54 2" xfId="24105" xr:uid="{00000000-0005-0000-0000-00002E5E0000}"/>
    <cellStyle name="Normal 7 55" xfId="24106" xr:uid="{00000000-0005-0000-0000-00002F5E0000}"/>
    <cellStyle name="Normal 7 55 2" xfId="24107" xr:uid="{00000000-0005-0000-0000-0000305E0000}"/>
    <cellStyle name="Normal 7 56" xfId="24108" xr:uid="{00000000-0005-0000-0000-0000315E0000}"/>
    <cellStyle name="Normal 7 56 2" xfId="24109" xr:uid="{00000000-0005-0000-0000-0000325E0000}"/>
    <cellStyle name="Normal 7 57" xfId="24110" xr:uid="{00000000-0005-0000-0000-0000335E0000}"/>
    <cellStyle name="Normal 7 57 2" xfId="24111" xr:uid="{00000000-0005-0000-0000-0000345E0000}"/>
    <cellStyle name="Normal 7 58" xfId="24112" xr:uid="{00000000-0005-0000-0000-0000355E0000}"/>
    <cellStyle name="Normal 7 58 2" xfId="24113" xr:uid="{00000000-0005-0000-0000-0000365E0000}"/>
    <cellStyle name="Normal 7 59" xfId="24114" xr:uid="{00000000-0005-0000-0000-0000375E0000}"/>
    <cellStyle name="Normal 7 59 2" xfId="24115" xr:uid="{00000000-0005-0000-0000-0000385E0000}"/>
    <cellStyle name="Normal 7 6" xfId="24116" xr:uid="{00000000-0005-0000-0000-0000395E0000}"/>
    <cellStyle name="Normal 7 6 2" xfId="24117" xr:uid="{00000000-0005-0000-0000-00003A5E0000}"/>
    <cellStyle name="Normal 7 60" xfId="24118" xr:uid="{00000000-0005-0000-0000-00003B5E0000}"/>
    <cellStyle name="Normal 7 60 2" xfId="24119" xr:uid="{00000000-0005-0000-0000-00003C5E0000}"/>
    <cellStyle name="Normal 7 61" xfId="24120" xr:uid="{00000000-0005-0000-0000-00003D5E0000}"/>
    <cellStyle name="Normal 7 61 2" xfId="24121" xr:uid="{00000000-0005-0000-0000-00003E5E0000}"/>
    <cellStyle name="Normal 7 62" xfId="24122" xr:uid="{00000000-0005-0000-0000-00003F5E0000}"/>
    <cellStyle name="Normal 7 62 2" xfId="24123" xr:uid="{00000000-0005-0000-0000-0000405E0000}"/>
    <cellStyle name="Normal 7 63" xfId="24124" xr:uid="{00000000-0005-0000-0000-0000415E0000}"/>
    <cellStyle name="Normal 7 63 2" xfId="24125" xr:uid="{00000000-0005-0000-0000-0000425E0000}"/>
    <cellStyle name="Normal 7 64" xfId="24126" xr:uid="{00000000-0005-0000-0000-0000435E0000}"/>
    <cellStyle name="Normal 7 64 2" xfId="24127" xr:uid="{00000000-0005-0000-0000-0000445E0000}"/>
    <cellStyle name="Normal 7 65" xfId="24128" xr:uid="{00000000-0005-0000-0000-0000455E0000}"/>
    <cellStyle name="Normal 7 65 2" xfId="24129" xr:uid="{00000000-0005-0000-0000-0000465E0000}"/>
    <cellStyle name="Normal 7 66" xfId="24130" xr:uid="{00000000-0005-0000-0000-0000475E0000}"/>
    <cellStyle name="Normal 7 66 2" xfId="24131" xr:uid="{00000000-0005-0000-0000-0000485E0000}"/>
    <cellStyle name="Normal 7 67" xfId="24132" xr:uid="{00000000-0005-0000-0000-0000495E0000}"/>
    <cellStyle name="Normal 7 67 2" xfId="24133" xr:uid="{00000000-0005-0000-0000-00004A5E0000}"/>
    <cellStyle name="Normal 7 68" xfId="24134" xr:uid="{00000000-0005-0000-0000-00004B5E0000}"/>
    <cellStyle name="Normal 7 68 2" xfId="24135" xr:uid="{00000000-0005-0000-0000-00004C5E0000}"/>
    <cellStyle name="Normal 7 69" xfId="24136" xr:uid="{00000000-0005-0000-0000-00004D5E0000}"/>
    <cellStyle name="Normal 7 69 2" xfId="24137" xr:uid="{00000000-0005-0000-0000-00004E5E0000}"/>
    <cellStyle name="Normal 7 7" xfId="24138" xr:uid="{00000000-0005-0000-0000-00004F5E0000}"/>
    <cellStyle name="Normal 7 7 2" xfId="24139" xr:uid="{00000000-0005-0000-0000-0000505E0000}"/>
    <cellStyle name="Normal 7 70" xfId="24140" xr:uid="{00000000-0005-0000-0000-0000515E0000}"/>
    <cellStyle name="Normal 7 70 2" xfId="24141" xr:uid="{00000000-0005-0000-0000-0000525E0000}"/>
    <cellStyle name="Normal 7 71" xfId="24142" xr:uid="{00000000-0005-0000-0000-0000535E0000}"/>
    <cellStyle name="Normal 7 8" xfId="24143" xr:uid="{00000000-0005-0000-0000-0000545E0000}"/>
    <cellStyle name="Normal 7 8 2" xfId="24144" xr:uid="{00000000-0005-0000-0000-0000555E0000}"/>
    <cellStyle name="Normal 7 9" xfId="24145" xr:uid="{00000000-0005-0000-0000-0000565E0000}"/>
    <cellStyle name="Normal 7 9 2" xfId="24146" xr:uid="{00000000-0005-0000-0000-0000575E0000}"/>
    <cellStyle name="Normal 70" xfId="24147" xr:uid="{00000000-0005-0000-0000-0000585E0000}"/>
    <cellStyle name="Normal 70 2" xfId="24148" xr:uid="{00000000-0005-0000-0000-0000595E0000}"/>
    <cellStyle name="Normal 71" xfId="24149" xr:uid="{00000000-0005-0000-0000-00005A5E0000}"/>
    <cellStyle name="Normal 71 2" xfId="24150" xr:uid="{00000000-0005-0000-0000-00005B5E0000}"/>
    <cellStyle name="Normal 72" xfId="24151" xr:uid="{00000000-0005-0000-0000-00005C5E0000}"/>
    <cellStyle name="Normal 72 2" xfId="24152" xr:uid="{00000000-0005-0000-0000-00005D5E0000}"/>
    <cellStyle name="Normal 73" xfId="24153" xr:uid="{00000000-0005-0000-0000-00005E5E0000}"/>
    <cellStyle name="Normal 74" xfId="24154" xr:uid="{00000000-0005-0000-0000-00005F5E0000}"/>
    <cellStyle name="Normal 75" xfId="24155" xr:uid="{00000000-0005-0000-0000-0000605E0000}"/>
    <cellStyle name="Normal 76" xfId="24156" xr:uid="{00000000-0005-0000-0000-0000615E0000}"/>
    <cellStyle name="Normal 77" xfId="24157" xr:uid="{00000000-0005-0000-0000-0000625E0000}"/>
    <cellStyle name="Normal 78" xfId="24158" xr:uid="{00000000-0005-0000-0000-0000635E0000}"/>
    <cellStyle name="Normal 79" xfId="24159" xr:uid="{00000000-0005-0000-0000-0000645E0000}"/>
    <cellStyle name="Normal 8" xfId="24160" xr:uid="{00000000-0005-0000-0000-0000655E0000}"/>
    <cellStyle name="Normal 8 2" xfId="24161" xr:uid="{00000000-0005-0000-0000-0000665E0000}"/>
    <cellStyle name="Normal 8 2 2" xfId="24162" xr:uid="{00000000-0005-0000-0000-0000675E0000}"/>
    <cellStyle name="Normal 8 3" xfId="24163" xr:uid="{00000000-0005-0000-0000-0000685E0000}"/>
    <cellStyle name="Normal 8 3 2" xfId="24164" xr:uid="{00000000-0005-0000-0000-0000695E0000}"/>
    <cellStyle name="Normal 8 4" xfId="24165" xr:uid="{00000000-0005-0000-0000-00006A5E0000}"/>
    <cellStyle name="Normal 80" xfId="24166" xr:uid="{00000000-0005-0000-0000-00006B5E0000}"/>
    <cellStyle name="Normal 81" xfId="24167" xr:uid="{00000000-0005-0000-0000-00006C5E0000}"/>
    <cellStyle name="Normal 82" xfId="24168" xr:uid="{00000000-0005-0000-0000-00006D5E0000}"/>
    <cellStyle name="Normal 83" xfId="24169" xr:uid="{00000000-0005-0000-0000-00006E5E0000}"/>
    <cellStyle name="Normal 84" xfId="24170" xr:uid="{00000000-0005-0000-0000-00006F5E0000}"/>
    <cellStyle name="Normal 85" xfId="24171" xr:uid="{00000000-0005-0000-0000-0000705E0000}"/>
    <cellStyle name="Normal 86" xfId="24172" xr:uid="{00000000-0005-0000-0000-0000715E0000}"/>
    <cellStyle name="Normal 87" xfId="24173" xr:uid="{00000000-0005-0000-0000-0000725E0000}"/>
    <cellStyle name="Normal 88" xfId="24174" xr:uid="{00000000-0005-0000-0000-0000735E0000}"/>
    <cellStyle name="Normal 89" xfId="24175" xr:uid="{00000000-0005-0000-0000-0000745E0000}"/>
    <cellStyle name="Normal 9" xfId="24176" xr:uid="{00000000-0005-0000-0000-0000755E0000}"/>
    <cellStyle name="Normal 9 2" xfId="24177" xr:uid="{00000000-0005-0000-0000-0000765E0000}"/>
    <cellStyle name="Normal 9 2 2" xfId="24178" xr:uid="{00000000-0005-0000-0000-0000775E0000}"/>
    <cellStyle name="Normal 9 2 2 2" xfId="24179" xr:uid="{00000000-0005-0000-0000-0000785E0000}"/>
    <cellStyle name="Normal 9 2 3" xfId="24180" xr:uid="{00000000-0005-0000-0000-0000795E0000}"/>
    <cellStyle name="Normal 9 2 3 2" xfId="24181" xr:uid="{00000000-0005-0000-0000-00007A5E0000}"/>
    <cellStyle name="Normal 9 2 4" xfId="24182" xr:uid="{00000000-0005-0000-0000-00007B5E0000}"/>
    <cellStyle name="Normal 9 3" xfId="24183" xr:uid="{00000000-0005-0000-0000-00007C5E0000}"/>
    <cellStyle name="Normal 9 3 2" xfId="24184" xr:uid="{00000000-0005-0000-0000-00007D5E0000}"/>
    <cellStyle name="Normal 9 4" xfId="24185" xr:uid="{00000000-0005-0000-0000-00007E5E0000}"/>
    <cellStyle name="Normal 9 4 2" xfId="24186" xr:uid="{00000000-0005-0000-0000-00007F5E0000}"/>
    <cellStyle name="Normal 9 5" xfId="24187" xr:uid="{00000000-0005-0000-0000-0000805E0000}"/>
    <cellStyle name="Normal 90" xfId="24188" xr:uid="{00000000-0005-0000-0000-0000815E0000}"/>
    <cellStyle name="Normal 91" xfId="24189" xr:uid="{00000000-0005-0000-0000-0000825E0000}"/>
    <cellStyle name="Normal 92" xfId="24190" xr:uid="{00000000-0005-0000-0000-0000835E0000}"/>
    <cellStyle name="Normal 93" xfId="24191" xr:uid="{00000000-0005-0000-0000-0000845E0000}"/>
    <cellStyle name="Normal 94" xfId="24192" xr:uid="{00000000-0005-0000-0000-0000855E0000}"/>
    <cellStyle name="Normal 95" xfId="24193" xr:uid="{00000000-0005-0000-0000-0000865E0000}"/>
    <cellStyle name="Normal 96" xfId="24194" xr:uid="{00000000-0005-0000-0000-0000875E0000}"/>
    <cellStyle name="Normal 97" xfId="24195" xr:uid="{00000000-0005-0000-0000-0000885E0000}"/>
    <cellStyle name="Normal 98" xfId="24196" xr:uid="{00000000-0005-0000-0000-0000895E0000}"/>
    <cellStyle name="Normal 99" xfId="24197" xr:uid="{00000000-0005-0000-0000-00008A5E0000}"/>
    <cellStyle name="Normal Bold" xfId="24198" xr:uid="{00000000-0005-0000-0000-00008B5E0000}"/>
    <cellStyle name="Normal Figures" xfId="24199" xr:uid="{00000000-0005-0000-0000-00008C5E0000}"/>
    <cellStyle name="Normal Pct" xfId="24200" xr:uid="{00000000-0005-0000-0000-00008D5E0000}"/>
    <cellStyle name="Normal2" xfId="24201" xr:uid="{00000000-0005-0000-0000-00008E5E0000}"/>
    <cellStyle name="Normale_Foglio1" xfId="24202" xr:uid="{00000000-0005-0000-0000-00008F5E0000}"/>
    <cellStyle name="Normalny_12" xfId="24203" xr:uid="{00000000-0005-0000-0000-0000905E0000}"/>
    <cellStyle name="Nota" xfId="24204" xr:uid="{00000000-0005-0000-0000-0000915E0000}"/>
    <cellStyle name="Nota 10" xfId="24205" xr:uid="{00000000-0005-0000-0000-0000925E0000}"/>
    <cellStyle name="Nota 11" xfId="24206" xr:uid="{00000000-0005-0000-0000-0000935E0000}"/>
    <cellStyle name="Nota 12" xfId="24207" xr:uid="{00000000-0005-0000-0000-0000945E0000}"/>
    <cellStyle name="Nota 13" xfId="24208" xr:uid="{00000000-0005-0000-0000-0000955E0000}"/>
    <cellStyle name="Nota 14" xfId="24209" xr:uid="{00000000-0005-0000-0000-0000965E0000}"/>
    <cellStyle name="Nota 15" xfId="24210" xr:uid="{00000000-0005-0000-0000-0000975E0000}"/>
    <cellStyle name="Nota 16" xfId="24211" xr:uid="{00000000-0005-0000-0000-0000985E0000}"/>
    <cellStyle name="Nota 17" xfId="24212" xr:uid="{00000000-0005-0000-0000-0000995E0000}"/>
    <cellStyle name="Nota 18" xfId="24213" xr:uid="{00000000-0005-0000-0000-00009A5E0000}"/>
    <cellStyle name="Nota 19" xfId="24214" xr:uid="{00000000-0005-0000-0000-00009B5E0000}"/>
    <cellStyle name="Nota 2" xfId="24215" xr:uid="{00000000-0005-0000-0000-00009C5E0000}"/>
    <cellStyle name="Nota 2 10" xfId="24216" xr:uid="{00000000-0005-0000-0000-00009D5E0000}"/>
    <cellStyle name="Nota 2 11" xfId="24217" xr:uid="{00000000-0005-0000-0000-00009E5E0000}"/>
    <cellStyle name="Nota 2 12" xfId="24218" xr:uid="{00000000-0005-0000-0000-00009F5E0000}"/>
    <cellStyle name="Nota 2 13" xfId="24219" xr:uid="{00000000-0005-0000-0000-0000A05E0000}"/>
    <cellStyle name="Nota 2 14" xfId="24220" xr:uid="{00000000-0005-0000-0000-0000A15E0000}"/>
    <cellStyle name="Nota 2 15" xfId="24221" xr:uid="{00000000-0005-0000-0000-0000A25E0000}"/>
    <cellStyle name="Nota 2 16" xfId="24222" xr:uid="{00000000-0005-0000-0000-0000A35E0000}"/>
    <cellStyle name="Nota 2 17" xfId="24223" xr:uid="{00000000-0005-0000-0000-0000A45E0000}"/>
    <cellStyle name="Nota 2 18" xfId="24224" xr:uid="{00000000-0005-0000-0000-0000A55E0000}"/>
    <cellStyle name="Nota 2 19" xfId="24225" xr:uid="{00000000-0005-0000-0000-0000A65E0000}"/>
    <cellStyle name="Nota 2 2" xfId="24226" xr:uid="{00000000-0005-0000-0000-0000A75E0000}"/>
    <cellStyle name="Nota 2 2 2" xfId="24227" xr:uid="{00000000-0005-0000-0000-0000A85E0000}"/>
    <cellStyle name="Nota 2 2 2 2" xfId="24228" xr:uid="{00000000-0005-0000-0000-0000A95E0000}"/>
    <cellStyle name="Nota 2 2 2 3" xfId="24229" xr:uid="{00000000-0005-0000-0000-0000AA5E0000}"/>
    <cellStyle name="Nota 2 2 3" xfId="24230" xr:uid="{00000000-0005-0000-0000-0000AB5E0000}"/>
    <cellStyle name="Nota 2 2 3 2" xfId="24231" xr:uid="{00000000-0005-0000-0000-0000AC5E0000}"/>
    <cellStyle name="Nota 2 2 3 3" xfId="24232" xr:uid="{00000000-0005-0000-0000-0000AD5E0000}"/>
    <cellStyle name="Nota 2 2 4" xfId="24233" xr:uid="{00000000-0005-0000-0000-0000AE5E0000}"/>
    <cellStyle name="Nota 2 2 5" xfId="24234" xr:uid="{00000000-0005-0000-0000-0000AF5E0000}"/>
    <cellStyle name="Nota 2 20" xfId="24235" xr:uid="{00000000-0005-0000-0000-0000B05E0000}"/>
    <cellStyle name="Nota 2 21" xfId="24236" xr:uid="{00000000-0005-0000-0000-0000B15E0000}"/>
    <cellStyle name="Nota 2 22" xfId="24237" xr:uid="{00000000-0005-0000-0000-0000B25E0000}"/>
    <cellStyle name="Nota 2 23" xfId="24238" xr:uid="{00000000-0005-0000-0000-0000B35E0000}"/>
    <cellStyle name="Nota 2 24" xfId="24239" xr:uid="{00000000-0005-0000-0000-0000B45E0000}"/>
    <cellStyle name="Nota 2 25" xfId="24240" xr:uid="{00000000-0005-0000-0000-0000B55E0000}"/>
    <cellStyle name="Nota 2 26" xfId="24241" xr:uid="{00000000-0005-0000-0000-0000B65E0000}"/>
    <cellStyle name="Nota 2 27" xfId="24242" xr:uid="{00000000-0005-0000-0000-0000B75E0000}"/>
    <cellStyle name="Nota 2 28" xfId="24243" xr:uid="{00000000-0005-0000-0000-0000B85E0000}"/>
    <cellStyle name="Nota 2 29" xfId="24244" xr:uid="{00000000-0005-0000-0000-0000B95E0000}"/>
    <cellStyle name="Nota 2 3" xfId="24245" xr:uid="{00000000-0005-0000-0000-0000BA5E0000}"/>
    <cellStyle name="Nota 2 3 2" xfId="24246" xr:uid="{00000000-0005-0000-0000-0000BB5E0000}"/>
    <cellStyle name="Nota 2 3 2 2" xfId="24247" xr:uid="{00000000-0005-0000-0000-0000BC5E0000}"/>
    <cellStyle name="Nota 2 3 2 3" xfId="24248" xr:uid="{00000000-0005-0000-0000-0000BD5E0000}"/>
    <cellStyle name="Nota 2 3 3" xfId="24249" xr:uid="{00000000-0005-0000-0000-0000BE5E0000}"/>
    <cellStyle name="Nota 2 3 3 2" xfId="24250" xr:uid="{00000000-0005-0000-0000-0000BF5E0000}"/>
    <cellStyle name="Nota 2 3 3 3" xfId="24251" xr:uid="{00000000-0005-0000-0000-0000C05E0000}"/>
    <cellStyle name="Nota 2 3 4" xfId="24252" xr:uid="{00000000-0005-0000-0000-0000C15E0000}"/>
    <cellStyle name="Nota 2 3 5" xfId="24253" xr:uid="{00000000-0005-0000-0000-0000C25E0000}"/>
    <cellStyle name="Nota 2 30" xfId="24254" xr:uid="{00000000-0005-0000-0000-0000C35E0000}"/>
    <cellStyle name="Nota 2 31" xfId="24255" xr:uid="{00000000-0005-0000-0000-0000C45E0000}"/>
    <cellStyle name="Nota 2 32" xfId="24256" xr:uid="{00000000-0005-0000-0000-0000C55E0000}"/>
    <cellStyle name="Nota 2 33" xfId="24257" xr:uid="{00000000-0005-0000-0000-0000C65E0000}"/>
    <cellStyle name="Nota 2 34" xfId="24258" xr:uid="{00000000-0005-0000-0000-0000C75E0000}"/>
    <cellStyle name="Nota 2 35" xfId="24259" xr:uid="{00000000-0005-0000-0000-0000C85E0000}"/>
    <cellStyle name="Nota 2 4" xfId="24260" xr:uid="{00000000-0005-0000-0000-0000C95E0000}"/>
    <cellStyle name="Nota 2 4 2" xfId="24261" xr:uid="{00000000-0005-0000-0000-0000CA5E0000}"/>
    <cellStyle name="Nota 2 4 3" xfId="24262" xr:uid="{00000000-0005-0000-0000-0000CB5E0000}"/>
    <cellStyle name="Nota 2 5" xfId="24263" xr:uid="{00000000-0005-0000-0000-0000CC5E0000}"/>
    <cellStyle name="Nota 2 5 2" xfId="24264" xr:uid="{00000000-0005-0000-0000-0000CD5E0000}"/>
    <cellStyle name="Nota 2 5 3" xfId="24265" xr:uid="{00000000-0005-0000-0000-0000CE5E0000}"/>
    <cellStyle name="Nota 2 6" xfId="24266" xr:uid="{00000000-0005-0000-0000-0000CF5E0000}"/>
    <cellStyle name="Nota 2 7" xfId="24267" xr:uid="{00000000-0005-0000-0000-0000D05E0000}"/>
    <cellStyle name="Nota 2 8" xfId="24268" xr:uid="{00000000-0005-0000-0000-0000D15E0000}"/>
    <cellStyle name="Nota 2 9" xfId="24269" xr:uid="{00000000-0005-0000-0000-0000D25E0000}"/>
    <cellStyle name="Nota 20" xfId="24270" xr:uid="{00000000-0005-0000-0000-0000D35E0000}"/>
    <cellStyle name="Nota 21" xfId="24271" xr:uid="{00000000-0005-0000-0000-0000D45E0000}"/>
    <cellStyle name="Nota 22" xfId="24272" xr:uid="{00000000-0005-0000-0000-0000D55E0000}"/>
    <cellStyle name="Nota 23" xfId="24273" xr:uid="{00000000-0005-0000-0000-0000D65E0000}"/>
    <cellStyle name="Nota 24" xfId="24274" xr:uid="{00000000-0005-0000-0000-0000D75E0000}"/>
    <cellStyle name="Nota 25" xfId="24275" xr:uid="{00000000-0005-0000-0000-0000D85E0000}"/>
    <cellStyle name="Nota 26" xfId="24276" xr:uid="{00000000-0005-0000-0000-0000D95E0000}"/>
    <cellStyle name="Nota 27" xfId="24277" xr:uid="{00000000-0005-0000-0000-0000DA5E0000}"/>
    <cellStyle name="Nota 28" xfId="24278" xr:uid="{00000000-0005-0000-0000-0000DB5E0000}"/>
    <cellStyle name="Nota 29" xfId="24279" xr:uid="{00000000-0005-0000-0000-0000DC5E0000}"/>
    <cellStyle name="Nota 3" xfId="24280" xr:uid="{00000000-0005-0000-0000-0000DD5E0000}"/>
    <cellStyle name="Nota 3 2" xfId="24281" xr:uid="{00000000-0005-0000-0000-0000DE5E0000}"/>
    <cellStyle name="Nota 3 3" xfId="24282" xr:uid="{00000000-0005-0000-0000-0000DF5E0000}"/>
    <cellStyle name="Nota 30" xfId="24283" xr:uid="{00000000-0005-0000-0000-0000E05E0000}"/>
    <cellStyle name="Nota 31" xfId="24284" xr:uid="{00000000-0005-0000-0000-0000E15E0000}"/>
    <cellStyle name="Nota 32" xfId="24285" xr:uid="{00000000-0005-0000-0000-0000E25E0000}"/>
    <cellStyle name="Nota 33" xfId="24286" xr:uid="{00000000-0005-0000-0000-0000E35E0000}"/>
    <cellStyle name="Nota 34" xfId="24287" xr:uid="{00000000-0005-0000-0000-0000E45E0000}"/>
    <cellStyle name="Nota 4" xfId="24288" xr:uid="{00000000-0005-0000-0000-0000E55E0000}"/>
    <cellStyle name="Nota 4 2" xfId="24289" xr:uid="{00000000-0005-0000-0000-0000E65E0000}"/>
    <cellStyle name="Nota 4 3" xfId="24290" xr:uid="{00000000-0005-0000-0000-0000E75E0000}"/>
    <cellStyle name="Nota 5" xfId="24291" xr:uid="{00000000-0005-0000-0000-0000E85E0000}"/>
    <cellStyle name="Nota 6" xfId="24292" xr:uid="{00000000-0005-0000-0000-0000E95E0000}"/>
    <cellStyle name="Nota 7" xfId="24293" xr:uid="{00000000-0005-0000-0000-0000EA5E0000}"/>
    <cellStyle name="Nota 8" xfId="24294" xr:uid="{00000000-0005-0000-0000-0000EB5E0000}"/>
    <cellStyle name="Nota 9" xfId="24295" xr:uid="{00000000-0005-0000-0000-0000EC5E0000}"/>
    <cellStyle name="Note 10" xfId="24296" xr:uid="{00000000-0005-0000-0000-0000ED5E0000}"/>
    <cellStyle name="Note 10 2" xfId="24297" xr:uid="{00000000-0005-0000-0000-0000EE5E0000}"/>
    <cellStyle name="Note 11" xfId="24298" xr:uid="{00000000-0005-0000-0000-0000EF5E0000}"/>
    <cellStyle name="Note 11 2" xfId="24299" xr:uid="{00000000-0005-0000-0000-0000F05E0000}"/>
    <cellStyle name="Note 12" xfId="24300" xr:uid="{00000000-0005-0000-0000-0000F15E0000}"/>
    <cellStyle name="Note 12 2" xfId="24301" xr:uid="{00000000-0005-0000-0000-0000F25E0000}"/>
    <cellStyle name="Note 13" xfId="24302" xr:uid="{00000000-0005-0000-0000-0000F35E0000}"/>
    <cellStyle name="Note 13 2" xfId="24303" xr:uid="{00000000-0005-0000-0000-0000F45E0000}"/>
    <cellStyle name="Note 14" xfId="24304" xr:uid="{00000000-0005-0000-0000-0000F55E0000}"/>
    <cellStyle name="Note 14 2" xfId="24305" xr:uid="{00000000-0005-0000-0000-0000F65E0000}"/>
    <cellStyle name="Note 15" xfId="24306" xr:uid="{00000000-0005-0000-0000-0000F75E0000}"/>
    <cellStyle name="Note 15 2" xfId="24307" xr:uid="{00000000-0005-0000-0000-0000F85E0000}"/>
    <cellStyle name="Note 16" xfId="24308" xr:uid="{00000000-0005-0000-0000-0000F95E0000}"/>
    <cellStyle name="Note 16 2" xfId="24309" xr:uid="{00000000-0005-0000-0000-0000FA5E0000}"/>
    <cellStyle name="Note 17" xfId="24310" xr:uid="{00000000-0005-0000-0000-0000FB5E0000}"/>
    <cellStyle name="Note 17 2" xfId="24311" xr:uid="{00000000-0005-0000-0000-0000FC5E0000}"/>
    <cellStyle name="Note 18" xfId="24312" xr:uid="{00000000-0005-0000-0000-0000FD5E0000}"/>
    <cellStyle name="Note 18 2" xfId="24313" xr:uid="{00000000-0005-0000-0000-0000FE5E0000}"/>
    <cellStyle name="Note 19" xfId="24314" xr:uid="{00000000-0005-0000-0000-0000FF5E0000}"/>
    <cellStyle name="Note 19 2" xfId="24315" xr:uid="{00000000-0005-0000-0000-0000005F0000}"/>
    <cellStyle name="Note 2" xfId="24316" xr:uid="{00000000-0005-0000-0000-0000015F0000}"/>
    <cellStyle name="Note 2 10" xfId="24317" xr:uid="{00000000-0005-0000-0000-0000025F0000}"/>
    <cellStyle name="Note 2 10 2" xfId="24318" xr:uid="{00000000-0005-0000-0000-0000035F0000}"/>
    <cellStyle name="Note 2 11" xfId="24319" xr:uid="{00000000-0005-0000-0000-0000045F0000}"/>
    <cellStyle name="Note 2 11 2" xfId="24320" xr:uid="{00000000-0005-0000-0000-0000055F0000}"/>
    <cellStyle name="Note 2 12" xfId="24321" xr:uid="{00000000-0005-0000-0000-0000065F0000}"/>
    <cellStyle name="Note 2 12 2" xfId="24322" xr:uid="{00000000-0005-0000-0000-0000075F0000}"/>
    <cellStyle name="Note 2 13" xfId="24323" xr:uid="{00000000-0005-0000-0000-0000085F0000}"/>
    <cellStyle name="Note 2 13 2" xfId="24324" xr:uid="{00000000-0005-0000-0000-0000095F0000}"/>
    <cellStyle name="Note 2 14" xfId="24325" xr:uid="{00000000-0005-0000-0000-00000A5F0000}"/>
    <cellStyle name="Note 2 14 2" xfId="24326" xr:uid="{00000000-0005-0000-0000-00000B5F0000}"/>
    <cellStyle name="Note 2 15" xfId="24327" xr:uid="{00000000-0005-0000-0000-00000C5F0000}"/>
    <cellStyle name="Note 2 15 2" xfId="24328" xr:uid="{00000000-0005-0000-0000-00000D5F0000}"/>
    <cellStyle name="Note 2 16" xfId="24329" xr:uid="{00000000-0005-0000-0000-00000E5F0000}"/>
    <cellStyle name="Note 2 16 2" xfId="24330" xr:uid="{00000000-0005-0000-0000-00000F5F0000}"/>
    <cellStyle name="Note 2 17" xfId="24331" xr:uid="{00000000-0005-0000-0000-0000105F0000}"/>
    <cellStyle name="Note 2 17 2" xfId="24332" xr:uid="{00000000-0005-0000-0000-0000115F0000}"/>
    <cellStyle name="Note 2 18" xfId="24333" xr:uid="{00000000-0005-0000-0000-0000125F0000}"/>
    <cellStyle name="Note 2 18 2" xfId="24334" xr:uid="{00000000-0005-0000-0000-0000135F0000}"/>
    <cellStyle name="Note 2 19" xfId="24335" xr:uid="{00000000-0005-0000-0000-0000145F0000}"/>
    <cellStyle name="Note 2 19 2" xfId="24336" xr:uid="{00000000-0005-0000-0000-0000155F0000}"/>
    <cellStyle name="Note 2 2" xfId="24337" xr:uid="{00000000-0005-0000-0000-0000165F0000}"/>
    <cellStyle name="Note 2 2 10" xfId="24338" xr:uid="{00000000-0005-0000-0000-0000175F0000}"/>
    <cellStyle name="Note 2 2 11" xfId="24339" xr:uid="{00000000-0005-0000-0000-0000185F0000}"/>
    <cellStyle name="Note 2 2 12" xfId="24340" xr:uid="{00000000-0005-0000-0000-0000195F0000}"/>
    <cellStyle name="Note 2 2 13" xfId="24341" xr:uid="{00000000-0005-0000-0000-00001A5F0000}"/>
    <cellStyle name="Note 2 2 14" xfId="24342" xr:uid="{00000000-0005-0000-0000-00001B5F0000}"/>
    <cellStyle name="Note 2 2 15" xfId="24343" xr:uid="{00000000-0005-0000-0000-00001C5F0000}"/>
    <cellStyle name="Note 2 2 16" xfId="24344" xr:uid="{00000000-0005-0000-0000-00001D5F0000}"/>
    <cellStyle name="Note 2 2 17" xfId="24345" xr:uid="{00000000-0005-0000-0000-00001E5F0000}"/>
    <cellStyle name="Note 2 2 18" xfId="24346" xr:uid="{00000000-0005-0000-0000-00001F5F0000}"/>
    <cellStyle name="Note 2 2 19" xfId="24347" xr:uid="{00000000-0005-0000-0000-0000205F0000}"/>
    <cellStyle name="Note 2 2 2" xfId="24348" xr:uid="{00000000-0005-0000-0000-0000215F0000}"/>
    <cellStyle name="Note 2 2 2 2" xfId="24349" xr:uid="{00000000-0005-0000-0000-0000225F0000}"/>
    <cellStyle name="Note 2 2 20" xfId="24350" xr:uid="{00000000-0005-0000-0000-0000235F0000}"/>
    <cellStyle name="Note 2 2 21" xfId="24351" xr:uid="{00000000-0005-0000-0000-0000245F0000}"/>
    <cellStyle name="Note 2 2 22" xfId="24352" xr:uid="{00000000-0005-0000-0000-0000255F0000}"/>
    <cellStyle name="Note 2 2 23" xfId="24353" xr:uid="{00000000-0005-0000-0000-0000265F0000}"/>
    <cellStyle name="Note 2 2 24" xfId="24354" xr:uid="{00000000-0005-0000-0000-0000275F0000}"/>
    <cellStyle name="Note 2 2 25" xfId="24355" xr:uid="{00000000-0005-0000-0000-0000285F0000}"/>
    <cellStyle name="Note 2 2 26" xfId="24356" xr:uid="{00000000-0005-0000-0000-0000295F0000}"/>
    <cellStyle name="Note 2 2 27" xfId="24357" xr:uid="{00000000-0005-0000-0000-00002A5F0000}"/>
    <cellStyle name="Note 2 2 28" xfId="24358" xr:uid="{00000000-0005-0000-0000-00002B5F0000}"/>
    <cellStyle name="Note 2 2 29" xfId="24359" xr:uid="{00000000-0005-0000-0000-00002C5F0000}"/>
    <cellStyle name="Note 2 2 3" xfId="24360" xr:uid="{00000000-0005-0000-0000-00002D5F0000}"/>
    <cellStyle name="Note 2 2 3 10" xfId="24361" xr:uid="{00000000-0005-0000-0000-00002E5F0000}"/>
    <cellStyle name="Note 2 2 3 11" xfId="24362" xr:uid="{00000000-0005-0000-0000-00002F5F0000}"/>
    <cellStyle name="Note 2 2 3 12" xfId="24363" xr:uid="{00000000-0005-0000-0000-0000305F0000}"/>
    <cellStyle name="Note 2 2 3 13" xfId="24364" xr:uid="{00000000-0005-0000-0000-0000315F0000}"/>
    <cellStyle name="Note 2 2 3 14" xfId="24365" xr:uid="{00000000-0005-0000-0000-0000325F0000}"/>
    <cellStyle name="Note 2 2 3 15" xfId="24366" xr:uid="{00000000-0005-0000-0000-0000335F0000}"/>
    <cellStyle name="Note 2 2 3 16" xfId="24367" xr:uid="{00000000-0005-0000-0000-0000345F0000}"/>
    <cellStyle name="Note 2 2 3 17" xfId="24368" xr:uid="{00000000-0005-0000-0000-0000355F0000}"/>
    <cellStyle name="Note 2 2 3 18" xfId="24369" xr:uid="{00000000-0005-0000-0000-0000365F0000}"/>
    <cellStyle name="Note 2 2 3 19" xfId="24370" xr:uid="{00000000-0005-0000-0000-0000375F0000}"/>
    <cellStyle name="Note 2 2 3 2" xfId="24371" xr:uid="{00000000-0005-0000-0000-0000385F0000}"/>
    <cellStyle name="Note 2 2 3 2 10" xfId="24372" xr:uid="{00000000-0005-0000-0000-0000395F0000}"/>
    <cellStyle name="Note 2 2 3 2 11" xfId="24373" xr:uid="{00000000-0005-0000-0000-00003A5F0000}"/>
    <cellStyle name="Note 2 2 3 2 12" xfId="24374" xr:uid="{00000000-0005-0000-0000-00003B5F0000}"/>
    <cellStyle name="Note 2 2 3 2 13" xfId="24375" xr:uid="{00000000-0005-0000-0000-00003C5F0000}"/>
    <cellStyle name="Note 2 2 3 2 14" xfId="24376" xr:uid="{00000000-0005-0000-0000-00003D5F0000}"/>
    <cellStyle name="Note 2 2 3 2 15" xfId="24377" xr:uid="{00000000-0005-0000-0000-00003E5F0000}"/>
    <cellStyle name="Note 2 2 3 2 16" xfId="24378" xr:uid="{00000000-0005-0000-0000-00003F5F0000}"/>
    <cellStyle name="Note 2 2 3 2 17" xfId="24379" xr:uid="{00000000-0005-0000-0000-0000405F0000}"/>
    <cellStyle name="Note 2 2 3 2 18" xfId="24380" xr:uid="{00000000-0005-0000-0000-0000415F0000}"/>
    <cellStyle name="Note 2 2 3 2 19" xfId="24381" xr:uid="{00000000-0005-0000-0000-0000425F0000}"/>
    <cellStyle name="Note 2 2 3 2 2" xfId="24382" xr:uid="{00000000-0005-0000-0000-0000435F0000}"/>
    <cellStyle name="Note 2 2 3 2 2 2" xfId="24383" xr:uid="{00000000-0005-0000-0000-0000445F0000}"/>
    <cellStyle name="Note 2 2 3 2 2 2 2" xfId="24384" xr:uid="{00000000-0005-0000-0000-0000455F0000}"/>
    <cellStyle name="Note 2 2 3 2 2 2 3" xfId="24385" xr:uid="{00000000-0005-0000-0000-0000465F0000}"/>
    <cellStyle name="Note 2 2 3 2 2 3" xfId="24386" xr:uid="{00000000-0005-0000-0000-0000475F0000}"/>
    <cellStyle name="Note 2 2 3 2 2 3 2" xfId="24387" xr:uid="{00000000-0005-0000-0000-0000485F0000}"/>
    <cellStyle name="Note 2 2 3 2 2 3 3" xfId="24388" xr:uid="{00000000-0005-0000-0000-0000495F0000}"/>
    <cellStyle name="Note 2 2 3 2 2 4" xfId="24389" xr:uid="{00000000-0005-0000-0000-00004A5F0000}"/>
    <cellStyle name="Note 2 2 3 2 2 5" xfId="24390" xr:uid="{00000000-0005-0000-0000-00004B5F0000}"/>
    <cellStyle name="Note 2 2 3 2 20" xfId="24391" xr:uid="{00000000-0005-0000-0000-00004C5F0000}"/>
    <cellStyle name="Note 2 2 3 2 21" xfId="24392" xr:uid="{00000000-0005-0000-0000-00004D5F0000}"/>
    <cellStyle name="Note 2 2 3 2 22" xfId="24393" xr:uid="{00000000-0005-0000-0000-00004E5F0000}"/>
    <cellStyle name="Note 2 2 3 2 23" xfId="24394" xr:uid="{00000000-0005-0000-0000-00004F5F0000}"/>
    <cellStyle name="Note 2 2 3 2 24" xfId="24395" xr:uid="{00000000-0005-0000-0000-0000505F0000}"/>
    <cellStyle name="Note 2 2 3 2 25" xfId="24396" xr:uid="{00000000-0005-0000-0000-0000515F0000}"/>
    <cellStyle name="Note 2 2 3 2 26" xfId="24397" xr:uid="{00000000-0005-0000-0000-0000525F0000}"/>
    <cellStyle name="Note 2 2 3 2 27" xfId="24398" xr:uid="{00000000-0005-0000-0000-0000535F0000}"/>
    <cellStyle name="Note 2 2 3 2 28" xfId="24399" xr:uid="{00000000-0005-0000-0000-0000545F0000}"/>
    <cellStyle name="Note 2 2 3 2 29" xfId="24400" xr:uid="{00000000-0005-0000-0000-0000555F0000}"/>
    <cellStyle name="Note 2 2 3 2 3" xfId="24401" xr:uid="{00000000-0005-0000-0000-0000565F0000}"/>
    <cellStyle name="Note 2 2 3 2 3 2" xfId="24402" xr:uid="{00000000-0005-0000-0000-0000575F0000}"/>
    <cellStyle name="Note 2 2 3 2 3 2 2" xfId="24403" xr:uid="{00000000-0005-0000-0000-0000585F0000}"/>
    <cellStyle name="Note 2 2 3 2 3 2 3" xfId="24404" xr:uid="{00000000-0005-0000-0000-0000595F0000}"/>
    <cellStyle name="Note 2 2 3 2 3 3" xfId="24405" xr:uid="{00000000-0005-0000-0000-00005A5F0000}"/>
    <cellStyle name="Note 2 2 3 2 3 3 2" xfId="24406" xr:uid="{00000000-0005-0000-0000-00005B5F0000}"/>
    <cellStyle name="Note 2 2 3 2 3 3 3" xfId="24407" xr:uid="{00000000-0005-0000-0000-00005C5F0000}"/>
    <cellStyle name="Note 2 2 3 2 3 4" xfId="24408" xr:uid="{00000000-0005-0000-0000-00005D5F0000}"/>
    <cellStyle name="Note 2 2 3 2 3 5" xfId="24409" xr:uid="{00000000-0005-0000-0000-00005E5F0000}"/>
    <cellStyle name="Note 2 2 3 2 30" xfId="24410" xr:uid="{00000000-0005-0000-0000-00005F5F0000}"/>
    <cellStyle name="Note 2 2 3 2 31" xfId="24411" xr:uid="{00000000-0005-0000-0000-0000605F0000}"/>
    <cellStyle name="Note 2 2 3 2 32" xfId="24412" xr:uid="{00000000-0005-0000-0000-0000615F0000}"/>
    <cellStyle name="Note 2 2 3 2 33" xfId="24413" xr:uid="{00000000-0005-0000-0000-0000625F0000}"/>
    <cellStyle name="Note 2 2 3 2 34" xfId="24414" xr:uid="{00000000-0005-0000-0000-0000635F0000}"/>
    <cellStyle name="Note 2 2 3 2 35" xfId="24415" xr:uid="{00000000-0005-0000-0000-0000645F0000}"/>
    <cellStyle name="Note 2 2 3 2 4" xfId="24416" xr:uid="{00000000-0005-0000-0000-0000655F0000}"/>
    <cellStyle name="Note 2 2 3 2 4 2" xfId="24417" xr:uid="{00000000-0005-0000-0000-0000665F0000}"/>
    <cellStyle name="Note 2 2 3 2 4 3" xfId="24418" xr:uid="{00000000-0005-0000-0000-0000675F0000}"/>
    <cellStyle name="Note 2 2 3 2 5" xfId="24419" xr:uid="{00000000-0005-0000-0000-0000685F0000}"/>
    <cellStyle name="Note 2 2 3 2 5 2" xfId="24420" xr:uid="{00000000-0005-0000-0000-0000695F0000}"/>
    <cellStyle name="Note 2 2 3 2 5 3" xfId="24421" xr:uid="{00000000-0005-0000-0000-00006A5F0000}"/>
    <cellStyle name="Note 2 2 3 2 6" xfId="24422" xr:uid="{00000000-0005-0000-0000-00006B5F0000}"/>
    <cellStyle name="Note 2 2 3 2 7" xfId="24423" xr:uid="{00000000-0005-0000-0000-00006C5F0000}"/>
    <cellStyle name="Note 2 2 3 2 8" xfId="24424" xr:uid="{00000000-0005-0000-0000-00006D5F0000}"/>
    <cellStyle name="Note 2 2 3 2 9" xfId="24425" xr:uid="{00000000-0005-0000-0000-00006E5F0000}"/>
    <cellStyle name="Note 2 2 3 20" xfId="24426" xr:uid="{00000000-0005-0000-0000-00006F5F0000}"/>
    <cellStyle name="Note 2 2 3 21" xfId="24427" xr:uid="{00000000-0005-0000-0000-0000705F0000}"/>
    <cellStyle name="Note 2 2 3 22" xfId="24428" xr:uid="{00000000-0005-0000-0000-0000715F0000}"/>
    <cellStyle name="Note 2 2 3 23" xfId="24429" xr:uid="{00000000-0005-0000-0000-0000725F0000}"/>
    <cellStyle name="Note 2 2 3 24" xfId="24430" xr:uid="{00000000-0005-0000-0000-0000735F0000}"/>
    <cellStyle name="Note 2 2 3 25" xfId="24431" xr:uid="{00000000-0005-0000-0000-0000745F0000}"/>
    <cellStyle name="Note 2 2 3 26" xfId="24432" xr:uid="{00000000-0005-0000-0000-0000755F0000}"/>
    <cellStyle name="Note 2 2 3 27" xfId="24433" xr:uid="{00000000-0005-0000-0000-0000765F0000}"/>
    <cellStyle name="Note 2 2 3 28" xfId="24434" xr:uid="{00000000-0005-0000-0000-0000775F0000}"/>
    <cellStyle name="Note 2 2 3 29" xfId="24435" xr:uid="{00000000-0005-0000-0000-0000785F0000}"/>
    <cellStyle name="Note 2 2 3 3" xfId="24436" xr:uid="{00000000-0005-0000-0000-0000795F0000}"/>
    <cellStyle name="Note 2 2 3 3 2" xfId="24437" xr:uid="{00000000-0005-0000-0000-00007A5F0000}"/>
    <cellStyle name="Note 2 2 3 3 3" xfId="24438" xr:uid="{00000000-0005-0000-0000-00007B5F0000}"/>
    <cellStyle name="Note 2 2 3 30" xfId="24439" xr:uid="{00000000-0005-0000-0000-00007C5F0000}"/>
    <cellStyle name="Note 2 2 3 31" xfId="24440" xr:uid="{00000000-0005-0000-0000-00007D5F0000}"/>
    <cellStyle name="Note 2 2 3 32" xfId="24441" xr:uid="{00000000-0005-0000-0000-00007E5F0000}"/>
    <cellStyle name="Note 2 2 3 33" xfId="24442" xr:uid="{00000000-0005-0000-0000-00007F5F0000}"/>
    <cellStyle name="Note 2 2 3 34" xfId="24443" xr:uid="{00000000-0005-0000-0000-0000805F0000}"/>
    <cellStyle name="Note 2 2 3 4" xfId="24444" xr:uid="{00000000-0005-0000-0000-0000815F0000}"/>
    <cellStyle name="Note 2 2 3 4 2" xfId="24445" xr:uid="{00000000-0005-0000-0000-0000825F0000}"/>
    <cellStyle name="Note 2 2 3 4 3" xfId="24446" xr:uid="{00000000-0005-0000-0000-0000835F0000}"/>
    <cellStyle name="Note 2 2 3 5" xfId="24447" xr:uid="{00000000-0005-0000-0000-0000845F0000}"/>
    <cellStyle name="Note 2 2 3 6" xfId="24448" xr:uid="{00000000-0005-0000-0000-0000855F0000}"/>
    <cellStyle name="Note 2 2 3 7" xfId="24449" xr:uid="{00000000-0005-0000-0000-0000865F0000}"/>
    <cellStyle name="Note 2 2 3 8" xfId="24450" xr:uid="{00000000-0005-0000-0000-0000875F0000}"/>
    <cellStyle name="Note 2 2 3 9" xfId="24451" xr:uid="{00000000-0005-0000-0000-0000885F0000}"/>
    <cellStyle name="Note 2 2 30" xfId="24452" xr:uid="{00000000-0005-0000-0000-0000895F0000}"/>
    <cellStyle name="Note 2 2 31" xfId="24453" xr:uid="{00000000-0005-0000-0000-00008A5F0000}"/>
    <cellStyle name="Note 2 2 32" xfId="24454" xr:uid="{00000000-0005-0000-0000-00008B5F0000}"/>
    <cellStyle name="Note 2 2 33" xfId="24455" xr:uid="{00000000-0005-0000-0000-00008C5F0000}"/>
    <cellStyle name="Note 2 2 34" xfId="24456" xr:uid="{00000000-0005-0000-0000-00008D5F0000}"/>
    <cellStyle name="Note 2 2 35" xfId="24457" xr:uid="{00000000-0005-0000-0000-00008E5F0000}"/>
    <cellStyle name="Note 2 2 36" xfId="24458" xr:uid="{00000000-0005-0000-0000-00008F5F0000}"/>
    <cellStyle name="Note 2 2 4" xfId="24459" xr:uid="{00000000-0005-0000-0000-0000905F0000}"/>
    <cellStyle name="Note 2 2 4 10" xfId="24460" xr:uid="{00000000-0005-0000-0000-0000915F0000}"/>
    <cellStyle name="Note 2 2 4 11" xfId="24461" xr:uid="{00000000-0005-0000-0000-0000925F0000}"/>
    <cellStyle name="Note 2 2 4 12" xfId="24462" xr:uid="{00000000-0005-0000-0000-0000935F0000}"/>
    <cellStyle name="Note 2 2 4 13" xfId="24463" xr:uid="{00000000-0005-0000-0000-0000945F0000}"/>
    <cellStyle name="Note 2 2 4 14" xfId="24464" xr:uid="{00000000-0005-0000-0000-0000955F0000}"/>
    <cellStyle name="Note 2 2 4 15" xfId="24465" xr:uid="{00000000-0005-0000-0000-0000965F0000}"/>
    <cellStyle name="Note 2 2 4 16" xfId="24466" xr:uid="{00000000-0005-0000-0000-0000975F0000}"/>
    <cellStyle name="Note 2 2 4 17" xfId="24467" xr:uid="{00000000-0005-0000-0000-0000985F0000}"/>
    <cellStyle name="Note 2 2 4 18" xfId="24468" xr:uid="{00000000-0005-0000-0000-0000995F0000}"/>
    <cellStyle name="Note 2 2 4 19" xfId="24469" xr:uid="{00000000-0005-0000-0000-00009A5F0000}"/>
    <cellStyle name="Note 2 2 4 2" xfId="24470" xr:uid="{00000000-0005-0000-0000-00009B5F0000}"/>
    <cellStyle name="Note 2 2 4 2 2" xfId="24471" xr:uid="{00000000-0005-0000-0000-00009C5F0000}"/>
    <cellStyle name="Note 2 2 4 2 2 2" xfId="24472" xr:uid="{00000000-0005-0000-0000-00009D5F0000}"/>
    <cellStyle name="Note 2 2 4 2 2 3" xfId="24473" xr:uid="{00000000-0005-0000-0000-00009E5F0000}"/>
    <cellStyle name="Note 2 2 4 2 3" xfId="24474" xr:uid="{00000000-0005-0000-0000-00009F5F0000}"/>
    <cellStyle name="Note 2 2 4 2 3 2" xfId="24475" xr:uid="{00000000-0005-0000-0000-0000A05F0000}"/>
    <cellStyle name="Note 2 2 4 2 3 3" xfId="24476" xr:uid="{00000000-0005-0000-0000-0000A15F0000}"/>
    <cellStyle name="Note 2 2 4 2 4" xfId="24477" xr:uid="{00000000-0005-0000-0000-0000A25F0000}"/>
    <cellStyle name="Note 2 2 4 2 5" xfId="24478" xr:uid="{00000000-0005-0000-0000-0000A35F0000}"/>
    <cellStyle name="Note 2 2 4 20" xfId="24479" xr:uid="{00000000-0005-0000-0000-0000A45F0000}"/>
    <cellStyle name="Note 2 2 4 21" xfId="24480" xr:uid="{00000000-0005-0000-0000-0000A55F0000}"/>
    <cellStyle name="Note 2 2 4 22" xfId="24481" xr:uid="{00000000-0005-0000-0000-0000A65F0000}"/>
    <cellStyle name="Note 2 2 4 23" xfId="24482" xr:uid="{00000000-0005-0000-0000-0000A75F0000}"/>
    <cellStyle name="Note 2 2 4 24" xfId="24483" xr:uid="{00000000-0005-0000-0000-0000A85F0000}"/>
    <cellStyle name="Note 2 2 4 25" xfId="24484" xr:uid="{00000000-0005-0000-0000-0000A95F0000}"/>
    <cellStyle name="Note 2 2 4 26" xfId="24485" xr:uid="{00000000-0005-0000-0000-0000AA5F0000}"/>
    <cellStyle name="Note 2 2 4 27" xfId="24486" xr:uid="{00000000-0005-0000-0000-0000AB5F0000}"/>
    <cellStyle name="Note 2 2 4 28" xfId="24487" xr:uid="{00000000-0005-0000-0000-0000AC5F0000}"/>
    <cellStyle name="Note 2 2 4 29" xfId="24488" xr:uid="{00000000-0005-0000-0000-0000AD5F0000}"/>
    <cellStyle name="Note 2 2 4 3" xfId="24489" xr:uid="{00000000-0005-0000-0000-0000AE5F0000}"/>
    <cellStyle name="Note 2 2 4 3 2" xfId="24490" xr:uid="{00000000-0005-0000-0000-0000AF5F0000}"/>
    <cellStyle name="Note 2 2 4 3 2 2" xfId="24491" xr:uid="{00000000-0005-0000-0000-0000B05F0000}"/>
    <cellStyle name="Note 2 2 4 3 2 3" xfId="24492" xr:uid="{00000000-0005-0000-0000-0000B15F0000}"/>
    <cellStyle name="Note 2 2 4 3 3" xfId="24493" xr:uid="{00000000-0005-0000-0000-0000B25F0000}"/>
    <cellStyle name="Note 2 2 4 3 3 2" xfId="24494" xr:uid="{00000000-0005-0000-0000-0000B35F0000}"/>
    <cellStyle name="Note 2 2 4 3 3 3" xfId="24495" xr:uid="{00000000-0005-0000-0000-0000B45F0000}"/>
    <cellStyle name="Note 2 2 4 3 4" xfId="24496" xr:uid="{00000000-0005-0000-0000-0000B55F0000}"/>
    <cellStyle name="Note 2 2 4 3 5" xfId="24497" xr:uid="{00000000-0005-0000-0000-0000B65F0000}"/>
    <cellStyle name="Note 2 2 4 30" xfId="24498" xr:uid="{00000000-0005-0000-0000-0000B75F0000}"/>
    <cellStyle name="Note 2 2 4 31" xfId="24499" xr:uid="{00000000-0005-0000-0000-0000B85F0000}"/>
    <cellStyle name="Note 2 2 4 32" xfId="24500" xr:uid="{00000000-0005-0000-0000-0000B95F0000}"/>
    <cellStyle name="Note 2 2 4 33" xfId="24501" xr:uid="{00000000-0005-0000-0000-0000BA5F0000}"/>
    <cellStyle name="Note 2 2 4 34" xfId="24502" xr:uid="{00000000-0005-0000-0000-0000BB5F0000}"/>
    <cellStyle name="Note 2 2 4 35" xfId="24503" xr:uid="{00000000-0005-0000-0000-0000BC5F0000}"/>
    <cellStyle name="Note 2 2 4 4" xfId="24504" xr:uid="{00000000-0005-0000-0000-0000BD5F0000}"/>
    <cellStyle name="Note 2 2 4 4 2" xfId="24505" xr:uid="{00000000-0005-0000-0000-0000BE5F0000}"/>
    <cellStyle name="Note 2 2 4 4 3" xfId="24506" xr:uid="{00000000-0005-0000-0000-0000BF5F0000}"/>
    <cellStyle name="Note 2 2 4 5" xfId="24507" xr:uid="{00000000-0005-0000-0000-0000C05F0000}"/>
    <cellStyle name="Note 2 2 4 5 2" xfId="24508" xr:uid="{00000000-0005-0000-0000-0000C15F0000}"/>
    <cellStyle name="Note 2 2 4 5 3" xfId="24509" xr:uid="{00000000-0005-0000-0000-0000C25F0000}"/>
    <cellStyle name="Note 2 2 4 6" xfId="24510" xr:uid="{00000000-0005-0000-0000-0000C35F0000}"/>
    <cellStyle name="Note 2 2 4 7" xfId="24511" xr:uid="{00000000-0005-0000-0000-0000C45F0000}"/>
    <cellStyle name="Note 2 2 4 8" xfId="24512" xr:uid="{00000000-0005-0000-0000-0000C55F0000}"/>
    <cellStyle name="Note 2 2 4 9" xfId="24513" xr:uid="{00000000-0005-0000-0000-0000C65F0000}"/>
    <cellStyle name="Note 2 2 5" xfId="24514" xr:uid="{00000000-0005-0000-0000-0000C75F0000}"/>
    <cellStyle name="Note 2 2 5 2" xfId="24515" xr:uid="{00000000-0005-0000-0000-0000C85F0000}"/>
    <cellStyle name="Note 2 2 5 3" xfId="24516" xr:uid="{00000000-0005-0000-0000-0000C95F0000}"/>
    <cellStyle name="Note 2 2 6" xfId="24517" xr:uid="{00000000-0005-0000-0000-0000CA5F0000}"/>
    <cellStyle name="Note 2 2 6 2" xfId="24518" xr:uid="{00000000-0005-0000-0000-0000CB5F0000}"/>
    <cellStyle name="Note 2 2 6 3" xfId="24519" xr:uid="{00000000-0005-0000-0000-0000CC5F0000}"/>
    <cellStyle name="Note 2 2 7" xfId="24520" xr:uid="{00000000-0005-0000-0000-0000CD5F0000}"/>
    <cellStyle name="Note 2 2 8" xfId="24521" xr:uid="{00000000-0005-0000-0000-0000CE5F0000}"/>
    <cellStyle name="Note 2 2 9" xfId="24522" xr:uid="{00000000-0005-0000-0000-0000CF5F0000}"/>
    <cellStyle name="Note 2 20" xfId="24523" xr:uid="{00000000-0005-0000-0000-0000D05F0000}"/>
    <cellStyle name="Note 2 20 10" xfId="24524" xr:uid="{00000000-0005-0000-0000-0000D15F0000}"/>
    <cellStyle name="Note 2 20 11" xfId="24525" xr:uid="{00000000-0005-0000-0000-0000D25F0000}"/>
    <cellStyle name="Note 2 20 12" xfId="24526" xr:uid="{00000000-0005-0000-0000-0000D35F0000}"/>
    <cellStyle name="Note 2 20 13" xfId="24527" xr:uid="{00000000-0005-0000-0000-0000D45F0000}"/>
    <cellStyle name="Note 2 20 14" xfId="24528" xr:uid="{00000000-0005-0000-0000-0000D55F0000}"/>
    <cellStyle name="Note 2 20 15" xfId="24529" xr:uid="{00000000-0005-0000-0000-0000D65F0000}"/>
    <cellStyle name="Note 2 20 16" xfId="24530" xr:uid="{00000000-0005-0000-0000-0000D75F0000}"/>
    <cellStyle name="Note 2 20 17" xfId="24531" xr:uid="{00000000-0005-0000-0000-0000D85F0000}"/>
    <cellStyle name="Note 2 20 18" xfId="24532" xr:uid="{00000000-0005-0000-0000-0000D95F0000}"/>
    <cellStyle name="Note 2 20 19" xfId="24533" xr:uid="{00000000-0005-0000-0000-0000DA5F0000}"/>
    <cellStyle name="Note 2 20 2" xfId="24534" xr:uid="{00000000-0005-0000-0000-0000DB5F0000}"/>
    <cellStyle name="Note 2 20 2 10" xfId="24535" xr:uid="{00000000-0005-0000-0000-0000DC5F0000}"/>
    <cellStyle name="Note 2 20 2 11" xfId="24536" xr:uid="{00000000-0005-0000-0000-0000DD5F0000}"/>
    <cellStyle name="Note 2 20 2 12" xfId="24537" xr:uid="{00000000-0005-0000-0000-0000DE5F0000}"/>
    <cellStyle name="Note 2 20 2 13" xfId="24538" xr:uid="{00000000-0005-0000-0000-0000DF5F0000}"/>
    <cellStyle name="Note 2 20 2 14" xfId="24539" xr:uid="{00000000-0005-0000-0000-0000E05F0000}"/>
    <cellStyle name="Note 2 20 2 15" xfId="24540" xr:uid="{00000000-0005-0000-0000-0000E15F0000}"/>
    <cellStyle name="Note 2 20 2 16" xfId="24541" xr:uid="{00000000-0005-0000-0000-0000E25F0000}"/>
    <cellStyle name="Note 2 20 2 17" xfId="24542" xr:uid="{00000000-0005-0000-0000-0000E35F0000}"/>
    <cellStyle name="Note 2 20 2 18" xfId="24543" xr:uid="{00000000-0005-0000-0000-0000E45F0000}"/>
    <cellStyle name="Note 2 20 2 19" xfId="24544" xr:uid="{00000000-0005-0000-0000-0000E55F0000}"/>
    <cellStyle name="Note 2 20 2 2" xfId="24545" xr:uid="{00000000-0005-0000-0000-0000E65F0000}"/>
    <cellStyle name="Note 2 20 2 2 2" xfId="24546" xr:uid="{00000000-0005-0000-0000-0000E75F0000}"/>
    <cellStyle name="Note 2 20 2 2 2 2" xfId="24547" xr:uid="{00000000-0005-0000-0000-0000E85F0000}"/>
    <cellStyle name="Note 2 20 2 2 2 3" xfId="24548" xr:uid="{00000000-0005-0000-0000-0000E95F0000}"/>
    <cellStyle name="Note 2 20 2 2 3" xfId="24549" xr:uid="{00000000-0005-0000-0000-0000EA5F0000}"/>
    <cellStyle name="Note 2 20 2 2 3 2" xfId="24550" xr:uid="{00000000-0005-0000-0000-0000EB5F0000}"/>
    <cellStyle name="Note 2 20 2 2 3 3" xfId="24551" xr:uid="{00000000-0005-0000-0000-0000EC5F0000}"/>
    <cellStyle name="Note 2 20 2 2 4" xfId="24552" xr:uid="{00000000-0005-0000-0000-0000ED5F0000}"/>
    <cellStyle name="Note 2 20 2 2 5" xfId="24553" xr:uid="{00000000-0005-0000-0000-0000EE5F0000}"/>
    <cellStyle name="Note 2 20 2 20" xfId="24554" xr:uid="{00000000-0005-0000-0000-0000EF5F0000}"/>
    <cellStyle name="Note 2 20 2 21" xfId="24555" xr:uid="{00000000-0005-0000-0000-0000F05F0000}"/>
    <cellStyle name="Note 2 20 2 22" xfId="24556" xr:uid="{00000000-0005-0000-0000-0000F15F0000}"/>
    <cellStyle name="Note 2 20 2 23" xfId="24557" xr:uid="{00000000-0005-0000-0000-0000F25F0000}"/>
    <cellStyle name="Note 2 20 2 24" xfId="24558" xr:uid="{00000000-0005-0000-0000-0000F35F0000}"/>
    <cellStyle name="Note 2 20 2 25" xfId="24559" xr:uid="{00000000-0005-0000-0000-0000F45F0000}"/>
    <cellStyle name="Note 2 20 2 26" xfId="24560" xr:uid="{00000000-0005-0000-0000-0000F55F0000}"/>
    <cellStyle name="Note 2 20 2 27" xfId="24561" xr:uid="{00000000-0005-0000-0000-0000F65F0000}"/>
    <cellStyle name="Note 2 20 2 28" xfId="24562" xr:uid="{00000000-0005-0000-0000-0000F75F0000}"/>
    <cellStyle name="Note 2 20 2 29" xfId="24563" xr:uid="{00000000-0005-0000-0000-0000F85F0000}"/>
    <cellStyle name="Note 2 20 2 3" xfId="24564" xr:uid="{00000000-0005-0000-0000-0000F95F0000}"/>
    <cellStyle name="Note 2 20 2 3 2" xfId="24565" xr:uid="{00000000-0005-0000-0000-0000FA5F0000}"/>
    <cellStyle name="Note 2 20 2 3 2 2" xfId="24566" xr:uid="{00000000-0005-0000-0000-0000FB5F0000}"/>
    <cellStyle name="Note 2 20 2 3 2 3" xfId="24567" xr:uid="{00000000-0005-0000-0000-0000FC5F0000}"/>
    <cellStyle name="Note 2 20 2 3 3" xfId="24568" xr:uid="{00000000-0005-0000-0000-0000FD5F0000}"/>
    <cellStyle name="Note 2 20 2 3 3 2" xfId="24569" xr:uid="{00000000-0005-0000-0000-0000FE5F0000}"/>
    <cellStyle name="Note 2 20 2 3 3 3" xfId="24570" xr:uid="{00000000-0005-0000-0000-0000FF5F0000}"/>
    <cellStyle name="Note 2 20 2 3 4" xfId="24571" xr:uid="{00000000-0005-0000-0000-000000600000}"/>
    <cellStyle name="Note 2 20 2 3 5" xfId="24572" xr:uid="{00000000-0005-0000-0000-000001600000}"/>
    <cellStyle name="Note 2 20 2 30" xfId="24573" xr:uid="{00000000-0005-0000-0000-000002600000}"/>
    <cellStyle name="Note 2 20 2 31" xfId="24574" xr:uid="{00000000-0005-0000-0000-000003600000}"/>
    <cellStyle name="Note 2 20 2 32" xfId="24575" xr:uid="{00000000-0005-0000-0000-000004600000}"/>
    <cellStyle name="Note 2 20 2 33" xfId="24576" xr:uid="{00000000-0005-0000-0000-000005600000}"/>
    <cellStyle name="Note 2 20 2 34" xfId="24577" xr:uid="{00000000-0005-0000-0000-000006600000}"/>
    <cellStyle name="Note 2 20 2 35" xfId="24578" xr:uid="{00000000-0005-0000-0000-000007600000}"/>
    <cellStyle name="Note 2 20 2 4" xfId="24579" xr:uid="{00000000-0005-0000-0000-000008600000}"/>
    <cellStyle name="Note 2 20 2 4 2" xfId="24580" xr:uid="{00000000-0005-0000-0000-000009600000}"/>
    <cellStyle name="Note 2 20 2 4 3" xfId="24581" xr:uid="{00000000-0005-0000-0000-00000A600000}"/>
    <cellStyle name="Note 2 20 2 5" xfId="24582" xr:uid="{00000000-0005-0000-0000-00000B600000}"/>
    <cellStyle name="Note 2 20 2 5 2" xfId="24583" xr:uid="{00000000-0005-0000-0000-00000C600000}"/>
    <cellStyle name="Note 2 20 2 5 3" xfId="24584" xr:uid="{00000000-0005-0000-0000-00000D600000}"/>
    <cellStyle name="Note 2 20 2 6" xfId="24585" xr:uid="{00000000-0005-0000-0000-00000E600000}"/>
    <cellStyle name="Note 2 20 2 7" xfId="24586" xr:uid="{00000000-0005-0000-0000-00000F600000}"/>
    <cellStyle name="Note 2 20 2 8" xfId="24587" xr:uid="{00000000-0005-0000-0000-000010600000}"/>
    <cellStyle name="Note 2 20 2 9" xfId="24588" xr:uid="{00000000-0005-0000-0000-000011600000}"/>
    <cellStyle name="Note 2 20 20" xfId="24589" xr:uid="{00000000-0005-0000-0000-000012600000}"/>
    <cellStyle name="Note 2 20 21" xfId="24590" xr:uid="{00000000-0005-0000-0000-000013600000}"/>
    <cellStyle name="Note 2 20 22" xfId="24591" xr:uid="{00000000-0005-0000-0000-000014600000}"/>
    <cellStyle name="Note 2 20 23" xfId="24592" xr:uid="{00000000-0005-0000-0000-000015600000}"/>
    <cellStyle name="Note 2 20 24" xfId="24593" xr:uid="{00000000-0005-0000-0000-000016600000}"/>
    <cellStyle name="Note 2 20 25" xfId="24594" xr:uid="{00000000-0005-0000-0000-000017600000}"/>
    <cellStyle name="Note 2 20 26" xfId="24595" xr:uid="{00000000-0005-0000-0000-000018600000}"/>
    <cellStyle name="Note 2 20 27" xfId="24596" xr:uid="{00000000-0005-0000-0000-000019600000}"/>
    <cellStyle name="Note 2 20 28" xfId="24597" xr:uid="{00000000-0005-0000-0000-00001A600000}"/>
    <cellStyle name="Note 2 20 29" xfId="24598" xr:uid="{00000000-0005-0000-0000-00001B600000}"/>
    <cellStyle name="Note 2 20 3" xfId="24599" xr:uid="{00000000-0005-0000-0000-00001C600000}"/>
    <cellStyle name="Note 2 20 3 2" xfId="24600" xr:uid="{00000000-0005-0000-0000-00001D600000}"/>
    <cellStyle name="Note 2 20 3 3" xfId="24601" xr:uid="{00000000-0005-0000-0000-00001E600000}"/>
    <cellStyle name="Note 2 20 30" xfId="24602" xr:uid="{00000000-0005-0000-0000-00001F600000}"/>
    <cellStyle name="Note 2 20 31" xfId="24603" xr:uid="{00000000-0005-0000-0000-000020600000}"/>
    <cellStyle name="Note 2 20 32" xfId="24604" xr:uid="{00000000-0005-0000-0000-000021600000}"/>
    <cellStyle name="Note 2 20 33" xfId="24605" xr:uid="{00000000-0005-0000-0000-000022600000}"/>
    <cellStyle name="Note 2 20 34" xfId="24606" xr:uid="{00000000-0005-0000-0000-000023600000}"/>
    <cellStyle name="Note 2 20 4" xfId="24607" xr:uid="{00000000-0005-0000-0000-000024600000}"/>
    <cellStyle name="Note 2 20 4 2" xfId="24608" xr:uid="{00000000-0005-0000-0000-000025600000}"/>
    <cellStyle name="Note 2 20 4 3" xfId="24609" xr:uid="{00000000-0005-0000-0000-000026600000}"/>
    <cellStyle name="Note 2 20 5" xfId="24610" xr:uid="{00000000-0005-0000-0000-000027600000}"/>
    <cellStyle name="Note 2 20 6" xfId="24611" xr:uid="{00000000-0005-0000-0000-000028600000}"/>
    <cellStyle name="Note 2 20 7" xfId="24612" xr:uid="{00000000-0005-0000-0000-000029600000}"/>
    <cellStyle name="Note 2 20 8" xfId="24613" xr:uid="{00000000-0005-0000-0000-00002A600000}"/>
    <cellStyle name="Note 2 20 9" xfId="24614" xr:uid="{00000000-0005-0000-0000-00002B600000}"/>
    <cellStyle name="Note 2 21" xfId="24615" xr:uid="{00000000-0005-0000-0000-00002C600000}"/>
    <cellStyle name="Note 2 21 10" xfId="24616" xr:uid="{00000000-0005-0000-0000-00002D600000}"/>
    <cellStyle name="Note 2 21 11" xfId="24617" xr:uid="{00000000-0005-0000-0000-00002E600000}"/>
    <cellStyle name="Note 2 21 12" xfId="24618" xr:uid="{00000000-0005-0000-0000-00002F600000}"/>
    <cellStyle name="Note 2 21 13" xfId="24619" xr:uid="{00000000-0005-0000-0000-000030600000}"/>
    <cellStyle name="Note 2 21 14" xfId="24620" xr:uid="{00000000-0005-0000-0000-000031600000}"/>
    <cellStyle name="Note 2 21 15" xfId="24621" xr:uid="{00000000-0005-0000-0000-000032600000}"/>
    <cellStyle name="Note 2 21 16" xfId="24622" xr:uid="{00000000-0005-0000-0000-000033600000}"/>
    <cellStyle name="Note 2 21 17" xfId="24623" xr:uid="{00000000-0005-0000-0000-000034600000}"/>
    <cellStyle name="Note 2 21 18" xfId="24624" xr:uid="{00000000-0005-0000-0000-000035600000}"/>
    <cellStyle name="Note 2 21 19" xfId="24625" xr:uid="{00000000-0005-0000-0000-000036600000}"/>
    <cellStyle name="Note 2 21 2" xfId="24626" xr:uid="{00000000-0005-0000-0000-000037600000}"/>
    <cellStyle name="Note 2 21 2 2" xfId="24627" xr:uid="{00000000-0005-0000-0000-000038600000}"/>
    <cellStyle name="Note 2 21 2 2 2" xfId="24628" xr:uid="{00000000-0005-0000-0000-000039600000}"/>
    <cellStyle name="Note 2 21 2 2 3" xfId="24629" xr:uid="{00000000-0005-0000-0000-00003A600000}"/>
    <cellStyle name="Note 2 21 2 3" xfId="24630" xr:uid="{00000000-0005-0000-0000-00003B600000}"/>
    <cellStyle name="Note 2 21 2 3 2" xfId="24631" xr:uid="{00000000-0005-0000-0000-00003C600000}"/>
    <cellStyle name="Note 2 21 2 3 3" xfId="24632" xr:uid="{00000000-0005-0000-0000-00003D600000}"/>
    <cellStyle name="Note 2 21 2 4" xfId="24633" xr:uid="{00000000-0005-0000-0000-00003E600000}"/>
    <cellStyle name="Note 2 21 2 5" xfId="24634" xr:uid="{00000000-0005-0000-0000-00003F600000}"/>
    <cellStyle name="Note 2 21 20" xfId="24635" xr:uid="{00000000-0005-0000-0000-000040600000}"/>
    <cellStyle name="Note 2 21 21" xfId="24636" xr:uid="{00000000-0005-0000-0000-000041600000}"/>
    <cellStyle name="Note 2 21 22" xfId="24637" xr:uid="{00000000-0005-0000-0000-000042600000}"/>
    <cellStyle name="Note 2 21 23" xfId="24638" xr:uid="{00000000-0005-0000-0000-000043600000}"/>
    <cellStyle name="Note 2 21 24" xfId="24639" xr:uid="{00000000-0005-0000-0000-000044600000}"/>
    <cellStyle name="Note 2 21 25" xfId="24640" xr:uid="{00000000-0005-0000-0000-000045600000}"/>
    <cellStyle name="Note 2 21 26" xfId="24641" xr:uid="{00000000-0005-0000-0000-000046600000}"/>
    <cellStyle name="Note 2 21 27" xfId="24642" xr:uid="{00000000-0005-0000-0000-000047600000}"/>
    <cellStyle name="Note 2 21 28" xfId="24643" xr:uid="{00000000-0005-0000-0000-000048600000}"/>
    <cellStyle name="Note 2 21 29" xfId="24644" xr:uid="{00000000-0005-0000-0000-000049600000}"/>
    <cellStyle name="Note 2 21 3" xfId="24645" xr:uid="{00000000-0005-0000-0000-00004A600000}"/>
    <cellStyle name="Note 2 21 3 2" xfId="24646" xr:uid="{00000000-0005-0000-0000-00004B600000}"/>
    <cellStyle name="Note 2 21 3 2 2" xfId="24647" xr:uid="{00000000-0005-0000-0000-00004C600000}"/>
    <cellStyle name="Note 2 21 3 2 3" xfId="24648" xr:uid="{00000000-0005-0000-0000-00004D600000}"/>
    <cellStyle name="Note 2 21 3 3" xfId="24649" xr:uid="{00000000-0005-0000-0000-00004E600000}"/>
    <cellStyle name="Note 2 21 3 3 2" xfId="24650" xr:uid="{00000000-0005-0000-0000-00004F600000}"/>
    <cellStyle name="Note 2 21 3 3 3" xfId="24651" xr:uid="{00000000-0005-0000-0000-000050600000}"/>
    <cellStyle name="Note 2 21 3 4" xfId="24652" xr:uid="{00000000-0005-0000-0000-000051600000}"/>
    <cellStyle name="Note 2 21 3 5" xfId="24653" xr:uid="{00000000-0005-0000-0000-000052600000}"/>
    <cellStyle name="Note 2 21 30" xfId="24654" xr:uid="{00000000-0005-0000-0000-000053600000}"/>
    <cellStyle name="Note 2 21 31" xfId="24655" xr:uid="{00000000-0005-0000-0000-000054600000}"/>
    <cellStyle name="Note 2 21 32" xfId="24656" xr:uid="{00000000-0005-0000-0000-000055600000}"/>
    <cellStyle name="Note 2 21 33" xfId="24657" xr:uid="{00000000-0005-0000-0000-000056600000}"/>
    <cellStyle name="Note 2 21 34" xfId="24658" xr:uid="{00000000-0005-0000-0000-000057600000}"/>
    <cellStyle name="Note 2 21 35" xfId="24659" xr:uid="{00000000-0005-0000-0000-000058600000}"/>
    <cellStyle name="Note 2 21 4" xfId="24660" xr:uid="{00000000-0005-0000-0000-000059600000}"/>
    <cellStyle name="Note 2 21 4 2" xfId="24661" xr:uid="{00000000-0005-0000-0000-00005A600000}"/>
    <cellStyle name="Note 2 21 4 3" xfId="24662" xr:uid="{00000000-0005-0000-0000-00005B600000}"/>
    <cellStyle name="Note 2 21 5" xfId="24663" xr:uid="{00000000-0005-0000-0000-00005C600000}"/>
    <cellStyle name="Note 2 21 5 2" xfId="24664" xr:uid="{00000000-0005-0000-0000-00005D600000}"/>
    <cellStyle name="Note 2 21 5 3" xfId="24665" xr:uid="{00000000-0005-0000-0000-00005E600000}"/>
    <cellStyle name="Note 2 21 6" xfId="24666" xr:uid="{00000000-0005-0000-0000-00005F600000}"/>
    <cellStyle name="Note 2 21 7" xfId="24667" xr:uid="{00000000-0005-0000-0000-000060600000}"/>
    <cellStyle name="Note 2 21 8" xfId="24668" xr:uid="{00000000-0005-0000-0000-000061600000}"/>
    <cellStyle name="Note 2 21 9" xfId="24669" xr:uid="{00000000-0005-0000-0000-000062600000}"/>
    <cellStyle name="Note 2 22" xfId="24670" xr:uid="{00000000-0005-0000-0000-000063600000}"/>
    <cellStyle name="Note 2 22 2" xfId="24671" xr:uid="{00000000-0005-0000-0000-000064600000}"/>
    <cellStyle name="Note 2 22 3" xfId="24672" xr:uid="{00000000-0005-0000-0000-000065600000}"/>
    <cellStyle name="Note 2 23" xfId="24673" xr:uid="{00000000-0005-0000-0000-000066600000}"/>
    <cellStyle name="Note 2 23 2" xfId="24674" xr:uid="{00000000-0005-0000-0000-000067600000}"/>
    <cellStyle name="Note 2 23 3" xfId="24675" xr:uid="{00000000-0005-0000-0000-000068600000}"/>
    <cellStyle name="Note 2 24" xfId="24676" xr:uid="{00000000-0005-0000-0000-000069600000}"/>
    <cellStyle name="Note 2 25" xfId="24677" xr:uid="{00000000-0005-0000-0000-00006A600000}"/>
    <cellStyle name="Note 2 26" xfId="24678" xr:uid="{00000000-0005-0000-0000-00006B600000}"/>
    <cellStyle name="Note 2 27" xfId="24679" xr:uid="{00000000-0005-0000-0000-00006C600000}"/>
    <cellStyle name="Note 2 28" xfId="24680" xr:uid="{00000000-0005-0000-0000-00006D600000}"/>
    <cellStyle name="Note 2 29" xfId="24681" xr:uid="{00000000-0005-0000-0000-00006E600000}"/>
    <cellStyle name="Note 2 3" xfId="24682" xr:uid="{00000000-0005-0000-0000-00006F600000}"/>
    <cellStyle name="Note 2 3 10" xfId="24683" xr:uid="{00000000-0005-0000-0000-000070600000}"/>
    <cellStyle name="Note 2 3 11" xfId="24684" xr:uid="{00000000-0005-0000-0000-000071600000}"/>
    <cellStyle name="Note 2 3 12" xfId="24685" xr:uid="{00000000-0005-0000-0000-000072600000}"/>
    <cellStyle name="Note 2 3 13" xfId="24686" xr:uid="{00000000-0005-0000-0000-000073600000}"/>
    <cellStyle name="Note 2 3 14" xfId="24687" xr:uid="{00000000-0005-0000-0000-000074600000}"/>
    <cellStyle name="Note 2 3 15" xfId="24688" xr:uid="{00000000-0005-0000-0000-000075600000}"/>
    <cellStyle name="Note 2 3 16" xfId="24689" xr:uid="{00000000-0005-0000-0000-000076600000}"/>
    <cellStyle name="Note 2 3 17" xfId="24690" xr:uid="{00000000-0005-0000-0000-000077600000}"/>
    <cellStyle name="Note 2 3 18" xfId="24691" xr:uid="{00000000-0005-0000-0000-000078600000}"/>
    <cellStyle name="Note 2 3 19" xfId="24692" xr:uid="{00000000-0005-0000-0000-000079600000}"/>
    <cellStyle name="Note 2 3 2" xfId="24693" xr:uid="{00000000-0005-0000-0000-00007A600000}"/>
    <cellStyle name="Note 2 3 2 10" xfId="24694" xr:uid="{00000000-0005-0000-0000-00007B600000}"/>
    <cellStyle name="Note 2 3 2 11" xfId="24695" xr:uid="{00000000-0005-0000-0000-00007C600000}"/>
    <cellStyle name="Note 2 3 2 12" xfId="24696" xr:uid="{00000000-0005-0000-0000-00007D600000}"/>
    <cellStyle name="Note 2 3 2 13" xfId="24697" xr:uid="{00000000-0005-0000-0000-00007E600000}"/>
    <cellStyle name="Note 2 3 2 14" xfId="24698" xr:uid="{00000000-0005-0000-0000-00007F600000}"/>
    <cellStyle name="Note 2 3 2 15" xfId="24699" xr:uid="{00000000-0005-0000-0000-000080600000}"/>
    <cellStyle name="Note 2 3 2 16" xfId="24700" xr:uid="{00000000-0005-0000-0000-000081600000}"/>
    <cellStyle name="Note 2 3 2 17" xfId="24701" xr:uid="{00000000-0005-0000-0000-000082600000}"/>
    <cellStyle name="Note 2 3 2 18" xfId="24702" xr:uid="{00000000-0005-0000-0000-000083600000}"/>
    <cellStyle name="Note 2 3 2 19" xfId="24703" xr:uid="{00000000-0005-0000-0000-000084600000}"/>
    <cellStyle name="Note 2 3 2 2" xfId="24704" xr:uid="{00000000-0005-0000-0000-000085600000}"/>
    <cellStyle name="Note 2 3 2 2 10" xfId="24705" xr:uid="{00000000-0005-0000-0000-000086600000}"/>
    <cellStyle name="Note 2 3 2 2 11" xfId="24706" xr:uid="{00000000-0005-0000-0000-000087600000}"/>
    <cellStyle name="Note 2 3 2 2 12" xfId="24707" xr:uid="{00000000-0005-0000-0000-000088600000}"/>
    <cellStyle name="Note 2 3 2 2 13" xfId="24708" xr:uid="{00000000-0005-0000-0000-000089600000}"/>
    <cellStyle name="Note 2 3 2 2 14" xfId="24709" xr:uid="{00000000-0005-0000-0000-00008A600000}"/>
    <cellStyle name="Note 2 3 2 2 15" xfId="24710" xr:uid="{00000000-0005-0000-0000-00008B600000}"/>
    <cellStyle name="Note 2 3 2 2 16" xfId="24711" xr:uid="{00000000-0005-0000-0000-00008C600000}"/>
    <cellStyle name="Note 2 3 2 2 17" xfId="24712" xr:uid="{00000000-0005-0000-0000-00008D600000}"/>
    <cellStyle name="Note 2 3 2 2 18" xfId="24713" xr:uid="{00000000-0005-0000-0000-00008E600000}"/>
    <cellStyle name="Note 2 3 2 2 19" xfId="24714" xr:uid="{00000000-0005-0000-0000-00008F600000}"/>
    <cellStyle name="Note 2 3 2 2 2" xfId="24715" xr:uid="{00000000-0005-0000-0000-000090600000}"/>
    <cellStyle name="Note 2 3 2 2 2 2" xfId="24716" xr:uid="{00000000-0005-0000-0000-000091600000}"/>
    <cellStyle name="Note 2 3 2 2 2 2 2" xfId="24717" xr:uid="{00000000-0005-0000-0000-000092600000}"/>
    <cellStyle name="Note 2 3 2 2 2 2 3" xfId="24718" xr:uid="{00000000-0005-0000-0000-000093600000}"/>
    <cellStyle name="Note 2 3 2 2 2 3" xfId="24719" xr:uid="{00000000-0005-0000-0000-000094600000}"/>
    <cellStyle name="Note 2 3 2 2 2 3 2" xfId="24720" xr:uid="{00000000-0005-0000-0000-000095600000}"/>
    <cellStyle name="Note 2 3 2 2 2 3 3" xfId="24721" xr:uid="{00000000-0005-0000-0000-000096600000}"/>
    <cellStyle name="Note 2 3 2 2 2 4" xfId="24722" xr:uid="{00000000-0005-0000-0000-000097600000}"/>
    <cellStyle name="Note 2 3 2 2 2 5" xfId="24723" xr:uid="{00000000-0005-0000-0000-000098600000}"/>
    <cellStyle name="Note 2 3 2 2 20" xfId="24724" xr:uid="{00000000-0005-0000-0000-000099600000}"/>
    <cellStyle name="Note 2 3 2 2 21" xfId="24725" xr:uid="{00000000-0005-0000-0000-00009A600000}"/>
    <cellStyle name="Note 2 3 2 2 22" xfId="24726" xr:uid="{00000000-0005-0000-0000-00009B600000}"/>
    <cellStyle name="Note 2 3 2 2 23" xfId="24727" xr:uid="{00000000-0005-0000-0000-00009C600000}"/>
    <cellStyle name="Note 2 3 2 2 24" xfId="24728" xr:uid="{00000000-0005-0000-0000-00009D600000}"/>
    <cellStyle name="Note 2 3 2 2 25" xfId="24729" xr:uid="{00000000-0005-0000-0000-00009E600000}"/>
    <cellStyle name="Note 2 3 2 2 26" xfId="24730" xr:uid="{00000000-0005-0000-0000-00009F600000}"/>
    <cellStyle name="Note 2 3 2 2 27" xfId="24731" xr:uid="{00000000-0005-0000-0000-0000A0600000}"/>
    <cellStyle name="Note 2 3 2 2 28" xfId="24732" xr:uid="{00000000-0005-0000-0000-0000A1600000}"/>
    <cellStyle name="Note 2 3 2 2 29" xfId="24733" xr:uid="{00000000-0005-0000-0000-0000A2600000}"/>
    <cellStyle name="Note 2 3 2 2 3" xfId="24734" xr:uid="{00000000-0005-0000-0000-0000A3600000}"/>
    <cellStyle name="Note 2 3 2 2 3 2" xfId="24735" xr:uid="{00000000-0005-0000-0000-0000A4600000}"/>
    <cellStyle name="Note 2 3 2 2 3 2 2" xfId="24736" xr:uid="{00000000-0005-0000-0000-0000A5600000}"/>
    <cellStyle name="Note 2 3 2 2 3 2 3" xfId="24737" xr:uid="{00000000-0005-0000-0000-0000A6600000}"/>
    <cellStyle name="Note 2 3 2 2 3 3" xfId="24738" xr:uid="{00000000-0005-0000-0000-0000A7600000}"/>
    <cellStyle name="Note 2 3 2 2 3 3 2" xfId="24739" xr:uid="{00000000-0005-0000-0000-0000A8600000}"/>
    <cellStyle name="Note 2 3 2 2 3 3 3" xfId="24740" xr:uid="{00000000-0005-0000-0000-0000A9600000}"/>
    <cellStyle name="Note 2 3 2 2 3 4" xfId="24741" xr:uid="{00000000-0005-0000-0000-0000AA600000}"/>
    <cellStyle name="Note 2 3 2 2 3 5" xfId="24742" xr:uid="{00000000-0005-0000-0000-0000AB600000}"/>
    <cellStyle name="Note 2 3 2 2 30" xfId="24743" xr:uid="{00000000-0005-0000-0000-0000AC600000}"/>
    <cellStyle name="Note 2 3 2 2 31" xfId="24744" xr:uid="{00000000-0005-0000-0000-0000AD600000}"/>
    <cellStyle name="Note 2 3 2 2 32" xfId="24745" xr:uid="{00000000-0005-0000-0000-0000AE600000}"/>
    <cellStyle name="Note 2 3 2 2 33" xfId="24746" xr:uid="{00000000-0005-0000-0000-0000AF600000}"/>
    <cellStyle name="Note 2 3 2 2 34" xfId="24747" xr:uid="{00000000-0005-0000-0000-0000B0600000}"/>
    <cellStyle name="Note 2 3 2 2 35" xfId="24748" xr:uid="{00000000-0005-0000-0000-0000B1600000}"/>
    <cellStyle name="Note 2 3 2 2 4" xfId="24749" xr:uid="{00000000-0005-0000-0000-0000B2600000}"/>
    <cellStyle name="Note 2 3 2 2 4 2" xfId="24750" xr:uid="{00000000-0005-0000-0000-0000B3600000}"/>
    <cellStyle name="Note 2 3 2 2 4 3" xfId="24751" xr:uid="{00000000-0005-0000-0000-0000B4600000}"/>
    <cellStyle name="Note 2 3 2 2 5" xfId="24752" xr:uid="{00000000-0005-0000-0000-0000B5600000}"/>
    <cellStyle name="Note 2 3 2 2 5 2" xfId="24753" xr:uid="{00000000-0005-0000-0000-0000B6600000}"/>
    <cellStyle name="Note 2 3 2 2 5 3" xfId="24754" xr:uid="{00000000-0005-0000-0000-0000B7600000}"/>
    <cellStyle name="Note 2 3 2 2 6" xfId="24755" xr:uid="{00000000-0005-0000-0000-0000B8600000}"/>
    <cellStyle name="Note 2 3 2 2 7" xfId="24756" xr:uid="{00000000-0005-0000-0000-0000B9600000}"/>
    <cellStyle name="Note 2 3 2 2 8" xfId="24757" xr:uid="{00000000-0005-0000-0000-0000BA600000}"/>
    <cellStyle name="Note 2 3 2 2 9" xfId="24758" xr:uid="{00000000-0005-0000-0000-0000BB600000}"/>
    <cellStyle name="Note 2 3 2 20" xfId="24759" xr:uid="{00000000-0005-0000-0000-0000BC600000}"/>
    <cellStyle name="Note 2 3 2 21" xfId="24760" xr:uid="{00000000-0005-0000-0000-0000BD600000}"/>
    <cellStyle name="Note 2 3 2 22" xfId="24761" xr:uid="{00000000-0005-0000-0000-0000BE600000}"/>
    <cellStyle name="Note 2 3 2 23" xfId="24762" xr:uid="{00000000-0005-0000-0000-0000BF600000}"/>
    <cellStyle name="Note 2 3 2 24" xfId="24763" xr:uid="{00000000-0005-0000-0000-0000C0600000}"/>
    <cellStyle name="Note 2 3 2 25" xfId="24764" xr:uid="{00000000-0005-0000-0000-0000C1600000}"/>
    <cellStyle name="Note 2 3 2 26" xfId="24765" xr:uid="{00000000-0005-0000-0000-0000C2600000}"/>
    <cellStyle name="Note 2 3 2 27" xfId="24766" xr:uid="{00000000-0005-0000-0000-0000C3600000}"/>
    <cellStyle name="Note 2 3 2 28" xfId="24767" xr:uid="{00000000-0005-0000-0000-0000C4600000}"/>
    <cellStyle name="Note 2 3 2 29" xfId="24768" xr:uid="{00000000-0005-0000-0000-0000C5600000}"/>
    <cellStyle name="Note 2 3 2 3" xfId="24769" xr:uid="{00000000-0005-0000-0000-0000C6600000}"/>
    <cellStyle name="Note 2 3 2 3 2" xfId="24770" xr:uid="{00000000-0005-0000-0000-0000C7600000}"/>
    <cellStyle name="Note 2 3 2 3 3" xfId="24771" xr:uid="{00000000-0005-0000-0000-0000C8600000}"/>
    <cellStyle name="Note 2 3 2 30" xfId="24772" xr:uid="{00000000-0005-0000-0000-0000C9600000}"/>
    <cellStyle name="Note 2 3 2 31" xfId="24773" xr:uid="{00000000-0005-0000-0000-0000CA600000}"/>
    <cellStyle name="Note 2 3 2 32" xfId="24774" xr:uid="{00000000-0005-0000-0000-0000CB600000}"/>
    <cellStyle name="Note 2 3 2 33" xfId="24775" xr:uid="{00000000-0005-0000-0000-0000CC600000}"/>
    <cellStyle name="Note 2 3 2 34" xfId="24776" xr:uid="{00000000-0005-0000-0000-0000CD600000}"/>
    <cellStyle name="Note 2 3 2 4" xfId="24777" xr:uid="{00000000-0005-0000-0000-0000CE600000}"/>
    <cellStyle name="Note 2 3 2 4 2" xfId="24778" xr:uid="{00000000-0005-0000-0000-0000CF600000}"/>
    <cellStyle name="Note 2 3 2 4 3" xfId="24779" xr:uid="{00000000-0005-0000-0000-0000D0600000}"/>
    <cellStyle name="Note 2 3 2 5" xfId="24780" xr:uid="{00000000-0005-0000-0000-0000D1600000}"/>
    <cellStyle name="Note 2 3 2 6" xfId="24781" xr:uid="{00000000-0005-0000-0000-0000D2600000}"/>
    <cellStyle name="Note 2 3 2 7" xfId="24782" xr:uid="{00000000-0005-0000-0000-0000D3600000}"/>
    <cellStyle name="Note 2 3 2 8" xfId="24783" xr:uid="{00000000-0005-0000-0000-0000D4600000}"/>
    <cellStyle name="Note 2 3 2 9" xfId="24784" xr:uid="{00000000-0005-0000-0000-0000D5600000}"/>
    <cellStyle name="Note 2 3 20" xfId="24785" xr:uid="{00000000-0005-0000-0000-0000D6600000}"/>
    <cellStyle name="Note 2 3 21" xfId="24786" xr:uid="{00000000-0005-0000-0000-0000D7600000}"/>
    <cellStyle name="Note 2 3 22" xfId="24787" xr:uid="{00000000-0005-0000-0000-0000D8600000}"/>
    <cellStyle name="Note 2 3 23" xfId="24788" xr:uid="{00000000-0005-0000-0000-0000D9600000}"/>
    <cellStyle name="Note 2 3 24" xfId="24789" xr:uid="{00000000-0005-0000-0000-0000DA600000}"/>
    <cellStyle name="Note 2 3 25" xfId="24790" xr:uid="{00000000-0005-0000-0000-0000DB600000}"/>
    <cellStyle name="Note 2 3 26" xfId="24791" xr:uid="{00000000-0005-0000-0000-0000DC600000}"/>
    <cellStyle name="Note 2 3 27" xfId="24792" xr:uid="{00000000-0005-0000-0000-0000DD600000}"/>
    <cellStyle name="Note 2 3 28" xfId="24793" xr:uid="{00000000-0005-0000-0000-0000DE600000}"/>
    <cellStyle name="Note 2 3 29" xfId="24794" xr:uid="{00000000-0005-0000-0000-0000DF600000}"/>
    <cellStyle name="Note 2 3 3" xfId="24795" xr:uid="{00000000-0005-0000-0000-0000E0600000}"/>
    <cellStyle name="Note 2 3 3 10" xfId="24796" xr:uid="{00000000-0005-0000-0000-0000E1600000}"/>
    <cellStyle name="Note 2 3 3 11" xfId="24797" xr:uid="{00000000-0005-0000-0000-0000E2600000}"/>
    <cellStyle name="Note 2 3 3 12" xfId="24798" xr:uid="{00000000-0005-0000-0000-0000E3600000}"/>
    <cellStyle name="Note 2 3 3 13" xfId="24799" xr:uid="{00000000-0005-0000-0000-0000E4600000}"/>
    <cellStyle name="Note 2 3 3 14" xfId="24800" xr:uid="{00000000-0005-0000-0000-0000E5600000}"/>
    <cellStyle name="Note 2 3 3 15" xfId="24801" xr:uid="{00000000-0005-0000-0000-0000E6600000}"/>
    <cellStyle name="Note 2 3 3 16" xfId="24802" xr:uid="{00000000-0005-0000-0000-0000E7600000}"/>
    <cellStyle name="Note 2 3 3 17" xfId="24803" xr:uid="{00000000-0005-0000-0000-0000E8600000}"/>
    <cellStyle name="Note 2 3 3 18" xfId="24804" xr:uid="{00000000-0005-0000-0000-0000E9600000}"/>
    <cellStyle name="Note 2 3 3 19" xfId="24805" xr:uid="{00000000-0005-0000-0000-0000EA600000}"/>
    <cellStyle name="Note 2 3 3 2" xfId="24806" xr:uid="{00000000-0005-0000-0000-0000EB600000}"/>
    <cellStyle name="Note 2 3 3 2 2" xfId="24807" xr:uid="{00000000-0005-0000-0000-0000EC600000}"/>
    <cellStyle name="Note 2 3 3 2 2 2" xfId="24808" xr:uid="{00000000-0005-0000-0000-0000ED600000}"/>
    <cellStyle name="Note 2 3 3 2 2 3" xfId="24809" xr:uid="{00000000-0005-0000-0000-0000EE600000}"/>
    <cellStyle name="Note 2 3 3 2 3" xfId="24810" xr:uid="{00000000-0005-0000-0000-0000EF600000}"/>
    <cellStyle name="Note 2 3 3 2 3 2" xfId="24811" xr:uid="{00000000-0005-0000-0000-0000F0600000}"/>
    <cellStyle name="Note 2 3 3 2 3 3" xfId="24812" xr:uid="{00000000-0005-0000-0000-0000F1600000}"/>
    <cellStyle name="Note 2 3 3 2 4" xfId="24813" xr:uid="{00000000-0005-0000-0000-0000F2600000}"/>
    <cellStyle name="Note 2 3 3 2 5" xfId="24814" xr:uid="{00000000-0005-0000-0000-0000F3600000}"/>
    <cellStyle name="Note 2 3 3 20" xfId="24815" xr:uid="{00000000-0005-0000-0000-0000F4600000}"/>
    <cellStyle name="Note 2 3 3 21" xfId="24816" xr:uid="{00000000-0005-0000-0000-0000F5600000}"/>
    <cellStyle name="Note 2 3 3 22" xfId="24817" xr:uid="{00000000-0005-0000-0000-0000F6600000}"/>
    <cellStyle name="Note 2 3 3 23" xfId="24818" xr:uid="{00000000-0005-0000-0000-0000F7600000}"/>
    <cellStyle name="Note 2 3 3 24" xfId="24819" xr:uid="{00000000-0005-0000-0000-0000F8600000}"/>
    <cellStyle name="Note 2 3 3 25" xfId="24820" xr:uid="{00000000-0005-0000-0000-0000F9600000}"/>
    <cellStyle name="Note 2 3 3 26" xfId="24821" xr:uid="{00000000-0005-0000-0000-0000FA600000}"/>
    <cellStyle name="Note 2 3 3 27" xfId="24822" xr:uid="{00000000-0005-0000-0000-0000FB600000}"/>
    <cellStyle name="Note 2 3 3 28" xfId="24823" xr:uid="{00000000-0005-0000-0000-0000FC600000}"/>
    <cellStyle name="Note 2 3 3 29" xfId="24824" xr:uid="{00000000-0005-0000-0000-0000FD600000}"/>
    <cellStyle name="Note 2 3 3 3" xfId="24825" xr:uid="{00000000-0005-0000-0000-0000FE600000}"/>
    <cellStyle name="Note 2 3 3 3 2" xfId="24826" xr:uid="{00000000-0005-0000-0000-0000FF600000}"/>
    <cellStyle name="Note 2 3 3 3 2 2" xfId="24827" xr:uid="{00000000-0005-0000-0000-000000610000}"/>
    <cellStyle name="Note 2 3 3 3 2 3" xfId="24828" xr:uid="{00000000-0005-0000-0000-000001610000}"/>
    <cellStyle name="Note 2 3 3 3 3" xfId="24829" xr:uid="{00000000-0005-0000-0000-000002610000}"/>
    <cellStyle name="Note 2 3 3 3 3 2" xfId="24830" xr:uid="{00000000-0005-0000-0000-000003610000}"/>
    <cellStyle name="Note 2 3 3 3 3 3" xfId="24831" xr:uid="{00000000-0005-0000-0000-000004610000}"/>
    <cellStyle name="Note 2 3 3 3 4" xfId="24832" xr:uid="{00000000-0005-0000-0000-000005610000}"/>
    <cellStyle name="Note 2 3 3 3 5" xfId="24833" xr:uid="{00000000-0005-0000-0000-000006610000}"/>
    <cellStyle name="Note 2 3 3 30" xfId="24834" xr:uid="{00000000-0005-0000-0000-000007610000}"/>
    <cellStyle name="Note 2 3 3 31" xfId="24835" xr:uid="{00000000-0005-0000-0000-000008610000}"/>
    <cellStyle name="Note 2 3 3 32" xfId="24836" xr:uid="{00000000-0005-0000-0000-000009610000}"/>
    <cellStyle name="Note 2 3 3 33" xfId="24837" xr:uid="{00000000-0005-0000-0000-00000A610000}"/>
    <cellStyle name="Note 2 3 3 34" xfId="24838" xr:uid="{00000000-0005-0000-0000-00000B610000}"/>
    <cellStyle name="Note 2 3 3 35" xfId="24839" xr:uid="{00000000-0005-0000-0000-00000C610000}"/>
    <cellStyle name="Note 2 3 3 4" xfId="24840" xr:uid="{00000000-0005-0000-0000-00000D610000}"/>
    <cellStyle name="Note 2 3 3 4 2" xfId="24841" xr:uid="{00000000-0005-0000-0000-00000E610000}"/>
    <cellStyle name="Note 2 3 3 4 3" xfId="24842" xr:uid="{00000000-0005-0000-0000-00000F610000}"/>
    <cellStyle name="Note 2 3 3 5" xfId="24843" xr:uid="{00000000-0005-0000-0000-000010610000}"/>
    <cellStyle name="Note 2 3 3 5 2" xfId="24844" xr:uid="{00000000-0005-0000-0000-000011610000}"/>
    <cellStyle name="Note 2 3 3 5 3" xfId="24845" xr:uid="{00000000-0005-0000-0000-000012610000}"/>
    <cellStyle name="Note 2 3 3 6" xfId="24846" xr:uid="{00000000-0005-0000-0000-000013610000}"/>
    <cellStyle name="Note 2 3 3 7" xfId="24847" xr:uid="{00000000-0005-0000-0000-000014610000}"/>
    <cellStyle name="Note 2 3 3 8" xfId="24848" xr:uid="{00000000-0005-0000-0000-000015610000}"/>
    <cellStyle name="Note 2 3 3 9" xfId="24849" xr:uid="{00000000-0005-0000-0000-000016610000}"/>
    <cellStyle name="Note 2 3 30" xfId="24850" xr:uid="{00000000-0005-0000-0000-000017610000}"/>
    <cellStyle name="Note 2 3 31" xfId="24851" xr:uid="{00000000-0005-0000-0000-000018610000}"/>
    <cellStyle name="Note 2 3 32" xfId="24852" xr:uid="{00000000-0005-0000-0000-000019610000}"/>
    <cellStyle name="Note 2 3 33" xfId="24853" xr:uid="{00000000-0005-0000-0000-00001A610000}"/>
    <cellStyle name="Note 2 3 34" xfId="24854" xr:uid="{00000000-0005-0000-0000-00001B610000}"/>
    <cellStyle name="Note 2 3 35" xfId="24855" xr:uid="{00000000-0005-0000-0000-00001C610000}"/>
    <cellStyle name="Note 2 3 4" xfId="24856" xr:uid="{00000000-0005-0000-0000-00001D610000}"/>
    <cellStyle name="Note 2 3 4 2" xfId="24857" xr:uid="{00000000-0005-0000-0000-00001E610000}"/>
    <cellStyle name="Note 2 3 4 3" xfId="24858" xr:uid="{00000000-0005-0000-0000-00001F610000}"/>
    <cellStyle name="Note 2 3 5" xfId="24859" xr:uid="{00000000-0005-0000-0000-000020610000}"/>
    <cellStyle name="Note 2 3 5 2" xfId="24860" xr:uid="{00000000-0005-0000-0000-000021610000}"/>
    <cellStyle name="Note 2 3 5 3" xfId="24861" xr:uid="{00000000-0005-0000-0000-000022610000}"/>
    <cellStyle name="Note 2 3 6" xfId="24862" xr:uid="{00000000-0005-0000-0000-000023610000}"/>
    <cellStyle name="Note 2 3 7" xfId="24863" xr:uid="{00000000-0005-0000-0000-000024610000}"/>
    <cellStyle name="Note 2 3 8" xfId="24864" xr:uid="{00000000-0005-0000-0000-000025610000}"/>
    <cellStyle name="Note 2 3 9" xfId="24865" xr:uid="{00000000-0005-0000-0000-000026610000}"/>
    <cellStyle name="Note 2 30" xfId="24866" xr:uid="{00000000-0005-0000-0000-000027610000}"/>
    <cellStyle name="Note 2 31" xfId="24867" xr:uid="{00000000-0005-0000-0000-000028610000}"/>
    <cellStyle name="Note 2 32" xfId="24868" xr:uid="{00000000-0005-0000-0000-000029610000}"/>
    <cellStyle name="Note 2 33" xfId="24869" xr:uid="{00000000-0005-0000-0000-00002A610000}"/>
    <cellStyle name="Note 2 34" xfId="24870" xr:uid="{00000000-0005-0000-0000-00002B610000}"/>
    <cellStyle name="Note 2 35" xfId="24871" xr:uid="{00000000-0005-0000-0000-00002C610000}"/>
    <cellStyle name="Note 2 36" xfId="24872" xr:uid="{00000000-0005-0000-0000-00002D610000}"/>
    <cellStyle name="Note 2 37" xfId="24873" xr:uid="{00000000-0005-0000-0000-00002E610000}"/>
    <cellStyle name="Note 2 38" xfId="24874" xr:uid="{00000000-0005-0000-0000-00002F610000}"/>
    <cellStyle name="Note 2 39" xfId="24875" xr:uid="{00000000-0005-0000-0000-000030610000}"/>
    <cellStyle name="Note 2 4" xfId="24876" xr:uid="{00000000-0005-0000-0000-000031610000}"/>
    <cellStyle name="Note 2 4 10" xfId="24877" xr:uid="{00000000-0005-0000-0000-000032610000}"/>
    <cellStyle name="Note 2 4 11" xfId="24878" xr:uid="{00000000-0005-0000-0000-000033610000}"/>
    <cellStyle name="Note 2 4 12" xfId="24879" xr:uid="{00000000-0005-0000-0000-000034610000}"/>
    <cellStyle name="Note 2 4 13" xfId="24880" xr:uid="{00000000-0005-0000-0000-000035610000}"/>
    <cellStyle name="Note 2 4 14" xfId="24881" xr:uid="{00000000-0005-0000-0000-000036610000}"/>
    <cellStyle name="Note 2 4 15" xfId="24882" xr:uid="{00000000-0005-0000-0000-000037610000}"/>
    <cellStyle name="Note 2 4 16" xfId="24883" xr:uid="{00000000-0005-0000-0000-000038610000}"/>
    <cellStyle name="Note 2 4 17" xfId="24884" xr:uid="{00000000-0005-0000-0000-000039610000}"/>
    <cellStyle name="Note 2 4 18" xfId="24885" xr:uid="{00000000-0005-0000-0000-00003A610000}"/>
    <cellStyle name="Note 2 4 19" xfId="24886" xr:uid="{00000000-0005-0000-0000-00003B610000}"/>
    <cellStyle name="Note 2 4 2" xfId="24887" xr:uid="{00000000-0005-0000-0000-00003C610000}"/>
    <cellStyle name="Note 2 4 2 10" xfId="24888" xr:uid="{00000000-0005-0000-0000-00003D610000}"/>
    <cellStyle name="Note 2 4 2 11" xfId="24889" xr:uid="{00000000-0005-0000-0000-00003E610000}"/>
    <cellStyle name="Note 2 4 2 12" xfId="24890" xr:uid="{00000000-0005-0000-0000-00003F610000}"/>
    <cellStyle name="Note 2 4 2 13" xfId="24891" xr:uid="{00000000-0005-0000-0000-000040610000}"/>
    <cellStyle name="Note 2 4 2 14" xfId="24892" xr:uid="{00000000-0005-0000-0000-000041610000}"/>
    <cellStyle name="Note 2 4 2 15" xfId="24893" xr:uid="{00000000-0005-0000-0000-000042610000}"/>
    <cellStyle name="Note 2 4 2 16" xfId="24894" xr:uid="{00000000-0005-0000-0000-000043610000}"/>
    <cellStyle name="Note 2 4 2 17" xfId="24895" xr:uid="{00000000-0005-0000-0000-000044610000}"/>
    <cellStyle name="Note 2 4 2 18" xfId="24896" xr:uid="{00000000-0005-0000-0000-000045610000}"/>
    <cellStyle name="Note 2 4 2 19" xfId="24897" xr:uid="{00000000-0005-0000-0000-000046610000}"/>
    <cellStyle name="Note 2 4 2 2" xfId="24898" xr:uid="{00000000-0005-0000-0000-000047610000}"/>
    <cellStyle name="Note 2 4 2 2 10" xfId="24899" xr:uid="{00000000-0005-0000-0000-000048610000}"/>
    <cellStyle name="Note 2 4 2 2 11" xfId="24900" xr:uid="{00000000-0005-0000-0000-000049610000}"/>
    <cellStyle name="Note 2 4 2 2 12" xfId="24901" xr:uid="{00000000-0005-0000-0000-00004A610000}"/>
    <cellStyle name="Note 2 4 2 2 13" xfId="24902" xr:uid="{00000000-0005-0000-0000-00004B610000}"/>
    <cellStyle name="Note 2 4 2 2 14" xfId="24903" xr:uid="{00000000-0005-0000-0000-00004C610000}"/>
    <cellStyle name="Note 2 4 2 2 15" xfId="24904" xr:uid="{00000000-0005-0000-0000-00004D610000}"/>
    <cellStyle name="Note 2 4 2 2 16" xfId="24905" xr:uid="{00000000-0005-0000-0000-00004E610000}"/>
    <cellStyle name="Note 2 4 2 2 17" xfId="24906" xr:uid="{00000000-0005-0000-0000-00004F610000}"/>
    <cellStyle name="Note 2 4 2 2 18" xfId="24907" xr:uid="{00000000-0005-0000-0000-000050610000}"/>
    <cellStyle name="Note 2 4 2 2 19" xfId="24908" xr:uid="{00000000-0005-0000-0000-000051610000}"/>
    <cellStyle name="Note 2 4 2 2 2" xfId="24909" xr:uid="{00000000-0005-0000-0000-000052610000}"/>
    <cellStyle name="Note 2 4 2 2 2 2" xfId="24910" xr:uid="{00000000-0005-0000-0000-000053610000}"/>
    <cellStyle name="Note 2 4 2 2 2 2 2" xfId="24911" xr:uid="{00000000-0005-0000-0000-000054610000}"/>
    <cellStyle name="Note 2 4 2 2 2 2 3" xfId="24912" xr:uid="{00000000-0005-0000-0000-000055610000}"/>
    <cellStyle name="Note 2 4 2 2 2 3" xfId="24913" xr:uid="{00000000-0005-0000-0000-000056610000}"/>
    <cellStyle name="Note 2 4 2 2 2 3 2" xfId="24914" xr:uid="{00000000-0005-0000-0000-000057610000}"/>
    <cellStyle name="Note 2 4 2 2 2 3 3" xfId="24915" xr:uid="{00000000-0005-0000-0000-000058610000}"/>
    <cellStyle name="Note 2 4 2 2 2 4" xfId="24916" xr:uid="{00000000-0005-0000-0000-000059610000}"/>
    <cellStyle name="Note 2 4 2 2 2 5" xfId="24917" xr:uid="{00000000-0005-0000-0000-00005A610000}"/>
    <cellStyle name="Note 2 4 2 2 20" xfId="24918" xr:uid="{00000000-0005-0000-0000-00005B610000}"/>
    <cellStyle name="Note 2 4 2 2 21" xfId="24919" xr:uid="{00000000-0005-0000-0000-00005C610000}"/>
    <cellStyle name="Note 2 4 2 2 22" xfId="24920" xr:uid="{00000000-0005-0000-0000-00005D610000}"/>
    <cellStyle name="Note 2 4 2 2 23" xfId="24921" xr:uid="{00000000-0005-0000-0000-00005E610000}"/>
    <cellStyle name="Note 2 4 2 2 24" xfId="24922" xr:uid="{00000000-0005-0000-0000-00005F610000}"/>
    <cellStyle name="Note 2 4 2 2 25" xfId="24923" xr:uid="{00000000-0005-0000-0000-000060610000}"/>
    <cellStyle name="Note 2 4 2 2 26" xfId="24924" xr:uid="{00000000-0005-0000-0000-000061610000}"/>
    <cellStyle name="Note 2 4 2 2 27" xfId="24925" xr:uid="{00000000-0005-0000-0000-000062610000}"/>
    <cellStyle name="Note 2 4 2 2 28" xfId="24926" xr:uid="{00000000-0005-0000-0000-000063610000}"/>
    <cellStyle name="Note 2 4 2 2 29" xfId="24927" xr:uid="{00000000-0005-0000-0000-000064610000}"/>
    <cellStyle name="Note 2 4 2 2 3" xfId="24928" xr:uid="{00000000-0005-0000-0000-000065610000}"/>
    <cellStyle name="Note 2 4 2 2 3 2" xfId="24929" xr:uid="{00000000-0005-0000-0000-000066610000}"/>
    <cellStyle name="Note 2 4 2 2 3 2 2" xfId="24930" xr:uid="{00000000-0005-0000-0000-000067610000}"/>
    <cellStyle name="Note 2 4 2 2 3 2 3" xfId="24931" xr:uid="{00000000-0005-0000-0000-000068610000}"/>
    <cellStyle name="Note 2 4 2 2 3 3" xfId="24932" xr:uid="{00000000-0005-0000-0000-000069610000}"/>
    <cellStyle name="Note 2 4 2 2 3 3 2" xfId="24933" xr:uid="{00000000-0005-0000-0000-00006A610000}"/>
    <cellStyle name="Note 2 4 2 2 3 3 3" xfId="24934" xr:uid="{00000000-0005-0000-0000-00006B610000}"/>
    <cellStyle name="Note 2 4 2 2 3 4" xfId="24935" xr:uid="{00000000-0005-0000-0000-00006C610000}"/>
    <cellStyle name="Note 2 4 2 2 3 5" xfId="24936" xr:uid="{00000000-0005-0000-0000-00006D610000}"/>
    <cellStyle name="Note 2 4 2 2 30" xfId="24937" xr:uid="{00000000-0005-0000-0000-00006E610000}"/>
    <cellStyle name="Note 2 4 2 2 31" xfId="24938" xr:uid="{00000000-0005-0000-0000-00006F610000}"/>
    <cellStyle name="Note 2 4 2 2 32" xfId="24939" xr:uid="{00000000-0005-0000-0000-000070610000}"/>
    <cellStyle name="Note 2 4 2 2 33" xfId="24940" xr:uid="{00000000-0005-0000-0000-000071610000}"/>
    <cellStyle name="Note 2 4 2 2 34" xfId="24941" xr:uid="{00000000-0005-0000-0000-000072610000}"/>
    <cellStyle name="Note 2 4 2 2 35" xfId="24942" xr:uid="{00000000-0005-0000-0000-000073610000}"/>
    <cellStyle name="Note 2 4 2 2 4" xfId="24943" xr:uid="{00000000-0005-0000-0000-000074610000}"/>
    <cellStyle name="Note 2 4 2 2 4 2" xfId="24944" xr:uid="{00000000-0005-0000-0000-000075610000}"/>
    <cellStyle name="Note 2 4 2 2 4 3" xfId="24945" xr:uid="{00000000-0005-0000-0000-000076610000}"/>
    <cellStyle name="Note 2 4 2 2 5" xfId="24946" xr:uid="{00000000-0005-0000-0000-000077610000}"/>
    <cellStyle name="Note 2 4 2 2 5 2" xfId="24947" xr:uid="{00000000-0005-0000-0000-000078610000}"/>
    <cellStyle name="Note 2 4 2 2 5 3" xfId="24948" xr:uid="{00000000-0005-0000-0000-000079610000}"/>
    <cellStyle name="Note 2 4 2 2 6" xfId="24949" xr:uid="{00000000-0005-0000-0000-00007A610000}"/>
    <cellStyle name="Note 2 4 2 2 7" xfId="24950" xr:uid="{00000000-0005-0000-0000-00007B610000}"/>
    <cellStyle name="Note 2 4 2 2 8" xfId="24951" xr:uid="{00000000-0005-0000-0000-00007C610000}"/>
    <cellStyle name="Note 2 4 2 2 9" xfId="24952" xr:uid="{00000000-0005-0000-0000-00007D610000}"/>
    <cellStyle name="Note 2 4 2 20" xfId="24953" xr:uid="{00000000-0005-0000-0000-00007E610000}"/>
    <cellStyle name="Note 2 4 2 21" xfId="24954" xr:uid="{00000000-0005-0000-0000-00007F610000}"/>
    <cellStyle name="Note 2 4 2 22" xfId="24955" xr:uid="{00000000-0005-0000-0000-000080610000}"/>
    <cellStyle name="Note 2 4 2 23" xfId="24956" xr:uid="{00000000-0005-0000-0000-000081610000}"/>
    <cellStyle name="Note 2 4 2 24" xfId="24957" xr:uid="{00000000-0005-0000-0000-000082610000}"/>
    <cellStyle name="Note 2 4 2 25" xfId="24958" xr:uid="{00000000-0005-0000-0000-000083610000}"/>
    <cellStyle name="Note 2 4 2 26" xfId="24959" xr:uid="{00000000-0005-0000-0000-000084610000}"/>
    <cellStyle name="Note 2 4 2 27" xfId="24960" xr:uid="{00000000-0005-0000-0000-000085610000}"/>
    <cellStyle name="Note 2 4 2 28" xfId="24961" xr:uid="{00000000-0005-0000-0000-000086610000}"/>
    <cellStyle name="Note 2 4 2 29" xfId="24962" xr:uid="{00000000-0005-0000-0000-000087610000}"/>
    <cellStyle name="Note 2 4 2 3" xfId="24963" xr:uid="{00000000-0005-0000-0000-000088610000}"/>
    <cellStyle name="Note 2 4 2 3 2" xfId="24964" xr:uid="{00000000-0005-0000-0000-000089610000}"/>
    <cellStyle name="Note 2 4 2 3 3" xfId="24965" xr:uid="{00000000-0005-0000-0000-00008A610000}"/>
    <cellStyle name="Note 2 4 2 30" xfId="24966" xr:uid="{00000000-0005-0000-0000-00008B610000}"/>
    <cellStyle name="Note 2 4 2 31" xfId="24967" xr:uid="{00000000-0005-0000-0000-00008C610000}"/>
    <cellStyle name="Note 2 4 2 32" xfId="24968" xr:uid="{00000000-0005-0000-0000-00008D610000}"/>
    <cellStyle name="Note 2 4 2 33" xfId="24969" xr:uid="{00000000-0005-0000-0000-00008E610000}"/>
    <cellStyle name="Note 2 4 2 34" xfId="24970" xr:uid="{00000000-0005-0000-0000-00008F610000}"/>
    <cellStyle name="Note 2 4 2 4" xfId="24971" xr:uid="{00000000-0005-0000-0000-000090610000}"/>
    <cellStyle name="Note 2 4 2 4 2" xfId="24972" xr:uid="{00000000-0005-0000-0000-000091610000}"/>
    <cellStyle name="Note 2 4 2 4 3" xfId="24973" xr:uid="{00000000-0005-0000-0000-000092610000}"/>
    <cellStyle name="Note 2 4 2 5" xfId="24974" xr:uid="{00000000-0005-0000-0000-000093610000}"/>
    <cellStyle name="Note 2 4 2 6" xfId="24975" xr:uid="{00000000-0005-0000-0000-000094610000}"/>
    <cellStyle name="Note 2 4 2 7" xfId="24976" xr:uid="{00000000-0005-0000-0000-000095610000}"/>
    <cellStyle name="Note 2 4 2 8" xfId="24977" xr:uid="{00000000-0005-0000-0000-000096610000}"/>
    <cellStyle name="Note 2 4 2 9" xfId="24978" xr:uid="{00000000-0005-0000-0000-000097610000}"/>
    <cellStyle name="Note 2 4 20" xfId="24979" xr:uid="{00000000-0005-0000-0000-000098610000}"/>
    <cellStyle name="Note 2 4 21" xfId="24980" xr:uid="{00000000-0005-0000-0000-000099610000}"/>
    <cellStyle name="Note 2 4 22" xfId="24981" xr:uid="{00000000-0005-0000-0000-00009A610000}"/>
    <cellStyle name="Note 2 4 23" xfId="24982" xr:uid="{00000000-0005-0000-0000-00009B610000}"/>
    <cellStyle name="Note 2 4 24" xfId="24983" xr:uid="{00000000-0005-0000-0000-00009C610000}"/>
    <cellStyle name="Note 2 4 25" xfId="24984" xr:uid="{00000000-0005-0000-0000-00009D610000}"/>
    <cellStyle name="Note 2 4 26" xfId="24985" xr:uid="{00000000-0005-0000-0000-00009E610000}"/>
    <cellStyle name="Note 2 4 27" xfId="24986" xr:uid="{00000000-0005-0000-0000-00009F610000}"/>
    <cellStyle name="Note 2 4 28" xfId="24987" xr:uid="{00000000-0005-0000-0000-0000A0610000}"/>
    <cellStyle name="Note 2 4 29" xfId="24988" xr:uid="{00000000-0005-0000-0000-0000A1610000}"/>
    <cellStyle name="Note 2 4 3" xfId="24989" xr:uid="{00000000-0005-0000-0000-0000A2610000}"/>
    <cellStyle name="Note 2 4 3 10" xfId="24990" xr:uid="{00000000-0005-0000-0000-0000A3610000}"/>
    <cellStyle name="Note 2 4 3 11" xfId="24991" xr:uid="{00000000-0005-0000-0000-0000A4610000}"/>
    <cellStyle name="Note 2 4 3 12" xfId="24992" xr:uid="{00000000-0005-0000-0000-0000A5610000}"/>
    <cellStyle name="Note 2 4 3 13" xfId="24993" xr:uid="{00000000-0005-0000-0000-0000A6610000}"/>
    <cellStyle name="Note 2 4 3 14" xfId="24994" xr:uid="{00000000-0005-0000-0000-0000A7610000}"/>
    <cellStyle name="Note 2 4 3 15" xfId="24995" xr:uid="{00000000-0005-0000-0000-0000A8610000}"/>
    <cellStyle name="Note 2 4 3 16" xfId="24996" xr:uid="{00000000-0005-0000-0000-0000A9610000}"/>
    <cellStyle name="Note 2 4 3 17" xfId="24997" xr:uid="{00000000-0005-0000-0000-0000AA610000}"/>
    <cellStyle name="Note 2 4 3 18" xfId="24998" xr:uid="{00000000-0005-0000-0000-0000AB610000}"/>
    <cellStyle name="Note 2 4 3 19" xfId="24999" xr:uid="{00000000-0005-0000-0000-0000AC610000}"/>
    <cellStyle name="Note 2 4 3 2" xfId="25000" xr:uid="{00000000-0005-0000-0000-0000AD610000}"/>
    <cellStyle name="Note 2 4 3 2 2" xfId="25001" xr:uid="{00000000-0005-0000-0000-0000AE610000}"/>
    <cellStyle name="Note 2 4 3 2 2 2" xfId="25002" xr:uid="{00000000-0005-0000-0000-0000AF610000}"/>
    <cellStyle name="Note 2 4 3 2 2 3" xfId="25003" xr:uid="{00000000-0005-0000-0000-0000B0610000}"/>
    <cellStyle name="Note 2 4 3 2 3" xfId="25004" xr:uid="{00000000-0005-0000-0000-0000B1610000}"/>
    <cellStyle name="Note 2 4 3 2 3 2" xfId="25005" xr:uid="{00000000-0005-0000-0000-0000B2610000}"/>
    <cellStyle name="Note 2 4 3 2 3 3" xfId="25006" xr:uid="{00000000-0005-0000-0000-0000B3610000}"/>
    <cellStyle name="Note 2 4 3 2 4" xfId="25007" xr:uid="{00000000-0005-0000-0000-0000B4610000}"/>
    <cellStyle name="Note 2 4 3 2 5" xfId="25008" xr:uid="{00000000-0005-0000-0000-0000B5610000}"/>
    <cellStyle name="Note 2 4 3 20" xfId="25009" xr:uid="{00000000-0005-0000-0000-0000B6610000}"/>
    <cellStyle name="Note 2 4 3 21" xfId="25010" xr:uid="{00000000-0005-0000-0000-0000B7610000}"/>
    <cellStyle name="Note 2 4 3 22" xfId="25011" xr:uid="{00000000-0005-0000-0000-0000B8610000}"/>
    <cellStyle name="Note 2 4 3 23" xfId="25012" xr:uid="{00000000-0005-0000-0000-0000B9610000}"/>
    <cellStyle name="Note 2 4 3 24" xfId="25013" xr:uid="{00000000-0005-0000-0000-0000BA610000}"/>
    <cellStyle name="Note 2 4 3 25" xfId="25014" xr:uid="{00000000-0005-0000-0000-0000BB610000}"/>
    <cellStyle name="Note 2 4 3 26" xfId="25015" xr:uid="{00000000-0005-0000-0000-0000BC610000}"/>
    <cellStyle name="Note 2 4 3 27" xfId="25016" xr:uid="{00000000-0005-0000-0000-0000BD610000}"/>
    <cellStyle name="Note 2 4 3 28" xfId="25017" xr:uid="{00000000-0005-0000-0000-0000BE610000}"/>
    <cellStyle name="Note 2 4 3 29" xfId="25018" xr:uid="{00000000-0005-0000-0000-0000BF610000}"/>
    <cellStyle name="Note 2 4 3 3" xfId="25019" xr:uid="{00000000-0005-0000-0000-0000C0610000}"/>
    <cellStyle name="Note 2 4 3 3 2" xfId="25020" xr:uid="{00000000-0005-0000-0000-0000C1610000}"/>
    <cellStyle name="Note 2 4 3 3 2 2" xfId="25021" xr:uid="{00000000-0005-0000-0000-0000C2610000}"/>
    <cellStyle name="Note 2 4 3 3 2 3" xfId="25022" xr:uid="{00000000-0005-0000-0000-0000C3610000}"/>
    <cellStyle name="Note 2 4 3 3 3" xfId="25023" xr:uid="{00000000-0005-0000-0000-0000C4610000}"/>
    <cellStyle name="Note 2 4 3 3 3 2" xfId="25024" xr:uid="{00000000-0005-0000-0000-0000C5610000}"/>
    <cellStyle name="Note 2 4 3 3 3 3" xfId="25025" xr:uid="{00000000-0005-0000-0000-0000C6610000}"/>
    <cellStyle name="Note 2 4 3 3 4" xfId="25026" xr:uid="{00000000-0005-0000-0000-0000C7610000}"/>
    <cellStyle name="Note 2 4 3 3 5" xfId="25027" xr:uid="{00000000-0005-0000-0000-0000C8610000}"/>
    <cellStyle name="Note 2 4 3 30" xfId="25028" xr:uid="{00000000-0005-0000-0000-0000C9610000}"/>
    <cellStyle name="Note 2 4 3 31" xfId="25029" xr:uid="{00000000-0005-0000-0000-0000CA610000}"/>
    <cellStyle name="Note 2 4 3 32" xfId="25030" xr:uid="{00000000-0005-0000-0000-0000CB610000}"/>
    <cellStyle name="Note 2 4 3 33" xfId="25031" xr:uid="{00000000-0005-0000-0000-0000CC610000}"/>
    <cellStyle name="Note 2 4 3 34" xfId="25032" xr:uid="{00000000-0005-0000-0000-0000CD610000}"/>
    <cellStyle name="Note 2 4 3 35" xfId="25033" xr:uid="{00000000-0005-0000-0000-0000CE610000}"/>
    <cellStyle name="Note 2 4 3 4" xfId="25034" xr:uid="{00000000-0005-0000-0000-0000CF610000}"/>
    <cellStyle name="Note 2 4 3 4 2" xfId="25035" xr:uid="{00000000-0005-0000-0000-0000D0610000}"/>
    <cellStyle name="Note 2 4 3 4 3" xfId="25036" xr:uid="{00000000-0005-0000-0000-0000D1610000}"/>
    <cellStyle name="Note 2 4 3 5" xfId="25037" xr:uid="{00000000-0005-0000-0000-0000D2610000}"/>
    <cellStyle name="Note 2 4 3 5 2" xfId="25038" xr:uid="{00000000-0005-0000-0000-0000D3610000}"/>
    <cellStyle name="Note 2 4 3 5 3" xfId="25039" xr:uid="{00000000-0005-0000-0000-0000D4610000}"/>
    <cellStyle name="Note 2 4 3 6" xfId="25040" xr:uid="{00000000-0005-0000-0000-0000D5610000}"/>
    <cellStyle name="Note 2 4 3 7" xfId="25041" xr:uid="{00000000-0005-0000-0000-0000D6610000}"/>
    <cellStyle name="Note 2 4 3 8" xfId="25042" xr:uid="{00000000-0005-0000-0000-0000D7610000}"/>
    <cellStyle name="Note 2 4 3 9" xfId="25043" xr:uid="{00000000-0005-0000-0000-0000D8610000}"/>
    <cellStyle name="Note 2 4 30" xfId="25044" xr:uid="{00000000-0005-0000-0000-0000D9610000}"/>
    <cellStyle name="Note 2 4 31" xfId="25045" xr:uid="{00000000-0005-0000-0000-0000DA610000}"/>
    <cellStyle name="Note 2 4 32" xfId="25046" xr:uid="{00000000-0005-0000-0000-0000DB610000}"/>
    <cellStyle name="Note 2 4 33" xfId="25047" xr:uid="{00000000-0005-0000-0000-0000DC610000}"/>
    <cellStyle name="Note 2 4 34" xfId="25048" xr:uid="{00000000-0005-0000-0000-0000DD610000}"/>
    <cellStyle name="Note 2 4 35" xfId="25049" xr:uid="{00000000-0005-0000-0000-0000DE610000}"/>
    <cellStyle name="Note 2 4 4" xfId="25050" xr:uid="{00000000-0005-0000-0000-0000DF610000}"/>
    <cellStyle name="Note 2 4 4 2" xfId="25051" xr:uid="{00000000-0005-0000-0000-0000E0610000}"/>
    <cellStyle name="Note 2 4 4 3" xfId="25052" xr:uid="{00000000-0005-0000-0000-0000E1610000}"/>
    <cellStyle name="Note 2 4 5" xfId="25053" xr:uid="{00000000-0005-0000-0000-0000E2610000}"/>
    <cellStyle name="Note 2 4 5 2" xfId="25054" xr:uid="{00000000-0005-0000-0000-0000E3610000}"/>
    <cellStyle name="Note 2 4 5 3" xfId="25055" xr:uid="{00000000-0005-0000-0000-0000E4610000}"/>
    <cellStyle name="Note 2 4 6" xfId="25056" xr:uid="{00000000-0005-0000-0000-0000E5610000}"/>
    <cellStyle name="Note 2 4 7" xfId="25057" xr:uid="{00000000-0005-0000-0000-0000E6610000}"/>
    <cellStyle name="Note 2 4 8" xfId="25058" xr:uid="{00000000-0005-0000-0000-0000E7610000}"/>
    <cellStyle name="Note 2 4 9" xfId="25059" xr:uid="{00000000-0005-0000-0000-0000E8610000}"/>
    <cellStyle name="Note 2 40" xfId="25060" xr:uid="{00000000-0005-0000-0000-0000E9610000}"/>
    <cellStyle name="Note 2 41" xfId="25061" xr:uid="{00000000-0005-0000-0000-0000EA610000}"/>
    <cellStyle name="Note 2 42" xfId="25062" xr:uid="{00000000-0005-0000-0000-0000EB610000}"/>
    <cellStyle name="Note 2 43" xfId="25063" xr:uid="{00000000-0005-0000-0000-0000EC610000}"/>
    <cellStyle name="Note 2 44" xfId="25064" xr:uid="{00000000-0005-0000-0000-0000ED610000}"/>
    <cellStyle name="Note 2 45" xfId="25065" xr:uid="{00000000-0005-0000-0000-0000EE610000}"/>
    <cellStyle name="Note 2 46" xfId="25066" xr:uid="{00000000-0005-0000-0000-0000EF610000}"/>
    <cellStyle name="Note 2 47" xfId="25067" xr:uid="{00000000-0005-0000-0000-0000F0610000}"/>
    <cellStyle name="Note 2 48" xfId="25068" xr:uid="{00000000-0005-0000-0000-0000F1610000}"/>
    <cellStyle name="Note 2 49" xfId="25069" xr:uid="{00000000-0005-0000-0000-0000F2610000}"/>
    <cellStyle name="Note 2 5" xfId="25070" xr:uid="{00000000-0005-0000-0000-0000F3610000}"/>
    <cellStyle name="Note 2 5 2" xfId="25071" xr:uid="{00000000-0005-0000-0000-0000F4610000}"/>
    <cellStyle name="Note 2 50" xfId="25072" xr:uid="{00000000-0005-0000-0000-0000F5610000}"/>
    <cellStyle name="Note 2 51" xfId="25073" xr:uid="{00000000-0005-0000-0000-0000F6610000}"/>
    <cellStyle name="Note 2 52" xfId="25074" xr:uid="{00000000-0005-0000-0000-0000F7610000}"/>
    <cellStyle name="Note 2 53" xfId="25075" xr:uid="{00000000-0005-0000-0000-0000F8610000}"/>
    <cellStyle name="Note 2 6" xfId="25076" xr:uid="{00000000-0005-0000-0000-0000F9610000}"/>
    <cellStyle name="Note 2 6 2" xfId="25077" xr:uid="{00000000-0005-0000-0000-0000FA610000}"/>
    <cellStyle name="Note 2 7" xfId="25078" xr:uid="{00000000-0005-0000-0000-0000FB610000}"/>
    <cellStyle name="Note 2 7 2" xfId="25079" xr:uid="{00000000-0005-0000-0000-0000FC610000}"/>
    <cellStyle name="Note 2 8" xfId="25080" xr:uid="{00000000-0005-0000-0000-0000FD610000}"/>
    <cellStyle name="Note 2 8 2" xfId="25081" xr:uid="{00000000-0005-0000-0000-0000FE610000}"/>
    <cellStyle name="Note 2 9" xfId="25082" xr:uid="{00000000-0005-0000-0000-0000FF610000}"/>
    <cellStyle name="Note 2 9 2" xfId="25083" xr:uid="{00000000-0005-0000-0000-000000620000}"/>
    <cellStyle name="Note 20" xfId="25084" xr:uid="{00000000-0005-0000-0000-000001620000}"/>
    <cellStyle name="Note 20 2" xfId="25085" xr:uid="{00000000-0005-0000-0000-000002620000}"/>
    <cellStyle name="Note 21" xfId="25086" xr:uid="{00000000-0005-0000-0000-000003620000}"/>
    <cellStyle name="Note 21 2" xfId="25087" xr:uid="{00000000-0005-0000-0000-000004620000}"/>
    <cellStyle name="Note 22" xfId="25088" xr:uid="{00000000-0005-0000-0000-000005620000}"/>
    <cellStyle name="Note 22 2" xfId="25089" xr:uid="{00000000-0005-0000-0000-000006620000}"/>
    <cellStyle name="Note 23" xfId="25090" xr:uid="{00000000-0005-0000-0000-000007620000}"/>
    <cellStyle name="Note 23 2" xfId="25091" xr:uid="{00000000-0005-0000-0000-000008620000}"/>
    <cellStyle name="Note 24" xfId="25092" xr:uid="{00000000-0005-0000-0000-000009620000}"/>
    <cellStyle name="Note 24 2" xfId="25093" xr:uid="{00000000-0005-0000-0000-00000A620000}"/>
    <cellStyle name="Note 25" xfId="25094" xr:uid="{00000000-0005-0000-0000-00000B620000}"/>
    <cellStyle name="Note 25 2" xfId="25095" xr:uid="{00000000-0005-0000-0000-00000C620000}"/>
    <cellStyle name="Note 26" xfId="25096" xr:uid="{00000000-0005-0000-0000-00000D620000}"/>
    <cellStyle name="Note 26 2" xfId="25097" xr:uid="{00000000-0005-0000-0000-00000E620000}"/>
    <cellStyle name="Note 27" xfId="25098" xr:uid="{00000000-0005-0000-0000-00000F620000}"/>
    <cellStyle name="Note 27 2" xfId="25099" xr:uid="{00000000-0005-0000-0000-000010620000}"/>
    <cellStyle name="Note 3" xfId="25100" xr:uid="{00000000-0005-0000-0000-000011620000}"/>
    <cellStyle name="Note 3 10" xfId="25101" xr:uid="{00000000-0005-0000-0000-000012620000}"/>
    <cellStyle name="Note 3 11" xfId="25102" xr:uid="{00000000-0005-0000-0000-000013620000}"/>
    <cellStyle name="Note 3 12" xfId="25103" xr:uid="{00000000-0005-0000-0000-000014620000}"/>
    <cellStyle name="Note 3 13" xfId="25104" xr:uid="{00000000-0005-0000-0000-000015620000}"/>
    <cellStyle name="Note 3 14" xfId="25105" xr:uid="{00000000-0005-0000-0000-000016620000}"/>
    <cellStyle name="Note 3 15" xfId="25106" xr:uid="{00000000-0005-0000-0000-000017620000}"/>
    <cellStyle name="Note 3 16" xfId="25107" xr:uid="{00000000-0005-0000-0000-000018620000}"/>
    <cellStyle name="Note 3 17" xfId="25108" xr:uid="{00000000-0005-0000-0000-000019620000}"/>
    <cellStyle name="Note 3 18" xfId="25109" xr:uid="{00000000-0005-0000-0000-00001A620000}"/>
    <cellStyle name="Note 3 19" xfId="25110" xr:uid="{00000000-0005-0000-0000-00001B620000}"/>
    <cellStyle name="Note 3 2" xfId="25111" xr:uid="{00000000-0005-0000-0000-00001C620000}"/>
    <cellStyle name="Note 3 2 10" xfId="25112" xr:uid="{00000000-0005-0000-0000-00001D620000}"/>
    <cellStyle name="Note 3 2 11" xfId="25113" xr:uid="{00000000-0005-0000-0000-00001E620000}"/>
    <cellStyle name="Note 3 2 12" xfId="25114" xr:uid="{00000000-0005-0000-0000-00001F620000}"/>
    <cellStyle name="Note 3 2 13" xfId="25115" xr:uid="{00000000-0005-0000-0000-000020620000}"/>
    <cellStyle name="Note 3 2 14" xfId="25116" xr:uid="{00000000-0005-0000-0000-000021620000}"/>
    <cellStyle name="Note 3 2 15" xfId="25117" xr:uid="{00000000-0005-0000-0000-000022620000}"/>
    <cellStyle name="Note 3 2 16" xfId="25118" xr:uid="{00000000-0005-0000-0000-000023620000}"/>
    <cellStyle name="Note 3 2 17" xfId="25119" xr:uid="{00000000-0005-0000-0000-000024620000}"/>
    <cellStyle name="Note 3 2 18" xfId="25120" xr:uid="{00000000-0005-0000-0000-000025620000}"/>
    <cellStyle name="Note 3 2 19" xfId="25121" xr:uid="{00000000-0005-0000-0000-000026620000}"/>
    <cellStyle name="Note 3 2 2" xfId="25122" xr:uid="{00000000-0005-0000-0000-000027620000}"/>
    <cellStyle name="Note 3 2 2 10" xfId="25123" xr:uid="{00000000-0005-0000-0000-000028620000}"/>
    <cellStyle name="Note 3 2 2 11" xfId="25124" xr:uid="{00000000-0005-0000-0000-000029620000}"/>
    <cellStyle name="Note 3 2 2 12" xfId="25125" xr:uid="{00000000-0005-0000-0000-00002A620000}"/>
    <cellStyle name="Note 3 2 2 13" xfId="25126" xr:uid="{00000000-0005-0000-0000-00002B620000}"/>
    <cellStyle name="Note 3 2 2 14" xfId="25127" xr:uid="{00000000-0005-0000-0000-00002C620000}"/>
    <cellStyle name="Note 3 2 2 15" xfId="25128" xr:uid="{00000000-0005-0000-0000-00002D620000}"/>
    <cellStyle name="Note 3 2 2 16" xfId="25129" xr:uid="{00000000-0005-0000-0000-00002E620000}"/>
    <cellStyle name="Note 3 2 2 17" xfId="25130" xr:uid="{00000000-0005-0000-0000-00002F620000}"/>
    <cellStyle name="Note 3 2 2 18" xfId="25131" xr:uid="{00000000-0005-0000-0000-000030620000}"/>
    <cellStyle name="Note 3 2 2 19" xfId="25132" xr:uid="{00000000-0005-0000-0000-000031620000}"/>
    <cellStyle name="Note 3 2 2 2" xfId="25133" xr:uid="{00000000-0005-0000-0000-000032620000}"/>
    <cellStyle name="Note 3 2 2 2 10" xfId="25134" xr:uid="{00000000-0005-0000-0000-000033620000}"/>
    <cellStyle name="Note 3 2 2 2 11" xfId="25135" xr:uid="{00000000-0005-0000-0000-000034620000}"/>
    <cellStyle name="Note 3 2 2 2 12" xfId="25136" xr:uid="{00000000-0005-0000-0000-000035620000}"/>
    <cellStyle name="Note 3 2 2 2 13" xfId="25137" xr:uid="{00000000-0005-0000-0000-000036620000}"/>
    <cellStyle name="Note 3 2 2 2 14" xfId="25138" xr:uid="{00000000-0005-0000-0000-000037620000}"/>
    <cellStyle name="Note 3 2 2 2 15" xfId="25139" xr:uid="{00000000-0005-0000-0000-000038620000}"/>
    <cellStyle name="Note 3 2 2 2 16" xfId="25140" xr:uid="{00000000-0005-0000-0000-000039620000}"/>
    <cellStyle name="Note 3 2 2 2 17" xfId="25141" xr:uid="{00000000-0005-0000-0000-00003A620000}"/>
    <cellStyle name="Note 3 2 2 2 18" xfId="25142" xr:uid="{00000000-0005-0000-0000-00003B620000}"/>
    <cellStyle name="Note 3 2 2 2 19" xfId="25143" xr:uid="{00000000-0005-0000-0000-00003C620000}"/>
    <cellStyle name="Note 3 2 2 2 2" xfId="25144" xr:uid="{00000000-0005-0000-0000-00003D620000}"/>
    <cellStyle name="Note 3 2 2 2 2 2" xfId="25145" xr:uid="{00000000-0005-0000-0000-00003E620000}"/>
    <cellStyle name="Note 3 2 2 2 2 2 2" xfId="25146" xr:uid="{00000000-0005-0000-0000-00003F620000}"/>
    <cellStyle name="Note 3 2 2 2 2 2 3" xfId="25147" xr:uid="{00000000-0005-0000-0000-000040620000}"/>
    <cellStyle name="Note 3 2 2 2 2 3" xfId="25148" xr:uid="{00000000-0005-0000-0000-000041620000}"/>
    <cellStyle name="Note 3 2 2 2 2 3 2" xfId="25149" xr:uid="{00000000-0005-0000-0000-000042620000}"/>
    <cellStyle name="Note 3 2 2 2 2 3 3" xfId="25150" xr:uid="{00000000-0005-0000-0000-000043620000}"/>
    <cellStyle name="Note 3 2 2 2 2 4" xfId="25151" xr:uid="{00000000-0005-0000-0000-000044620000}"/>
    <cellStyle name="Note 3 2 2 2 2 5" xfId="25152" xr:uid="{00000000-0005-0000-0000-000045620000}"/>
    <cellStyle name="Note 3 2 2 2 20" xfId="25153" xr:uid="{00000000-0005-0000-0000-000046620000}"/>
    <cellStyle name="Note 3 2 2 2 21" xfId="25154" xr:uid="{00000000-0005-0000-0000-000047620000}"/>
    <cellStyle name="Note 3 2 2 2 22" xfId="25155" xr:uid="{00000000-0005-0000-0000-000048620000}"/>
    <cellStyle name="Note 3 2 2 2 23" xfId="25156" xr:uid="{00000000-0005-0000-0000-000049620000}"/>
    <cellStyle name="Note 3 2 2 2 24" xfId="25157" xr:uid="{00000000-0005-0000-0000-00004A620000}"/>
    <cellStyle name="Note 3 2 2 2 25" xfId="25158" xr:uid="{00000000-0005-0000-0000-00004B620000}"/>
    <cellStyle name="Note 3 2 2 2 26" xfId="25159" xr:uid="{00000000-0005-0000-0000-00004C620000}"/>
    <cellStyle name="Note 3 2 2 2 27" xfId="25160" xr:uid="{00000000-0005-0000-0000-00004D620000}"/>
    <cellStyle name="Note 3 2 2 2 28" xfId="25161" xr:uid="{00000000-0005-0000-0000-00004E620000}"/>
    <cellStyle name="Note 3 2 2 2 29" xfId="25162" xr:uid="{00000000-0005-0000-0000-00004F620000}"/>
    <cellStyle name="Note 3 2 2 2 3" xfId="25163" xr:uid="{00000000-0005-0000-0000-000050620000}"/>
    <cellStyle name="Note 3 2 2 2 3 2" xfId="25164" xr:uid="{00000000-0005-0000-0000-000051620000}"/>
    <cellStyle name="Note 3 2 2 2 3 2 2" xfId="25165" xr:uid="{00000000-0005-0000-0000-000052620000}"/>
    <cellStyle name="Note 3 2 2 2 3 2 3" xfId="25166" xr:uid="{00000000-0005-0000-0000-000053620000}"/>
    <cellStyle name="Note 3 2 2 2 3 3" xfId="25167" xr:uid="{00000000-0005-0000-0000-000054620000}"/>
    <cellStyle name="Note 3 2 2 2 3 3 2" xfId="25168" xr:uid="{00000000-0005-0000-0000-000055620000}"/>
    <cellStyle name="Note 3 2 2 2 3 3 3" xfId="25169" xr:uid="{00000000-0005-0000-0000-000056620000}"/>
    <cellStyle name="Note 3 2 2 2 3 4" xfId="25170" xr:uid="{00000000-0005-0000-0000-000057620000}"/>
    <cellStyle name="Note 3 2 2 2 3 5" xfId="25171" xr:uid="{00000000-0005-0000-0000-000058620000}"/>
    <cellStyle name="Note 3 2 2 2 30" xfId="25172" xr:uid="{00000000-0005-0000-0000-000059620000}"/>
    <cellStyle name="Note 3 2 2 2 31" xfId="25173" xr:uid="{00000000-0005-0000-0000-00005A620000}"/>
    <cellStyle name="Note 3 2 2 2 32" xfId="25174" xr:uid="{00000000-0005-0000-0000-00005B620000}"/>
    <cellStyle name="Note 3 2 2 2 33" xfId="25175" xr:uid="{00000000-0005-0000-0000-00005C620000}"/>
    <cellStyle name="Note 3 2 2 2 34" xfId="25176" xr:uid="{00000000-0005-0000-0000-00005D620000}"/>
    <cellStyle name="Note 3 2 2 2 35" xfId="25177" xr:uid="{00000000-0005-0000-0000-00005E620000}"/>
    <cellStyle name="Note 3 2 2 2 4" xfId="25178" xr:uid="{00000000-0005-0000-0000-00005F620000}"/>
    <cellStyle name="Note 3 2 2 2 4 2" xfId="25179" xr:uid="{00000000-0005-0000-0000-000060620000}"/>
    <cellStyle name="Note 3 2 2 2 4 3" xfId="25180" xr:uid="{00000000-0005-0000-0000-000061620000}"/>
    <cellStyle name="Note 3 2 2 2 5" xfId="25181" xr:uid="{00000000-0005-0000-0000-000062620000}"/>
    <cellStyle name="Note 3 2 2 2 5 2" xfId="25182" xr:uid="{00000000-0005-0000-0000-000063620000}"/>
    <cellStyle name="Note 3 2 2 2 5 3" xfId="25183" xr:uid="{00000000-0005-0000-0000-000064620000}"/>
    <cellStyle name="Note 3 2 2 2 6" xfId="25184" xr:uid="{00000000-0005-0000-0000-000065620000}"/>
    <cellStyle name="Note 3 2 2 2 7" xfId="25185" xr:uid="{00000000-0005-0000-0000-000066620000}"/>
    <cellStyle name="Note 3 2 2 2 8" xfId="25186" xr:uid="{00000000-0005-0000-0000-000067620000}"/>
    <cellStyle name="Note 3 2 2 2 9" xfId="25187" xr:uid="{00000000-0005-0000-0000-000068620000}"/>
    <cellStyle name="Note 3 2 2 20" xfId="25188" xr:uid="{00000000-0005-0000-0000-000069620000}"/>
    <cellStyle name="Note 3 2 2 21" xfId="25189" xr:uid="{00000000-0005-0000-0000-00006A620000}"/>
    <cellStyle name="Note 3 2 2 22" xfId="25190" xr:uid="{00000000-0005-0000-0000-00006B620000}"/>
    <cellStyle name="Note 3 2 2 23" xfId="25191" xr:uid="{00000000-0005-0000-0000-00006C620000}"/>
    <cellStyle name="Note 3 2 2 24" xfId="25192" xr:uid="{00000000-0005-0000-0000-00006D620000}"/>
    <cellStyle name="Note 3 2 2 25" xfId="25193" xr:uid="{00000000-0005-0000-0000-00006E620000}"/>
    <cellStyle name="Note 3 2 2 26" xfId="25194" xr:uid="{00000000-0005-0000-0000-00006F620000}"/>
    <cellStyle name="Note 3 2 2 27" xfId="25195" xr:uid="{00000000-0005-0000-0000-000070620000}"/>
    <cellStyle name="Note 3 2 2 28" xfId="25196" xr:uid="{00000000-0005-0000-0000-000071620000}"/>
    <cellStyle name="Note 3 2 2 29" xfId="25197" xr:uid="{00000000-0005-0000-0000-000072620000}"/>
    <cellStyle name="Note 3 2 2 3" xfId="25198" xr:uid="{00000000-0005-0000-0000-000073620000}"/>
    <cellStyle name="Note 3 2 2 3 2" xfId="25199" xr:uid="{00000000-0005-0000-0000-000074620000}"/>
    <cellStyle name="Note 3 2 2 3 3" xfId="25200" xr:uid="{00000000-0005-0000-0000-000075620000}"/>
    <cellStyle name="Note 3 2 2 30" xfId="25201" xr:uid="{00000000-0005-0000-0000-000076620000}"/>
    <cellStyle name="Note 3 2 2 31" xfId="25202" xr:uid="{00000000-0005-0000-0000-000077620000}"/>
    <cellStyle name="Note 3 2 2 32" xfId="25203" xr:uid="{00000000-0005-0000-0000-000078620000}"/>
    <cellStyle name="Note 3 2 2 33" xfId="25204" xr:uid="{00000000-0005-0000-0000-000079620000}"/>
    <cellStyle name="Note 3 2 2 34" xfId="25205" xr:uid="{00000000-0005-0000-0000-00007A620000}"/>
    <cellStyle name="Note 3 2 2 4" xfId="25206" xr:uid="{00000000-0005-0000-0000-00007B620000}"/>
    <cellStyle name="Note 3 2 2 4 2" xfId="25207" xr:uid="{00000000-0005-0000-0000-00007C620000}"/>
    <cellStyle name="Note 3 2 2 4 3" xfId="25208" xr:uid="{00000000-0005-0000-0000-00007D620000}"/>
    <cellStyle name="Note 3 2 2 5" xfId="25209" xr:uid="{00000000-0005-0000-0000-00007E620000}"/>
    <cellStyle name="Note 3 2 2 6" xfId="25210" xr:uid="{00000000-0005-0000-0000-00007F620000}"/>
    <cellStyle name="Note 3 2 2 7" xfId="25211" xr:uid="{00000000-0005-0000-0000-000080620000}"/>
    <cellStyle name="Note 3 2 2 8" xfId="25212" xr:uid="{00000000-0005-0000-0000-000081620000}"/>
    <cellStyle name="Note 3 2 2 9" xfId="25213" xr:uid="{00000000-0005-0000-0000-000082620000}"/>
    <cellStyle name="Note 3 2 20" xfId="25214" xr:uid="{00000000-0005-0000-0000-000083620000}"/>
    <cellStyle name="Note 3 2 21" xfId="25215" xr:uid="{00000000-0005-0000-0000-000084620000}"/>
    <cellStyle name="Note 3 2 22" xfId="25216" xr:uid="{00000000-0005-0000-0000-000085620000}"/>
    <cellStyle name="Note 3 2 23" xfId="25217" xr:uid="{00000000-0005-0000-0000-000086620000}"/>
    <cellStyle name="Note 3 2 24" xfId="25218" xr:uid="{00000000-0005-0000-0000-000087620000}"/>
    <cellStyle name="Note 3 2 25" xfId="25219" xr:uid="{00000000-0005-0000-0000-000088620000}"/>
    <cellStyle name="Note 3 2 26" xfId="25220" xr:uid="{00000000-0005-0000-0000-000089620000}"/>
    <cellStyle name="Note 3 2 27" xfId="25221" xr:uid="{00000000-0005-0000-0000-00008A620000}"/>
    <cellStyle name="Note 3 2 28" xfId="25222" xr:uid="{00000000-0005-0000-0000-00008B620000}"/>
    <cellStyle name="Note 3 2 29" xfId="25223" xr:uid="{00000000-0005-0000-0000-00008C620000}"/>
    <cellStyle name="Note 3 2 3" xfId="25224" xr:uid="{00000000-0005-0000-0000-00008D620000}"/>
    <cellStyle name="Note 3 2 3 10" xfId="25225" xr:uid="{00000000-0005-0000-0000-00008E620000}"/>
    <cellStyle name="Note 3 2 3 11" xfId="25226" xr:uid="{00000000-0005-0000-0000-00008F620000}"/>
    <cellStyle name="Note 3 2 3 12" xfId="25227" xr:uid="{00000000-0005-0000-0000-000090620000}"/>
    <cellStyle name="Note 3 2 3 13" xfId="25228" xr:uid="{00000000-0005-0000-0000-000091620000}"/>
    <cellStyle name="Note 3 2 3 14" xfId="25229" xr:uid="{00000000-0005-0000-0000-000092620000}"/>
    <cellStyle name="Note 3 2 3 15" xfId="25230" xr:uid="{00000000-0005-0000-0000-000093620000}"/>
    <cellStyle name="Note 3 2 3 16" xfId="25231" xr:uid="{00000000-0005-0000-0000-000094620000}"/>
    <cellStyle name="Note 3 2 3 17" xfId="25232" xr:uid="{00000000-0005-0000-0000-000095620000}"/>
    <cellStyle name="Note 3 2 3 18" xfId="25233" xr:uid="{00000000-0005-0000-0000-000096620000}"/>
    <cellStyle name="Note 3 2 3 19" xfId="25234" xr:uid="{00000000-0005-0000-0000-000097620000}"/>
    <cellStyle name="Note 3 2 3 2" xfId="25235" xr:uid="{00000000-0005-0000-0000-000098620000}"/>
    <cellStyle name="Note 3 2 3 2 2" xfId="25236" xr:uid="{00000000-0005-0000-0000-000099620000}"/>
    <cellStyle name="Note 3 2 3 2 2 2" xfId="25237" xr:uid="{00000000-0005-0000-0000-00009A620000}"/>
    <cellStyle name="Note 3 2 3 2 2 3" xfId="25238" xr:uid="{00000000-0005-0000-0000-00009B620000}"/>
    <cellStyle name="Note 3 2 3 2 3" xfId="25239" xr:uid="{00000000-0005-0000-0000-00009C620000}"/>
    <cellStyle name="Note 3 2 3 2 3 2" xfId="25240" xr:uid="{00000000-0005-0000-0000-00009D620000}"/>
    <cellStyle name="Note 3 2 3 2 3 3" xfId="25241" xr:uid="{00000000-0005-0000-0000-00009E620000}"/>
    <cellStyle name="Note 3 2 3 2 4" xfId="25242" xr:uid="{00000000-0005-0000-0000-00009F620000}"/>
    <cellStyle name="Note 3 2 3 2 5" xfId="25243" xr:uid="{00000000-0005-0000-0000-0000A0620000}"/>
    <cellStyle name="Note 3 2 3 20" xfId="25244" xr:uid="{00000000-0005-0000-0000-0000A1620000}"/>
    <cellStyle name="Note 3 2 3 21" xfId="25245" xr:uid="{00000000-0005-0000-0000-0000A2620000}"/>
    <cellStyle name="Note 3 2 3 22" xfId="25246" xr:uid="{00000000-0005-0000-0000-0000A3620000}"/>
    <cellStyle name="Note 3 2 3 23" xfId="25247" xr:uid="{00000000-0005-0000-0000-0000A4620000}"/>
    <cellStyle name="Note 3 2 3 24" xfId="25248" xr:uid="{00000000-0005-0000-0000-0000A5620000}"/>
    <cellStyle name="Note 3 2 3 25" xfId="25249" xr:uid="{00000000-0005-0000-0000-0000A6620000}"/>
    <cellStyle name="Note 3 2 3 26" xfId="25250" xr:uid="{00000000-0005-0000-0000-0000A7620000}"/>
    <cellStyle name="Note 3 2 3 27" xfId="25251" xr:uid="{00000000-0005-0000-0000-0000A8620000}"/>
    <cellStyle name="Note 3 2 3 28" xfId="25252" xr:uid="{00000000-0005-0000-0000-0000A9620000}"/>
    <cellStyle name="Note 3 2 3 29" xfId="25253" xr:uid="{00000000-0005-0000-0000-0000AA620000}"/>
    <cellStyle name="Note 3 2 3 3" xfId="25254" xr:uid="{00000000-0005-0000-0000-0000AB620000}"/>
    <cellStyle name="Note 3 2 3 3 2" xfId="25255" xr:uid="{00000000-0005-0000-0000-0000AC620000}"/>
    <cellStyle name="Note 3 2 3 3 2 2" xfId="25256" xr:uid="{00000000-0005-0000-0000-0000AD620000}"/>
    <cellStyle name="Note 3 2 3 3 2 3" xfId="25257" xr:uid="{00000000-0005-0000-0000-0000AE620000}"/>
    <cellStyle name="Note 3 2 3 3 3" xfId="25258" xr:uid="{00000000-0005-0000-0000-0000AF620000}"/>
    <cellStyle name="Note 3 2 3 3 3 2" xfId="25259" xr:uid="{00000000-0005-0000-0000-0000B0620000}"/>
    <cellStyle name="Note 3 2 3 3 3 3" xfId="25260" xr:uid="{00000000-0005-0000-0000-0000B1620000}"/>
    <cellStyle name="Note 3 2 3 3 4" xfId="25261" xr:uid="{00000000-0005-0000-0000-0000B2620000}"/>
    <cellStyle name="Note 3 2 3 3 5" xfId="25262" xr:uid="{00000000-0005-0000-0000-0000B3620000}"/>
    <cellStyle name="Note 3 2 3 30" xfId="25263" xr:uid="{00000000-0005-0000-0000-0000B4620000}"/>
    <cellStyle name="Note 3 2 3 31" xfId="25264" xr:uid="{00000000-0005-0000-0000-0000B5620000}"/>
    <cellStyle name="Note 3 2 3 32" xfId="25265" xr:uid="{00000000-0005-0000-0000-0000B6620000}"/>
    <cellStyle name="Note 3 2 3 33" xfId="25266" xr:uid="{00000000-0005-0000-0000-0000B7620000}"/>
    <cellStyle name="Note 3 2 3 34" xfId="25267" xr:uid="{00000000-0005-0000-0000-0000B8620000}"/>
    <cellStyle name="Note 3 2 3 35" xfId="25268" xr:uid="{00000000-0005-0000-0000-0000B9620000}"/>
    <cellStyle name="Note 3 2 3 4" xfId="25269" xr:uid="{00000000-0005-0000-0000-0000BA620000}"/>
    <cellStyle name="Note 3 2 3 4 2" xfId="25270" xr:uid="{00000000-0005-0000-0000-0000BB620000}"/>
    <cellStyle name="Note 3 2 3 4 3" xfId="25271" xr:uid="{00000000-0005-0000-0000-0000BC620000}"/>
    <cellStyle name="Note 3 2 3 5" xfId="25272" xr:uid="{00000000-0005-0000-0000-0000BD620000}"/>
    <cellStyle name="Note 3 2 3 5 2" xfId="25273" xr:uid="{00000000-0005-0000-0000-0000BE620000}"/>
    <cellStyle name="Note 3 2 3 5 3" xfId="25274" xr:uid="{00000000-0005-0000-0000-0000BF620000}"/>
    <cellStyle name="Note 3 2 3 6" xfId="25275" xr:uid="{00000000-0005-0000-0000-0000C0620000}"/>
    <cellStyle name="Note 3 2 3 7" xfId="25276" xr:uid="{00000000-0005-0000-0000-0000C1620000}"/>
    <cellStyle name="Note 3 2 3 8" xfId="25277" xr:uid="{00000000-0005-0000-0000-0000C2620000}"/>
    <cellStyle name="Note 3 2 3 9" xfId="25278" xr:uid="{00000000-0005-0000-0000-0000C3620000}"/>
    <cellStyle name="Note 3 2 30" xfId="25279" xr:uid="{00000000-0005-0000-0000-0000C4620000}"/>
    <cellStyle name="Note 3 2 31" xfId="25280" xr:uid="{00000000-0005-0000-0000-0000C5620000}"/>
    <cellStyle name="Note 3 2 32" xfId="25281" xr:uid="{00000000-0005-0000-0000-0000C6620000}"/>
    <cellStyle name="Note 3 2 33" xfId="25282" xr:uid="{00000000-0005-0000-0000-0000C7620000}"/>
    <cellStyle name="Note 3 2 34" xfId="25283" xr:uid="{00000000-0005-0000-0000-0000C8620000}"/>
    <cellStyle name="Note 3 2 35" xfId="25284" xr:uid="{00000000-0005-0000-0000-0000C9620000}"/>
    <cellStyle name="Note 3 2 4" xfId="25285" xr:uid="{00000000-0005-0000-0000-0000CA620000}"/>
    <cellStyle name="Note 3 2 4 2" xfId="25286" xr:uid="{00000000-0005-0000-0000-0000CB620000}"/>
    <cellStyle name="Note 3 2 4 3" xfId="25287" xr:uid="{00000000-0005-0000-0000-0000CC620000}"/>
    <cellStyle name="Note 3 2 5" xfId="25288" xr:uid="{00000000-0005-0000-0000-0000CD620000}"/>
    <cellStyle name="Note 3 2 5 2" xfId="25289" xr:uid="{00000000-0005-0000-0000-0000CE620000}"/>
    <cellStyle name="Note 3 2 5 3" xfId="25290" xr:uid="{00000000-0005-0000-0000-0000CF620000}"/>
    <cellStyle name="Note 3 2 6" xfId="25291" xr:uid="{00000000-0005-0000-0000-0000D0620000}"/>
    <cellStyle name="Note 3 2 7" xfId="25292" xr:uid="{00000000-0005-0000-0000-0000D1620000}"/>
    <cellStyle name="Note 3 2 8" xfId="25293" xr:uid="{00000000-0005-0000-0000-0000D2620000}"/>
    <cellStyle name="Note 3 2 9" xfId="25294" xr:uid="{00000000-0005-0000-0000-0000D3620000}"/>
    <cellStyle name="Note 3 20" xfId="25295" xr:uid="{00000000-0005-0000-0000-0000D4620000}"/>
    <cellStyle name="Note 3 21" xfId="25296" xr:uid="{00000000-0005-0000-0000-0000D5620000}"/>
    <cellStyle name="Note 3 22" xfId="25297" xr:uid="{00000000-0005-0000-0000-0000D6620000}"/>
    <cellStyle name="Note 3 23" xfId="25298" xr:uid="{00000000-0005-0000-0000-0000D7620000}"/>
    <cellStyle name="Note 3 24" xfId="25299" xr:uid="{00000000-0005-0000-0000-0000D8620000}"/>
    <cellStyle name="Note 3 25" xfId="25300" xr:uid="{00000000-0005-0000-0000-0000D9620000}"/>
    <cellStyle name="Note 3 26" xfId="25301" xr:uid="{00000000-0005-0000-0000-0000DA620000}"/>
    <cellStyle name="Note 3 27" xfId="25302" xr:uid="{00000000-0005-0000-0000-0000DB620000}"/>
    <cellStyle name="Note 3 28" xfId="25303" xr:uid="{00000000-0005-0000-0000-0000DC620000}"/>
    <cellStyle name="Note 3 29" xfId="25304" xr:uid="{00000000-0005-0000-0000-0000DD620000}"/>
    <cellStyle name="Note 3 3" xfId="25305" xr:uid="{00000000-0005-0000-0000-0000DE620000}"/>
    <cellStyle name="Note 3 3 10" xfId="25306" xr:uid="{00000000-0005-0000-0000-0000DF620000}"/>
    <cellStyle name="Note 3 3 11" xfId="25307" xr:uid="{00000000-0005-0000-0000-0000E0620000}"/>
    <cellStyle name="Note 3 3 12" xfId="25308" xr:uid="{00000000-0005-0000-0000-0000E1620000}"/>
    <cellStyle name="Note 3 3 13" xfId="25309" xr:uid="{00000000-0005-0000-0000-0000E2620000}"/>
    <cellStyle name="Note 3 3 14" xfId="25310" xr:uid="{00000000-0005-0000-0000-0000E3620000}"/>
    <cellStyle name="Note 3 3 15" xfId="25311" xr:uid="{00000000-0005-0000-0000-0000E4620000}"/>
    <cellStyle name="Note 3 3 16" xfId="25312" xr:uid="{00000000-0005-0000-0000-0000E5620000}"/>
    <cellStyle name="Note 3 3 17" xfId="25313" xr:uid="{00000000-0005-0000-0000-0000E6620000}"/>
    <cellStyle name="Note 3 3 18" xfId="25314" xr:uid="{00000000-0005-0000-0000-0000E7620000}"/>
    <cellStyle name="Note 3 3 19" xfId="25315" xr:uid="{00000000-0005-0000-0000-0000E8620000}"/>
    <cellStyle name="Note 3 3 2" xfId="25316" xr:uid="{00000000-0005-0000-0000-0000E9620000}"/>
    <cellStyle name="Note 3 3 2 10" xfId="25317" xr:uid="{00000000-0005-0000-0000-0000EA620000}"/>
    <cellStyle name="Note 3 3 2 11" xfId="25318" xr:uid="{00000000-0005-0000-0000-0000EB620000}"/>
    <cellStyle name="Note 3 3 2 12" xfId="25319" xr:uid="{00000000-0005-0000-0000-0000EC620000}"/>
    <cellStyle name="Note 3 3 2 13" xfId="25320" xr:uid="{00000000-0005-0000-0000-0000ED620000}"/>
    <cellStyle name="Note 3 3 2 14" xfId="25321" xr:uid="{00000000-0005-0000-0000-0000EE620000}"/>
    <cellStyle name="Note 3 3 2 15" xfId="25322" xr:uid="{00000000-0005-0000-0000-0000EF620000}"/>
    <cellStyle name="Note 3 3 2 16" xfId="25323" xr:uid="{00000000-0005-0000-0000-0000F0620000}"/>
    <cellStyle name="Note 3 3 2 17" xfId="25324" xr:uid="{00000000-0005-0000-0000-0000F1620000}"/>
    <cellStyle name="Note 3 3 2 18" xfId="25325" xr:uid="{00000000-0005-0000-0000-0000F2620000}"/>
    <cellStyle name="Note 3 3 2 19" xfId="25326" xr:uid="{00000000-0005-0000-0000-0000F3620000}"/>
    <cellStyle name="Note 3 3 2 2" xfId="25327" xr:uid="{00000000-0005-0000-0000-0000F4620000}"/>
    <cellStyle name="Note 3 3 2 2 2" xfId="25328" xr:uid="{00000000-0005-0000-0000-0000F5620000}"/>
    <cellStyle name="Note 3 3 2 2 2 2" xfId="25329" xr:uid="{00000000-0005-0000-0000-0000F6620000}"/>
    <cellStyle name="Note 3 3 2 2 2 3" xfId="25330" xr:uid="{00000000-0005-0000-0000-0000F7620000}"/>
    <cellStyle name="Note 3 3 2 2 3" xfId="25331" xr:uid="{00000000-0005-0000-0000-0000F8620000}"/>
    <cellStyle name="Note 3 3 2 2 3 2" xfId="25332" xr:uid="{00000000-0005-0000-0000-0000F9620000}"/>
    <cellStyle name="Note 3 3 2 2 3 3" xfId="25333" xr:uid="{00000000-0005-0000-0000-0000FA620000}"/>
    <cellStyle name="Note 3 3 2 2 4" xfId="25334" xr:uid="{00000000-0005-0000-0000-0000FB620000}"/>
    <cellStyle name="Note 3 3 2 2 5" xfId="25335" xr:uid="{00000000-0005-0000-0000-0000FC620000}"/>
    <cellStyle name="Note 3 3 2 20" xfId="25336" xr:uid="{00000000-0005-0000-0000-0000FD620000}"/>
    <cellStyle name="Note 3 3 2 21" xfId="25337" xr:uid="{00000000-0005-0000-0000-0000FE620000}"/>
    <cellStyle name="Note 3 3 2 22" xfId="25338" xr:uid="{00000000-0005-0000-0000-0000FF620000}"/>
    <cellStyle name="Note 3 3 2 23" xfId="25339" xr:uid="{00000000-0005-0000-0000-000000630000}"/>
    <cellStyle name="Note 3 3 2 24" xfId="25340" xr:uid="{00000000-0005-0000-0000-000001630000}"/>
    <cellStyle name="Note 3 3 2 25" xfId="25341" xr:uid="{00000000-0005-0000-0000-000002630000}"/>
    <cellStyle name="Note 3 3 2 26" xfId="25342" xr:uid="{00000000-0005-0000-0000-000003630000}"/>
    <cellStyle name="Note 3 3 2 27" xfId="25343" xr:uid="{00000000-0005-0000-0000-000004630000}"/>
    <cellStyle name="Note 3 3 2 28" xfId="25344" xr:uid="{00000000-0005-0000-0000-000005630000}"/>
    <cellStyle name="Note 3 3 2 29" xfId="25345" xr:uid="{00000000-0005-0000-0000-000006630000}"/>
    <cellStyle name="Note 3 3 2 3" xfId="25346" xr:uid="{00000000-0005-0000-0000-000007630000}"/>
    <cellStyle name="Note 3 3 2 3 2" xfId="25347" xr:uid="{00000000-0005-0000-0000-000008630000}"/>
    <cellStyle name="Note 3 3 2 3 2 2" xfId="25348" xr:uid="{00000000-0005-0000-0000-000009630000}"/>
    <cellStyle name="Note 3 3 2 3 2 3" xfId="25349" xr:uid="{00000000-0005-0000-0000-00000A630000}"/>
    <cellStyle name="Note 3 3 2 3 3" xfId="25350" xr:uid="{00000000-0005-0000-0000-00000B630000}"/>
    <cellStyle name="Note 3 3 2 3 3 2" xfId="25351" xr:uid="{00000000-0005-0000-0000-00000C630000}"/>
    <cellStyle name="Note 3 3 2 3 3 3" xfId="25352" xr:uid="{00000000-0005-0000-0000-00000D630000}"/>
    <cellStyle name="Note 3 3 2 3 4" xfId="25353" xr:uid="{00000000-0005-0000-0000-00000E630000}"/>
    <cellStyle name="Note 3 3 2 3 5" xfId="25354" xr:uid="{00000000-0005-0000-0000-00000F630000}"/>
    <cellStyle name="Note 3 3 2 30" xfId="25355" xr:uid="{00000000-0005-0000-0000-000010630000}"/>
    <cellStyle name="Note 3 3 2 31" xfId="25356" xr:uid="{00000000-0005-0000-0000-000011630000}"/>
    <cellStyle name="Note 3 3 2 32" xfId="25357" xr:uid="{00000000-0005-0000-0000-000012630000}"/>
    <cellStyle name="Note 3 3 2 33" xfId="25358" xr:uid="{00000000-0005-0000-0000-000013630000}"/>
    <cellStyle name="Note 3 3 2 34" xfId="25359" xr:uid="{00000000-0005-0000-0000-000014630000}"/>
    <cellStyle name="Note 3 3 2 35" xfId="25360" xr:uid="{00000000-0005-0000-0000-000015630000}"/>
    <cellStyle name="Note 3 3 2 4" xfId="25361" xr:uid="{00000000-0005-0000-0000-000016630000}"/>
    <cellStyle name="Note 3 3 2 4 2" xfId="25362" xr:uid="{00000000-0005-0000-0000-000017630000}"/>
    <cellStyle name="Note 3 3 2 4 3" xfId="25363" xr:uid="{00000000-0005-0000-0000-000018630000}"/>
    <cellStyle name="Note 3 3 2 5" xfId="25364" xr:uid="{00000000-0005-0000-0000-000019630000}"/>
    <cellStyle name="Note 3 3 2 5 2" xfId="25365" xr:uid="{00000000-0005-0000-0000-00001A630000}"/>
    <cellStyle name="Note 3 3 2 5 3" xfId="25366" xr:uid="{00000000-0005-0000-0000-00001B630000}"/>
    <cellStyle name="Note 3 3 2 6" xfId="25367" xr:uid="{00000000-0005-0000-0000-00001C630000}"/>
    <cellStyle name="Note 3 3 2 7" xfId="25368" xr:uid="{00000000-0005-0000-0000-00001D630000}"/>
    <cellStyle name="Note 3 3 2 8" xfId="25369" xr:uid="{00000000-0005-0000-0000-00001E630000}"/>
    <cellStyle name="Note 3 3 2 9" xfId="25370" xr:uid="{00000000-0005-0000-0000-00001F630000}"/>
    <cellStyle name="Note 3 3 20" xfId="25371" xr:uid="{00000000-0005-0000-0000-000020630000}"/>
    <cellStyle name="Note 3 3 21" xfId="25372" xr:uid="{00000000-0005-0000-0000-000021630000}"/>
    <cellStyle name="Note 3 3 22" xfId="25373" xr:uid="{00000000-0005-0000-0000-000022630000}"/>
    <cellStyle name="Note 3 3 23" xfId="25374" xr:uid="{00000000-0005-0000-0000-000023630000}"/>
    <cellStyle name="Note 3 3 24" xfId="25375" xr:uid="{00000000-0005-0000-0000-000024630000}"/>
    <cellStyle name="Note 3 3 25" xfId="25376" xr:uid="{00000000-0005-0000-0000-000025630000}"/>
    <cellStyle name="Note 3 3 26" xfId="25377" xr:uid="{00000000-0005-0000-0000-000026630000}"/>
    <cellStyle name="Note 3 3 27" xfId="25378" xr:uid="{00000000-0005-0000-0000-000027630000}"/>
    <cellStyle name="Note 3 3 28" xfId="25379" xr:uid="{00000000-0005-0000-0000-000028630000}"/>
    <cellStyle name="Note 3 3 29" xfId="25380" xr:uid="{00000000-0005-0000-0000-000029630000}"/>
    <cellStyle name="Note 3 3 3" xfId="25381" xr:uid="{00000000-0005-0000-0000-00002A630000}"/>
    <cellStyle name="Note 3 3 3 2" xfId="25382" xr:uid="{00000000-0005-0000-0000-00002B630000}"/>
    <cellStyle name="Note 3 3 3 3" xfId="25383" xr:uid="{00000000-0005-0000-0000-00002C630000}"/>
    <cellStyle name="Note 3 3 30" xfId="25384" xr:uid="{00000000-0005-0000-0000-00002D630000}"/>
    <cellStyle name="Note 3 3 31" xfId="25385" xr:uid="{00000000-0005-0000-0000-00002E630000}"/>
    <cellStyle name="Note 3 3 32" xfId="25386" xr:uid="{00000000-0005-0000-0000-00002F630000}"/>
    <cellStyle name="Note 3 3 33" xfId="25387" xr:uid="{00000000-0005-0000-0000-000030630000}"/>
    <cellStyle name="Note 3 3 34" xfId="25388" xr:uid="{00000000-0005-0000-0000-000031630000}"/>
    <cellStyle name="Note 3 3 4" xfId="25389" xr:uid="{00000000-0005-0000-0000-000032630000}"/>
    <cellStyle name="Note 3 3 4 2" xfId="25390" xr:uid="{00000000-0005-0000-0000-000033630000}"/>
    <cellStyle name="Note 3 3 4 3" xfId="25391" xr:uid="{00000000-0005-0000-0000-000034630000}"/>
    <cellStyle name="Note 3 3 5" xfId="25392" xr:uid="{00000000-0005-0000-0000-000035630000}"/>
    <cellStyle name="Note 3 3 6" xfId="25393" xr:uid="{00000000-0005-0000-0000-000036630000}"/>
    <cellStyle name="Note 3 3 7" xfId="25394" xr:uid="{00000000-0005-0000-0000-000037630000}"/>
    <cellStyle name="Note 3 3 8" xfId="25395" xr:uid="{00000000-0005-0000-0000-000038630000}"/>
    <cellStyle name="Note 3 3 9" xfId="25396" xr:uid="{00000000-0005-0000-0000-000039630000}"/>
    <cellStyle name="Note 3 30" xfId="25397" xr:uid="{00000000-0005-0000-0000-00003A630000}"/>
    <cellStyle name="Note 3 31" xfId="25398" xr:uid="{00000000-0005-0000-0000-00003B630000}"/>
    <cellStyle name="Note 3 32" xfId="25399" xr:uid="{00000000-0005-0000-0000-00003C630000}"/>
    <cellStyle name="Note 3 33" xfId="25400" xr:uid="{00000000-0005-0000-0000-00003D630000}"/>
    <cellStyle name="Note 3 34" xfId="25401" xr:uid="{00000000-0005-0000-0000-00003E630000}"/>
    <cellStyle name="Note 3 35" xfId="25402" xr:uid="{00000000-0005-0000-0000-00003F630000}"/>
    <cellStyle name="Note 3 36" xfId="25403" xr:uid="{00000000-0005-0000-0000-000040630000}"/>
    <cellStyle name="Note 3 4" xfId="25404" xr:uid="{00000000-0005-0000-0000-000041630000}"/>
    <cellStyle name="Note 3 4 10" xfId="25405" xr:uid="{00000000-0005-0000-0000-000042630000}"/>
    <cellStyle name="Note 3 4 11" xfId="25406" xr:uid="{00000000-0005-0000-0000-000043630000}"/>
    <cellStyle name="Note 3 4 12" xfId="25407" xr:uid="{00000000-0005-0000-0000-000044630000}"/>
    <cellStyle name="Note 3 4 13" xfId="25408" xr:uid="{00000000-0005-0000-0000-000045630000}"/>
    <cellStyle name="Note 3 4 14" xfId="25409" xr:uid="{00000000-0005-0000-0000-000046630000}"/>
    <cellStyle name="Note 3 4 15" xfId="25410" xr:uid="{00000000-0005-0000-0000-000047630000}"/>
    <cellStyle name="Note 3 4 16" xfId="25411" xr:uid="{00000000-0005-0000-0000-000048630000}"/>
    <cellStyle name="Note 3 4 17" xfId="25412" xr:uid="{00000000-0005-0000-0000-000049630000}"/>
    <cellStyle name="Note 3 4 18" xfId="25413" xr:uid="{00000000-0005-0000-0000-00004A630000}"/>
    <cellStyle name="Note 3 4 19" xfId="25414" xr:uid="{00000000-0005-0000-0000-00004B630000}"/>
    <cellStyle name="Note 3 4 2" xfId="25415" xr:uid="{00000000-0005-0000-0000-00004C630000}"/>
    <cellStyle name="Note 3 4 2 2" xfId="25416" xr:uid="{00000000-0005-0000-0000-00004D630000}"/>
    <cellStyle name="Note 3 4 2 2 2" xfId="25417" xr:uid="{00000000-0005-0000-0000-00004E630000}"/>
    <cellStyle name="Note 3 4 2 2 3" xfId="25418" xr:uid="{00000000-0005-0000-0000-00004F630000}"/>
    <cellStyle name="Note 3 4 2 3" xfId="25419" xr:uid="{00000000-0005-0000-0000-000050630000}"/>
    <cellStyle name="Note 3 4 2 3 2" xfId="25420" xr:uid="{00000000-0005-0000-0000-000051630000}"/>
    <cellStyle name="Note 3 4 2 3 3" xfId="25421" xr:uid="{00000000-0005-0000-0000-000052630000}"/>
    <cellStyle name="Note 3 4 2 4" xfId="25422" xr:uid="{00000000-0005-0000-0000-000053630000}"/>
    <cellStyle name="Note 3 4 2 5" xfId="25423" xr:uid="{00000000-0005-0000-0000-000054630000}"/>
    <cellStyle name="Note 3 4 20" xfId="25424" xr:uid="{00000000-0005-0000-0000-000055630000}"/>
    <cellStyle name="Note 3 4 21" xfId="25425" xr:uid="{00000000-0005-0000-0000-000056630000}"/>
    <cellStyle name="Note 3 4 22" xfId="25426" xr:uid="{00000000-0005-0000-0000-000057630000}"/>
    <cellStyle name="Note 3 4 23" xfId="25427" xr:uid="{00000000-0005-0000-0000-000058630000}"/>
    <cellStyle name="Note 3 4 24" xfId="25428" xr:uid="{00000000-0005-0000-0000-000059630000}"/>
    <cellStyle name="Note 3 4 25" xfId="25429" xr:uid="{00000000-0005-0000-0000-00005A630000}"/>
    <cellStyle name="Note 3 4 26" xfId="25430" xr:uid="{00000000-0005-0000-0000-00005B630000}"/>
    <cellStyle name="Note 3 4 27" xfId="25431" xr:uid="{00000000-0005-0000-0000-00005C630000}"/>
    <cellStyle name="Note 3 4 28" xfId="25432" xr:uid="{00000000-0005-0000-0000-00005D630000}"/>
    <cellStyle name="Note 3 4 29" xfId="25433" xr:uid="{00000000-0005-0000-0000-00005E630000}"/>
    <cellStyle name="Note 3 4 3" xfId="25434" xr:uid="{00000000-0005-0000-0000-00005F630000}"/>
    <cellStyle name="Note 3 4 3 2" xfId="25435" xr:uid="{00000000-0005-0000-0000-000060630000}"/>
    <cellStyle name="Note 3 4 3 2 2" xfId="25436" xr:uid="{00000000-0005-0000-0000-000061630000}"/>
    <cellStyle name="Note 3 4 3 2 3" xfId="25437" xr:uid="{00000000-0005-0000-0000-000062630000}"/>
    <cellStyle name="Note 3 4 3 3" xfId="25438" xr:uid="{00000000-0005-0000-0000-000063630000}"/>
    <cellStyle name="Note 3 4 3 3 2" xfId="25439" xr:uid="{00000000-0005-0000-0000-000064630000}"/>
    <cellStyle name="Note 3 4 3 3 3" xfId="25440" xr:uid="{00000000-0005-0000-0000-000065630000}"/>
    <cellStyle name="Note 3 4 3 4" xfId="25441" xr:uid="{00000000-0005-0000-0000-000066630000}"/>
    <cellStyle name="Note 3 4 3 5" xfId="25442" xr:uid="{00000000-0005-0000-0000-000067630000}"/>
    <cellStyle name="Note 3 4 30" xfId="25443" xr:uid="{00000000-0005-0000-0000-000068630000}"/>
    <cellStyle name="Note 3 4 31" xfId="25444" xr:uid="{00000000-0005-0000-0000-000069630000}"/>
    <cellStyle name="Note 3 4 32" xfId="25445" xr:uid="{00000000-0005-0000-0000-00006A630000}"/>
    <cellStyle name="Note 3 4 33" xfId="25446" xr:uid="{00000000-0005-0000-0000-00006B630000}"/>
    <cellStyle name="Note 3 4 34" xfId="25447" xr:uid="{00000000-0005-0000-0000-00006C630000}"/>
    <cellStyle name="Note 3 4 35" xfId="25448" xr:uid="{00000000-0005-0000-0000-00006D630000}"/>
    <cellStyle name="Note 3 4 4" xfId="25449" xr:uid="{00000000-0005-0000-0000-00006E630000}"/>
    <cellStyle name="Note 3 4 4 2" xfId="25450" xr:uid="{00000000-0005-0000-0000-00006F630000}"/>
    <cellStyle name="Note 3 4 4 3" xfId="25451" xr:uid="{00000000-0005-0000-0000-000070630000}"/>
    <cellStyle name="Note 3 4 5" xfId="25452" xr:uid="{00000000-0005-0000-0000-000071630000}"/>
    <cellStyle name="Note 3 4 5 2" xfId="25453" xr:uid="{00000000-0005-0000-0000-000072630000}"/>
    <cellStyle name="Note 3 4 5 3" xfId="25454" xr:uid="{00000000-0005-0000-0000-000073630000}"/>
    <cellStyle name="Note 3 4 6" xfId="25455" xr:uid="{00000000-0005-0000-0000-000074630000}"/>
    <cellStyle name="Note 3 4 7" xfId="25456" xr:uid="{00000000-0005-0000-0000-000075630000}"/>
    <cellStyle name="Note 3 4 8" xfId="25457" xr:uid="{00000000-0005-0000-0000-000076630000}"/>
    <cellStyle name="Note 3 4 9" xfId="25458" xr:uid="{00000000-0005-0000-0000-000077630000}"/>
    <cellStyle name="Note 3 5" xfId="25459" xr:uid="{00000000-0005-0000-0000-000078630000}"/>
    <cellStyle name="Note 3 5 2" xfId="25460" xr:uid="{00000000-0005-0000-0000-000079630000}"/>
    <cellStyle name="Note 3 5 3" xfId="25461" xr:uid="{00000000-0005-0000-0000-00007A630000}"/>
    <cellStyle name="Note 3 6" xfId="25462" xr:uid="{00000000-0005-0000-0000-00007B630000}"/>
    <cellStyle name="Note 3 6 2" xfId="25463" xr:uid="{00000000-0005-0000-0000-00007C630000}"/>
    <cellStyle name="Note 3 6 3" xfId="25464" xr:uid="{00000000-0005-0000-0000-00007D630000}"/>
    <cellStyle name="Note 3 7" xfId="25465" xr:uid="{00000000-0005-0000-0000-00007E630000}"/>
    <cellStyle name="Note 3 8" xfId="25466" xr:uid="{00000000-0005-0000-0000-00007F630000}"/>
    <cellStyle name="Note 3 9" xfId="25467" xr:uid="{00000000-0005-0000-0000-000080630000}"/>
    <cellStyle name="Note 4" xfId="25468" xr:uid="{00000000-0005-0000-0000-000081630000}"/>
    <cellStyle name="Note 4 2" xfId="25469" xr:uid="{00000000-0005-0000-0000-000082630000}"/>
    <cellStyle name="Note 4 2 2" xfId="25470" xr:uid="{00000000-0005-0000-0000-000083630000}"/>
    <cellStyle name="Note 4 3" xfId="25471" xr:uid="{00000000-0005-0000-0000-000084630000}"/>
    <cellStyle name="Note 4 3 2" xfId="25472" xr:uid="{00000000-0005-0000-0000-000085630000}"/>
    <cellStyle name="Note 4 4" xfId="25473" xr:uid="{00000000-0005-0000-0000-000086630000}"/>
    <cellStyle name="Note 4 4 10" xfId="25474" xr:uid="{00000000-0005-0000-0000-000087630000}"/>
    <cellStyle name="Note 4 4 11" xfId="25475" xr:uid="{00000000-0005-0000-0000-000088630000}"/>
    <cellStyle name="Note 4 4 12" xfId="25476" xr:uid="{00000000-0005-0000-0000-000089630000}"/>
    <cellStyle name="Note 4 4 13" xfId="25477" xr:uid="{00000000-0005-0000-0000-00008A630000}"/>
    <cellStyle name="Note 4 4 14" xfId="25478" xr:uid="{00000000-0005-0000-0000-00008B630000}"/>
    <cellStyle name="Note 4 4 15" xfId="25479" xr:uid="{00000000-0005-0000-0000-00008C630000}"/>
    <cellStyle name="Note 4 4 16" xfId="25480" xr:uid="{00000000-0005-0000-0000-00008D630000}"/>
    <cellStyle name="Note 4 4 17" xfId="25481" xr:uid="{00000000-0005-0000-0000-00008E630000}"/>
    <cellStyle name="Note 4 4 18" xfId="25482" xr:uid="{00000000-0005-0000-0000-00008F630000}"/>
    <cellStyle name="Note 4 4 19" xfId="25483" xr:uid="{00000000-0005-0000-0000-000090630000}"/>
    <cellStyle name="Note 4 4 2" xfId="25484" xr:uid="{00000000-0005-0000-0000-000091630000}"/>
    <cellStyle name="Note 4 4 2 10" xfId="25485" xr:uid="{00000000-0005-0000-0000-000092630000}"/>
    <cellStyle name="Note 4 4 2 11" xfId="25486" xr:uid="{00000000-0005-0000-0000-000093630000}"/>
    <cellStyle name="Note 4 4 2 12" xfId="25487" xr:uid="{00000000-0005-0000-0000-000094630000}"/>
    <cellStyle name="Note 4 4 2 13" xfId="25488" xr:uid="{00000000-0005-0000-0000-000095630000}"/>
    <cellStyle name="Note 4 4 2 14" xfId="25489" xr:uid="{00000000-0005-0000-0000-000096630000}"/>
    <cellStyle name="Note 4 4 2 15" xfId="25490" xr:uid="{00000000-0005-0000-0000-000097630000}"/>
    <cellStyle name="Note 4 4 2 16" xfId="25491" xr:uid="{00000000-0005-0000-0000-000098630000}"/>
    <cellStyle name="Note 4 4 2 17" xfId="25492" xr:uid="{00000000-0005-0000-0000-000099630000}"/>
    <cellStyle name="Note 4 4 2 18" xfId="25493" xr:uid="{00000000-0005-0000-0000-00009A630000}"/>
    <cellStyle name="Note 4 4 2 19" xfId="25494" xr:uid="{00000000-0005-0000-0000-00009B630000}"/>
    <cellStyle name="Note 4 4 2 2" xfId="25495" xr:uid="{00000000-0005-0000-0000-00009C630000}"/>
    <cellStyle name="Note 4 4 2 2 2" xfId="25496" xr:uid="{00000000-0005-0000-0000-00009D630000}"/>
    <cellStyle name="Note 4 4 2 2 2 2" xfId="25497" xr:uid="{00000000-0005-0000-0000-00009E630000}"/>
    <cellStyle name="Note 4 4 2 2 2 3" xfId="25498" xr:uid="{00000000-0005-0000-0000-00009F630000}"/>
    <cellStyle name="Note 4 4 2 2 3" xfId="25499" xr:uid="{00000000-0005-0000-0000-0000A0630000}"/>
    <cellStyle name="Note 4 4 2 2 3 2" xfId="25500" xr:uid="{00000000-0005-0000-0000-0000A1630000}"/>
    <cellStyle name="Note 4 4 2 2 3 3" xfId="25501" xr:uid="{00000000-0005-0000-0000-0000A2630000}"/>
    <cellStyle name="Note 4 4 2 2 4" xfId="25502" xr:uid="{00000000-0005-0000-0000-0000A3630000}"/>
    <cellStyle name="Note 4 4 2 2 5" xfId="25503" xr:uid="{00000000-0005-0000-0000-0000A4630000}"/>
    <cellStyle name="Note 4 4 2 20" xfId="25504" xr:uid="{00000000-0005-0000-0000-0000A5630000}"/>
    <cellStyle name="Note 4 4 2 21" xfId="25505" xr:uid="{00000000-0005-0000-0000-0000A6630000}"/>
    <cellStyle name="Note 4 4 2 22" xfId="25506" xr:uid="{00000000-0005-0000-0000-0000A7630000}"/>
    <cellStyle name="Note 4 4 2 23" xfId="25507" xr:uid="{00000000-0005-0000-0000-0000A8630000}"/>
    <cellStyle name="Note 4 4 2 24" xfId="25508" xr:uid="{00000000-0005-0000-0000-0000A9630000}"/>
    <cellStyle name="Note 4 4 2 25" xfId="25509" xr:uid="{00000000-0005-0000-0000-0000AA630000}"/>
    <cellStyle name="Note 4 4 2 26" xfId="25510" xr:uid="{00000000-0005-0000-0000-0000AB630000}"/>
    <cellStyle name="Note 4 4 2 27" xfId="25511" xr:uid="{00000000-0005-0000-0000-0000AC630000}"/>
    <cellStyle name="Note 4 4 2 28" xfId="25512" xr:uid="{00000000-0005-0000-0000-0000AD630000}"/>
    <cellStyle name="Note 4 4 2 29" xfId="25513" xr:uid="{00000000-0005-0000-0000-0000AE630000}"/>
    <cellStyle name="Note 4 4 2 3" xfId="25514" xr:uid="{00000000-0005-0000-0000-0000AF630000}"/>
    <cellStyle name="Note 4 4 2 3 2" xfId="25515" xr:uid="{00000000-0005-0000-0000-0000B0630000}"/>
    <cellStyle name="Note 4 4 2 3 2 2" xfId="25516" xr:uid="{00000000-0005-0000-0000-0000B1630000}"/>
    <cellStyle name="Note 4 4 2 3 2 3" xfId="25517" xr:uid="{00000000-0005-0000-0000-0000B2630000}"/>
    <cellStyle name="Note 4 4 2 3 3" xfId="25518" xr:uid="{00000000-0005-0000-0000-0000B3630000}"/>
    <cellStyle name="Note 4 4 2 3 3 2" xfId="25519" xr:uid="{00000000-0005-0000-0000-0000B4630000}"/>
    <cellStyle name="Note 4 4 2 3 3 3" xfId="25520" xr:uid="{00000000-0005-0000-0000-0000B5630000}"/>
    <cellStyle name="Note 4 4 2 3 4" xfId="25521" xr:uid="{00000000-0005-0000-0000-0000B6630000}"/>
    <cellStyle name="Note 4 4 2 3 5" xfId="25522" xr:uid="{00000000-0005-0000-0000-0000B7630000}"/>
    <cellStyle name="Note 4 4 2 30" xfId="25523" xr:uid="{00000000-0005-0000-0000-0000B8630000}"/>
    <cellStyle name="Note 4 4 2 31" xfId="25524" xr:uid="{00000000-0005-0000-0000-0000B9630000}"/>
    <cellStyle name="Note 4 4 2 32" xfId="25525" xr:uid="{00000000-0005-0000-0000-0000BA630000}"/>
    <cellStyle name="Note 4 4 2 33" xfId="25526" xr:uid="{00000000-0005-0000-0000-0000BB630000}"/>
    <cellStyle name="Note 4 4 2 34" xfId="25527" xr:uid="{00000000-0005-0000-0000-0000BC630000}"/>
    <cellStyle name="Note 4 4 2 35" xfId="25528" xr:uid="{00000000-0005-0000-0000-0000BD630000}"/>
    <cellStyle name="Note 4 4 2 4" xfId="25529" xr:uid="{00000000-0005-0000-0000-0000BE630000}"/>
    <cellStyle name="Note 4 4 2 4 2" xfId="25530" xr:uid="{00000000-0005-0000-0000-0000BF630000}"/>
    <cellStyle name="Note 4 4 2 4 3" xfId="25531" xr:uid="{00000000-0005-0000-0000-0000C0630000}"/>
    <cellStyle name="Note 4 4 2 5" xfId="25532" xr:uid="{00000000-0005-0000-0000-0000C1630000}"/>
    <cellStyle name="Note 4 4 2 5 2" xfId="25533" xr:uid="{00000000-0005-0000-0000-0000C2630000}"/>
    <cellStyle name="Note 4 4 2 5 3" xfId="25534" xr:uid="{00000000-0005-0000-0000-0000C3630000}"/>
    <cellStyle name="Note 4 4 2 6" xfId="25535" xr:uid="{00000000-0005-0000-0000-0000C4630000}"/>
    <cellStyle name="Note 4 4 2 7" xfId="25536" xr:uid="{00000000-0005-0000-0000-0000C5630000}"/>
    <cellStyle name="Note 4 4 2 8" xfId="25537" xr:uid="{00000000-0005-0000-0000-0000C6630000}"/>
    <cellStyle name="Note 4 4 2 9" xfId="25538" xr:uid="{00000000-0005-0000-0000-0000C7630000}"/>
    <cellStyle name="Note 4 4 20" xfId="25539" xr:uid="{00000000-0005-0000-0000-0000C8630000}"/>
    <cellStyle name="Note 4 4 21" xfId="25540" xr:uid="{00000000-0005-0000-0000-0000C9630000}"/>
    <cellStyle name="Note 4 4 22" xfId="25541" xr:uid="{00000000-0005-0000-0000-0000CA630000}"/>
    <cellStyle name="Note 4 4 23" xfId="25542" xr:uid="{00000000-0005-0000-0000-0000CB630000}"/>
    <cellStyle name="Note 4 4 24" xfId="25543" xr:uid="{00000000-0005-0000-0000-0000CC630000}"/>
    <cellStyle name="Note 4 4 25" xfId="25544" xr:uid="{00000000-0005-0000-0000-0000CD630000}"/>
    <cellStyle name="Note 4 4 26" xfId="25545" xr:uid="{00000000-0005-0000-0000-0000CE630000}"/>
    <cellStyle name="Note 4 4 27" xfId="25546" xr:uid="{00000000-0005-0000-0000-0000CF630000}"/>
    <cellStyle name="Note 4 4 28" xfId="25547" xr:uid="{00000000-0005-0000-0000-0000D0630000}"/>
    <cellStyle name="Note 4 4 29" xfId="25548" xr:uid="{00000000-0005-0000-0000-0000D1630000}"/>
    <cellStyle name="Note 4 4 3" xfId="25549" xr:uid="{00000000-0005-0000-0000-0000D2630000}"/>
    <cellStyle name="Note 4 4 3 2" xfId="25550" xr:uid="{00000000-0005-0000-0000-0000D3630000}"/>
    <cellStyle name="Note 4 4 3 3" xfId="25551" xr:uid="{00000000-0005-0000-0000-0000D4630000}"/>
    <cellStyle name="Note 4 4 30" xfId="25552" xr:uid="{00000000-0005-0000-0000-0000D5630000}"/>
    <cellStyle name="Note 4 4 31" xfId="25553" xr:uid="{00000000-0005-0000-0000-0000D6630000}"/>
    <cellStyle name="Note 4 4 32" xfId="25554" xr:uid="{00000000-0005-0000-0000-0000D7630000}"/>
    <cellStyle name="Note 4 4 33" xfId="25555" xr:uid="{00000000-0005-0000-0000-0000D8630000}"/>
    <cellStyle name="Note 4 4 34" xfId="25556" xr:uid="{00000000-0005-0000-0000-0000D9630000}"/>
    <cellStyle name="Note 4 4 4" xfId="25557" xr:uid="{00000000-0005-0000-0000-0000DA630000}"/>
    <cellStyle name="Note 4 4 4 2" xfId="25558" xr:uid="{00000000-0005-0000-0000-0000DB630000}"/>
    <cellStyle name="Note 4 4 4 3" xfId="25559" xr:uid="{00000000-0005-0000-0000-0000DC630000}"/>
    <cellStyle name="Note 4 4 5" xfId="25560" xr:uid="{00000000-0005-0000-0000-0000DD630000}"/>
    <cellStyle name="Note 4 4 6" xfId="25561" xr:uid="{00000000-0005-0000-0000-0000DE630000}"/>
    <cellStyle name="Note 4 4 7" xfId="25562" xr:uid="{00000000-0005-0000-0000-0000DF630000}"/>
    <cellStyle name="Note 4 4 8" xfId="25563" xr:uid="{00000000-0005-0000-0000-0000E0630000}"/>
    <cellStyle name="Note 4 4 9" xfId="25564" xr:uid="{00000000-0005-0000-0000-0000E1630000}"/>
    <cellStyle name="Note 5" xfId="25565" xr:uid="{00000000-0005-0000-0000-0000E2630000}"/>
    <cellStyle name="Note 5 10" xfId="25566" xr:uid="{00000000-0005-0000-0000-0000E3630000}"/>
    <cellStyle name="Note 5 11" xfId="25567" xr:uid="{00000000-0005-0000-0000-0000E4630000}"/>
    <cellStyle name="Note 5 12" xfId="25568" xr:uid="{00000000-0005-0000-0000-0000E5630000}"/>
    <cellStyle name="Note 5 13" xfId="25569" xr:uid="{00000000-0005-0000-0000-0000E6630000}"/>
    <cellStyle name="Note 5 14" xfId="25570" xr:uid="{00000000-0005-0000-0000-0000E7630000}"/>
    <cellStyle name="Note 5 15" xfId="25571" xr:uid="{00000000-0005-0000-0000-0000E8630000}"/>
    <cellStyle name="Note 5 16" xfId="25572" xr:uid="{00000000-0005-0000-0000-0000E9630000}"/>
    <cellStyle name="Note 5 17" xfId="25573" xr:uid="{00000000-0005-0000-0000-0000EA630000}"/>
    <cellStyle name="Note 5 18" xfId="25574" xr:uid="{00000000-0005-0000-0000-0000EB630000}"/>
    <cellStyle name="Note 5 19" xfId="25575" xr:uid="{00000000-0005-0000-0000-0000EC630000}"/>
    <cellStyle name="Note 5 2" xfId="25576" xr:uid="{00000000-0005-0000-0000-0000ED630000}"/>
    <cellStyle name="Note 5 2 10" xfId="25577" xr:uid="{00000000-0005-0000-0000-0000EE630000}"/>
    <cellStyle name="Note 5 2 11" xfId="25578" xr:uid="{00000000-0005-0000-0000-0000EF630000}"/>
    <cellStyle name="Note 5 2 12" xfId="25579" xr:uid="{00000000-0005-0000-0000-0000F0630000}"/>
    <cellStyle name="Note 5 2 13" xfId="25580" xr:uid="{00000000-0005-0000-0000-0000F1630000}"/>
    <cellStyle name="Note 5 2 14" xfId="25581" xr:uid="{00000000-0005-0000-0000-0000F2630000}"/>
    <cellStyle name="Note 5 2 15" xfId="25582" xr:uid="{00000000-0005-0000-0000-0000F3630000}"/>
    <cellStyle name="Note 5 2 16" xfId="25583" xr:uid="{00000000-0005-0000-0000-0000F4630000}"/>
    <cellStyle name="Note 5 2 17" xfId="25584" xr:uid="{00000000-0005-0000-0000-0000F5630000}"/>
    <cellStyle name="Note 5 2 18" xfId="25585" xr:uid="{00000000-0005-0000-0000-0000F6630000}"/>
    <cellStyle name="Note 5 2 19" xfId="25586" xr:uid="{00000000-0005-0000-0000-0000F7630000}"/>
    <cellStyle name="Note 5 2 2" xfId="25587" xr:uid="{00000000-0005-0000-0000-0000F8630000}"/>
    <cellStyle name="Note 5 2 2 10" xfId="25588" xr:uid="{00000000-0005-0000-0000-0000F9630000}"/>
    <cellStyle name="Note 5 2 2 11" xfId="25589" xr:uid="{00000000-0005-0000-0000-0000FA630000}"/>
    <cellStyle name="Note 5 2 2 12" xfId="25590" xr:uid="{00000000-0005-0000-0000-0000FB630000}"/>
    <cellStyle name="Note 5 2 2 13" xfId="25591" xr:uid="{00000000-0005-0000-0000-0000FC630000}"/>
    <cellStyle name="Note 5 2 2 14" xfId="25592" xr:uid="{00000000-0005-0000-0000-0000FD630000}"/>
    <cellStyle name="Note 5 2 2 15" xfId="25593" xr:uid="{00000000-0005-0000-0000-0000FE630000}"/>
    <cellStyle name="Note 5 2 2 16" xfId="25594" xr:uid="{00000000-0005-0000-0000-0000FF630000}"/>
    <cellStyle name="Note 5 2 2 17" xfId="25595" xr:uid="{00000000-0005-0000-0000-000000640000}"/>
    <cellStyle name="Note 5 2 2 18" xfId="25596" xr:uid="{00000000-0005-0000-0000-000001640000}"/>
    <cellStyle name="Note 5 2 2 19" xfId="25597" xr:uid="{00000000-0005-0000-0000-000002640000}"/>
    <cellStyle name="Note 5 2 2 2" xfId="25598" xr:uid="{00000000-0005-0000-0000-000003640000}"/>
    <cellStyle name="Note 5 2 2 2 2" xfId="25599" xr:uid="{00000000-0005-0000-0000-000004640000}"/>
    <cellStyle name="Note 5 2 2 2 2 2" xfId="25600" xr:uid="{00000000-0005-0000-0000-000005640000}"/>
    <cellStyle name="Note 5 2 2 2 2 3" xfId="25601" xr:uid="{00000000-0005-0000-0000-000006640000}"/>
    <cellStyle name="Note 5 2 2 2 3" xfId="25602" xr:uid="{00000000-0005-0000-0000-000007640000}"/>
    <cellStyle name="Note 5 2 2 2 3 2" xfId="25603" xr:uid="{00000000-0005-0000-0000-000008640000}"/>
    <cellStyle name="Note 5 2 2 2 3 3" xfId="25604" xr:uid="{00000000-0005-0000-0000-000009640000}"/>
    <cellStyle name="Note 5 2 2 2 4" xfId="25605" xr:uid="{00000000-0005-0000-0000-00000A640000}"/>
    <cellStyle name="Note 5 2 2 2 5" xfId="25606" xr:uid="{00000000-0005-0000-0000-00000B640000}"/>
    <cellStyle name="Note 5 2 2 20" xfId="25607" xr:uid="{00000000-0005-0000-0000-00000C640000}"/>
    <cellStyle name="Note 5 2 2 21" xfId="25608" xr:uid="{00000000-0005-0000-0000-00000D640000}"/>
    <cellStyle name="Note 5 2 2 22" xfId="25609" xr:uid="{00000000-0005-0000-0000-00000E640000}"/>
    <cellStyle name="Note 5 2 2 23" xfId="25610" xr:uid="{00000000-0005-0000-0000-00000F640000}"/>
    <cellStyle name="Note 5 2 2 24" xfId="25611" xr:uid="{00000000-0005-0000-0000-000010640000}"/>
    <cellStyle name="Note 5 2 2 25" xfId="25612" xr:uid="{00000000-0005-0000-0000-000011640000}"/>
    <cellStyle name="Note 5 2 2 26" xfId="25613" xr:uid="{00000000-0005-0000-0000-000012640000}"/>
    <cellStyle name="Note 5 2 2 27" xfId="25614" xr:uid="{00000000-0005-0000-0000-000013640000}"/>
    <cellStyle name="Note 5 2 2 28" xfId="25615" xr:uid="{00000000-0005-0000-0000-000014640000}"/>
    <cellStyle name="Note 5 2 2 29" xfId="25616" xr:uid="{00000000-0005-0000-0000-000015640000}"/>
    <cellStyle name="Note 5 2 2 3" xfId="25617" xr:uid="{00000000-0005-0000-0000-000016640000}"/>
    <cellStyle name="Note 5 2 2 3 2" xfId="25618" xr:uid="{00000000-0005-0000-0000-000017640000}"/>
    <cellStyle name="Note 5 2 2 3 2 2" xfId="25619" xr:uid="{00000000-0005-0000-0000-000018640000}"/>
    <cellStyle name="Note 5 2 2 3 2 3" xfId="25620" xr:uid="{00000000-0005-0000-0000-000019640000}"/>
    <cellStyle name="Note 5 2 2 3 3" xfId="25621" xr:uid="{00000000-0005-0000-0000-00001A640000}"/>
    <cellStyle name="Note 5 2 2 3 3 2" xfId="25622" xr:uid="{00000000-0005-0000-0000-00001B640000}"/>
    <cellStyle name="Note 5 2 2 3 3 3" xfId="25623" xr:uid="{00000000-0005-0000-0000-00001C640000}"/>
    <cellStyle name="Note 5 2 2 3 4" xfId="25624" xr:uid="{00000000-0005-0000-0000-00001D640000}"/>
    <cellStyle name="Note 5 2 2 3 5" xfId="25625" xr:uid="{00000000-0005-0000-0000-00001E640000}"/>
    <cellStyle name="Note 5 2 2 30" xfId="25626" xr:uid="{00000000-0005-0000-0000-00001F640000}"/>
    <cellStyle name="Note 5 2 2 31" xfId="25627" xr:uid="{00000000-0005-0000-0000-000020640000}"/>
    <cellStyle name="Note 5 2 2 32" xfId="25628" xr:uid="{00000000-0005-0000-0000-000021640000}"/>
    <cellStyle name="Note 5 2 2 33" xfId="25629" xr:uid="{00000000-0005-0000-0000-000022640000}"/>
    <cellStyle name="Note 5 2 2 34" xfId="25630" xr:uid="{00000000-0005-0000-0000-000023640000}"/>
    <cellStyle name="Note 5 2 2 35" xfId="25631" xr:uid="{00000000-0005-0000-0000-000024640000}"/>
    <cellStyle name="Note 5 2 2 4" xfId="25632" xr:uid="{00000000-0005-0000-0000-000025640000}"/>
    <cellStyle name="Note 5 2 2 4 2" xfId="25633" xr:uid="{00000000-0005-0000-0000-000026640000}"/>
    <cellStyle name="Note 5 2 2 4 3" xfId="25634" xr:uid="{00000000-0005-0000-0000-000027640000}"/>
    <cellStyle name="Note 5 2 2 5" xfId="25635" xr:uid="{00000000-0005-0000-0000-000028640000}"/>
    <cellStyle name="Note 5 2 2 5 2" xfId="25636" xr:uid="{00000000-0005-0000-0000-000029640000}"/>
    <cellStyle name="Note 5 2 2 5 3" xfId="25637" xr:uid="{00000000-0005-0000-0000-00002A640000}"/>
    <cellStyle name="Note 5 2 2 6" xfId="25638" xr:uid="{00000000-0005-0000-0000-00002B640000}"/>
    <cellStyle name="Note 5 2 2 7" xfId="25639" xr:uid="{00000000-0005-0000-0000-00002C640000}"/>
    <cellStyle name="Note 5 2 2 8" xfId="25640" xr:uid="{00000000-0005-0000-0000-00002D640000}"/>
    <cellStyle name="Note 5 2 2 9" xfId="25641" xr:uid="{00000000-0005-0000-0000-00002E640000}"/>
    <cellStyle name="Note 5 2 20" xfId="25642" xr:uid="{00000000-0005-0000-0000-00002F640000}"/>
    <cellStyle name="Note 5 2 21" xfId="25643" xr:uid="{00000000-0005-0000-0000-000030640000}"/>
    <cellStyle name="Note 5 2 22" xfId="25644" xr:uid="{00000000-0005-0000-0000-000031640000}"/>
    <cellStyle name="Note 5 2 23" xfId="25645" xr:uid="{00000000-0005-0000-0000-000032640000}"/>
    <cellStyle name="Note 5 2 24" xfId="25646" xr:uid="{00000000-0005-0000-0000-000033640000}"/>
    <cellStyle name="Note 5 2 25" xfId="25647" xr:uid="{00000000-0005-0000-0000-000034640000}"/>
    <cellStyle name="Note 5 2 26" xfId="25648" xr:uid="{00000000-0005-0000-0000-000035640000}"/>
    <cellStyle name="Note 5 2 27" xfId="25649" xr:uid="{00000000-0005-0000-0000-000036640000}"/>
    <cellStyle name="Note 5 2 28" xfId="25650" xr:uid="{00000000-0005-0000-0000-000037640000}"/>
    <cellStyle name="Note 5 2 29" xfId="25651" xr:uid="{00000000-0005-0000-0000-000038640000}"/>
    <cellStyle name="Note 5 2 3" xfId="25652" xr:uid="{00000000-0005-0000-0000-000039640000}"/>
    <cellStyle name="Note 5 2 3 2" xfId="25653" xr:uid="{00000000-0005-0000-0000-00003A640000}"/>
    <cellStyle name="Note 5 2 3 3" xfId="25654" xr:uid="{00000000-0005-0000-0000-00003B640000}"/>
    <cellStyle name="Note 5 2 30" xfId="25655" xr:uid="{00000000-0005-0000-0000-00003C640000}"/>
    <cellStyle name="Note 5 2 31" xfId="25656" xr:uid="{00000000-0005-0000-0000-00003D640000}"/>
    <cellStyle name="Note 5 2 32" xfId="25657" xr:uid="{00000000-0005-0000-0000-00003E640000}"/>
    <cellStyle name="Note 5 2 33" xfId="25658" xr:uid="{00000000-0005-0000-0000-00003F640000}"/>
    <cellStyle name="Note 5 2 34" xfId="25659" xr:uid="{00000000-0005-0000-0000-000040640000}"/>
    <cellStyle name="Note 5 2 4" xfId="25660" xr:uid="{00000000-0005-0000-0000-000041640000}"/>
    <cellStyle name="Note 5 2 4 2" xfId="25661" xr:uid="{00000000-0005-0000-0000-000042640000}"/>
    <cellStyle name="Note 5 2 4 3" xfId="25662" xr:uid="{00000000-0005-0000-0000-000043640000}"/>
    <cellStyle name="Note 5 2 5" xfId="25663" xr:uid="{00000000-0005-0000-0000-000044640000}"/>
    <cellStyle name="Note 5 2 6" xfId="25664" xr:uid="{00000000-0005-0000-0000-000045640000}"/>
    <cellStyle name="Note 5 2 7" xfId="25665" xr:uid="{00000000-0005-0000-0000-000046640000}"/>
    <cellStyle name="Note 5 2 8" xfId="25666" xr:uid="{00000000-0005-0000-0000-000047640000}"/>
    <cellStyle name="Note 5 2 9" xfId="25667" xr:uid="{00000000-0005-0000-0000-000048640000}"/>
    <cellStyle name="Note 5 20" xfId="25668" xr:uid="{00000000-0005-0000-0000-000049640000}"/>
    <cellStyle name="Note 5 21" xfId="25669" xr:uid="{00000000-0005-0000-0000-00004A640000}"/>
    <cellStyle name="Note 5 22" xfId="25670" xr:uid="{00000000-0005-0000-0000-00004B640000}"/>
    <cellStyle name="Note 5 23" xfId="25671" xr:uid="{00000000-0005-0000-0000-00004C640000}"/>
    <cellStyle name="Note 5 24" xfId="25672" xr:uid="{00000000-0005-0000-0000-00004D640000}"/>
    <cellStyle name="Note 5 25" xfId="25673" xr:uid="{00000000-0005-0000-0000-00004E640000}"/>
    <cellStyle name="Note 5 26" xfId="25674" xr:uid="{00000000-0005-0000-0000-00004F640000}"/>
    <cellStyle name="Note 5 27" xfId="25675" xr:uid="{00000000-0005-0000-0000-000050640000}"/>
    <cellStyle name="Note 5 28" xfId="25676" xr:uid="{00000000-0005-0000-0000-000051640000}"/>
    <cellStyle name="Note 5 29" xfId="25677" xr:uid="{00000000-0005-0000-0000-000052640000}"/>
    <cellStyle name="Note 5 3" xfId="25678" xr:uid="{00000000-0005-0000-0000-000053640000}"/>
    <cellStyle name="Note 5 3 10" xfId="25679" xr:uid="{00000000-0005-0000-0000-000054640000}"/>
    <cellStyle name="Note 5 3 11" xfId="25680" xr:uid="{00000000-0005-0000-0000-000055640000}"/>
    <cellStyle name="Note 5 3 12" xfId="25681" xr:uid="{00000000-0005-0000-0000-000056640000}"/>
    <cellStyle name="Note 5 3 13" xfId="25682" xr:uid="{00000000-0005-0000-0000-000057640000}"/>
    <cellStyle name="Note 5 3 14" xfId="25683" xr:uid="{00000000-0005-0000-0000-000058640000}"/>
    <cellStyle name="Note 5 3 15" xfId="25684" xr:uid="{00000000-0005-0000-0000-000059640000}"/>
    <cellStyle name="Note 5 3 16" xfId="25685" xr:uid="{00000000-0005-0000-0000-00005A640000}"/>
    <cellStyle name="Note 5 3 17" xfId="25686" xr:uid="{00000000-0005-0000-0000-00005B640000}"/>
    <cellStyle name="Note 5 3 18" xfId="25687" xr:uid="{00000000-0005-0000-0000-00005C640000}"/>
    <cellStyle name="Note 5 3 19" xfId="25688" xr:uid="{00000000-0005-0000-0000-00005D640000}"/>
    <cellStyle name="Note 5 3 2" xfId="25689" xr:uid="{00000000-0005-0000-0000-00005E640000}"/>
    <cellStyle name="Note 5 3 2 2" xfId="25690" xr:uid="{00000000-0005-0000-0000-00005F640000}"/>
    <cellStyle name="Note 5 3 2 2 2" xfId="25691" xr:uid="{00000000-0005-0000-0000-000060640000}"/>
    <cellStyle name="Note 5 3 2 2 3" xfId="25692" xr:uid="{00000000-0005-0000-0000-000061640000}"/>
    <cellStyle name="Note 5 3 2 3" xfId="25693" xr:uid="{00000000-0005-0000-0000-000062640000}"/>
    <cellStyle name="Note 5 3 2 3 2" xfId="25694" xr:uid="{00000000-0005-0000-0000-000063640000}"/>
    <cellStyle name="Note 5 3 2 3 3" xfId="25695" xr:uid="{00000000-0005-0000-0000-000064640000}"/>
    <cellStyle name="Note 5 3 2 4" xfId="25696" xr:uid="{00000000-0005-0000-0000-000065640000}"/>
    <cellStyle name="Note 5 3 2 5" xfId="25697" xr:uid="{00000000-0005-0000-0000-000066640000}"/>
    <cellStyle name="Note 5 3 20" xfId="25698" xr:uid="{00000000-0005-0000-0000-000067640000}"/>
    <cellStyle name="Note 5 3 21" xfId="25699" xr:uid="{00000000-0005-0000-0000-000068640000}"/>
    <cellStyle name="Note 5 3 22" xfId="25700" xr:uid="{00000000-0005-0000-0000-000069640000}"/>
    <cellStyle name="Note 5 3 23" xfId="25701" xr:uid="{00000000-0005-0000-0000-00006A640000}"/>
    <cellStyle name="Note 5 3 24" xfId="25702" xr:uid="{00000000-0005-0000-0000-00006B640000}"/>
    <cellStyle name="Note 5 3 25" xfId="25703" xr:uid="{00000000-0005-0000-0000-00006C640000}"/>
    <cellStyle name="Note 5 3 26" xfId="25704" xr:uid="{00000000-0005-0000-0000-00006D640000}"/>
    <cellStyle name="Note 5 3 27" xfId="25705" xr:uid="{00000000-0005-0000-0000-00006E640000}"/>
    <cellStyle name="Note 5 3 28" xfId="25706" xr:uid="{00000000-0005-0000-0000-00006F640000}"/>
    <cellStyle name="Note 5 3 29" xfId="25707" xr:uid="{00000000-0005-0000-0000-000070640000}"/>
    <cellStyle name="Note 5 3 3" xfId="25708" xr:uid="{00000000-0005-0000-0000-000071640000}"/>
    <cellStyle name="Note 5 3 3 2" xfId="25709" xr:uid="{00000000-0005-0000-0000-000072640000}"/>
    <cellStyle name="Note 5 3 3 2 2" xfId="25710" xr:uid="{00000000-0005-0000-0000-000073640000}"/>
    <cellStyle name="Note 5 3 3 2 3" xfId="25711" xr:uid="{00000000-0005-0000-0000-000074640000}"/>
    <cellStyle name="Note 5 3 3 3" xfId="25712" xr:uid="{00000000-0005-0000-0000-000075640000}"/>
    <cellStyle name="Note 5 3 3 3 2" xfId="25713" xr:uid="{00000000-0005-0000-0000-000076640000}"/>
    <cellStyle name="Note 5 3 3 3 3" xfId="25714" xr:uid="{00000000-0005-0000-0000-000077640000}"/>
    <cellStyle name="Note 5 3 3 4" xfId="25715" xr:uid="{00000000-0005-0000-0000-000078640000}"/>
    <cellStyle name="Note 5 3 3 5" xfId="25716" xr:uid="{00000000-0005-0000-0000-000079640000}"/>
    <cellStyle name="Note 5 3 30" xfId="25717" xr:uid="{00000000-0005-0000-0000-00007A640000}"/>
    <cellStyle name="Note 5 3 31" xfId="25718" xr:uid="{00000000-0005-0000-0000-00007B640000}"/>
    <cellStyle name="Note 5 3 32" xfId="25719" xr:uid="{00000000-0005-0000-0000-00007C640000}"/>
    <cellStyle name="Note 5 3 33" xfId="25720" xr:uid="{00000000-0005-0000-0000-00007D640000}"/>
    <cellStyle name="Note 5 3 34" xfId="25721" xr:uid="{00000000-0005-0000-0000-00007E640000}"/>
    <cellStyle name="Note 5 3 35" xfId="25722" xr:uid="{00000000-0005-0000-0000-00007F640000}"/>
    <cellStyle name="Note 5 3 4" xfId="25723" xr:uid="{00000000-0005-0000-0000-000080640000}"/>
    <cellStyle name="Note 5 3 4 2" xfId="25724" xr:uid="{00000000-0005-0000-0000-000081640000}"/>
    <cellStyle name="Note 5 3 4 3" xfId="25725" xr:uid="{00000000-0005-0000-0000-000082640000}"/>
    <cellStyle name="Note 5 3 5" xfId="25726" xr:uid="{00000000-0005-0000-0000-000083640000}"/>
    <cellStyle name="Note 5 3 5 2" xfId="25727" xr:uid="{00000000-0005-0000-0000-000084640000}"/>
    <cellStyle name="Note 5 3 5 3" xfId="25728" xr:uid="{00000000-0005-0000-0000-000085640000}"/>
    <cellStyle name="Note 5 3 6" xfId="25729" xr:uid="{00000000-0005-0000-0000-000086640000}"/>
    <cellStyle name="Note 5 3 7" xfId="25730" xr:uid="{00000000-0005-0000-0000-000087640000}"/>
    <cellStyle name="Note 5 3 8" xfId="25731" xr:uid="{00000000-0005-0000-0000-000088640000}"/>
    <cellStyle name="Note 5 3 9" xfId="25732" xr:uid="{00000000-0005-0000-0000-000089640000}"/>
    <cellStyle name="Note 5 30" xfId="25733" xr:uid="{00000000-0005-0000-0000-00008A640000}"/>
    <cellStyle name="Note 5 31" xfId="25734" xr:uid="{00000000-0005-0000-0000-00008B640000}"/>
    <cellStyle name="Note 5 32" xfId="25735" xr:uid="{00000000-0005-0000-0000-00008C640000}"/>
    <cellStyle name="Note 5 33" xfId="25736" xr:uid="{00000000-0005-0000-0000-00008D640000}"/>
    <cellStyle name="Note 5 34" xfId="25737" xr:uid="{00000000-0005-0000-0000-00008E640000}"/>
    <cellStyle name="Note 5 35" xfId="25738" xr:uid="{00000000-0005-0000-0000-00008F640000}"/>
    <cellStyle name="Note 5 4" xfId="25739" xr:uid="{00000000-0005-0000-0000-000090640000}"/>
    <cellStyle name="Note 5 4 2" xfId="25740" xr:uid="{00000000-0005-0000-0000-000091640000}"/>
    <cellStyle name="Note 5 4 3" xfId="25741" xr:uid="{00000000-0005-0000-0000-000092640000}"/>
    <cellStyle name="Note 5 5" xfId="25742" xr:uid="{00000000-0005-0000-0000-000093640000}"/>
    <cellStyle name="Note 5 5 2" xfId="25743" xr:uid="{00000000-0005-0000-0000-000094640000}"/>
    <cellStyle name="Note 5 5 3" xfId="25744" xr:uid="{00000000-0005-0000-0000-000095640000}"/>
    <cellStyle name="Note 5 6" xfId="25745" xr:uid="{00000000-0005-0000-0000-000096640000}"/>
    <cellStyle name="Note 5 7" xfId="25746" xr:uid="{00000000-0005-0000-0000-000097640000}"/>
    <cellStyle name="Note 5 8" xfId="25747" xr:uid="{00000000-0005-0000-0000-000098640000}"/>
    <cellStyle name="Note 5 9" xfId="25748" xr:uid="{00000000-0005-0000-0000-000099640000}"/>
    <cellStyle name="Note 6" xfId="25749" xr:uid="{00000000-0005-0000-0000-00009A640000}"/>
    <cellStyle name="Note 6 10" xfId="25750" xr:uid="{00000000-0005-0000-0000-00009B640000}"/>
    <cellStyle name="Note 6 11" xfId="25751" xr:uid="{00000000-0005-0000-0000-00009C640000}"/>
    <cellStyle name="Note 6 12" xfId="25752" xr:uid="{00000000-0005-0000-0000-00009D640000}"/>
    <cellStyle name="Note 6 13" xfId="25753" xr:uid="{00000000-0005-0000-0000-00009E640000}"/>
    <cellStyle name="Note 6 14" xfId="25754" xr:uid="{00000000-0005-0000-0000-00009F640000}"/>
    <cellStyle name="Note 6 15" xfId="25755" xr:uid="{00000000-0005-0000-0000-0000A0640000}"/>
    <cellStyle name="Note 6 16" xfId="25756" xr:uid="{00000000-0005-0000-0000-0000A1640000}"/>
    <cellStyle name="Note 6 17" xfId="25757" xr:uid="{00000000-0005-0000-0000-0000A2640000}"/>
    <cellStyle name="Note 6 18" xfId="25758" xr:uid="{00000000-0005-0000-0000-0000A3640000}"/>
    <cellStyle name="Note 6 19" xfId="25759" xr:uid="{00000000-0005-0000-0000-0000A4640000}"/>
    <cellStyle name="Note 6 2" xfId="25760" xr:uid="{00000000-0005-0000-0000-0000A5640000}"/>
    <cellStyle name="Note 6 2 10" xfId="25761" xr:uid="{00000000-0005-0000-0000-0000A6640000}"/>
    <cellStyle name="Note 6 2 11" xfId="25762" xr:uid="{00000000-0005-0000-0000-0000A7640000}"/>
    <cellStyle name="Note 6 2 12" xfId="25763" xr:uid="{00000000-0005-0000-0000-0000A8640000}"/>
    <cellStyle name="Note 6 2 13" xfId="25764" xr:uid="{00000000-0005-0000-0000-0000A9640000}"/>
    <cellStyle name="Note 6 2 14" xfId="25765" xr:uid="{00000000-0005-0000-0000-0000AA640000}"/>
    <cellStyle name="Note 6 2 15" xfId="25766" xr:uid="{00000000-0005-0000-0000-0000AB640000}"/>
    <cellStyle name="Note 6 2 16" xfId="25767" xr:uid="{00000000-0005-0000-0000-0000AC640000}"/>
    <cellStyle name="Note 6 2 17" xfId="25768" xr:uid="{00000000-0005-0000-0000-0000AD640000}"/>
    <cellStyle name="Note 6 2 18" xfId="25769" xr:uid="{00000000-0005-0000-0000-0000AE640000}"/>
    <cellStyle name="Note 6 2 19" xfId="25770" xr:uid="{00000000-0005-0000-0000-0000AF640000}"/>
    <cellStyle name="Note 6 2 2" xfId="25771" xr:uid="{00000000-0005-0000-0000-0000B0640000}"/>
    <cellStyle name="Note 6 2 2 10" xfId="25772" xr:uid="{00000000-0005-0000-0000-0000B1640000}"/>
    <cellStyle name="Note 6 2 2 11" xfId="25773" xr:uid="{00000000-0005-0000-0000-0000B2640000}"/>
    <cellStyle name="Note 6 2 2 12" xfId="25774" xr:uid="{00000000-0005-0000-0000-0000B3640000}"/>
    <cellStyle name="Note 6 2 2 13" xfId="25775" xr:uid="{00000000-0005-0000-0000-0000B4640000}"/>
    <cellStyle name="Note 6 2 2 14" xfId="25776" xr:uid="{00000000-0005-0000-0000-0000B5640000}"/>
    <cellStyle name="Note 6 2 2 15" xfId="25777" xr:uid="{00000000-0005-0000-0000-0000B6640000}"/>
    <cellStyle name="Note 6 2 2 16" xfId="25778" xr:uid="{00000000-0005-0000-0000-0000B7640000}"/>
    <cellStyle name="Note 6 2 2 17" xfId="25779" xr:uid="{00000000-0005-0000-0000-0000B8640000}"/>
    <cellStyle name="Note 6 2 2 18" xfId="25780" xr:uid="{00000000-0005-0000-0000-0000B9640000}"/>
    <cellStyle name="Note 6 2 2 19" xfId="25781" xr:uid="{00000000-0005-0000-0000-0000BA640000}"/>
    <cellStyle name="Note 6 2 2 2" xfId="25782" xr:uid="{00000000-0005-0000-0000-0000BB640000}"/>
    <cellStyle name="Note 6 2 2 2 2" xfId="25783" xr:uid="{00000000-0005-0000-0000-0000BC640000}"/>
    <cellStyle name="Note 6 2 2 2 2 2" xfId="25784" xr:uid="{00000000-0005-0000-0000-0000BD640000}"/>
    <cellStyle name="Note 6 2 2 2 2 3" xfId="25785" xr:uid="{00000000-0005-0000-0000-0000BE640000}"/>
    <cellStyle name="Note 6 2 2 2 3" xfId="25786" xr:uid="{00000000-0005-0000-0000-0000BF640000}"/>
    <cellStyle name="Note 6 2 2 2 3 2" xfId="25787" xr:uid="{00000000-0005-0000-0000-0000C0640000}"/>
    <cellStyle name="Note 6 2 2 2 3 3" xfId="25788" xr:uid="{00000000-0005-0000-0000-0000C1640000}"/>
    <cellStyle name="Note 6 2 2 2 4" xfId="25789" xr:uid="{00000000-0005-0000-0000-0000C2640000}"/>
    <cellStyle name="Note 6 2 2 2 5" xfId="25790" xr:uid="{00000000-0005-0000-0000-0000C3640000}"/>
    <cellStyle name="Note 6 2 2 20" xfId="25791" xr:uid="{00000000-0005-0000-0000-0000C4640000}"/>
    <cellStyle name="Note 6 2 2 21" xfId="25792" xr:uid="{00000000-0005-0000-0000-0000C5640000}"/>
    <cellStyle name="Note 6 2 2 22" xfId="25793" xr:uid="{00000000-0005-0000-0000-0000C6640000}"/>
    <cellStyle name="Note 6 2 2 23" xfId="25794" xr:uid="{00000000-0005-0000-0000-0000C7640000}"/>
    <cellStyle name="Note 6 2 2 24" xfId="25795" xr:uid="{00000000-0005-0000-0000-0000C8640000}"/>
    <cellStyle name="Note 6 2 2 25" xfId="25796" xr:uid="{00000000-0005-0000-0000-0000C9640000}"/>
    <cellStyle name="Note 6 2 2 26" xfId="25797" xr:uid="{00000000-0005-0000-0000-0000CA640000}"/>
    <cellStyle name="Note 6 2 2 27" xfId="25798" xr:uid="{00000000-0005-0000-0000-0000CB640000}"/>
    <cellStyle name="Note 6 2 2 28" xfId="25799" xr:uid="{00000000-0005-0000-0000-0000CC640000}"/>
    <cellStyle name="Note 6 2 2 29" xfId="25800" xr:uid="{00000000-0005-0000-0000-0000CD640000}"/>
    <cellStyle name="Note 6 2 2 3" xfId="25801" xr:uid="{00000000-0005-0000-0000-0000CE640000}"/>
    <cellStyle name="Note 6 2 2 3 2" xfId="25802" xr:uid="{00000000-0005-0000-0000-0000CF640000}"/>
    <cellStyle name="Note 6 2 2 3 2 2" xfId="25803" xr:uid="{00000000-0005-0000-0000-0000D0640000}"/>
    <cellStyle name="Note 6 2 2 3 2 3" xfId="25804" xr:uid="{00000000-0005-0000-0000-0000D1640000}"/>
    <cellStyle name="Note 6 2 2 3 3" xfId="25805" xr:uid="{00000000-0005-0000-0000-0000D2640000}"/>
    <cellStyle name="Note 6 2 2 3 3 2" xfId="25806" xr:uid="{00000000-0005-0000-0000-0000D3640000}"/>
    <cellStyle name="Note 6 2 2 3 3 3" xfId="25807" xr:uid="{00000000-0005-0000-0000-0000D4640000}"/>
    <cellStyle name="Note 6 2 2 3 4" xfId="25808" xr:uid="{00000000-0005-0000-0000-0000D5640000}"/>
    <cellStyle name="Note 6 2 2 3 5" xfId="25809" xr:uid="{00000000-0005-0000-0000-0000D6640000}"/>
    <cellStyle name="Note 6 2 2 30" xfId="25810" xr:uid="{00000000-0005-0000-0000-0000D7640000}"/>
    <cellStyle name="Note 6 2 2 31" xfId="25811" xr:uid="{00000000-0005-0000-0000-0000D8640000}"/>
    <cellStyle name="Note 6 2 2 32" xfId="25812" xr:uid="{00000000-0005-0000-0000-0000D9640000}"/>
    <cellStyle name="Note 6 2 2 33" xfId="25813" xr:uid="{00000000-0005-0000-0000-0000DA640000}"/>
    <cellStyle name="Note 6 2 2 34" xfId="25814" xr:uid="{00000000-0005-0000-0000-0000DB640000}"/>
    <cellStyle name="Note 6 2 2 35" xfId="25815" xr:uid="{00000000-0005-0000-0000-0000DC640000}"/>
    <cellStyle name="Note 6 2 2 4" xfId="25816" xr:uid="{00000000-0005-0000-0000-0000DD640000}"/>
    <cellStyle name="Note 6 2 2 4 2" xfId="25817" xr:uid="{00000000-0005-0000-0000-0000DE640000}"/>
    <cellStyle name="Note 6 2 2 4 3" xfId="25818" xr:uid="{00000000-0005-0000-0000-0000DF640000}"/>
    <cellStyle name="Note 6 2 2 5" xfId="25819" xr:uid="{00000000-0005-0000-0000-0000E0640000}"/>
    <cellStyle name="Note 6 2 2 5 2" xfId="25820" xr:uid="{00000000-0005-0000-0000-0000E1640000}"/>
    <cellStyle name="Note 6 2 2 5 3" xfId="25821" xr:uid="{00000000-0005-0000-0000-0000E2640000}"/>
    <cellStyle name="Note 6 2 2 6" xfId="25822" xr:uid="{00000000-0005-0000-0000-0000E3640000}"/>
    <cellStyle name="Note 6 2 2 7" xfId="25823" xr:uid="{00000000-0005-0000-0000-0000E4640000}"/>
    <cellStyle name="Note 6 2 2 8" xfId="25824" xr:uid="{00000000-0005-0000-0000-0000E5640000}"/>
    <cellStyle name="Note 6 2 2 9" xfId="25825" xr:uid="{00000000-0005-0000-0000-0000E6640000}"/>
    <cellStyle name="Note 6 2 20" xfId="25826" xr:uid="{00000000-0005-0000-0000-0000E7640000}"/>
    <cellStyle name="Note 6 2 21" xfId="25827" xr:uid="{00000000-0005-0000-0000-0000E8640000}"/>
    <cellStyle name="Note 6 2 22" xfId="25828" xr:uid="{00000000-0005-0000-0000-0000E9640000}"/>
    <cellStyle name="Note 6 2 23" xfId="25829" xr:uid="{00000000-0005-0000-0000-0000EA640000}"/>
    <cellStyle name="Note 6 2 24" xfId="25830" xr:uid="{00000000-0005-0000-0000-0000EB640000}"/>
    <cellStyle name="Note 6 2 25" xfId="25831" xr:uid="{00000000-0005-0000-0000-0000EC640000}"/>
    <cellStyle name="Note 6 2 26" xfId="25832" xr:uid="{00000000-0005-0000-0000-0000ED640000}"/>
    <cellStyle name="Note 6 2 27" xfId="25833" xr:uid="{00000000-0005-0000-0000-0000EE640000}"/>
    <cellStyle name="Note 6 2 28" xfId="25834" xr:uid="{00000000-0005-0000-0000-0000EF640000}"/>
    <cellStyle name="Note 6 2 29" xfId="25835" xr:uid="{00000000-0005-0000-0000-0000F0640000}"/>
    <cellStyle name="Note 6 2 3" xfId="25836" xr:uid="{00000000-0005-0000-0000-0000F1640000}"/>
    <cellStyle name="Note 6 2 3 2" xfId="25837" xr:uid="{00000000-0005-0000-0000-0000F2640000}"/>
    <cellStyle name="Note 6 2 3 3" xfId="25838" xr:uid="{00000000-0005-0000-0000-0000F3640000}"/>
    <cellStyle name="Note 6 2 30" xfId="25839" xr:uid="{00000000-0005-0000-0000-0000F4640000}"/>
    <cellStyle name="Note 6 2 31" xfId="25840" xr:uid="{00000000-0005-0000-0000-0000F5640000}"/>
    <cellStyle name="Note 6 2 32" xfId="25841" xr:uid="{00000000-0005-0000-0000-0000F6640000}"/>
    <cellStyle name="Note 6 2 33" xfId="25842" xr:uid="{00000000-0005-0000-0000-0000F7640000}"/>
    <cellStyle name="Note 6 2 34" xfId="25843" xr:uid="{00000000-0005-0000-0000-0000F8640000}"/>
    <cellStyle name="Note 6 2 4" xfId="25844" xr:uid="{00000000-0005-0000-0000-0000F9640000}"/>
    <cellStyle name="Note 6 2 4 2" xfId="25845" xr:uid="{00000000-0005-0000-0000-0000FA640000}"/>
    <cellStyle name="Note 6 2 4 3" xfId="25846" xr:uid="{00000000-0005-0000-0000-0000FB640000}"/>
    <cellStyle name="Note 6 2 5" xfId="25847" xr:uid="{00000000-0005-0000-0000-0000FC640000}"/>
    <cellStyle name="Note 6 2 6" xfId="25848" xr:uid="{00000000-0005-0000-0000-0000FD640000}"/>
    <cellStyle name="Note 6 2 7" xfId="25849" xr:uid="{00000000-0005-0000-0000-0000FE640000}"/>
    <cellStyle name="Note 6 2 8" xfId="25850" xr:uid="{00000000-0005-0000-0000-0000FF640000}"/>
    <cellStyle name="Note 6 2 9" xfId="25851" xr:uid="{00000000-0005-0000-0000-000000650000}"/>
    <cellStyle name="Note 6 20" xfId="25852" xr:uid="{00000000-0005-0000-0000-000001650000}"/>
    <cellStyle name="Note 6 21" xfId="25853" xr:uid="{00000000-0005-0000-0000-000002650000}"/>
    <cellStyle name="Note 6 22" xfId="25854" xr:uid="{00000000-0005-0000-0000-000003650000}"/>
    <cellStyle name="Note 6 23" xfId="25855" xr:uid="{00000000-0005-0000-0000-000004650000}"/>
    <cellStyle name="Note 6 24" xfId="25856" xr:uid="{00000000-0005-0000-0000-000005650000}"/>
    <cellStyle name="Note 6 25" xfId="25857" xr:uid="{00000000-0005-0000-0000-000006650000}"/>
    <cellStyle name="Note 6 26" xfId="25858" xr:uid="{00000000-0005-0000-0000-000007650000}"/>
    <cellStyle name="Note 6 27" xfId="25859" xr:uid="{00000000-0005-0000-0000-000008650000}"/>
    <cellStyle name="Note 6 28" xfId="25860" xr:uid="{00000000-0005-0000-0000-000009650000}"/>
    <cellStyle name="Note 6 29" xfId="25861" xr:uid="{00000000-0005-0000-0000-00000A650000}"/>
    <cellStyle name="Note 6 3" xfId="25862" xr:uid="{00000000-0005-0000-0000-00000B650000}"/>
    <cellStyle name="Note 6 3 10" xfId="25863" xr:uid="{00000000-0005-0000-0000-00000C650000}"/>
    <cellStyle name="Note 6 3 11" xfId="25864" xr:uid="{00000000-0005-0000-0000-00000D650000}"/>
    <cellStyle name="Note 6 3 12" xfId="25865" xr:uid="{00000000-0005-0000-0000-00000E650000}"/>
    <cellStyle name="Note 6 3 13" xfId="25866" xr:uid="{00000000-0005-0000-0000-00000F650000}"/>
    <cellStyle name="Note 6 3 14" xfId="25867" xr:uid="{00000000-0005-0000-0000-000010650000}"/>
    <cellStyle name="Note 6 3 15" xfId="25868" xr:uid="{00000000-0005-0000-0000-000011650000}"/>
    <cellStyle name="Note 6 3 16" xfId="25869" xr:uid="{00000000-0005-0000-0000-000012650000}"/>
    <cellStyle name="Note 6 3 17" xfId="25870" xr:uid="{00000000-0005-0000-0000-000013650000}"/>
    <cellStyle name="Note 6 3 18" xfId="25871" xr:uid="{00000000-0005-0000-0000-000014650000}"/>
    <cellStyle name="Note 6 3 19" xfId="25872" xr:uid="{00000000-0005-0000-0000-000015650000}"/>
    <cellStyle name="Note 6 3 2" xfId="25873" xr:uid="{00000000-0005-0000-0000-000016650000}"/>
    <cellStyle name="Note 6 3 2 2" xfId="25874" xr:uid="{00000000-0005-0000-0000-000017650000}"/>
    <cellStyle name="Note 6 3 2 2 2" xfId="25875" xr:uid="{00000000-0005-0000-0000-000018650000}"/>
    <cellStyle name="Note 6 3 2 2 3" xfId="25876" xr:uid="{00000000-0005-0000-0000-000019650000}"/>
    <cellStyle name="Note 6 3 2 3" xfId="25877" xr:uid="{00000000-0005-0000-0000-00001A650000}"/>
    <cellStyle name="Note 6 3 2 3 2" xfId="25878" xr:uid="{00000000-0005-0000-0000-00001B650000}"/>
    <cellStyle name="Note 6 3 2 3 3" xfId="25879" xr:uid="{00000000-0005-0000-0000-00001C650000}"/>
    <cellStyle name="Note 6 3 2 4" xfId="25880" xr:uid="{00000000-0005-0000-0000-00001D650000}"/>
    <cellStyle name="Note 6 3 2 5" xfId="25881" xr:uid="{00000000-0005-0000-0000-00001E650000}"/>
    <cellStyle name="Note 6 3 20" xfId="25882" xr:uid="{00000000-0005-0000-0000-00001F650000}"/>
    <cellStyle name="Note 6 3 21" xfId="25883" xr:uid="{00000000-0005-0000-0000-000020650000}"/>
    <cellStyle name="Note 6 3 22" xfId="25884" xr:uid="{00000000-0005-0000-0000-000021650000}"/>
    <cellStyle name="Note 6 3 23" xfId="25885" xr:uid="{00000000-0005-0000-0000-000022650000}"/>
    <cellStyle name="Note 6 3 24" xfId="25886" xr:uid="{00000000-0005-0000-0000-000023650000}"/>
    <cellStyle name="Note 6 3 25" xfId="25887" xr:uid="{00000000-0005-0000-0000-000024650000}"/>
    <cellStyle name="Note 6 3 26" xfId="25888" xr:uid="{00000000-0005-0000-0000-000025650000}"/>
    <cellStyle name="Note 6 3 27" xfId="25889" xr:uid="{00000000-0005-0000-0000-000026650000}"/>
    <cellStyle name="Note 6 3 28" xfId="25890" xr:uid="{00000000-0005-0000-0000-000027650000}"/>
    <cellStyle name="Note 6 3 29" xfId="25891" xr:uid="{00000000-0005-0000-0000-000028650000}"/>
    <cellStyle name="Note 6 3 3" xfId="25892" xr:uid="{00000000-0005-0000-0000-000029650000}"/>
    <cellStyle name="Note 6 3 3 2" xfId="25893" xr:uid="{00000000-0005-0000-0000-00002A650000}"/>
    <cellStyle name="Note 6 3 3 2 2" xfId="25894" xr:uid="{00000000-0005-0000-0000-00002B650000}"/>
    <cellStyle name="Note 6 3 3 2 3" xfId="25895" xr:uid="{00000000-0005-0000-0000-00002C650000}"/>
    <cellStyle name="Note 6 3 3 3" xfId="25896" xr:uid="{00000000-0005-0000-0000-00002D650000}"/>
    <cellStyle name="Note 6 3 3 3 2" xfId="25897" xr:uid="{00000000-0005-0000-0000-00002E650000}"/>
    <cellStyle name="Note 6 3 3 3 3" xfId="25898" xr:uid="{00000000-0005-0000-0000-00002F650000}"/>
    <cellStyle name="Note 6 3 3 4" xfId="25899" xr:uid="{00000000-0005-0000-0000-000030650000}"/>
    <cellStyle name="Note 6 3 3 5" xfId="25900" xr:uid="{00000000-0005-0000-0000-000031650000}"/>
    <cellStyle name="Note 6 3 30" xfId="25901" xr:uid="{00000000-0005-0000-0000-000032650000}"/>
    <cellStyle name="Note 6 3 31" xfId="25902" xr:uid="{00000000-0005-0000-0000-000033650000}"/>
    <cellStyle name="Note 6 3 32" xfId="25903" xr:uid="{00000000-0005-0000-0000-000034650000}"/>
    <cellStyle name="Note 6 3 33" xfId="25904" xr:uid="{00000000-0005-0000-0000-000035650000}"/>
    <cellStyle name="Note 6 3 34" xfId="25905" xr:uid="{00000000-0005-0000-0000-000036650000}"/>
    <cellStyle name="Note 6 3 35" xfId="25906" xr:uid="{00000000-0005-0000-0000-000037650000}"/>
    <cellStyle name="Note 6 3 4" xfId="25907" xr:uid="{00000000-0005-0000-0000-000038650000}"/>
    <cellStyle name="Note 6 3 4 2" xfId="25908" xr:uid="{00000000-0005-0000-0000-000039650000}"/>
    <cellStyle name="Note 6 3 4 3" xfId="25909" xr:uid="{00000000-0005-0000-0000-00003A650000}"/>
    <cellStyle name="Note 6 3 5" xfId="25910" xr:uid="{00000000-0005-0000-0000-00003B650000}"/>
    <cellStyle name="Note 6 3 5 2" xfId="25911" xr:uid="{00000000-0005-0000-0000-00003C650000}"/>
    <cellStyle name="Note 6 3 5 3" xfId="25912" xr:uid="{00000000-0005-0000-0000-00003D650000}"/>
    <cellStyle name="Note 6 3 6" xfId="25913" xr:uid="{00000000-0005-0000-0000-00003E650000}"/>
    <cellStyle name="Note 6 3 7" xfId="25914" xr:uid="{00000000-0005-0000-0000-00003F650000}"/>
    <cellStyle name="Note 6 3 8" xfId="25915" xr:uid="{00000000-0005-0000-0000-000040650000}"/>
    <cellStyle name="Note 6 3 9" xfId="25916" xr:uid="{00000000-0005-0000-0000-000041650000}"/>
    <cellStyle name="Note 6 30" xfId="25917" xr:uid="{00000000-0005-0000-0000-000042650000}"/>
    <cellStyle name="Note 6 31" xfId="25918" xr:uid="{00000000-0005-0000-0000-000043650000}"/>
    <cellStyle name="Note 6 32" xfId="25919" xr:uid="{00000000-0005-0000-0000-000044650000}"/>
    <cellStyle name="Note 6 33" xfId="25920" xr:uid="{00000000-0005-0000-0000-000045650000}"/>
    <cellStyle name="Note 6 34" xfId="25921" xr:uid="{00000000-0005-0000-0000-000046650000}"/>
    <cellStyle name="Note 6 35" xfId="25922" xr:uid="{00000000-0005-0000-0000-000047650000}"/>
    <cellStyle name="Note 6 4" xfId="25923" xr:uid="{00000000-0005-0000-0000-000048650000}"/>
    <cellStyle name="Note 6 4 2" xfId="25924" xr:uid="{00000000-0005-0000-0000-000049650000}"/>
    <cellStyle name="Note 6 4 3" xfId="25925" xr:uid="{00000000-0005-0000-0000-00004A650000}"/>
    <cellStyle name="Note 6 5" xfId="25926" xr:uid="{00000000-0005-0000-0000-00004B650000}"/>
    <cellStyle name="Note 6 5 2" xfId="25927" xr:uid="{00000000-0005-0000-0000-00004C650000}"/>
    <cellStyle name="Note 6 5 3" xfId="25928" xr:uid="{00000000-0005-0000-0000-00004D650000}"/>
    <cellStyle name="Note 6 6" xfId="25929" xr:uid="{00000000-0005-0000-0000-00004E650000}"/>
    <cellStyle name="Note 6 7" xfId="25930" xr:uid="{00000000-0005-0000-0000-00004F650000}"/>
    <cellStyle name="Note 6 8" xfId="25931" xr:uid="{00000000-0005-0000-0000-000050650000}"/>
    <cellStyle name="Note 6 9" xfId="25932" xr:uid="{00000000-0005-0000-0000-000051650000}"/>
    <cellStyle name="Note 7" xfId="25933" xr:uid="{00000000-0005-0000-0000-000052650000}"/>
    <cellStyle name="Note 7 2" xfId="25934" xr:uid="{00000000-0005-0000-0000-000053650000}"/>
    <cellStyle name="Note 8" xfId="25935" xr:uid="{00000000-0005-0000-0000-000054650000}"/>
    <cellStyle name="Note 8 2" xfId="25936" xr:uid="{00000000-0005-0000-0000-000055650000}"/>
    <cellStyle name="Note 9" xfId="25937" xr:uid="{00000000-0005-0000-0000-000056650000}"/>
    <cellStyle name="Note 9 2" xfId="25938" xr:uid="{00000000-0005-0000-0000-000057650000}"/>
    <cellStyle name="Notes_single" xfId="25939" xr:uid="{00000000-0005-0000-0000-000058650000}"/>
    <cellStyle name="NPPESalesPct" xfId="25940" xr:uid="{00000000-0005-0000-0000-000059650000}"/>
    <cellStyle name="Number" xfId="25941" xr:uid="{00000000-0005-0000-0000-00005A650000}"/>
    <cellStyle name="Number (2dp)" xfId="25942" xr:uid="{00000000-0005-0000-0000-00005B650000}"/>
    <cellStyle name="Number_finance" xfId="25943" xr:uid="{00000000-0005-0000-0000-00005C650000}"/>
    <cellStyle name="NWI%S" xfId="25944" xr:uid="{00000000-0005-0000-0000-00005D650000}"/>
    <cellStyle name="Œ…‹æØ‚è [0.00]_Region Orders (2)" xfId="25945" xr:uid="{00000000-0005-0000-0000-00005E650000}"/>
    <cellStyle name="Œ…‹æØ‚è_Region Orders (2)" xfId="25946" xr:uid="{00000000-0005-0000-0000-00005F650000}"/>
    <cellStyle name="Ongeldige configuratie" xfId="25947" xr:uid="{00000000-0005-0000-0000-000060650000}"/>
    <cellStyle name="Orizzontale" xfId="25948" xr:uid="{00000000-0005-0000-0000-000061650000}"/>
    <cellStyle name="Orizzontale 10" xfId="25949" xr:uid="{00000000-0005-0000-0000-000062650000}"/>
    <cellStyle name="Orizzontale 11" xfId="25950" xr:uid="{00000000-0005-0000-0000-000063650000}"/>
    <cellStyle name="Orizzontale 12" xfId="25951" xr:uid="{00000000-0005-0000-0000-000064650000}"/>
    <cellStyle name="Orizzontale 13" xfId="25952" xr:uid="{00000000-0005-0000-0000-000065650000}"/>
    <cellStyle name="Orizzontale 14" xfId="25953" xr:uid="{00000000-0005-0000-0000-000066650000}"/>
    <cellStyle name="Orizzontale 15" xfId="25954" xr:uid="{00000000-0005-0000-0000-000067650000}"/>
    <cellStyle name="Orizzontale 16" xfId="25955" xr:uid="{00000000-0005-0000-0000-000068650000}"/>
    <cellStyle name="Orizzontale 17" xfId="25956" xr:uid="{00000000-0005-0000-0000-000069650000}"/>
    <cellStyle name="Orizzontale 18" xfId="25957" xr:uid="{00000000-0005-0000-0000-00006A650000}"/>
    <cellStyle name="Orizzontale 19" xfId="25958" xr:uid="{00000000-0005-0000-0000-00006B650000}"/>
    <cellStyle name="Orizzontale 2" xfId="25959" xr:uid="{00000000-0005-0000-0000-00006C650000}"/>
    <cellStyle name="Orizzontale 2 10" xfId="25960" xr:uid="{00000000-0005-0000-0000-00006D650000}"/>
    <cellStyle name="Orizzontale 2 11" xfId="25961" xr:uid="{00000000-0005-0000-0000-00006E650000}"/>
    <cellStyle name="Orizzontale 2 12" xfId="25962" xr:uid="{00000000-0005-0000-0000-00006F650000}"/>
    <cellStyle name="Orizzontale 2 13" xfId="25963" xr:uid="{00000000-0005-0000-0000-000070650000}"/>
    <cellStyle name="Orizzontale 2 14" xfId="25964" xr:uid="{00000000-0005-0000-0000-000071650000}"/>
    <cellStyle name="Orizzontale 2 15" xfId="25965" xr:uid="{00000000-0005-0000-0000-000072650000}"/>
    <cellStyle name="Orizzontale 2 16" xfId="25966" xr:uid="{00000000-0005-0000-0000-000073650000}"/>
    <cellStyle name="Orizzontale 2 17" xfId="25967" xr:uid="{00000000-0005-0000-0000-000074650000}"/>
    <cellStyle name="Orizzontale 2 18" xfId="25968" xr:uid="{00000000-0005-0000-0000-000075650000}"/>
    <cellStyle name="Orizzontale 2 19" xfId="25969" xr:uid="{00000000-0005-0000-0000-000076650000}"/>
    <cellStyle name="Orizzontale 2 2" xfId="25970" xr:uid="{00000000-0005-0000-0000-000077650000}"/>
    <cellStyle name="Orizzontale 2 2 2" xfId="25971" xr:uid="{00000000-0005-0000-0000-000078650000}"/>
    <cellStyle name="Orizzontale 2 2 3" xfId="25972" xr:uid="{00000000-0005-0000-0000-000079650000}"/>
    <cellStyle name="Orizzontale 2 20" xfId="25973" xr:uid="{00000000-0005-0000-0000-00007A650000}"/>
    <cellStyle name="Orizzontale 2 21" xfId="25974" xr:uid="{00000000-0005-0000-0000-00007B650000}"/>
    <cellStyle name="Orizzontale 2 22" xfId="25975" xr:uid="{00000000-0005-0000-0000-00007C650000}"/>
    <cellStyle name="Orizzontale 2 23" xfId="25976" xr:uid="{00000000-0005-0000-0000-00007D650000}"/>
    <cellStyle name="Orizzontale 2 24" xfId="25977" xr:uid="{00000000-0005-0000-0000-00007E650000}"/>
    <cellStyle name="Orizzontale 2 25" xfId="25978" xr:uid="{00000000-0005-0000-0000-00007F650000}"/>
    <cellStyle name="Orizzontale 2 26" xfId="25979" xr:uid="{00000000-0005-0000-0000-000080650000}"/>
    <cellStyle name="Orizzontale 2 27" xfId="25980" xr:uid="{00000000-0005-0000-0000-000081650000}"/>
    <cellStyle name="Orizzontale 2 28" xfId="25981" xr:uid="{00000000-0005-0000-0000-000082650000}"/>
    <cellStyle name="Orizzontale 2 29" xfId="25982" xr:uid="{00000000-0005-0000-0000-000083650000}"/>
    <cellStyle name="Orizzontale 2 3" xfId="25983" xr:uid="{00000000-0005-0000-0000-000084650000}"/>
    <cellStyle name="Orizzontale 2 30" xfId="25984" xr:uid="{00000000-0005-0000-0000-000085650000}"/>
    <cellStyle name="Orizzontale 2 31" xfId="25985" xr:uid="{00000000-0005-0000-0000-000086650000}"/>
    <cellStyle name="Orizzontale 2 32" xfId="25986" xr:uid="{00000000-0005-0000-0000-000087650000}"/>
    <cellStyle name="Orizzontale 2 33" xfId="25987" xr:uid="{00000000-0005-0000-0000-000088650000}"/>
    <cellStyle name="Orizzontale 2 34" xfId="25988" xr:uid="{00000000-0005-0000-0000-000089650000}"/>
    <cellStyle name="Orizzontale 2 35" xfId="25989" xr:uid="{00000000-0005-0000-0000-00008A650000}"/>
    <cellStyle name="Orizzontale 2 36" xfId="25990" xr:uid="{00000000-0005-0000-0000-00008B650000}"/>
    <cellStyle name="Orizzontale 2 4" xfId="25991" xr:uid="{00000000-0005-0000-0000-00008C650000}"/>
    <cellStyle name="Orizzontale 2 5" xfId="25992" xr:uid="{00000000-0005-0000-0000-00008D650000}"/>
    <cellStyle name="Orizzontale 2 6" xfId="25993" xr:uid="{00000000-0005-0000-0000-00008E650000}"/>
    <cellStyle name="Orizzontale 2 7" xfId="25994" xr:uid="{00000000-0005-0000-0000-00008F650000}"/>
    <cellStyle name="Orizzontale 2 8" xfId="25995" xr:uid="{00000000-0005-0000-0000-000090650000}"/>
    <cellStyle name="Orizzontale 2 9" xfId="25996" xr:uid="{00000000-0005-0000-0000-000091650000}"/>
    <cellStyle name="Orizzontale 20" xfId="25997" xr:uid="{00000000-0005-0000-0000-000092650000}"/>
    <cellStyle name="Orizzontale 21" xfId="25998" xr:uid="{00000000-0005-0000-0000-000093650000}"/>
    <cellStyle name="Orizzontale 22" xfId="25999" xr:uid="{00000000-0005-0000-0000-000094650000}"/>
    <cellStyle name="Orizzontale 23" xfId="26000" xr:uid="{00000000-0005-0000-0000-000095650000}"/>
    <cellStyle name="Orizzontale 24" xfId="26001" xr:uid="{00000000-0005-0000-0000-000096650000}"/>
    <cellStyle name="Orizzontale 25" xfId="26002" xr:uid="{00000000-0005-0000-0000-000097650000}"/>
    <cellStyle name="Orizzontale 26" xfId="26003" xr:uid="{00000000-0005-0000-0000-000098650000}"/>
    <cellStyle name="Orizzontale 27" xfId="26004" xr:uid="{00000000-0005-0000-0000-000099650000}"/>
    <cellStyle name="Orizzontale 28" xfId="26005" xr:uid="{00000000-0005-0000-0000-00009A650000}"/>
    <cellStyle name="Orizzontale 29" xfId="26006" xr:uid="{00000000-0005-0000-0000-00009B650000}"/>
    <cellStyle name="Orizzontale 3" xfId="26007" xr:uid="{00000000-0005-0000-0000-00009C650000}"/>
    <cellStyle name="Orizzontale 3 2" xfId="26008" xr:uid="{00000000-0005-0000-0000-00009D650000}"/>
    <cellStyle name="Orizzontale 3 2 2" xfId="26009" xr:uid="{00000000-0005-0000-0000-00009E650000}"/>
    <cellStyle name="Orizzontale 3 2 3" xfId="26010" xr:uid="{00000000-0005-0000-0000-00009F650000}"/>
    <cellStyle name="Orizzontale 3 3" xfId="26011" xr:uid="{00000000-0005-0000-0000-0000A0650000}"/>
    <cellStyle name="Orizzontale 3 3 2" xfId="26012" xr:uid="{00000000-0005-0000-0000-0000A1650000}"/>
    <cellStyle name="Orizzontale 3 3 3" xfId="26013" xr:uid="{00000000-0005-0000-0000-0000A2650000}"/>
    <cellStyle name="Orizzontale 3 4" xfId="26014" xr:uid="{00000000-0005-0000-0000-0000A3650000}"/>
    <cellStyle name="Orizzontale 3 5" xfId="26015" xr:uid="{00000000-0005-0000-0000-0000A4650000}"/>
    <cellStyle name="Orizzontale 30" xfId="26016" xr:uid="{00000000-0005-0000-0000-0000A5650000}"/>
    <cellStyle name="Orizzontale 31" xfId="26017" xr:uid="{00000000-0005-0000-0000-0000A6650000}"/>
    <cellStyle name="Orizzontale 32" xfId="26018" xr:uid="{00000000-0005-0000-0000-0000A7650000}"/>
    <cellStyle name="Orizzontale 33" xfId="26019" xr:uid="{00000000-0005-0000-0000-0000A8650000}"/>
    <cellStyle name="Orizzontale 34" xfId="26020" xr:uid="{00000000-0005-0000-0000-0000A9650000}"/>
    <cellStyle name="Orizzontale 35" xfId="26021" xr:uid="{00000000-0005-0000-0000-0000AA650000}"/>
    <cellStyle name="Orizzontale 36" xfId="26022" xr:uid="{00000000-0005-0000-0000-0000AB650000}"/>
    <cellStyle name="Orizzontale 4" xfId="26023" xr:uid="{00000000-0005-0000-0000-0000AC650000}"/>
    <cellStyle name="Orizzontale 4 2" xfId="26024" xr:uid="{00000000-0005-0000-0000-0000AD650000}"/>
    <cellStyle name="Orizzontale 4 2 2" xfId="26025" xr:uid="{00000000-0005-0000-0000-0000AE650000}"/>
    <cellStyle name="Orizzontale 4 2 3" xfId="26026" xr:uid="{00000000-0005-0000-0000-0000AF650000}"/>
    <cellStyle name="Orizzontale 4 3" xfId="26027" xr:uid="{00000000-0005-0000-0000-0000B0650000}"/>
    <cellStyle name="Orizzontale 4 3 2" xfId="26028" xr:uid="{00000000-0005-0000-0000-0000B1650000}"/>
    <cellStyle name="Orizzontale 4 3 3" xfId="26029" xr:uid="{00000000-0005-0000-0000-0000B2650000}"/>
    <cellStyle name="Orizzontale 4 4" xfId="26030" xr:uid="{00000000-0005-0000-0000-0000B3650000}"/>
    <cellStyle name="Orizzontale 4 5" xfId="26031" xr:uid="{00000000-0005-0000-0000-0000B4650000}"/>
    <cellStyle name="Orizzontale 5" xfId="26032" xr:uid="{00000000-0005-0000-0000-0000B5650000}"/>
    <cellStyle name="Orizzontale 5 2" xfId="26033" xr:uid="{00000000-0005-0000-0000-0000B6650000}"/>
    <cellStyle name="Orizzontale 5 3" xfId="26034" xr:uid="{00000000-0005-0000-0000-0000B7650000}"/>
    <cellStyle name="Orizzontale 6" xfId="26035" xr:uid="{00000000-0005-0000-0000-0000B8650000}"/>
    <cellStyle name="Orizzontale 7" xfId="26036" xr:uid="{00000000-0005-0000-0000-0000B9650000}"/>
    <cellStyle name="Orizzontale 8" xfId="26037" xr:uid="{00000000-0005-0000-0000-0000BA650000}"/>
    <cellStyle name="Orizzontale 9" xfId="26038" xr:uid="{00000000-0005-0000-0000-0000BB650000}"/>
    <cellStyle name="Output 10" xfId="26039" xr:uid="{00000000-0005-0000-0000-0000BC650000}"/>
    <cellStyle name="Output 10 2" xfId="26040" xr:uid="{00000000-0005-0000-0000-0000BD650000}"/>
    <cellStyle name="Output 11" xfId="26041" xr:uid="{00000000-0005-0000-0000-0000BE650000}"/>
    <cellStyle name="Output 11 2" xfId="26042" xr:uid="{00000000-0005-0000-0000-0000BF650000}"/>
    <cellStyle name="Output 12" xfId="26043" xr:uid="{00000000-0005-0000-0000-0000C0650000}"/>
    <cellStyle name="Output 12 2" xfId="26044" xr:uid="{00000000-0005-0000-0000-0000C1650000}"/>
    <cellStyle name="Output 13" xfId="26045" xr:uid="{00000000-0005-0000-0000-0000C2650000}"/>
    <cellStyle name="Output 13 2" xfId="26046" xr:uid="{00000000-0005-0000-0000-0000C3650000}"/>
    <cellStyle name="Output 14" xfId="26047" xr:uid="{00000000-0005-0000-0000-0000C4650000}"/>
    <cellStyle name="Output 14 2" xfId="26048" xr:uid="{00000000-0005-0000-0000-0000C5650000}"/>
    <cellStyle name="Output 15" xfId="26049" xr:uid="{00000000-0005-0000-0000-0000C6650000}"/>
    <cellStyle name="Output 15 2" xfId="26050" xr:uid="{00000000-0005-0000-0000-0000C7650000}"/>
    <cellStyle name="Output 16" xfId="26051" xr:uid="{00000000-0005-0000-0000-0000C8650000}"/>
    <cellStyle name="Output 16 2" xfId="26052" xr:uid="{00000000-0005-0000-0000-0000C9650000}"/>
    <cellStyle name="Output 17" xfId="26053" xr:uid="{00000000-0005-0000-0000-0000CA650000}"/>
    <cellStyle name="Output 17 2" xfId="26054" xr:uid="{00000000-0005-0000-0000-0000CB650000}"/>
    <cellStyle name="Output 18" xfId="26055" xr:uid="{00000000-0005-0000-0000-0000CC650000}"/>
    <cellStyle name="Output 18 2" xfId="26056" xr:uid="{00000000-0005-0000-0000-0000CD650000}"/>
    <cellStyle name="Output 19" xfId="26057" xr:uid="{00000000-0005-0000-0000-0000CE650000}"/>
    <cellStyle name="Output 19 2" xfId="26058" xr:uid="{00000000-0005-0000-0000-0000CF650000}"/>
    <cellStyle name="Output 2" xfId="26059" xr:uid="{00000000-0005-0000-0000-0000D0650000}"/>
    <cellStyle name="Output 2 10" xfId="26060" xr:uid="{00000000-0005-0000-0000-0000D1650000}"/>
    <cellStyle name="Output 2 10 2" xfId="26061" xr:uid="{00000000-0005-0000-0000-0000D2650000}"/>
    <cellStyle name="Output 2 11" xfId="26062" xr:uid="{00000000-0005-0000-0000-0000D3650000}"/>
    <cellStyle name="Output 2 11 2" xfId="26063" xr:uid="{00000000-0005-0000-0000-0000D4650000}"/>
    <cellStyle name="Output 2 12" xfId="26064" xr:uid="{00000000-0005-0000-0000-0000D5650000}"/>
    <cellStyle name="Output 2 12 2" xfId="26065" xr:uid="{00000000-0005-0000-0000-0000D6650000}"/>
    <cellStyle name="Output 2 13" xfId="26066" xr:uid="{00000000-0005-0000-0000-0000D7650000}"/>
    <cellStyle name="Output 2 13 2" xfId="26067" xr:uid="{00000000-0005-0000-0000-0000D8650000}"/>
    <cellStyle name="Output 2 14" xfId="26068" xr:uid="{00000000-0005-0000-0000-0000D9650000}"/>
    <cellStyle name="Output 2 14 2" xfId="26069" xr:uid="{00000000-0005-0000-0000-0000DA650000}"/>
    <cellStyle name="Output 2 15" xfId="26070" xr:uid="{00000000-0005-0000-0000-0000DB650000}"/>
    <cellStyle name="Output 2 15 2" xfId="26071" xr:uid="{00000000-0005-0000-0000-0000DC650000}"/>
    <cellStyle name="Output 2 16" xfId="26072" xr:uid="{00000000-0005-0000-0000-0000DD650000}"/>
    <cellStyle name="Output 2 16 2" xfId="26073" xr:uid="{00000000-0005-0000-0000-0000DE650000}"/>
    <cellStyle name="Output 2 17" xfId="26074" xr:uid="{00000000-0005-0000-0000-0000DF650000}"/>
    <cellStyle name="Output 2 17 2" xfId="26075" xr:uid="{00000000-0005-0000-0000-0000E0650000}"/>
    <cellStyle name="Output 2 18" xfId="26076" xr:uid="{00000000-0005-0000-0000-0000E1650000}"/>
    <cellStyle name="Output 2 18 2" xfId="26077" xr:uid="{00000000-0005-0000-0000-0000E2650000}"/>
    <cellStyle name="Output 2 19" xfId="26078" xr:uid="{00000000-0005-0000-0000-0000E3650000}"/>
    <cellStyle name="Output 2 19 2" xfId="26079" xr:uid="{00000000-0005-0000-0000-0000E4650000}"/>
    <cellStyle name="Output 2 2" xfId="26080" xr:uid="{00000000-0005-0000-0000-0000E5650000}"/>
    <cellStyle name="Output 2 2 10" xfId="26081" xr:uid="{00000000-0005-0000-0000-0000E6650000}"/>
    <cellStyle name="Output 2 2 11" xfId="26082" xr:uid="{00000000-0005-0000-0000-0000E7650000}"/>
    <cellStyle name="Output 2 2 12" xfId="26083" xr:uid="{00000000-0005-0000-0000-0000E8650000}"/>
    <cellStyle name="Output 2 2 13" xfId="26084" xr:uid="{00000000-0005-0000-0000-0000E9650000}"/>
    <cellStyle name="Output 2 2 14" xfId="26085" xr:uid="{00000000-0005-0000-0000-0000EA650000}"/>
    <cellStyle name="Output 2 2 15" xfId="26086" xr:uid="{00000000-0005-0000-0000-0000EB650000}"/>
    <cellStyle name="Output 2 2 16" xfId="26087" xr:uid="{00000000-0005-0000-0000-0000EC650000}"/>
    <cellStyle name="Output 2 2 17" xfId="26088" xr:uid="{00000000-0005-0000-0000-0000ED650000}"/>
    <cellStyle name="Output 2 2 18" xfId="26089" xr:uid="{00000000-0005-0000-0000-0000EE650000}"/>
    <cellStyle name="Output 2 2 19" xfId="26090" xr:uid="{00000000-0005-0000-0000-0000EF650000}"/>
    <cellStyle name="Output 2 2 2" xfId="26091" xr:uid="{00000000-0005-0000-0000-0000F0650000}"/>
    <cellStyle name="Output 2 2 2 2" xfId="26092" xr:uid="{00000000-0005-0000-0000-0000F1650000}"/>
    <cellStyle name="Output 2 2 20" xfId="26093" xr:uid="{00000000-0005-0000-0000-0000F2650000}"/>
    <cellStyle name="Output 2 2 21" xfId="26094" xr:uid="{00000000-0005-0000-0000-0000F3650000}"/>
    <cellStyle name="Output 2 2 22" xfId="26095" xr:uid="{00000000-0005-0000-0000-0000F4650000}"/>
    <cellStyle name="Output 2 2 3" xfId="26096" xr:uid="{00000000-0005-0000-0000-0000F5650000}"/>
    <cellStyle name="Output 2 2 3 10" xfId="26097" xr:uid="{00000000-0005-0000-0000-0000F6650000}"/>
    <cellStyle name="Output 2 2 3 11" xfId="26098" xr:uid="{00000000-0005-0000-0000-0000F7650000}"/>
    <cellStyle name="Output 2 2 3 12" xfId="26099" xr:uid="{00000000-0005-0000-0000-0000F8650000}"/>
    <cellStyle name="Output 2 2 3 13" xfId="26100" xr:uid="{00000000-0005-0000-0000-0000F9650000}"/>
    <cellStyle name="Output 2 2 3 14" xfId="26101" xr:uid="{00000000-0005-0000-0000-0000FA650000}"/>
    <cellStyle name="Output 2 2 3 15" xfId="26102" xr:uid="{00000000-0005-0000-0000-0000FB650000}"/>
    <cellStyle name="Output 2 2 3 16" xfId="26103" xr:uid="{00000000-0005-0000-0000-0000FC650000}"/>
    <cellStyle name="Output 2 2 3 17" xfId="26104" xr:uid="{00000000-0005-0000-0000-0000FD650000}"/>
    <cellStyle name="Output 2 2 3 18" xfId="26105" xr:uid="{00000000-0005-0000-0000-0000FE650000}"/>
    <cellStyle name="Output 2 2 3 19" xfId="26106" xr:uid="{00000000-0005-0000-0000-0000FF650000}"/>
    <cellStyle name="Output 2 2 3 2" xfId="26107" xr:uid="{00000000-0005-0000-0000-000000660000}"/>
    <cellStyle name="Output 2 2 3 2 10" xfId="26108" xr:uid="{00000000-0005-0000-0000-000001660000}"/>
    <cellStyle name="Output 2 2 3 2 11" xfId="26109" xr:uid="{00000000-0005-0000-0000-000002660000}"/>
    <cellStyle name="Output 2 2 3 2 12" xfId="26110" xr:uid="{00000000-0005-0000-0000-000003660000}"/>
    <cellStyle name="Output 2 2 3 2 13" xfId="26111" xr:uid="{00000000-0005-0000-0000-000004660000}"/>
    <cellStyle name="Output 2 2 3 2 14" xfId="26112" xr:uid="{00000000-0005-0000-0000-000005660000}"/>
    <cellStyle name="Output 2 2 3 2 15" xfId="26113" xr:uid="{00000000-0005-0000-0000-000006660000}"/>
    <cellStyle name="Output 2 2 3 2 16" xfId="26114" xr:uid="{00000000-0005-0000-0000-000007660000}"/>
    <cellStyle name="Output 2 2 3 2 17" xfId="26115" xr:uid="{00000000-0005-0000-0000-000008660000}"/>
    <cellStyle name="Output 2 2 3 2 18" xfId="26116" xr:uid="{00000000-0005-0000-0000-000009660000}"/>
    <cellStyle name="Output 2 2 3 2 19" xfId="26117" xr:uid="{00000000-0005-0000-0000-00000A660000}"/>
    <cellStyle name="Output 2 2 3 2 2" xfId="26118" xr:uid="{00000000-0005-0000-0000-00000B660000}"/>
    <cellStyle name="Output 2 2 3 2 20" xfId="26119" xr:uid="{00000000-0005-0000-0000-00000C660000}"/>
    <cellStyle name="Output 2 2 3 2 21" xfId="26120" xr:uid="{00000000-0005-0000-0000-00000D660000}"/>
    <cellStyle name="Output 2 2 3 2 22" xfId="26121" xr:uid="{00000000-0005-0000-0000-00000E660000}"/>
    <cellStyle name="Output 2 2 3 2 23" xfId="26122" xr:uid="{00000000-0005-0000-0000-00000F660000}"/>
    <cellStyle name="Output 2 2 3 2 24" xfId="26123" xr:uid="{00000000-0005-0000-0000-000010660000}"/>
    <cellStyle name="Output 2 2 3 2 25" xfId="26124" xr:uid="{00000000-0005-0000-0000-000011660000}"/>
    <cellStyle name="Output 2 2 3 2 26" xfId="26125" xr:uid="{00000000-0005-0000-0000-000012660000}"/>
    <cellStyle name="Output 2 2 3 2 27" xfId="26126" xr:uid="{00000000-0005-0000-0000-000013660000}"/>
    <cellStyle name="Output 2 2 3 2 28" xfId="26127" xr:uid="{00000000-0005-0000-0000-000014660000}"/>
    <cellStyle name="Output 2 2 3 2 29" xfId="26128" xr:uid="{00000000-0005-0000-0000-000015660000}"/>
    <cellStyle name="Output 2 2 3 2 3" xfId="26129" xr:uid="{00000000-0005-0000-0000-000016660000}"/>
    <cellStyle name="Output 2 2 3 2 30" xfId="26130" xr:uid="{00000000-0005-0000-0000-000017660000}"/>
    <cellStyle name="Output 2 2 3 2 31" xfId="26131" xr:uid="{00000000-0005-0000-0000-000018660000}"/>
    <cellStyle name="Output 2 2 3 2 32" xfId="26132" xr:uid="{00000000-0005-0000-0000-000019660000}"/>
    <cellStyle name="Output 2 2 3 2 33" xfId="26133" xr:uid="{00000000-0005-0000-0000-00001A660000}"/>
    <cellStyle name="Output 2 2 3 2 34" xfId="26134" xr:uid="{00000000-0005-0000-0000-00001B660000}"/>
    <cellStyle name="Output 2 2 3 2 4" xfId="26135" xr:uid="{00000000-0005-0000-0000-00001C660000}"/>
    <cellStyle name="Output 2 2 3 2 5" xfId="26136" xr:uid="{00000000-0005-0000-0000-00001D660000}"/>
    <cellStyle name="Output 2 2 3 2 6" xfId="26137" xr:uid="{00000000-0005-0000-0000-00001E660000}"/>
    <cellStyle name="Output 2 2 3 2 7" xfId="26138" xr:uid="{00000000-0005-0000-0000-00001F660000}"/>
    <cellStyle name="Output 2 2 3 2 8" xfId="26139" xr:uid="{00000000-0005-0000-0000-000020660000}"/>
    <cellStyle name="Output 2 2 3 2 9" xfId="26140" xr:uid="{00000000-0005-0000-0000-000021660000}"/>
    <cellStyle name="Output 2 2 3 20" xfId="26141" xr:uid="{00000000-0005-0000-0000-000022660000}"/>
    <cellStyle name="Output 2 2 3 3" xfId="26142" xr:uid="{00000000-0005-0000-0000-000023660000}"/>
    <cellStyle name="Output 2 2 3 3 2" xfId="26143" xr:uid="{00000000-0005-0000-0000-000024660000}"/>
    <cellStyle name="Output 2 2 3 3 3" xfId="26144" xr:uid="{00000000-0005-0000-0000-000025660000}"/>
    <cellStyle name="Output 2 2 3 4" xfId="26145" xr:uid="{00000000-0005-0000-0000-000026660000}"/>
    <cellStyle name="Output 2 2 3 5" xfId="26146" xr:uid="{00000000-0005-0000-0000-000027660000}"/>
    <cellStyle name="Output 2 2 3 6" xfId="26147" xr:uid="{00000000-0005-0000-0000-000028660000}"/>
    <cellStyle name="Output 2 2 3 7" xfId="26148" xr:uid="{00000000-0005-0000-0000-000029660000}"/>
    <cellStyle name="Output 2 2 3 8" xfId="26149" xr:uid="{00000000-0005-0000-0000-00002A660000}"/>
    <cellStyle name="Output 2 2 3 9" xfId="26150" xr:uid="{00000000-0005-0000-0000-00002B660000}"/>
    <cellStyle name="Output 2 2 4" xfId="26151" xr:uid="{00000000-0005-0000-0000-00002C660000}"/>
    <cellStyle name="Output 2 2 4 10" xfId="26152" xr:uid="{00000000-0005-0000-0000-00002D660000}"/>
    <cellStyle name="Output 2 2 4 11" xfId="26153" xr:uid="{00000000-0005-0000-0000-00002E660000}"/>
    <cellStyle name="Output 2 2 4 12" xfId="26154" xr:uid="{00000000-0005-0000-0000-00002F660000}"/>
    <cellStyle name="Output 2 2 4 13" xfId="26155" xr:uid="{00000000-0005-0000-0000-000030660000}"/>
    <cellStyle name="Output 2 2 4 14" xfId="26156" xr:uid="{00000000-0005-0000-0000-000031660000}"/>
    <cellStyle name="Output 2 2 4 15" xfId="26157" xr:uid="{00000000-0005-0000-0000-000032660000}"/>
    <cellStyle name="Output 2 2 4 16" xfId="26158" xr:uid="{00000000-0005-0000-0000-000033660000}"/>
    <cellStyle name="Output 2 2 4 17" xfId="26159" xr:uid="{00000000-0005-0000-0000-000034660000}"/>
    <cellStyle name="Output 2 2 4 18" xfId="26160" xr:uid="{00000000-0005-0000-0000-000035660000}"/>
    <cellStyle name="Output 2 2 4 19" xfId="26161" xr:uid="{00000000-0005-0000-0000-000036660000}"/>
    <cellStyle name="Output 2 2 4 2" xfId="26162" xr:uid="{00000000-0005-0000-0000-000037660000}"/>
    <cellStyle name="Output 2 2 4 20" xfId="26163" xr:uid="{00000000-0005-0000-0000-000038660000}"/>
    <cellStyle name="Output 2 2 4 21" xfId="26164" xr:uid="{00000000-0005-0000-0000-000039660000}"/>
    <cellStyle name="Output 2 2 4 22" xfId="26165" xr:uid="{00000000-0005-0000-0000-00003A660000}"/>
    <cellStyle name="Output 2 2 4 23" xfId="26166" xr:uid="{00000000-0005-0000-0000-00003B660000}"/>
    <cellStyle name="Output 2 2 4 24" xfId="26167" xr:uid="{00000000-0005-0000-0000-00003C660000}"/>
    <cellStyle name="Output 2 2 4 25" xfId="26168" xr:uid="{00000000-0005-0000-0000-00003D660000}"/>
    <cellStyle name="Output 2 2 4 26" xfId="26169" xr:uid="{00000000-0005-0000-0000-00003E660000}"/>
    <cellStyle name="Output 2 2 4 27" xfId="26170" xr:uid="{00000000-0005-0000-0000-00003F660000}"/>
    <cellStyle name="Output 2 2 4 28" xfId="26171" xr:uid="{00000000-0005-0000-0000-000040660000}"/>
    <cellStyle name="Output 2 2 4 29" xfId="26172" xr:uid="{00000000-0005-0000-0000-000041660000}"/>
    <cellStyle name="Output 2 2 4 3" xfId="26173" xr:uid="{00000000-0005-0000-0000-000042660000}"/>
    <cellStyle name="Output 2 2 4 30" xfId="26174" xr:uid="{00000000-0005-0000-0000-000043660000}"/>
    <cellStyle name="Output 2 2 4 31" xfId="26175" xr:uid="{00000000-0005-0000-0000-000044660000}"/>
    <cellStyle name="Output 2 2 4 32" xfId="26176" xr:uid="{00000000-0005-0000-0000-000045660000}"/>
    <cellStyle name="Output 2 2 4 33" xfId="26177" xr:uid="{00000000-0005-0000-0000-000046660000}"/>
    <cellStyle name="Output 2 2 4 34" xfId="26178" xr:uid="{00000000-0005-0000-0000-000047660000}"/>
    <cellStyle name="Output 2 2 4 4" xfId="26179" xr:uid="{00000000-0005-0000-0000-000048660000}"/>
    <cellStyle name="Output 2 2 4 5" xfId="26180" xr:uid="{00000000-0005-0000-0000-000049660000}"/>
    <cellStyle name="Output 2 2 4 6" xfId="26181" xr:uid="{00000000-0005-0000-0000-00004A660000}"/>
    <cellStyle name="Output 2 2 4 7" xfId="26182" xr:uid="{00000000-0005-0000-0000-00004B660000}"/>
    <cellStyle name="Output 2 2 4 8" xfId="26183" xr:uid="{00000000-0005-0000-0000-00004C660000}"/>
    <cellStyle name="Output 2 2 4 9" xfId="26184" xr:uid="{00000000-0005-0000-0000-00004D660000}"/>
    <cellStyle name="Output 2 2 5" xfId="26185" xr:uid="{00000000-0005-0000-0000-00004E660000}"/>
    <cellStyle name="Output 2 2 5 2" xfId="26186" xr:uid="{00000000-0005-0000-0000-00004F660000}"/>
    <cellStyle name="Output 2 2 5 3" xfId="26187" xr:uid="{00000000-0005-0000-0000-000050660000}"/>
    <cellStyle name="Output 2 2 6" xfId="26188" xr:uid="{00000000-0005-0000-0000-000051660000}"/>
    <cellStyle name="Output 2 2 7" xfId="26189" xr:uid="{00000000-0005-0000-0000-000052660000}"/>
    <cellStyle name="Output 2 2 8" xfId="26190" xr:uid="{00000000-0005-0000-0000-000053660000}"/>
    <cellStyle name="Output 2 2 9" xfId="26191" xr:uid="{00000000-0005-0000-0000-000054660000}"/>
    <cellStyle name="Output 2 20" xfId="26192" xr:uid="{00000000-0005-0000-0000-000055660000}"/>
    <cellStyle name="Output 2 20 10" xfId="26193" xr:uid="{00000000-0005-0000-0000-000056660000}"/>
    <cellStyle name="Output 2 20 11" xfId="26194" xr:uid="{00000000-0005-0000-0000-000057660000}"/>
    <cellStyle name="Output 2 20 12" xfId="26195" xr:uid="{00000000-0005-0000-0000-000058660000}"/>
    <cellStyle name="Output 2 20 13" xfId="26196" xr:uid="{00000000-0005-0000-0000-000059660000}"/>
    <cellStyle name="Output 2 20 14" xfId="26197" xr:uid="{00000000-0005-0000-0000-00005A660000}"/>
    <cellStyle name="Output 2 20 15" xfId="26198" xr:uid="{00000000-0005-0000-0000-00005B660000}"/>
    <cellStyle name="Output 2 20 16" xfId="26199" xr:uid="{00000000-0005-0000-0000-00005C660000}"/>
    <cellStyle name="Output 2 20 17" xfId="26200" xr:uid="{00000000-0005-0000-0000-00005D660000}"/>
    <cellStyle name="Output 2 20 18" xfId="26201" xr:uid="{00000000-0005-0000-0000-00005E660000}"/>
    <cellStyle name="Output 2 20 19" xfId="26202" xr:uid="{00000000-0005-0000-0000-00005F660000}"/>
    <cellStyle name="Output 2 20 2" xfId="26203" xr:uid="{00000000-0005-0000-0000-000060660000}"/>
    <cellStyle name="Output 2 20 2 10" xfId="26204" xr:uid="{00000000-0005-0000-0000-000061660000}"/>
    <cellStyle name="Output 2 20 2 11" xfId="26205" xr:uid="{00000000-0005-0000-0000-000062660000}"/>
    <cellStyle name="Output 2 20 2 12" xfId="26206" xr:uid="{00000000-0005-0000-0000-000063660000}"/>
    <cellStyle name="Output 2 20 2 13" xfId="26207" xr:uid="{00000000-0005-0000-0000-000064660000}"/>
    <cellStyle name="Output 2 20 2 14" xfId="26208" xr:uid="{00000000-0005-0000-0000-000065660000}"/>
    <cellStyle name="Output 2 20 2 15" xfId="26209" xr:uid="{00000000-0005-0000-0000-000066660000}"/>
    <cellStyle name="Output 2 20 2 16" xfId="26210" xr:uid="{00000000-0005-0000-0000-000067660000}"/>
    <cellStyle name="Output 2 20 2 17" xfId="26211" xr:uid="{00000000-0005-0000-0000-000068660000}"/>
    <cellStyle name="Output 2 20 2 18" xfId="26212" xr:uid="{00000000-0005-0000-0000-000069660000}"/>
    <cellStyle name="Output 2 20 2 19" xfId="26213" xr:uid="{00000000-0005-0000-0000-00006A660000}"/>
    <cellStyle name="Output 2 20 2 2" xfId="26214" xr:uid="{00000000-0005-0000-0000-00006B660000}"/>
    <cellStyle name="Output 2 20 2 20" xfId="26215" xr:uid="{00000000-0005-0000-0000-00006C660000}"/>
    <cellStyle name="Output 2 20 2 21" xfId="26216" xr:uid="{00000000-0005-0000-0000-00006D660000}"/>
    <cellStyle name="Output 2 20 2 22" xfId="26217" xr:uid="{00000000-0005-0000-0000-00006E660000}"/>
    <cellStyle name="Output 2 20 2 23" xfId="26218" xr:uid="{00000000-0005-0000-0000-00006F660000}"/>
    <cellStyle name="Output 2 20 2 24" xfId="26219" xr:uid="{00000000-0005-0000-0000-000070660000}"/>
    <cellStyle name="Output 2 20 2 25" xfId="26220" xr:uid="{00000000-0005-0000-0000-000071660000}"/>
    <cellStyle name="Output 2 20 2 26" xfId="26221" xr:uid="{00000000-0005-0000-0000-000072660000}"/>
    <cellStyle name="Output 2 20 2 27" xfId="26222" xr:uid="{00000000-0005-0000-0000-000073660000}"/>
    <cellStyle name="Output 2 20 2 28" xfId="26223" xr:uid="{00000000-0005-0000-0000-000074660000}"/>
    <cellStyle name="Output 2 20 2 29" xfId="26224" xr:uid="{00000000-0005-0000-0000-000075660000}"/>
    <cellStyle name="Output 2 20 2 3" xfId="26225" xr:uid="{00000000-0005-0000-0000-000076660000}"/>
    <cellStyle name="Output 2 20 2 30" xfId="26226" xr:uid="{00000000-0005-0000-0000-000077660000}"/>
    <cellStyle name="Output 2 20 2 31" xfId="26227" xr:uid="{00000000-0005-0000-0000-000078660000}"/>
    <cellStyle name="Output 2 20 2 32" xfId="26228" xr:uid="{00000000-0005-0000-0000-000079660000}"/>
    <cellStyle name="Output 2 20 2 33" xfId="26229" xr:uid="{00000000-0005-0000-0000-00007A660000}"/>
    <cellStyle name="Output 2 20 2 34" xfId="26230" xr:uid="{00000000-0005-0000-0000-00007B660000}"/>
    <cellStyle name="Output 2 20 2 4" xfId="26231" xr:uid="{00000000-0005-0000-0000-00007C660000}"/>
    <cellStyle name="Output 2 20 2 5" xfId="26232" xr:uid="{00000000-0005-0000-0000-00007D660000}"/>
    <cellStyle name="Output 2 20 2 6" xfId="26233" xr:uid="{00000000-0005-0000-0000-00007E660000}"/>
    <cellStyle name="Output 2 20 2 7" xfId="26234" xr:uid="{00000000-0005-0000-0000-00007F660000}"/>
    <cellStyle name="Output 2 20 2 8" xfId="26235" xr:uid="{00000000-0005-0000-0000-000080660000}"/>
    <cellStyle name="Output 2 20 2 9" xfId="26236" xr:uid="{00000000-0005-0000-0000-000081660000}"/>
    <cellStyle name="Output 2 20 20" xfId="26237" xr:uid="{00000000-0005-0000-0000-000082660000}"/>
    <cellStyle name="Output 2 20 3" xfId="26238" xr:uid="{00000000-0005-0000-0000-000083660000}"/>
    <cellStyle name="Output 2 20 3 2" xfId="26239" xr:uid="{00000000-0005-0000-0000-000084660000}"/>
    <cellStyle name="Output 2 20 3 3" xfId="26240" xr:uid="{00000000-0005-0000-0000-000085660000}"/>
    <cellStyle name="Output 2 20 4" xfId="26241" xr:uid="{00000000-0005-0000-0000-000086660000}"/>
    <cellStyle name="Output 2 20 5" xfId="26242" xr:uid="{00000000-0005-0000-0000-000087660000}"/>
    <cellStyle name="Output 2 20 6" xfId="26243" xr:uid="{00000000-0005-0000-0000-000088660000}"/>
    <cellStyle name="Output 2 20 7" xfId="26244" xr:uid="{00000000-0005-0000-0000-000089660000}"/>
    <cellStyle name="Output 2 20 8" xfId="26245" xr:uid="{00000000-0005-0000-0000-00008A660000}"/>
    <cellStyle name="Output 2 20 9" xfId="26246" xr:uid="{00000000-0005-0000-0000-00008B660000}"/>
    <cellStyle name="Output 2 21" xfId="26247" xr:uid="{00000000-0005-0000-0000-00008C660000}"/>
    <cellStyle name="Output 2 21 10" xfId="26248" xr:uid="{00000000-0005-0000-0000-00008D660000}"/>
    <cellStyle name="Output 2 21 11" xfId="26249" xr:uid="{00000000-0005-0000-0000-00008E660000}"/>
    <cellStyle name="Output 2 21 12" xfId="26250" xr:uid="{00000000-0005-0000-0000-00008F660000}"/>
    <cellStyle name="Output 2 21 13" xfId="26251" xr:uid="{00000000-0005-0000-0000-000090660000}"/>
    <cellStyle name="Output 2 21 14" xfId="26252" xr:uid="{00000000-0005-0000-0000-000091660000}"/>
    <cellStyle name="Output 2 21 15" xfId="26253" xr:uid="{00000000-0005-0000-0000-000092660000}"/>
    <cellStyle name="Output 2 21 16" xfId="26254" xr:uid="{00000000-0005-0000-0000-000093660000}"/>
    <cellStyle name="Output 2 21 17" xfId="26255" xr:uid="{00000000-0005-0000-0000-000094660000}"/>
    <cellStyle name="Output 2 21 18" xfId="26256" xr:uid="{00000000-0005-0000-0000-000095660000}"/>
    <cellStyle name="Output 2 21 19" xfId="26257" xr:uid="{00000000-0005-0000-0000-000096660000}"/>
    <cellStyle name="Output 2 21 2" xfId="26258" xr:uid="{00000000-0005-0000-0000-000097660000}"/>
    <cellStyle name="Output 2 21 20" xfId="26259" xr:uid="{00000000-0005-0000-0000-000098660000}"/>
    <cellStyle name="Output 2 21 21" xfId="26260" xr:uid="{00000000-0005-0000-0000-000099660000}"/>
    <cellStyle name="Output 2 21 22" xfId="26261" xr:uid="{00000000-0005-0000-0000-00009A660000}"/>
    <cellStyle name="Output 2 21 23" xfId="26262" xr:uid="{00000000-0005-0000-0000-00009B660000}"/>
    <cellStyle name="Output 2 21 24" xfId="26263" xr:uid="{00000000-0005-0000-0000-00009C660000}"/>
    <cellStyle name="Output 2 21 25" xfId="26264" xr:uid="{00000000-0005-0000-0000-00009D660000}"/>
    <cellStyle name="Output 2 21 26" xfId="26265" xr:uid="{00000000-0005-0000-0000-00009E660000}"/>
    <cellStyle name="Output 2 21 27" xfId="26266" xr:uid="{00000000-0005-0000-0000-00009F660000}"/>
    <cellStyle name="Output 2 21 28" xfId="26267" xr:uid="{00000000-0005-0000-0000-0000A0660000}"/>
    <cellStyle name="Output 2 21 29" xfId="26268" xr:uid="{00000000-0005-0000-0000-0000A1660000}"/>
    <cellStyle name="Output 2 21 3" xfId="26269" xr:uid="{00000000-0005-0000-0000-0000A2660000}"/>
    <cellStyle name="Output 2 21 30" xfId="26270" xr:uid="{00000000-0005-0000-0000-0000A3660000}"/>
    <cellStyle name="Output 2 21 31" xfId="26271" xr:uid="{00000000-0005-0000-0000-0000A4660000}"/>
    <cellStyle name="Output 2 21 32" xfId="26272" xr:uid="{00000000-0005-0000-0000-0000A5660000}"/>
    <cellStyle name="Output 2 21 33" xfId="26273" xr:uid="{00000000-0005-0000-0000-0000A6660000}"/>
    <cellStyle name="Output 2 21 34" xfId="26274" xr:uid="{00000000-0005-0000-0000-0000A7660000}"/>
    <cellStyle name="Output 2 21 4" xfId="26275" xr:uid="{00000000-0005-0000-0000-0000A8660000}"/>
    <cellStyle name="Output 2 21 5" xfId="26276" xr:uid="{00000000-0005-0000-0000-0000A9660000}"/>
    <cellStyle name="Output 2 21 6" xfId="26277" xr:uid="{00000000-0005-0000-0000-0000AA660000}"/>
    <cellStyle name="Output 2 21 7" xfId="26278" xr:uid="{00000000-0005-0000-0000-0000AB660000}"/>
    <cellStyle name="Output 2 21 8" xfId="26279" xr:uid="{00000000-0005-0000-0000-0000AC660000}"/>
    <cellStyle name="Output 2 21 9" xfId="26280" xr:uid="{00000000-0005-0000-0000-0000AD660000}"/>
    <cellStyle name="Output 2 22" xfId="26281" xr:uid="{00000000-0005-0000-0000-0000AE660000}"/>
    <cellStyle name="Output 2 22 2" xfId="26282" xr:uid="{00000000-0005-0000-0000-0000AF660000}"/>
    <cellStyle name="Output 2 22 3" xfId="26283" xr:uid="{00000000-0005-0000-0000-0000B0660000}"/>
    <cellStyle name="Output 2 23" xfId="26284" xr:uid="{00000000-0005-0000-0000-0000B1660000}"/>
    <cellStyle name="Output 2 24" xfId="26285" xr:uid="{00000000-0005-0000-0000-0000B2660000}"/>
    <cellStyle name="Output 2 25" xfId="26286" xr:uid="{00000000-0005-0000-0000-0000B3660000}"/>
    <cellStyle name="Output 2 26" xfId="26287" xr:uid="{00000000-0005-0000-0000-0000B4660000}"/>
    <cellStyle name="Output 2 27" xfId="26288" xr:uid="{00000000-0005-0000-0000-0000B5660000}"/>
    <cellStyle name="Output 2 28" xfId="26289" xr:uid="{00000000-0005-0000-0000-0000B6660000}"/>
    <cellStyle name="Output 2 29" xfId="26290" xr:uid="{00000000-0005-0000-0000-0000B7660000}"/>
    <cellStyle name="Output 2 3" xfId="26291" xr:uid="{00000000-0005-0000-0000-0000B8660000}"/>
    <cellStyle name="Output 2 3 10" xfId="26292" xr:uid="{00000000-0005-0000-0000-0000B9660000}"/>
    <cellStyle name="Output 2 3 11" xfId="26293" xr:uid="{00000000-0005-0000-0000-0000BA660000}"/>
    <cellStyle name="Output 2 3 12" xfId="26294" xr:uid="{00000000-0005-0000-0000-0000BB660000}"/>
    <cellStyle name="Output 2 3 13" xfId="26295" xr:uid="{00000000-0005-0000-0000-0000BC660000}"/>
    <cellStyle name="Output 2 3 14" xfId="26296" xr:uid="{00000000-0005-0000-0000-0000BD660000}"/>
    <cellStyle name="Output 2 3 15" xfId="26297" xr:uid="{00000000-0005-0000-0000-0000BE660000}"/>
    <cellStyle name="Output 2 3 16" xfId="26298" xr:uid="{00000000-0005-0000-0000-0000BF660000}"/>
    <cellStyle name="Output 2 3 17" xfId="26299" xr:uid="{00000000-0005-0000-0000-0000C0660000}"/>
    <cellStyle name="Output 2 3 18" xfId="26300" xr:uid="{00000000-0005-0000-0000-0000C1660000}"/>
    <cellStyle name="Output 2 3 19" xfId="26301" xr:uid="{00000000-0005-0000-0000-0000C2660000}"/>
    <cellStyle name="Output 2 3 2" xfId="26302" xr:uid="{00000000-0005-0000-0000-0000C3660000}"/>
    <cellStyle name="Output 2 3 2 10" xfId="26303" xr:uid="{00000000-0005-0000-0000-0000C4660000}"/>
    <cellStyle name="Output 2 3 2 11" xfId="26304" xr:uid="{00000000-0005-0000-0000-0000C5660000}"/>
    <cellStyle name="Output 2 3 2 12" xfId="26305" xr:uid="{00000000-0005-0000-0000-0000C6660000}"/>
    <cellStyle name="Output 2 3 2 13" xfId="26306" xr:uid="{00000000-0005-0000-0000-0000C7660000}"/>
    <cellStyle name="Output 2 3 2 14" xfId="26307" xr:uid="{00000000-0005-0000-0000-0000C8660000}"/>
    <cellStyle name="Output 2 3 2 15" xfId="26308" xr:uid="{00000000-0005-0000-0000-0000C9660000}"/>
    <cellStyle name="Output 2 3 2 16" xfId="26309" xr:uid="{00000000-0005-0000-0000-0000CA660000}"/>
    <cellStyle name="Output 2 3 2 17" xfId="26310" xr:uid="{00000000-0005-0000-0000-0000CB660000}"/>
    <cellStyle name="Output 2 3 2 18" xfId="26311" xr:uid="{00000000-0005-0000-0000-0000CC660000}"/>
    <cellStyle name="Output 2 3 2 19" xfId="26312" xr:uid="{00000000-0005-0000-0000-0000CD660000}"/>
    <cellStyle name="Output 2 3 2 2" xfId="26313" xr:uid="{00000000-0005-0000-0000-0000CE660000}"/>
    <cellStyle name="Output 2 3 2 2 10" xfId="26314" xr:uid="{00000000-0005-0000-0000-0000CF660000}"/>
    <cellStyle name="Output 2 3 2 2 11" xfId="26315" xr:uid="{00000000-0005-0000-0000-0000D0660000}"/>
    <cellStyle name="Output 2 3 2 2 12" xfId="26316" xr:uid="{00000000-0005-0000-0000-0000D1660000}"/>
    <cellStyle name="Output 2 3 2 2 13" xfId="26317" xr:uid="{00000000-0005-0000-0000-0000D2660000}"/>
    <cellStyle name="Output 2 3 2 2 14" xfId="26318" xr:uid="{00000000-0005-0000-0000-0000D3660000}"/>
    <cellStyle name="Output 2 3 2 2 15" xfId="26319" xr:uid="{00000000-0005-0000-0000-0000D4660000}"/>
    <cellStyle name="Output 2 3 2 2 16" xfId="26320" xr:uid="{00000000-0005-0000-0000-0000D5660000}"/>
    <cellStyle name="Output 2 3 2 2 17" xfId="26321" xr:uid="{00000000-0005-0000-0000-0000D6660000}"/>
    <cellStyle name="Output 2 3 2 2 18" xfId="26322" xr:uid="{00000000-0005-0000-0000-0000D7660000}"/>
    <cellStyle name="Output 2 3 2 2 19" xfId="26323" xr:uid="{00000000-0005-0000-0000-0000D8660000}"/>
    <cellStyle name="Output 2 3 2 2 2" xfId="26324" xr:uid="{00000000-0005-0000-0000-0000D9660000}"/>
    <cellStyle name="Output 2 3 2 2 20" xfId="26325" xr:uid="{00000000-0005-0000-0000-0000DA660000}"/>
    <cellStyle name="Output 2 3 2 2 21" xfId="26326" xr:uid="{00000000-0005-0000-0000-0000DB660000}"/>
    <cellStyle name="Output 2 3 2 2 22" xfId="26327" xr:uid="{00000000-0005-0000-0000-0000DC660000}"/>
    <cellStyle name="Output 2 3 2 2 23" xfId="26328" xr:uid="{00000000-0005-0000-0000-0000DD660000}"/>
    <cellStyle name="Output 2 3 2 2 24" xfId="26329" xr:uid="{00000000-0005-0000-0000-0000DE660000}"/>
    <cellStyle name="Output 2 3 2 2 25" xfId="26330" xr:uid="{00000000-0005-0000-0000-0000DF660000}"/>
    <cellStyle name="Output 2 3 2 2 26" xfId="26331" xr:uid="{00000000-0005-0000-0000-0000E0660000}"/>
    <cellStyle name="Output 2 3 2 2 27" xfId="26332" xr:uid="{00000000-0005-0000-0000-0000E1660000}"/>
    <cellStyle name="Output 2 3 2 2 28" xfId="26333" xr:uid="{00000000-0005-0000-0000-0000E2660000}"/>
    <cellStyle name="Output 2 3 2 2 29" xfId="26334" xr:uid="{00000000-0005-0000-0000-0000E3660000}"/>
    <cellStyle name="Output 2 3 2 2 3" xfId="26335" xr:uid="{00000000-0005-0000-0000-0000E4660000}"/>
    <cellStyle name="Output 2 3 2 2 30" xfId="26336" xr:uid="{00000000-0005-0000-0000-0000E5660000}"/>
    <cellStyle name="Output 2 3 2 2 31" xfId="26337" xr:uid="{00000000-0005-0000-0000-0000E6660000}"/>
    <cellStyle name="Output 2 3 2 2 32" xfId="26338" xr:uid="{00000000-0005-0000-0000-0000E7660000}"/>
    <cellStyle name="Output 2 3 2 2 33" xfId="26339" xr:uid="{00000000-0005-0000-0000-0000E8660000}"/>
    <cellStyle name="Output 2 3 2 2 34" xfId="26340" xr:uid="{00000000-0005-0000-0000-0000E9660000}"/>
    <cellStyle name="Output 2 3 2 2 4" xfId="26341" xr:uid="{00000000-0005-0000-0000-0000EA660000}"/>
    <cellStyle name="Output 2 3 2 2 5" xfId="26342" xr:uid="{00000000-0005-0000-0000-0000EB660000}"/>
    <cellStyle name="Output 2 3 2 2 6" xfId="26343" xr:uid="{00000000-0005-0000-0000-0000EC660000}"/>
    <cellStyle name="Output 2 3 2 2 7" xfId="26344" xr:uid="{00000000-0005-0000-0000-0000ED660000}"/>
    <cellStyle name="Output 2 3 2 2 8" xfId="26345" xr:uid="{00000000-0005-0000-0000-0000EE660000}"/>
    <cellStyle name="Output 2 3 2 2 9" xfId="26346" xr:uid="{00000000-0005-0000-0000-0000EF660000}"/>
    <cellStyle name="Output 2 3 2 20" xfId="26347" xr:uid="{00000000-0005-0000-0000-0000F0660000}"/>
    <cellStyle name="Output 2 3 2 3" xfId="26348" xr:uid="{00000000-0005-0000-0000-0000F1660000}"/>
    <cellStyle name="Output 2 3 2 3 2" xfId="26349" xr:uid="{00000000-0005-0000-0000-0000F2660000}"/>
    <cellStyle name="Output 2 3 2 3 3" xfId="26350" xr:uid="{00000000-0005-0000-0000-0000F3660000}"/>
    <cellStyle name="Output 2 3 2 4" xfId="26351" xr:uid="{00000000-0005-0000-0000-0000F4660000}"/>
    <cellStyle name="Output 2 3 2 5" xfId="26352" xr:uid="{00000000-0005-0000-0000-0000F5660000}"/>
    <cellStyle name="Output 2 3 2 6" xfId="26353" xr:uid="{00000000-0005-0000-0000-0000F6660000}"/>
    <cellStyle name="Output 2 3 2 7" xfId="26354" xr:uid="{00000000-0005-0000-0000-0000F7660000}"/>
    <cellStyle name="Output 2 3 2 8" xfId="26355" xr:uid="{00000000-0005-0000-0000-0000F8660000}"/>
    <cellStyle name="Output 2 3 2 9" xfId="26356" xr:uid="{00000000-0005-0000-0000-0000F9660000}"/>
    <cellStyle name="Output 2 3 20" xfId="26357" xr:uid="{00000000-0005-0000-0000-0000FA660000}"/>
    <cellStyle name="Output 2 3 21" xfId="26358" xr:uid="{00000000-0005-0000-0000-0000FB660000}"/>
    <cellStyle name="Output 2 3 3" xfId="26359" xr:uid="{00000000-0005-0000-0000-0000FC660000}"/>
    <cellStyle name="Output 2 3 3 10" xfId="26360" xr:uid="{00000000-0005-0000-0000-0000FD660000}"/>
    <cellStyle name="Output 2 3 3 11" xfId="26361" xr:uid="{00000000-0005-0000-0000-0000FE660000}"/>
    <cellStyle name="Output 2 3 3 12" xfId="26362" xr:uid="{00000000-0005-0000-0000-0000FF660000}"/>
    <cellStyle name="Output 2 3 3 13" xfId="26363" xr:uid="{00000000-0005-0000-0000-000000670000}"/>
    <cellStyle name="Output 2 3 3 14" xfId="26364" xr:uid="{00000000-0005-0000-0000-000001670000}"/>
    <cellStyle name="Output 2 3 3 15" xfId="26365" xr:uid="{00000000-0005-0000-0000-000002670000}"/>
    <cellStyle name="Output 2 3 3 16" xfId="26366" xr:uid="{00000000-0005-0000-0000-000003670000}"/>
    <cellStyle name="Output 2 3 3 17" xfId="26367" xr:uid="{00000000-0005-0000-0000-000004670000}"/>
    <cellStyle name="Output 2 3 3 18" xfId="26368" xr:uid="{00000000-0005-0000-0000-000005670000}"/>
    <cellStyle name="Output 2 3 3 19" xfId="26369" xr:uid="{00000000-0005-0000-0000-000006670000}"/>
    <cellStyle name="Output 2 3 3 2" xfId="26370" xr:uid="{00000000-0005-0000-0000-000007670000}"/>
    <cellStyle name="Output 2 3 3 20" xfId="26371" xr:uid="{00000000-0005-0000-0000-000008670000}"/>
    <cellStyle name="Output 2 3 3 21" xfId="26372" xr:uid="{00000000-0005-0000-0000-000009670000}"/>
    <cellStyle name="Output 2 3 3 22" xfId="26373" xr:uid="{00000000-0005-0000-0000-00000A670000}"/>
    <cellStyle name="Output 2 3 3 23" xfId="26374" xr:uid="{00000000-0005-0000-0000-00000B670000}"/>
    <cellStyle name="Output 2 3 3 24" xfId="26375" xr:uid="{00000000-0005-0000-0000-00000C670000}"/>
    <cellStyle name="Output 2 3 3 25" xfId="26376" xr:uid="{00000000-0005-0000-0000-00000D670000}"/>
    <cellStyle name="Output 2 3 3 26" xfId="26377" xr:uid="{00000000-0005-0000-0000-00000E670000}"/>
    <cellStyle name="Output 2 3 3 27" xfId="26378" xr:uid="{00000000-0005-0000-0000-00000F670000}"/>
    <cellStyle name="Output 2 3 3 28" xfId="26379" xr:uid="{00000000-0005-0000-0000-000010670000}"/>
    <cellStyle name="Output 2 3 3 29" xfId="26380" xr:uid="{00000000-0005-0000-0000-000011670000}"/>
    <cellStyle name="Output 2 3 3 3" xfId="26381" xr:uid="{00000000-0005-0000-0000-000012670000}"/>
    <cellStyle name="Output 2 3 3 30" xfId="26382" xr:uid="{00000000-0005-0000-0000-000013670000}"/>
    <cellStyle name="Output 2 3 3 31" xfId="26383" xr:uid="{00000000-0005-0000-0000-000014670000}"/>
    <cellStyle name="Output 2 3 3 32" xfId="26384" xr:uid="{00000000-0005-0000-0000-000015670000}"/>
    <cellStyle name="Output 2 3 3 33" xfId="26385" xr:uid="{00000000-0005-0000-0000-000016670000}"/>
    <cellStyle name="Output 2 3 3 34" xfId="26386" xr:uid="{00000000-0005-0000-0000-000017670000}"/>
    <cellStyle name="Output 2 3 3 4" xfId="26387" xr:uid="{00000000-0005-0000-0000-000018670000}"/>
    <cellStyle name="Output 2 3 3 5" xfId="26388" xr:uid="{00000000-0005-0000-0000-000019670000}"/>
    <cellStyle name="Output 2 3 3 6" xfId="26389" xr:uid="{00000000-0005-0000-0000-00001A670000}"/>
    <cellStyle name="Output 2 3 3 7" xfId="26390" xr:uid="{00000000-0005-0000-0000-00001B670000}"/>
    <cellStyle name="Output 2 3 3 8" xfId="26391" xr:uid="{00000000-0005-0000-0000-00001C670000}"/>
    <cellStyle name="Output 2 3 3 9" xfId="26392" xr:uid="{00000000-0005-0000-0000-00001D670000}"/>
    <cellStyle name="Output 2 3 4" xfId="26393" xr:uid="{00000000-0005-0000-0000-00001E670000}"/>
    <cellStyle name="Output 2 3 4 2" xfId="26394" xr:uid="{00000000-0005-0000-0000-00001F670000}"/>
    <cellStyle name="Output 2 3 4 3" xfId="26395" xr:uid="{00000000-0005-0000-0000-000020670000}"/>
    <cellStyle name="Output 2 3 5" xfId="26396" xr:uid="{00000000-0005-0000-0000-000021670000}"/>
    <cellStyle name="Output 2 3 6" xfId="26397" xr:uid="{00000000-0005-0000-0000-000022670000}"/>
    <cellStyle name="Output 2 3 7" xfId="26398" xr:uid="{00000000-0005-0000-0000-000023670000}"/>
    <cellStyle name="Output 2 3 8" xfId="26399" xr:uid="{00000000-0005-0000-0000-000024670000}"/>
    <cellStyle name="Output 2 3 9" xfId="26400" xr:uid="{00000000-0005-0000-0000-000025670000}"/>
    <cellStyle name="Output 2 30" xfId="26401" xr:uid="{00000000-0005-0000-0000-000026670000}"/>
    <cellStyle name="Output 2 31" xfId="26402" xr:uid="{00000000-0005-0000-0000-000027670000}"/>
    <cellStyle name="Output 2 32" xfId="26403" xr:uid="{00000000-0005-0000-0000-000028670000}"/>
    <cellStyle name="Output 2 33" xfId="26404" xr:uid="{00000000-0005-0000-0000-000029670000}"/>
    <cellStyle name="Output 2 34" xfId="26405" xr:uid="{00000000-0005-0000-0000-00002A670000}"/>
    <cellStyle name="Output 2 35" xfId="26406" xr:uid="{00000000-0005-0000-0000-00002B670000}"/>
    <cellStyle name="Output 2 36" xfId="26407" xr:uid="{00000000-0005-0000-0000-00002C670000}"/>
    <cellStyle name="Output 2 37" xfId="26408" xr:uid="{00000000-0005-0000-0000-00002D670000}"/>
    <cellStyle name="Output 2 38" xfId="26409" xr:uid="{00000000-0005-0000-0000-00002E670000}"/>
    <cellStyle name="Output 2 39" xfId="26410" xr:uid="{00000000-0005-0000-0000-00002F670000}"/>
    <cellStyle name="Output 2 4" xfId="26411" xr:uid="{00000000-0005-0000-0000-000030670000}"/>
    <cellStyle name="Output 2 4 10" xfId="26412" xr:uid="{00000000-0005-0000-0000-000031670000}"/>
    <cellStyle name="Output 2 4 11" xfId="26413" xr:uid="{00000000-0005-0000-0000-000032670000}"/>
    <cellStyle name="Output 2 4 12" xfId="26414" xr:uid="{00000000-0005-0000-0000-000033670000}"/>
    <cellStyle name="Output 2 4 13" xfId="26415" xr:uid="{00000000-0005-0000-0000-000034670000}"/>
    <cellStyle name="Output 2 4 14" xfId="26416" xr:uid="{00000000-0005-0000-0000-000035670000}"/>
    <cellStyle name="Output 2 4 15" xfId="26417" xr:uid="{00000000-0005-0000-0000-000036670000}"/>
    <cellStyle name="Output 2 4 16" xfId="26418" xr:uid="{00000000-0005-0000-0000-000037670000}"/>
    <cellStyle name="Output 2 4 17" xfId="26419" xr:uid="{00000000-0005-0000-0000-000038670000}"/>
    <cellStyle name="Output 2 4 18" xfId="26420" xr:uid="{00000000-0005-0000-0000-000039670000}"/>
    <cellStyle name="Output 2 4 19" xfId="26421" xr:uid="{00000000-0005-0000-0000-00003A670000}"/>
    <cellStyle name="Output 2 4 2" xfId="26422" xr:uid="{00000000-0005-0000-0000-00003B670000}"/>
    <cellStyle name="Output 2 4 2 10" xfId="26423" xr:uid="{00000000-0005-0000-0000-00003C670000}"/>
    <cellStyle name="Output 2 4 2 11" xfId="26424" xr:uid="{00000000-0005-0000-0000-00003D670000}"/>
    <cellStyle name="Output 2 4 2 12" xfId="26425" xr:uid="{00000000-0005-0000-0000-00003E670000}"/>
    <cellStyle name="Output 2 4 2 13" xfId="26426" xr:uid="{00000000-0005-0000-0000-00003F670000}"/>
    <cellStyle name="Output 2 4 2 14" xfId="26427" xr:uid="{00000000-0005-0000-0000-000040670000}"/>
    <cellStyle name="Output 2 4 2 15" xfId="26428" xr:uid="{00000000-0005-0000-0000-000041670000}"/>
    <cellStyle name="Output 2 4 2 16" xfId="26429" xr:uid="{00000000-0005-0000-0000-000042670000}"/>
    <cellStyle name="Output 2 4 2 17" xfId="26430" xr:uid="{00000000-0005-0000-0000-000043670000}"/>
    <cellStyle name="Output 2 4 2 18" xfId="26431" xr:uid="{00000000-0005-0000-0000-000044670000}"/>
    <cellStyle name="Output 2 4 2 19" xfId="26432" xr:uid="{00000000-0005-0000-0000-000045670000}"/>
    <cellStyle name="Output 2 4 2 2" xfId="26433" xr:uid="{00000000-0005-0000-0000-000046670000}"/>
    <cellStyle name="Output 2 4 2 2 10" xfId="26434" xr:uid="{00000000-0005-0000-0000-000047670000}"/>
    <cellStyle name="Output 2 4 2 2 11" xfId="26435" xr:uid="{00000000-0005-0000-0000-000048670000}"/>
    <cellStyle name="Output 2 4 2 2 12" xfId="26436" xr:uid="{00000000-0005-0000-0000-000049670000}"/>
    <cellStyle name="Output 2 4 2 2 13" xfId="26437" xr:uid="{00000000-0005-0000-0000-00004A670000}"/>
    <cellStyle name="Output 2 4 2 2 14" xfId="26438" xr:uid="{00000000-0005-0000-0000-00004B670000}"/>
    <cellStyle name="Output 2 4 2 2 15" xfId="26439" xr:uid="{00000000-0005-0000-0000-00004C670000}"/>
    <cellStyle name="Output 2 4 2 2 16" xfId="26440" xr:uid="{00000000-0005-0000-0000-00004D670000}"/>
    <cellStyle name="Output 2 4 2 2 17" xfId="26441" xr:uid="{00000000-0005-0000-0000-00004E670000}"/>
    <cellStyle name="Output 2 4 2 2 18" xfId="26442" xr:uid="{00000000-0005-0000-0000-00004F670000}"/>
    <cellStyle name="Output 2 4 2 2 19" xfId="26443" xr:uid="{00000000-0005-0000-0000-000050670000}"/>
    <cellStyle name="Output 2 4 2 2 2" xfId="26444" xr:uid="{00000000-0005-0000-0000-000051670000}"/>
    <cellStyle name="Output 2 4 2 2 20" xfId="26445" xr:uid="{00000000-0005-0000-0000-000052670000}"/>
    <cellStyle name="Output 2 4 2 2 21" xfId="26446" xr:uid="{00000000-0005-0000-0000-000053670000}"/>
    <cellStyle name="Output 2 4 2 2 22" xfId="26447" xr:uid="{00000000-0005-0000-0000-000054670000}"/>
    <cellStyle name="Output 2 4 2 2 23" xfId="26448" xr:uid="{00000000-0005-0000-0000-000055670000}"/>
    <cellStyle name="Output 2 4 2 2 24" xfId="26449" xr:uid="{00000000-0005-0000-0000-000056670000}"/>
    <cellStyle name="Output 2 4 2 2 25" xfId="26450" xr:uid="{00000000-0005-0000-0000-000057670000}"/>
    <cellStyle name="Output 2 4 2 2 26" xfId="26451" xr:uid="{00000000-0005-0000-0000-000058670000}"/>
    <cellStyle name="Output 2 4 2 2 27" xfId="26452" xr:uid="{00000000-0005-0000-0000-000059670000}"/>
    <cellStyle name="Output 2 4 2 2 28" xfId="26453" xr:uid="{00000000-0005-0000-0000-00005A670000}"/>
    <cellStyle name="Output 2 4 2 2 29" xfId="26454" xr:uid="{00000000-0005-0000-0000-00005B670000}"/>
    <cellStyle name="Output 2 4 2 2 3" xfId="26455" xr:uid="{00000000-0005-0000-0000-00005C670000}"/>
    <cellStyle name="Output 2 4 2 2 30" xfId="26456" xr:uid="{00000000-0005-0000-0000-00005D670000}"/>
    <cellStyle name="Output 2 4 2 2 31" xfId="26457" xr:uid="{00000000-0005-0000-0000-00005E670000}"/>
    <cellStyle name="Output 2 4 2 2 32" xfId="26458" xr:uid="{00000000-0005-0000-0000-00005F670000}"/>
    <cellStyle name="Output 2 4 2 2 33" xfId="26459" xr:uid="{00000000-0005-0000-0000-000060670000}"/>
    <cellStyle name="Output 2 4 2 2 34" xfId="26460" xr:uid="{00000000-0005-0000-0000-000061670000}"/>
    <cellStyle name="Output 2 4 2 2 4" xfId="26461" xr:uid="{00000000-0005-0000-0000-000062670000}"/>
    <cellStyle name="Output 2 4 2 2 5" xfId="26462" xr:uid="{00000000-0005-0000-0000-000063670000}"/>
    <cellStyle name="Output 2 4 2 2 6" xfId="26463" xr:uid="{00000000-0005-0000-0000-000064670000}"/>
    <cellStyle name="Output 2 4 2 2 7" xfId="26464" xr:uid="{00000000-0005-0000-0000-000065670000}"/>
    <cellStyle name="Output 2 4 2 2 8" xfId="26465" xr:uid="{00000000-0005-0000-0000-000066670000}"/>
    <cellStyle name="Output 2 4 2 2 9" xfId="26466" xr:uid="{00000000-0005-0000-0000-000067670000}"/>
    <cellStyle name="Output 2 4 2 20" xfId="26467" xr:uid="{00000000-0005-0000-0000-000068670000}"/>
    <cellStyle name="Output 2 4 2 3" xfId="26468" xr:uid="{00000000-0005-0000-0000-000069670000}"/>
    <cellStyle name="Output 2 4 2 3 2" xfId="26469" xr:uid="{00000000-0005-0000-0000-00006A670000}"/>
    <cellStyle name="Output 2 4 2 3 3" xfId="26470" xr:uid="{00000000-0005-0000-0000-00006B670000}"/>
    <cellStyle name="Output 2 4 2 4" xfId="26471" xr:uid="{00000000-0005-0000-0000-00006C670000}"/>
    <cellStyle name="Output 2 4 2 5" xfId="26472" xr:uid="{00000000-0005-0000-0000-00006D670000}"/>
    <cellStyle name="Output 2 4 2 6" xfId="26473" xr:uid="{00000000-0005-0000-0000-00006E670000}"/>
    <cellStyle name="Output 2 4 2 7" xfId="26474" xr:uid="{00000000-0005-0000-0000-00006F670000}"/>
    <cellStyle name="Output 2 4 2 8" xfId="26475" xr:uid="{00000000-0005-0000-0000-000070670000}"/>
    <cellStyle name="Output 2 4 2 9" xfId="26476" xr:uid="{00000000-0005-0000-0000-000071670000}"/>
    <cellStyle name="Output 2 4 20" xfId="26477" xr:uid="{00000000-0005-0000-0000-000072670000}"/>
    <cellStyle name="Output 2 4 21" xfId="26478" xr:uid="{00000000-0005-0000-0000-000073670000}"/>
    <cellStyle name="Output 2 4 3" xfId="26479" xr:uid="{00000000-0005-0000-0000-000074670000}"/>
    <cellStyle name="Output 2 4 3 10" xfId="26480" xr:uid="{00000000-0005-0000-0000-000075670000}"/>
    <cellStyle name="Output 2 4 3 11" xfId="26481" xr:uid="{00000000-0005-0000-0000-000076670000}"/>
    <cellStyle name="Output 2 4 3 12" xfId="26482" xr:uid="{00000000-0005-0000-0000-000077670000}"/>
    <cellStyle name="Output 2 4 3 13" xfId="26483" xr:uid="{00000000-0005-0000-0000-000078670000}"/>
    <cellStyle name="Output 2 4 3 14" xfId="26484" xr:uid="{00000000-0005-0000-0000-000079670000}"/>
    <cellStyle name="Output 2 4 3 15" xfId="26485" xr:uid="{00000000-0005-0000-0000-00007A670000}"/>
    <cellStyle name="Output 2 4 3 16" xfId="26486" xr:uid="{00000000-0005-0000-0000-00007B670000}"/>
    <cellStyle name="Output 2 4 3 17" xfId="26487" xr:uid="{00000000-0005-0000-0000-00007C670000}"/>
    <cellStyle name="Output 2 4 3 18" xfId="26488" xr:uid="{00000000-0005-0000-0000-00007D670000}"/>
    <cellStyle name="Output 2 4 3 19" xfId="26489" xr:uid="{00000000-0005-0000-0000-00007E670000}"/>
    <cellStyle name="Output 2 4 3 2" xfId="26490" xr:uid="{00000000-0005-0000-0000-00007F670000}"/>
    <cellStyle name="Output 2 4 3 20" xfId="26491" xr:uid="{00000000-0005-0000-0000-000080670000}"/>
    <cellStyle name="Output 2 4 3 21" xfId="26492" xr:uid="{00000000-0005-0000-0000-000081670000}"/>
    <cellStyle name="Output 2 4 3 22" xfId="26493" xr:uid="{00000000-0005-0000-0000-000082670000}"/>
    <cellStyle name="Output 2 4 3 23" xfId="26494" xr:uid="{00000000-0005-0000-0000-000083670000}"/>
    <cellStyle name="Output 2 4 3 24" xfId="26495" xr:uid="{00000000-0005-0000-0000-000084670000}"/>
    <cellStyle name="Output 2 4 3 25" xfId="26496" xr:uid="{00000000-0005-0000-0000-000085670000}"/>
    <cellStyle name="Output 2 4 3 26" xfId="26497" xr:uid="{00000000-0005-0000-0000-000086670000}"/>
    <cellStyle name="Output 2 4 3 27" xfId="26498" xr:uid="{00000000-0005-0000-0000-000087670000}"/>
    <cellStyle name="Output 2 4 3 28" xfId="26499" xr:uid="{00000000-0005-0000-0000-000088670000}"/>
    <cellStyle name="Output 2 4 3 29" xfId="26500" xr:uid="{00000000-0005-0000-0000-000089670000}"/>
    <cellStyle name="Output 2 4 3 3" xfId="26501" xr:uid="{00000000-0005-0000-0000-00008A670000}"/>
    <cellStyle name="Output 2 4 3 30" xfId="26502" xr:uid="{00000000-0005-0000-0000-00008B670000}"/>
    <cellStyle name="Output 2 4 3 31" xfId="26503" xr:uid="{00000000-0005-0000-0000-00008C670000}"/>
    <cellStyle name="Output 2 4 3 32" xfId="26504" xr:uid="{00000000-0005-0000-0000-00008D670000}"/>
    <cellStyle name="Output 2 4 3 33" xfId="26505" xr:uid="{00000000-0005-0000-0000-00008E670000}"/>
    <cellStyle name="Output 2 4 3 34" xfId="26506" xr:uid="{00000000-0005-0000-0000-00008F670000}"/>
    <cellStyle name="Output 2 4 3 4" xfId="26507" xr:uid="{00000000-0005-0000-0000-000090670000}"/>
    <cellStyle name="Output 2 4 3 5" xfId="26508" xr:uid="{00000000-0005-0000-0000-000091670000}"/>
    <cellStyle name="Output 2 4 3 6" xfId="26509" xr:uid="{00000000-0005-0000-0000-000092670000}"/>
    <cellStyle name="Output 2 4 3 7" xfId="26510" xr:uid="{00000000-0005-0000-0000-000093670000}"/>
    <cellStyle name="Output 2 4 3 8" xfId="26511" xr:uid="{00000000-0005-0000-0000-000094670000}"/>
    <cellStyle name="Output 2 4 3 9" xfId="26512" xr:uid="{00000000-0005-0000-0000-000095670000}"/>
    <cellStyle name="Output 2 4 4" xfId="26513" xr:uid="{00000000-0005-0000-0000-000096670000}"/>
    <cellStyle name="Output 2 4 4 2" xfId="26514" xr:uid="{00000000-0005-0000-0000-000097670000}"/>
    <cellStyle name="Output 2 4 4 3" xfId="26515" xr:uid="{00000000-0005-0000-0000-000098670000}"/>
    <cellStyle name="Output 2 4 5" xfId="26516" xr:uid="{00000000-0005-0000-0000-000099670000}"/>
    <cellStyle name="Output 2 4 6" xfId="26517" xr:uid="{00000000-0005-0000-0000-00009A670000}"/>
    <cellStyle name="Output 2 4 7" xfId="26518" xr:uid="{00000000-0005-0000-0000-00009B670000}"/>
    <cellStyle name="Output 2 4 8" xfId="26519" xr:uid="{00000000-0005-0000-0000-00009C670000}"/>
    <cellStyle name="Output 2 4 9" xfId="26520" xr:uid="{00000000-0005-0000-0000-00009D670000}"/>
    <cellStyle name="Output 2 5" xfId="26521" xr:uid="{00000000-0005-0000-0000-00009E670000}"/>
    <cellStyle name="Output 2 5 2" xfId="26522" xr:uid="{00000000-0005-0000-0000-00009F670000}"/>
    <cellStyle name="Output 2 6" xfId="26523" xr:uid="{00000000-0005-0000-0000-0000A0670000}"/>
    <cellStyle name="Output 2 6 2" xfId="26524" xr:uid="{00000000-0005-0000-0000-0000A1670000}"/>
    <cellStyle name="Output 2 7" xfId="26525" xr:uid="{00000000-0005-0000-0000-0000A2670000}"/>
    <cellStyle name="Output 2 7 2" xfId="26526" xr:uid="{00000000-0005-0000-0000-0000A3670000}"/>
    <cellStyle name="Output 2 8" xfId="26527" xr:uid="{00000000-0005-0000-0000-0000A4670000}"/>
    <cellStyle name="Output 2 8 2" xfId="26528" xr:uid="{00000000-0005-0000-0000-0000A5670000}"/>
    <cellStyle name="Output 2 9" xfId="26529" xr:uid="{00000000-0005-0000-0000-0000A6670000}"/>
    <cellStyle name="Output 2 9 2" xfId="26530" xr:uid="{00000000-0005-0000-0000-0000A7670000}"/>
    <cellStyle name="Output 20" xfId="26531" xr:uid="{00000000-0005-0000-0000-0000A8670000}"/>
    <cellStyle name="Output 20 2" xfId="26532" xr:uid="{00000000-0005-0000-0000-0000A9670000}"/>
    <cellStyle name="Output 21" xfId="26533" xr:uid="{00000000-0005-0000-0000-0000AA670000}"/>
    <cellStyle name="Output 21 2" xfId="26534" xr:uid="{00000000-0005-0000-0000-0000AB670000}"/>
    <cellStyle name="Output 22" xfId="26535" xr:uid="{00000000-0005-0000-0000-0000AC670000}"/>
    <cellStyle name="Output 22 2" xfId="26536" xr:uid="{00000000-0005-0000-0000-0000AD670000}"/>
    <cellStyle name="Output 23" xfId="26537" xr:uid="{00000000-0005-0000-0000-0000AE670000}"/>
    <cellStyle name="Output 23 2" xfId="26538" xr:uid="{00000000-0005-0000-0000-0000AF670000}"/>
    <cellStyle name="Output 24" xfId="26539" xr:uid="{00000000-0005-0000-0000-0000B0670000}"/>
    <cellStyle name="Output 24 2" xfId="26540" xr:uid="{00000000-0005-0000-0000-0000B1670000}"/>
    <cellStyle name="Output 25" xfId="26541" xr:uid="{00000000-0005-0000-0000-0000B2670000}"/>
    <cellStyle name="Output 25 2" xfId="26542" xr:uid="{00000000-0005-0000-0000-0000B3670000}"/>
    <cellStyle name="Output 26" xfId="26543" xr:uid="{00000000-0005-0000-0000-0000B4670000}"/>
    <cellStyle name="Output 26 2" xfId="26544" xr:uid="{00000000-0005-0000-0000-0000B5670000}"/>
    <cellStyle name="Output 27" xfId="26545" xr:uid="{00000000-0005-0000-0000-0000B6670000}"/>
    <cellStyle name="Output 27 2" xfId="26546" xr:uid="{00000000-0005-0000-0000-0000B7670000}"/>
    <cellStyle name="Output 3" xfId="26547" xr:uid="{00000000-0005-0000-0000-0000B8670000}"/>
    <cellStyle name="Output 3 10" xfId="26548" xr:uid="{00000000-0005-0000-0000-0000B9670000}"/>
    <cellStyle name="Output 3 11" xfId="26549" xr:uid="{00000000-0005-0000-0000-0000BA670000}"/>
    <cellStyle name="Output 3 12" xfId="26550" xr:uid="{00000000-0005-0000-0000-0000BB670000}"/>
    <cellStyle name="Output 3 13" xfId="26551" xr:uid="{00000000-0005-0000-0000-0000BC670000}"/>
    <cellStyle name="Output 3 14" xfId="26552" xr:uid="{00000000-0005-0000-0000-0000BD670000}"/>
    <cellStyle name="Output 3 15" xfId="26553" xr:uid="{00000000-0005-0000-0000-0000BE670000}"/>
    <cellStyle name="Output 3 16" xfId="26554" xr:uid="{00000000-0005-0000-0000-0000BF670000}"/>
    <cellStyle name="Output 3 17" xfId="26555" xr:uid="{00000000-0005-0000-0000-0000C0670000}"/>
    <cellStyle name="Output 3 18" xfId="26556" xr:uid="{00000000-0005-0000-0000-0000C1670000}"/>
    <cellStyle name="Output 3 19" xfId="26557" xr:uid="{00000000-0005-0000-0000-0000C2670000}"/>
    <cellStyle name="Output 3 2" xfId="26558" xr:uid="{00000000-0005-0000-0000-0000C3670000}"/>
    <cellStyle name="Output 3 2 10" xfId="26559" xr:uid="{00000000-0005-0000-0000-0000C4670000}"/>
    <cellStyle name="Output 3 2 11" xfId="26560" xr:uid="{00000000-0005-0000-0000-0000C5670000}"/>
    <cellStyle name="Output 3 2 12" xfId="26561" xr:uid="{00000000-0005-0000-0000-0000C6670000}"/>
    <cellStyle name="Output 3 2 13" xfId="26562" xr:uid="{00000000-0005-0000-0000-0000C7670000}"/>
    <cellStyle name="Output 3 2 14" xfId="26563" xr:uid="{00000000-0005-0000-0000-0000C8670000}"/>
    <cellStyle name="Output 3 2 15" xfId="26564" xr:uid="{00000000-0005-0000-0000-0000C9670000}"/>
    <cellStyle name="Output 3 2 16" xfId="26565" xr:uid="{00000000-0005-0000-0000-0000CA670000}"/>
    <cellStyle name="Output 3 2 17" xfId="26566" xr:uid="{00000000-0005-0000-0000-0000CB670000}"/>
    <cellStyle name="Output 3 2 18" xfId="26567" xr:uid="{00000000-0005-0000-0000-0000CC670000}"/>
    <cellStyle name="Output 3 2 19" xfId="26568" xr:uid="{00000000-0005-0000-0000-0000CD670000}"/>
    <cellStyle name="Output 3 2 2" xfId="26569" xr:uid="{00000000-0005-0000-0000-0000CE670000}"/>
    <cellStyle name="Output 3 2 2 10" xfId="26570" xr:uid="{00000000-0005-0000-0000-0000CF670000}"/>
    <cellStyle name="Output 3 2 2 11" xfId="26571" xr:uid="{00000000-0005-0000-0000-0000D0670000}"/>
    <cellStyle name="Output 3 2 2 12" xfId="26572" xr:uid="{00000000-0005-0000-0000-0000D1670000}"/>
    <cellStyle name="Output 3 2 2 13" xfId="26573" xr:uid="{00000000-0005-0000-0000-0000D2670000}"/>
    <cellStyle name="Output 3 2 2 14" xfId="26574" xr:uid="{00000000-0005-0000-0000-0000D3670000}"/>
    <cellStyle name="Output 3 2 2 15" xfId="26575" xr:uid="{00000000-0005-0000-0000-0000D4670000}"/>
    <cellStyle name="Output 3 2 2 16" xfId="26576" xr:uid="{00000000-0005-0000-0000-0000D5670000}"/>
    <cellStyle name="Output 3 2 2 17" xfId="26577" xr:uid="{00000000-0005-0000-0000-0000D6670000}"/>
    <cellStyle name="Output 3 2 2 18" xfId="26578" xr:uid="{00000000-0005-0000-0000-0000D7670000}"/>
    <cellStyle name="Output 3 2 2 19" xfId="26579" xr:uid="{00000000-0005-0000-0000-0000D8670000}"/>
    <cellStyle name="Output 3 2 2 2" xfId="26580" xr:uid="{00000000-0005-0000-0000-0000D9670000}"/>
    <cellStyle name="Output 3 2 2 2 10" xfId="26581" xr:uid="{00000000-0005-0000-0000-0000DA670000}"/>
    <cellStyle name="Output 3 2 2 2 11" xfId="26582" xr:uid="{00000000-0005-0000-0000-0000DB670000}"/>
    <cellStyle name="Output 3 2 2 2 12" xfId="26583" xr:uid="{00000000-0005-0000-0000-0000DC670000}"/>
    <cellStyle name="Output 3 2 2 2 13" xfId="26584" xr:uid="{00000000-0005-0000-0000-0000DD670000}"/>
    <cellStyle name="Output 3 2 2 2 14" xfId="26585" xr:uid="{00000000-0005-0000-0000-0000DE670000}"/>
    <cellStyle name="Output 3 2 2 2 15" xfId="26586" xr:uid="{00000000-0005-0000-0000-0000DF670000}"/>
    <cellStyle name="Output 3 2 2 2 16" xfId="26587" xr:uid="{00000000-0005-0000-0000-0000E0670000}"/>
    <cellStyle name="Output 3 2 2 2 17" xfId="26588" xr:uid="{00000000-0005-0000-0000-0000E1670000}"/>
    <cellStyle name="Output 3 2 2 2 18" xfId="26589" xr:uid="{00000000-0005-0000-0000-0000E2670000}"/>
    <cellStyle name="Output 3 2 2 2 19" xfId="26590" xr:uid="{00000000-0005-0000-0000-0000E3670000}"/>
    <cellStyle name="Output 3 2 2 2 2" xfId="26591" xr:uid="{00000000-0005-0000-0000-0000E4670000}"/>
    <cellStyle name="Output 3 2 2 2 20" xfId="26592" xr:uid="{00000000-0005-0000-0000-0000E5670000}"/>
    <cellStyle name="Output 3 2 2 2 21" xfId="26593" xr:uid="{00000000-0005-0000-0000-0000E6670000}"/>
    <cellStyle name="Output 3 2 2 2 22" xfId="26594" xr:uid="{00000000-0005-0000-0000-0000E7670000}"/>
    <cellStyle name="Output 3 2 2 2 23" xfId="26595" xr:uid="{00000000-0005-0000-0000-0000E8670000}"/>
    <cellStyle name="Output 3 2 2 2 24" xfId="26596" xr:uid="{00000000-0005-0000-0000-0000E9670000}"/>
    <cellStyle name="Output 3 2 2 2 25" xfId="26597" xr:uid="{00000000-0005-0000-0000-0000EA670000}"/>
    <cellStyle name="Output 3 2 2 2 26" xfId="26598" xr:uid="{00000000-0005-0000-0000-0000EB670000}"/>
    <cellStyle name="Output 3 2 2 2 27" xfId="26599" xr:uid="{00000000-0005-0000-0000-0000EC670000}"/>
    <cellStyle name="Output 3 2 2 2 28" xfId="26600" xr:uid="{00000000-0005-0000-0000-0000ED670000}"/>
    <cellStyle name="Output 3 2 2 2 29" xfId="26601" xr:uid="{00000000-0005-0000-0000-0000EE670000}"/>
    <cellStyle name="Output 3 2 2 2 3" xfId="26602" xr:uid="{00000000-0005-0000-0000-0000EF670000}"/>
    <cellStyle name="Output 3 2 2 2 30" xfId="26603" xr:uid="{00000000-0005-0000-0000-0000F0670000}"/>
    <cellStyle name="Output 3 2 2 2 31" xfId="26604" xr:uid="{00000000-0005-0000-0000-0000F1670000}"/>
    <cellStyle name="Output 3 2 2 2 32" xfId="26605" xr:uid="{00000000-0005-0000-0000-0000F2670000}"/>
    <cellStyle name="Output 3 2 2 2 33" xfId="26606" xr:uid="{00000000-0005-0000-0000-0000F3670000}"/>
    <cellStyle name="Output 3 2 2 2 34" xfId="26607" xr:uid="{00000000-0005-0000-0000-0000F4670000}"/>
    <cellStyle name="Output 3 2 2 2 4" xfId="26608" xr:uid="{00000000-0005-0000-0000-0000F5670000}"/>
    <cellStyle name="Output 3 2 2 2 5" xfId="26609" xr:uid="{00000000-0005-0000-0000-0000F6670000}"/>
    <cellStyle name="Output 3 2 2 2 6" xfId="26610" xr:uid="{00000000-0005-0000-0000-0000F7670000}"/>
    <cellStyle name="Output 3 2 2 2 7" xfId="26611" xr:uid="{00000000-0005-0000-0000-0000F8670000}"/>
    <cellStyle name="Output 3 2 2 2 8" xfId="26612" xr:uid="{00000000-0005-0000-0000-0000F9670000}"/>
    <cellStyle name="Output 3 2 2 2 9" xfId="26613" xr:uid="{00000000-0005-0000-0000-0000FA670000}"/>
    <cellStyle name="Output 3 2 2 20" xfId="26614" xr:uid="{00000000-0005-0000-0000-0000FB670000}"/>
    <cellStyle name="Output 3 2 2 3" xfId="26615" xr:uid="{00000000-0005-0000-0000-0000FC670000}"/>
    <cellStyle name="Output 3 2 2 3 2" xfId="26616" xr:uid="{00000000-0005-0000-0000-0000FD670000}"/>
    <cellStyle name="Output 3 2 2 3 3" xfId="26617" xr:uid="{00000000-0005-0000-0000-0000FE670000}"/>
    <cellStyle name="Output 3 2 2 4" xfId="26618" xr:uid="{00000000-0005-0000-0000-0000FF670000}"/>
    <cellStyle name="Output 3 2 2 5" xfId="26619" xr:uid="{00000000-0005-0000-0000-000000680000}"/>
    <cellStyle name="Output 3 2 2 6" xfId="26620" xr:uid="{00000000-0005-0000-0000-000001680000}"/>
    <cellStyle name="Output 3 2 2 7" xfId="26621" xr:uid="{00000000-0005-0000-0000-000002680000}"/>
    <cellStyle name="Output 3 2 2 8" xfId="26622" xr:uid="{00000000-0005-0000-0000-000003680000}"/>
    <cellStyle name="Output 3 2 2 9" xfId="26623" xr:uid="{00000000-0005-0000-0000-000004680000}"/>
    <cellStyle name="Output 3 2 20" xfId="26624" xr:uid="{00000000-0005-0000-0000-000005680000}"/>
    <cellStyle name="Output 3 2 21" xfId="26625" xr:uid="{00000000-0005-0000-0000-000006680000}"/>
    <cellStyle name="Output 3 2 3" xfId="26626" xr:uid="{00000000-0005-0000-0000-000007680000}"/>
    <cellStyle name="Output 3 2 3 10" xfId="26627" xr:uid="{00000000-0005-0000-0000-000008680000}"/>
    <cellStyle name="Output 3 2 3 11" xfId="26628" xr:uid="{00000000-0005-0000-0000-000009680000}"/>
    <cellStyle name="Output 3 2 3 12" xfId="26629" xr:uid="{00000000-0005-0000-0000-00000A680000}"/>
    <cellStyle name="Output 3 2 3 13" xfId="26630" xr:uid="{00000000-0005-0000-0000-00000B680000}"/>
    <cellStyle name="Output 3 2 3 14" xfId="26631" xr:uid="{00000000-0005-0000-0000-00000C680000}"/>
    <cellStyle name="Output 3 2 3 15" xfId="26632" xr:uid="{00000000-0005-0000-0000-00000D680000}"/>
    <cellStyle name="Output 3 2 3 16" xfId="26633" xr:uid="{00000000-0005-0000-0000-00000E680000}"/>
    <cellStyle name="Output 3 2 3 17" xfId="26634" xr:uid="{00000000-0005-0000-0000-00000F680000}"/>
    <cellStyle name="Output 3 2 3 18" xfId="26635" xr:uid="{00000000-0005-0000-0000-000010680000}"/>
    <cellStyle name="Output 3 2 3 19" xfId="26636" xr:uid="{00000000-0005-0000-0000-000011680000}"/>
    <cellStyle name="Output 3 2 3 2" xfId="26637" xr:uid="{00000000-0005-0000-0000-000012680000}"/>
    <cellStyle name="Output 3 2 3 20" xfId="26638" xr:uid="{00000000-0005-0000-0000-000013680000}"/>
    <cellStyle name="Output 3 2 3 21" xfId="26639" xr:uid="{00000000-0005-0000-0000-000014680000}"/>
    <cellStyle name="Output 3 2 3 22" xfId="26640" xr:uid="{00000000-0005-0000-0000-000015680000}"/>
    <cellStyle name="Output 3 2 3 23" xfId="26641" xr:uid="{00000000-0005-0000-0000-000016680000}"/>
    <cellStyle name="Output 3 2 3 24" xfId="26642" xr:uid="{00000000-0005-0000-0000-000017680000}"/>
    <cellStyle name="Output 3 2 3 25" xfId="26643" xr:uid="{00000000-0005-0000-0000-000018680000}"/>
    <cellStyle name="Output 3 2 3 26" xfId="26644" xr:uid="{00000000-0005-0000-0000-000019680000}"/>
    <cellStyle name="Output 3 2 3 27" xfId="26645" xr:uid="{00000000-0005-0000-0000-00001A680000}"/>
    <cellStyle name="Output 3 2 3 28" xfId="26646" xr:uid="{00000000-0005-0000-0000-00001B680000}"/>
    <cellStyle name="Output 3 2 3 29" xfId="26647" xr:uid="{00000000-0005-0000-0000-00001C680000}"/>
    <cellStyle name="Output 3 2 3 3" xfId="26648" xr:uid="{00000000-0005-0000-0000-00001D680000}"/>
    <cellStyle name="Output 3 2 3 30" xfId="26649" xr:uid="{00000000-0005-0000-0000-00001E680000}"/>
    <cellStyle name="Output 3 2 3 31" xfId="26650" xr:uid="{00000000-0005-0000-0000-00001F680000}"/>
    <cellStyle name="Output 3 2 3 32" xfId="26651" xr:uid="{00000000-0005-0000-0000-000020680000}"/>
    <cellStyle name="Output 3 2 3 33" xfId="26652" xr:uid="{00000000-0005-0000-0000-000021680000}"/>
    <cellStyle name="Output 3 2 3 34" xfId="26653" xr:uid="{00000000-0005-0000-0000-000022680000}"/>
    <cellStyle name="Output 3 2 3 4" xfId="26654" xr:uid="{00000000-0005-0000-0000-000023680000}"/>
    <cellStyle name="Output 3 2 3 5" xfId="26655" xr:uid="{00000000-0005-0000-0000-000024680000}"/>
    <cellStyle name="Output 3 2 3 6" xfId="26656" xr:uid="{00000000-0005-0000-0000-000025680000}"/>
    <cellStyle name="Output 3 2 3 7" xfId="26657" xr:uid="{00000000-0005-0000-0000-000026680000}"/>
    <cellStyle name="Output 3 2 3 8" xfId="26658" xr:uid="{00000000-0005-0000-0000-000027680000}"/>
    <cellStyle name="Output 3 2 3 9" xfId="26659" xr:uid="{00000000-0005-0000-0000-000028680000}"/>
    <cellStyle name="Output 3 2 4" xfId="26660" xr:uid="{00000000-0005-0000-0000-000029680000}"/>
    <cellStyle name="Output 3 2 4 2" xfId="26661" xr:uid="{00000000-0005-0000-0000-00002A680000}"/>
    <cellStyle name="Output 3 2 4 3" xfId="26662" xr:uid="{00000000-0005-0000-0000-00002B680000}"/>
    <cellStyle name="Output 3 2 5" xfId="26663" xr:uid="{00000000-0005-0000-0000-00002C680000}"/>
    <cellStyle name="Output 3 2 6" xfId="26664" xr:uid="{00000000-0005-0000-0000-00002D680000}"/>
    <cellStyle name="Output 3 2 7" xfId="26665" xr:uid="{00000000-0005-0000-0000-00002E680000}"/>
    <cellStyle name="Output 3 2 8" xfId="26666" xr:uid="{00000000-0005-0000-0000-00002F680000}"/>
    <cellStyle name="Output 3 2 9" xfId="26667" xr:uid="{00000000-0005-0000-0000-000030680000}"/>
    <cellStyle name="Output 3 20" xfId="26668" xr:uid="{00000000-0005-0000-0000-000031680000}"/>
    <cellStyle name="Output 3 21" xfId="26669" xr:uid="{00000000-0005-0000-0000-000032680000}"/>
    <cellStyle name="Output 3 22" xfId="26670" xr:uid="{00000000-0005-0000-0000-000033680000}"/>
    <cellStyle name="Output 3 3" xfId="26671" xr:uid="{00000000-0005-0000-0000-000034680000}"/>
    <cellStyle name="Output 3 3 10" xfId="26672" xr:uid="{00000000-0005-0000-0000-000035680000}"/>
    <cellStyle name="Output 3 3 11" xfId="26673" xr:uid="{00000000-0005-0000-0000-000036680000}"/>
    <cellStyle name="Output 3 3 12" xfId="26674" xr:uid="{00000000-0005-0000-0000-000037680000}"/>
    <cellStyle name="Output 3 3 13" xfId="26675" xr:uid="{00000000-0005-0000-0000-000038680000}"/>
    <cellStyle name="Output 3 3 14" xfId="26676" xr:uid="{00000000-0005-0000-0000-000039680000}"/>
    <cellStyle name="Output 3 3 15" xfId="26677" xr:uid="{00000000-0005-0000-0000-00003A680000}"/>
    <cellStyle name="Output 3 3 16" xfId="26678" xr:uid="{00000000-0005-0000-0000-00003B680000}"/>
    <cellStyle name="Output 3 3 17" xfId="26679" xr:uid="{00000000-0005-0000-0000-00003C680000}"/>
    <cellStyle name="Output 3 3 18" xfId="26680" xr:uid="{00000000-0005-0000-0000-00003D680000}"/>
    <cellStyle name="Output 3 3 19" xfId="26681" xr:uid="{00000000-0005-0000-0000-00003E680000}"/>
    <cellStyle name="Output 3 3 2" xfId="26682" xr:uid="{00000000-0005-0000-0000-00003F680000}"/>
    <cellStyle name="Output 3 3 2 10" xfId="26683" xr:uid="{00000000-0005-0000-0000-000040680000}"/>
    <cellStyle name="Output 3 3 2 11" xfId="26684" xr:uid="{00000000-0005-0000-0000-000041680000}"/>
    <cellStyle name="Output 3 3 2 12" xfId="26685" xr:uid="{00000000-0005-0000-0000-000042680000}"/>
    <cellStyle name="Output 3 3 2 13" xfId="26686" xr:uid="{00000000-0005-0000-0000-000043680000}"/>
    <cellStyle name="Output 3 3 2 14" xfId="26687" xr:uid="{00000000-0005-0000-0000-000044680000}"/>
    <cellStyle name="Output 3 3 2 15" xfId="26688" xr:uid="{00000000-0005-0000-0000-000045680000}"/>
    <cellStyle name="Output 3 3 2 16" xfId="26689" xr:uid="{00000000-0005-0000-0000-000046680000}"/>
    <cellStyle name="Output 3 3 2 17" xfId="26690" xr:uid="{00000000-0005-0000-0000-000047680000}"/>
    <cellStyle name="Output 3 3 2 18" xfId="26691" xr:uid="{00000000-0005-0000-0000-000048680000}"/>
    <cellStyle name="Output 3 3 2 19" xfId="26692" xr:uid="{00000000-0005-0000-0000-000049680000}"/>
    <cellStyle name="Output 3 3 2 2" xfId="26693" xr:uid="{00000000-0005-0000-0000-00004A680000}"/>
    <cellStyle name="Output 3 3 2 20" xfId="26694" xr:uid="{00000000-0005-0000-0000-00004B680000}"/>
    <cellStyle name="Output 3 3 2 21" xfId="26695" xr:uid="{00000000-0005-0000-0000-00004C680000}"/>
    <cellStyle name="Output 3 3 2 22" xfId="26696" xr:uid="{00000000-0005-0000-0000-00004D680000}"/>
    <cellStyle name="Output 3 3 2 23" xfId="26697" xr:uid="{00000000-0005-0000-0000-00004E680000}"/>
    <cellStyle name="Output 3 3 2 24" xfId="26698" xr:uid="{00000000-0005-0000-0000-00004F680000}"/>
    <cellStyle name="Output 3 3 2 25" xfId="26699" xr:uid="{00000000-0005-0000-0000-000050680000}"/>
    <cellStyle name="Output 3 3 2 26" xfId="26700" xr:uid="{00000000-0005-0000-0000-000051680000}"/>
    <cellStyle name="Output 3 3 2 27" xfId="26701" xr:uid="{00000000-0005-0000-0000-000052680000}"/>
    <cellStyle name="Output 3 3 2 28" xfId="26702" xr:uid="{00000000-0005-0000-0000-000053680000}"/>
    <cellStyle name="Output 3 3 2 29" xfId="26703" xr:uid="{00000000-0005-0000-0000-000054680000}"/>
    <cellStyle name="Output 3 3 2 3" xfId="26704" xr:uid="{00000000-0005-0000-0000-000055680000}"/>
    <cellStyle name="Output 3 3 2 30" xfId="26705" xr:uid="{00000000-0005-0000-0000-000056680000}"/>
    <cellStyle name="Output 3 3 2 31" xfId="26706" xr:uid="{00000000-0005-0000-0000-000057680000}"/>
    <cellStyle name="Output 3 3 2 32" xfId="26707" xr:uid="{00000000-0005-0000-0000-000058680000}"/>
    <cellStyle name="Output 3 3 2 33" xfId="26708" xr:uid="{00000000-0005-0000-0000-000059680000}"/>
    <cellStyle name="Output 3 3 2 34" xfId="26709" xr:uid="{00000000-0005-0000-0000-00005A680000}"/>
    <cellStyle name="Output 3 3 2 4" xfId="26710" xr:uid="{00000000-0005-0000-0000-00005B680000}"/>
    <cellStyle name="Output 3 3 2 5" xfId="26711" xr:uid="{00000000-0005-0000-0000-00005C680000}"/>
    <cellStyle name="Output 3 3 2 6" xfId="26712" xr:uid="{00000000-0005-0000-0000-00005D680000}"/>
    <cellStyle name="Output 3 3 2 7" xfId="26713" xr:uid="{00000000-0005-0000-0000-00005E680000}"/>
    <cellStyle name="Output 3 3 2 8" xfId="26714" xr:uid="{00000000-0005-0000-0000-00005F680000}"/>
    <cellStyle name="Output 3 3 2 9" xfId="26715" xr:uid="{00000000-0005-0000-0000-000060680000}"/>
    <cellStyle name="Output 3 3 20" xfId="26716" xr:uid="{00000000-0005-0000-0000-000061680000}"/>
    <cellStyle name="Output 3 3 3" xfId="26717" xr:uid="{00000000-0005-0000-0000-000062680000}"/>
    <cellStyle name="Output 3 3 3 2" xfId="26718" xr:uid="{00000000-0005-0000-0000-000063680000}"/>
    <cellStyle name="Output 3 3 3 3" xfId="26719" xr:uid="{00000000-0005-0000-0000-000064680000}"/>
    <cellStyle name="Output 3 3 4" xfId="26720" xr:uid="{00000000-0005-0000-0000-000065680000}"/>
    <cellStyle name="Output 3 3 5" xfId="26721" xr:uid="{00000000-0005-0000-0000-000066680000}"/>
    <cellStyle name="Output 3 3 6" xfId="26722" xr:uid="{00000000-0005-0000-0000-000067680000}"/>
    <cellStyle name="Output 3 3 7" xfId="26723" xr:uid="{00000000-0005-0000-0000-000068680000}"/>
    <cellStyle name="Output 3 3 8" xfId="26724" xr:uid="{00000000-0005-0000-0000-000069680000}"/>
    <cellStyle name="Output 3 3 9" xfId="26725" xr:uid="{00000000-0005-0000-0000-00006A680000}"/>
    <cellStyle name="Output 3 4" xfId="26726" xr:uid="{00000000-0005-0000-0000-00006B680000}"/>
    <cellStyle name="Output 3 4 10" xfId="26727" xr:uid="{00000000-0005-0000-0000-00006C680000}"/>
    <cellStyle name="Output 3 4 11" xfId="26728" xr:uid="{00000000-0005-0000-0000-00006D680000}"/>
    <cellStyle name="Output 3 4 12" xfId="26729" xr:uid="{00000000-0005-0000-0000-00006E680000}"/>
    <cellStyle name="Output 3 4 13" xfId="26730" xr:uid="{00000000-0005-0000-0000-00006F680000}"/>
    <cellStyle name="Output 3 4 14" xfId="26731" xr:uid="{00000000-0005-0000-0000-000070680000}"/>
    <cellStyle name="Output 3 4 15" xfId="26732" xr:uid="{00000000-0005-0000-0000-000071680000}"/>
    <cellStyle name="Output 3 4 16" xfId="26733" xr:uid="{00000000-0005-0000-0000-000072680000}"/>
    <cellStyle name="Output 3 4 17" xfId="26734" xr:uid="{00000000-0005-0000-0000-000073680000}"/>
    <cellStyle name="Output 3 4 18" xfId="26735" xr:uid="{00000000-0005-0000-0000-000074680000}"/>
    <cellStyle name="Output 3 4 19" xfId="26736" xr:uid="{00000000-0005-0000-0000-000075680000}"/>
    <cellStyle name="Output 3 4 2" xfId="26737" xr:uid="{00000000-0005-0000-0000-000076680000}"/>
    <cellStyle name="Output 3 4 20" xfId="26738" xr:uid="{00000000-0005-0000-0000-000077680000}"/>
    <cellStyle name="Output 3 4 21" xfId="26739" xr:uid="{00000000-0005-0000-0000-000078680000}"/>
    <cellStyle name="Output 3 4 22" xfId="26740" xr:uid="{00000000-0005-0000-0000-000079680000}"/>
    <cellStyle name="Output 3 4 23" xfId="26741" xr:uid="{00000000-0005-0000-0000-00007A680000}"/>
    <cellStyle name="Output 3 4 24" xfId="26742" xr:uid="{00000000-0005-0000-0000-00007B680000}"/>
    <cellStyle name="Output 3 4 25" xfId="26743" xr:uid="{00000000-0005-0000-0000-00007C680000}"/>
    <cellStyle name="Output 3 4 26" xfId="26744" xr:uid="{00000000-0005-0000-0000-00007D680000}"/>
    <cellStyle name="Output 3 4 27" xfId="26745" xr:uid="{00000000-0005-0000-0000-00007E680000}"/>
    <cellStyle name="Output 3 4 28" xfId="26746" xr:uid="{00000000-0005-0000-0000-00007F680000}"/>
    <cellStyle name="Output 3 4 29" xfId="26747" xr:uid="{00000000-0005-0000-0000-000080680000}"/>
    <cellStyle name="Output 3 4 3" xfId="26748" xr:uid="{00000000-0005-0000-0000-000081680000}"/>
    <cellStyle name="Output 3 4 30" xfId="26749" xr:uid="{00000000-0005-0000-0000-000082680000}"/>
    <cellStyle name="Output 3 4 31" xfId="26750" xr:uid="{00000000-0005-0000-0000-000083680000}"/>
    <cellStyle name="Output 3 4 32" xfId="26751" xr:uid="{00000000-0005-0000-0000-000084680000}"/>
    <cellStyle name="Output 3 4 33" xfId="26752" xr:uid="{00000000-0005-0000-0000-000085680000}"/>
    <cellStyle name="Output 3 4 34" xfId="26753" xr:uid="{00000000-0005-0000-0000-000086680000}"/>
    <cellStyle name="Output 3 4 4" xfId="26754" xr:uid="{00000000-0005-0000-0000-000087680000}"/>
    <cellStyle name="Output 3 4 5" xfId="26755" xr:uid="{00000000-0005-0000-0000-000088680000}"/>
    <cellStyle name="Output 3 4 6" xfId="26756" xr:uid="{00000000-0005-0000-0000-000089680000}"/>
    <cellStyle name="Output 3 4 7" xfId="26757" xr:uid="{00000000-0005-0000-0000-00008A680000}"/>
    <cellStyle name="Output 3 4 8" xfId="26758" xr:uid="{00000000-0005-0000-0000-00008B680000}"/>
    <cellStyle name="Output 3 4 9" xfId="26759" xr:uid="{00000000-0005-0000-0000-00008C680000}"/>
    <cellStyle name="Output 3 5" xfId="26760" xr:uid="{00000000-0005-0000-0000-00008D680000}"/>
    <cellStyle name="Output 3 5 2" xfId="26761" xr:uid="{00000000-0005-0000-0000-00008E680000}"/>
    <cellStyle name="Output 3 5 3" xfId="26762" xr:uid="{00000000-0005-0000-0000-00008F680000}"/>
    <cellStyle name="Output 3 6" xfId="26763" xr:uid="{00000000-0005-0000-0000-000090680000}"/>
    <cellStyle name="Output 3 7" xfId="26764" xr:uid="{00000000-0005-0000-0000-000091680000}"/>
    <cellStyle name="Output 3 8" xfId="26765" xr:uid="{00000000-0005-0000-0000-000092680000}"/>
    <cellStyle name="Output 3 9" xfId="26766" xr:uid="{00000000-0005-0000-0000-000093680000}"/>
    <cellStyle name="Output 4" xfId="26767" xr:uid="{00000000-0005-0000-0000-000094680000}"/>
    <cellStyle name="Output 4 2" xfId="26768" xr:uid="{00000000-0005-0000-0000-000095680000}"/>
    <cellStyle name="Output 4 2 2" xfId="26769" xr:uid="{00000000-0005-0000-0000-000096680000}"/>
    <cellStyle name="Output 4 3" xfId="26770" xr:uid="{00000000-0005-0000-0000-000097680000}"/>
    <cellStyle name="Output 4 3 10" xfId="26771" xr:uid="{00000000-0005-0000-0000-000098680000}"/>
    <cellStyle name="Output 4 3 11" xfId="26772" xr:uid="{00000000-0005-0000-0000-000099680000}"/>
    <cellStyle name="Output 4 3 12" xfId="26773" xr:uid="{00000000-0005-0000-0000-00009A680000}"/>
    <cellStyle name="Output 4 3 13" xfId="26774" xr:uid="{00000000-0005-0000-0000-00009B680000}"/>
    <cellStyle name="Output 4 3 14" xfId="26775" xr:uid="{00000000-0005-0000-0000-00009C680000}"/>
    <cellStyle name="Output 4 3 15" xfId="26776" xr:uid="{00000000-0005-0000-0000-00009D680000}"/>
    <cellStyle name="Output 4 3 16" xfId="26777" xr:uid="{00000000-0005-0000-0000-00009E680000}"/>
    <cellStyle name="Output 4 3 17" xfId="26778" xr:uid="{00000000-0005-0000-0000-00009F680000}"/>
    <cellStyle name="Output 4 3 18" xfId="26779" xr:uid="{00000000-0005-0000-0000-0000A0680000}"/>
    <cellStyle name="Output 4 3 19" xfId="26780" xr:uid="{00000000-0005-0000-0000-0000A1680000}"/>
    <cellStyle name="Output 4 3 2" xfId="26781" xr:uid="{00000000-0005-0000-0000-0000A2680000}"/>
    <cellStyle name="Output 4 3 2 10" xfId="26782" xr:uid="{00000000-0005-0000-0000-0000A3680000}"/>
    <cellStyle name="Output 4 3 2 11" xfId="26783" xr:uid="{00000000-0005-0000-0000-0000A4680000}"/>
    <cellStyle name="Output 4 3 2 12" xfId="26784" xr:uid="{00000000-0005-0000-0000-0000A5680000}"/>
    <cellStyle name="Output 4 3 2 13" xfId="26785" xr:uid="{00000000-0005-0000-0000-0000A6680000}"/>
    <cellStyle name="Output 4 3 2 14" xfId="26786" xr:uid="{00000000-0005-0000-0000-0000A7680000}"/>
    <cellStyle name="Output 4 3 2 15" xfId="26787" xr:uid="{00000000-0005-0000-0000-0000A8680000}"/>
    <cellStyle name="Output 4 3 2 16" xfId="26788" xr:uid="{00000000-0005-0000-0000-0000A9680000}"/>
    <cellStyle name="Output 4 3 2 17" xfId="26789" xr:uid="{00000000-0005-0000-0000-0000AA680000}"/>
    <cellStyle name="Output 4 3 2 18" xfId="26790" xr:uid="{00000000-0005-0000-0000-0000AB680000}"/>
    <cellStyle name="Output 4 3 2 19" xfId="26791" xr:uid="{00000000-0005-0000-0000-0000AC680000}"/>
    <cellStyle name="Output 4 3 2 2" xfId="26792" xr:uid="{00000000-0005-0000-0000-0000AD680000}"/>
    <cellStyle name="Output 4 3 2 20" xfId="26793" xr:uid="{00000000-0005-0000-0000-0000AE680000}"/>
    <cellStyle name="Output 4 3 2 21" xfId="26794" xr:uid="{00000000-0005-0000-0000-0000AF680000}"/>
    <cellStyle name="Output 4 3 2 22" xfId="26795" xr:uid="{00000000-0005-0000-0000-0000B0680000}"/>
    <cellStyle name="Output 4 3 2 23" xfId="26796" xr:uid="{00000000-0005-0000-0000-0000B1680000}"/>
    <cellStyle name="Output 4 3 2 24" xfId="26797" xr:uid="{00000000-0005-0000-0000-0000B2680000}"/>
    <cellStyle name="Output 4 3 2 25" xfId="26798" xr:uid="{00000000-0005-0000-0000-0000B3680000}"/>
    <cellStyle name="Output 4 3 2 26" xfId="26799" xr:uid="{00000000-0005-0000-0000-0000B4680000}"/>
    <cellStyle name="Output 4 3 2 27" xfId="26800" xr:uid="{00000000-0005-0000-0000-0000B5680000}"/>
    <cellStyle name="Output 4 3 2 28" xfId="26801" xr:uid="{00000000-0005-0000-0000-0000B6680000}"/>
    <cellStyle name="Output 4 3 2 29" xfId="26802" xr:uid="{00000000-0005-0000-0000-0000B7680000}"/>
    <cellStyle name="Output 4 3 2 3" xfId="26803" xr:uid="{00000000-0005-0000-0000-0000B8680000}"/>
    <cellStyle name="Output 4 3 2 30" xfId="26804" xr:uid="{00000000-0005-0000-0000-0000B9680000}"/>
    <cellStyle name="Output 4 3 2 31" xfId="26805" xr:uid="{00000000-0005-0000-0000-0000BA680000}"/>
    <cellStyle name="Output 4 3 2 32" xfId="26806" xr:uid="{00000000-0005-0000-0000-0000BB680000}"/>
    <cellStyle name="Output 4 3 2 33" xfId="26807" xr:uid="{00000000-0005-0000-0000-0000BC680000}"/>
    <cellStyle name="Output 4 3 2 34" xfId="26808" xr:uid="{00000000-0005-0000-0000-0000BD680000}"/>
    <cellStyle name="Output 4 3 2 4" xfId="26809" xr:uid="{00000000-0005-0000-0000-0000BE680000}"/>
    <cellStyle name="Output 4 3 2 5" xfId="26810" xr:uid="{00000000-0005-0000-0000-0000BF680000}"/>
    <cellStyle name="Output 4 3 2 6" xfId="26811" xr:uid="{00000000-0005-0000-0000-0000C0680000}"/>
    <cellStyle name="Output 4 3 2 7" xfId="26812" xr:uid="{00000000-0005-0000-0000-0000C1680000}"/>
    <cellStyle name="Output 4 3 2 8" xfId="26813" xr:uid="{00000000-0005-0000-0000-0000C2680000}"/>
    <cellStyle name="Output 4 3 2 9" xfId="26814" xr:uid="{00000000-0005-0000-0000-0000C3680000}"/>
    <cellStyle name="Output 4 3 20" xfId="26815" xr:uid="{00000000-0005-0000-0000-0000C4680000}"/>
    <cellStyle name="Output 4 3 3" xfId="26816" xr:uid="{00000000-0005-0000-0000-0000C5680000}"/>
    <cellStyle name="Output 4 3 3 2" xfId="26817" xr:uid="{00000000-0005-0000-0000-0000C6680000}"/>
    <cellStyle name="Output 4 3 3 3" xfId="26818" xr:uid="{00000000-0005-0000-0000-0000C7680000}"/>
    <cellStyle name="Output 4 3 4" xfId="26819" xr:uid="{00000000-0005-0000-0000-0000C8680000}"/>
    <cellStyle name="Output 4 3 5" xfId="26820" xr:uid="{00000000-0005-0000-0000-0000C9680000}"/>
    <cellStyle name="Output 4 3 6" xfId="26821" xr:uid="{00000000-0005-0000-0000-0000CA680000}"/>
    <cellStyle name="Output 4 3 7" xfId="26822" xr:uid="{00000000-0005-0000-0000-0000CB680000}"/>
    <cellStyle name="Output 4 3 8" xfId="26823" xr:uid="{00000000-0005-0000-0000-0000CC680000}"/>
    <cellStyle name="Output 4 3 9" xfId="26824" xr:uid="{00000000-0005-0000-0000-0000CD680000}"/>
    <cellStyle name="Output 5" xfId="26825" xr:uid="{00000000-0005-0000-0000-0000CE680000}"/>
    <cellStyle name="Output 5 10" xfId="26826" xr:uid="{00000000-0005-0000-0000-0000CF680000}"/>
    <cellStyle name="Output 5 11" xfId="26827" xr:uid="{00000000-0005-0000-0000-0000D0680000}"/>
    <cellStyle name="Output 5 12" xfId="26828" xr:uid="{00000000-0005-0000-0000-0000D1680000}"/>
    <cellStyle name="Output 5 13" xfId="26829" xr:uid="{00000000-0005-0000-0000-0000D2680000}"/>
    <cellStyle name="Output 5 14" xfId="26830" xr:uid="{00000000-0005-0000-0000-0000D3680000}"/>
    <cellStyle name="Output 5 15" xfId="26831" xr:uid="{00000000-0005-0000-0000-0000D4680000}"/>
    <cellStyle name="Output 5 16" xfId="26832" xr:uid="{00000000-0005-0000-0000-0000D5680000}"/>
    <cellStyle name="Output 5 17" xfId="26833" xr:uid="{00000000-0005-0000-0000-0000D6680000}"/>
    <cellStyle name="Output 5 18" xfId="26834" xr:uid="{00000000-0005-0000-0000-0000D7680000}"/>
    <cellStyle name="Output 5 19" xfId="26835" xr:uid="{00000000-0005-0000-0000-0000D8680000}"/>
    <cellStyle name="Output 5 2" xfId="26836" xr:uid="{00000000-0005-0000-0000-0000D9680000}"/>
    <cellStyle name="Output 5 2 10" xfId="26837" xr:uid="{00000000-0005-0000-0000-0000DA680000}"/>
    <cellStyle name="Output 5 2 11" xfId="26838" xr:uid="{00000000-0005-0000-0000-0000DB680000}"/>
    <cellStyle name="Output 5 2 12" xfId="26839" xr:uid="{00000000-0005-0000-0000-0000DC680000}"/>
    <cellStyle name="Output 5 2 13" xfId="26840" xr:uid="{00000000-0005-0000-0000-0000DD680000}"/>
    <cellStyle name="Output 5 2 14" xfId="26841" xr:uid="{00000000-0005-0000-0000-0000DE680000}"/>
    <cellStyle name="Output 5 2 15" xfId="26842" xr:uid="{00000000-0005-0000-0000-0000DF680000}"/>
    <cellStyle name="Output 5 2 16" xfId="26843" xr:uid="{00000000-0005-0000-0000-0000E0680000}"/>
    <cellStyle name="Output 5 2 17" xfId="26844" xr:uid="{00000000-0005-0000-0000-0000E1680000}"/>
    <cellStyle name="Output 5 2 18" xfId="26845" xr:uid="{00000000-0005-0000-0000-0000E2680000}"/>
    <cellStyle name="Output 5 2 19" xfId="26846" xr:uid="{00000000-0005-0000-0000-0000E3680000}"/>
    <cellStyle name="Output 5 2 2" xfId="26847" xr:uid="{00000000-0005-0000-0000-0000E4680000}"/>
    <cellStyle name="Output 5 2 2 10" xfId="26848" xr:uid="{00000000-0005-0000-0000-0000E5680000}"/>
    <cellStyle name="Output 5 2 2 11" xfId="26849" xr:uid="{00000000-0005-0000-0000-0000E6680000}"/>
    <cellStyle name="Output 5 2 2 12" xfId="26850" xr:uid="{00000000-0005-0000-0000-0000E7680000}"/>
    <cellStyle name="Output 5 2 2 13" xfId="26851" xr:uid="{00000000-0005-0000-0000-0000E8680000}"/>
    <cellStyle name="Output 5 2 2 14" xfId="26852" xr:uid="{00000000-0005-0000-0000-0000E9680000}"/>
    <cellStyle name="Output 5 2 2 15" xfId="26853" xr:uid="{00000000-0005-0000-0000-0000EA680000}"/>
    <cellStyle name="Output 5 2 2 16" xfId="26854" xr:uid="{00000000-0005-0000-0000-0000EB680000}"/>
    <cellStyle name="Output 5 2 2 17" xfId="26855" xr:uid="{00000000-0005-0000-0000-0000EC680000}"/>
    <cellStyle name="Output 5 2 2 18" xfId="26856" xr:uid="{00000000-0005-0000-0000-0000ED680000}"/>
    <cellStyle name="Output 5 2 2 19" xfId="26857" xr:uid="{00000000-0005-0000-0000-0000EE680000}"/>
    <cellStyle name="Output 5 2 2 2" xfId="26858" xr:uid="{00000000-0005-0000-0000-0000EF680000}"/>
    <cellStyle name="Output 5 2 2 20" xfId="26859" xr:uid="{00000000-0005-0000-0000-0000F0680000}"/>
    <cellStyle name="Output 5 2 2 21" xfId="26860" xr:uid="{00000000-0005-0000-0000-0000F1680000}"/>
    <cellStyle name="Output 5 2 2 22" xfId="26861" xr:uid="{00000000-0005-0000-0000-0000F2680000}"/>
    <cellStyle name="Output 5 2 2 23" xfId="26862" xr:uid="{00000000-0005-0000-0000-0000F3680000}"/>
    <cellStyle name="Output 5 2 2 24" xfId="26863" xr:uid="{00000000-0005-0000-0000-0000F4680000}"/>
    <cellStyle name="Output 5 2 2 25" xfId="26864" xr:uid="{00000000-0005-0000-0000-0000F5680000}"/>
    <cellStyle name="Output 5 2 2 26" xfId="26865" xr:uid="{00000000-0005-0000-0000-0000F6680000}"/>
    <cellStyle name="Output 5 2 2 27" xfId="26866" xr:uid="{00000000-0005-0000-0000-0000F7680000}"/>
    <cellStyle name="Output 5 2 2 28" xfId="26867" xr:uid="{00000000-0005-0000-0000-0000F8680000}"/>
    <cellStyle name="Output 5 2 2 29" xfId="26868" xr:uid="{00000000-0005-0000-0000-0000F9680000}"/>
    <cellStyle name="Output 5 2 2 3" xfId="26869" xr:uid="{00000000-0005-0000-0000-0000FA680000}"/>
    <cellStyle name="Output 5 2 2 30" xfId="26870" xr:uid="{00000000-0005-0000-0000-0000FB680000}"/>
    <cellStyle name="Output 5 2 2 31" xfId="26871" xr:uid="{00000000-0005-0000-0000-0000FC680000}"/>
    <cellStyle name="Output 5 2 2 32" xfId="26872" xr:uid="{00000000-0005-0000-0000-0000FD680000}"/>
    <cellStyle name="Output 5 2 2 33" xfId="26873" xr:uid="{00000000-0005-0000-0000-0000FE680000}"/>
    <cellStyle name="Output 5 2 2 34" xfId="26874" xr:uid="{00000000-0005-0000-0000-0000FF680000}"/>
    <cellStyle name="Output 5 2 2 4" xfId="26875" xr:uid="{00000000-0005-0000-0000-000000690000}"/>
    <cellStyle name="Output 5 2 2 5" xfId="26876" xr:uid="{00000000-0005-0000-0000-000001690000}"/>
    <cellStyle name="Output 5 2 2 6" xfId="26877" xr:uid="{00000000-0005-0000-0000-000002690000}"/>
    <cellStyle name="Output 5 2 2 7" xfId="26878" xr:uid="{00000000-0005-0000-0000-000003690000}"/>
    <cellStyle name="Output 5 2 2 8" xfId="26879" xr:uid="{00000000-0005-0000-0000-000004690000}"/>
    <cellStyle name="Output 5 2 2 9" xfId="26880" xr:uid="{00000000-0005-0000-0000-000005690000}"/>
    <cellStyle name="Output 5 2 20" xfId="26881" xr:uid="{00000000-0005-0000-0000-000006690000}"/>
    <cellStyle name="Output 5 2 3" xfId="26882" xr:uid="{00000000-0005-0000-0000-000007690000}"/>
    <cellStyle name="Output 5 2 3 2" xfId="26883" xr:uid="{00000000-0005-0000-0000-000008690000}"/>
    <cellStyle name="Output 5 2 3 3" xfId="26884" xr:uid="{00000000-0005-0000-0000-000009690000}"/>
    <cellStyle name="Output 5 2 4" xfId="26885" xr:uid="{00000000-0005-0000-0000-00000A690000}"/>
    <cellStyle name="Output 5 2 5" xfId="26886" xr:uid="{00000000-0005-0000-0000-00000B690000}"/>
    <cellStyle name="Output 5 2 6" xfId="26887" xr:uid="{00000000-0005-0000-0000-00000C690000}"/>
    <cellStyle name="Output 5 2 7" xfId="26888" xr:uid="{00000000-0005-0000-0000-00000D690000}"/>
    <cellStyle name="Output 5 2 8" xfId="26889" xr:uid="{00000000-0005-0000-0000-00000E690000}"/>
    <cellStyle name="Output 5 2 9" xfId="26890" xr:uid="{00000000-0005-0000-0000-00000F690000}"/>
    <cellStyle name="Output 5 20" xfId="26891" xr:uid="{00000000-0005-0000-0000-000010690000}"/>
    <cellStyle name="Output 5 21" xfId="26892" xr:uid="{00000000-0005-0000-0000-000011690000}"/>
    <cellStyle name="Output 5 3" xfId="26893" xr:uid="{00000000-0005-0000-0000-000012690000}"/>
    <cellStyle name="Output 5 3 10" xfId="26894" xr:uid="{00000000-0005-0000-0000-000013690000}"/>
    <cellStyle name="Output 5 3 11" xfId="26895" xr:uid="{00000000-0005-0000-0000-000014690000}"/>
    <cellStyle name="Output 5 3 12" xfId="26896" xr:uid="{00000000-0005-0000-0000-000015690000}"/>
    <cellStyle name="Output 5 3 13" xfId="26897" xr:uid="{00000000-0005-0000-0000-000016690000}"/>
    <cellStyle name="Output 5 3 14" xfId="26898" xr:uid="{00000000-0005-0000-0000-000017690000}"/>
    <cellStyle name="Output 5 3 15" xfId="26899" xr:uid="{00000000-0005-0000-0000-000018690000}"/>
    <cellStyle name="Output 5 3 16" xfId="26900" xr:uid="{00000000-0005-0000-0000-000019690000}"/>
    <cellStyle name="Output 5 3 17" xfId="26901" xr:uid="{00000000-0005-0000-0000-00001A690000}"/>
    <cellStyle name="Output 5 3 18" xfId="26902" xr:uid="{00000000-0005-0000-0000-00001B690000}"/>
    <cellStyle name="Output 5 3 19" xfId="26903" xr:uid="{00000000-0005-0000-0000-00001C690000}"/>
    <cellStyle name="Output 5 3 2" xfId="26904" xr:uid="{00000000-0005-0000-0000-00001D690000}"/>
    <cellStyle name="Output 5 3 20" xfId="26905" xr:uid="{00000000-0005-0000-0000-00001E690000}"/>
    <cellStyle name="Output 5 3 21" xfId="26906" xr:uid="{00000000-0005-0000-0000-00001F690000}"/>
    <cellStyle name="Output 5 3 22" xfId="26907" xr:uid="{00000000-0005-0000-0000-000020690000}"/>
    <cellStyle name="Output 5 3 23" xfId="26908" xr:uid="{00000000-0005-0000-0000-000021690000}"/>
    <cellStyle name="Output 5 3 24" xfId="26909" xr:uid="{00000000-0005-0000-0000-000022690000}"/>
    <cellStyle name="Output 5 3 25" xfId="26910" xr:uid="{00000000-0005-0000-0000-000023690000}"/>
    <cellStyle name="Output 5 3 26" xfId="26911" xr:uid="{00000000-0005-0000-0000-000024690000}"/>
    <cellStyle name="Output 5 3 27" xfId="26912" xr:uid="{00000000-0005-0000-0000-000025690000}"/>
    <cellStyle name="Output 5 3 28" xfId="26913" xr:uid="{00000000-0005-0000-0000-000026690000}"/>
    <cellStyle name="Output 5 3 29" xfId="26914" xr:uid="{00000000-0005-0000-0000-000027690000}"/>
    <cellStyle name="Output 5 3 3" xfId="26915" xr:uid="{00000000-0005-0000-0000-000028690000}"/>
    <cellStyle name="Output 5 3 30" xfId="26916" xr:uid="{00000000-0005-0000-0000-000029690000}"/>
    <cellStyle name="Output 5 3 31" xfId="26917" xr:uid="{00000000-0005-0000-0000-00002A690000}"/>
    <cellStyle name="Output 5 3 32" xfId="26918" xr:uid="{00000000-0005-0000-0000-00002B690000}"/>
    <cellStyle name="Output 5 3 33" xfId="26919" xr:uid="{00000000-0005-0000-0000-00002C690000}"/>
    <cellStyle name="Output 5 3 34" xfId="26920" xr:uid="{00000000-0005-0000-0000-00002D690000}"/>
    <cellStyle name="Output 5 3 4" xfId="26921" xr:uid="{00000000-0005-0000-0000-00002E690000}"/>
    <cellStyle name="Output 5 3 5" xfId="26922" xr:uid="{00000000-0005-0000-0000-00002F690000}"/>
    <cellStyle name="Output 5 3 6" xfId="26923" xr:uid="{00000000-0005-0000-0000-000030690000}"/>
    <cellStyle name="Output 5 3 7" xfId="26924" xr:uid="{00000000-0005-0000-0000-000031690000}"/>
    <cellStyle name="Output 5 3 8" xfId="26925" xr:uid="{00000000-0005-0000-0000-000032690000}"/>
    <cellStyle name="Output 5 3 9" xfId="26926" xr:uid="{00000000-0005-0000-0000-000033690000}"/>
    <cellStyle name="Output 5 4" xfId="26927" xr:uid="{00000000-0005-0000-0000-000034690000}"/>
    <cellStyle name="Output 5 4 2" xfId="26928" xr:uid="{00000000-0005-0000-0000-000035690000}"/>
    <cellStyle name="Output 5 4 3" xfId="26929" xr:uid="{00000000-0005-0000-0000-000036690000}"/>
    <cellStyle name="Output 5 5" xfId="26930" xr:uid="{00000000-0005-0000-0000-000037690000}"/>
    <cellStyle name="Output 5 6" xfId="26931" xr:uid="{00000000-0005-0000-0000-000038690000}"/>
    <cellStyle name="Output 5 7" xfId="26932" xr:uid="{00000000-0005-0000-0000-000039690000}"/>
    <cellStyle name="Output 5 8" xfId="26933" xr:uid="{00000000-0005-0000-0000-00003A690000}"/>
    <cellStyle name="Output 5 9" xfId="26934" xr:uid="{00000000-0005-0000-0000-00003B690000}"/>
    <cellStyle name="Output 6" xfId="26935" xr:uid="{00000000-0005-0000-0000-00003C690000}"/>
    <cellStyle name="Output 6 10" xfId="26936" xr:uid="{00000000-0005-0000-0000-00003D690000}"/>
    <cellStyle name="Output 6 11" xfId="26937" xr:uid="{00000000-0005-0000-0000-00003E690000}"/>
    <cellStyle name="Output 6 12" xfId="26938" xr:uid="{00000000-0005-0000-0000-00003F690000}"/>
    <cellStyle name="Output 6 13" xfId="26939" xr:uid="{00000000-0005-0000-0000-000040690000}"/>
    <cellStyle name="Output 6 14" xfId="26940" xr:uid="{00000000-0005-0000-0000-000041690000}"/>
    <cellStyle name="Output 6 15" xfId="26941" xr:uid="{00000000-0005-0000-0000-000042690000}"/>
    <cellStyle name="Output 6 16" xfId="26942" xr:uid="{00000000-0005-0000-0000-000043690000}"/>
    <cellStyle name="Output 6 17" xfId="26943" xr:uid="{00000000-0005-0000-0000-000044690000}"/>
    <cellStyle name="Output 6 18" xfId="26944" xr:uid="{00000000-0005-0000-0000-000045690000}"/>
    <cellStyle name="Output 6 19" xfId="26945" xr:uid="{00000000-0005-0000-0000-000046690000}"/>
    <cellStyle name="Output 6 2" xfId="26946" xr:uid="{00000000-0005-0000-0000-000047690000}"/>
    <cellStyle name="Output 6 2 10" xfId="26947" xr:uid="{00000000-0005-0000-0000-000048690000}"/>
    <cellStyle name="Output 6 2 11" xfId="26948" xr:uid="{00000000-0005-0000-0000-000049690000}"/>
    <cellStyle name="Output 6 2 12" xfId="26949" xr:uid="{00000000-0005-0000-0000-00004A690000}"/>
    <cellStyle name="Output 6 2 13" xfId="26950" xr:uid="{00000000-0005-0000-0000-00004B690000}"/>
    <cellStyle name="Output 6 2 14" xfId="26951" xr:uid="{00000000-0005-0000-0000-00004C690000}"/>
    <cellStyle name="Output 6 2 15" xfId="26952" xr:uid="{00000000-0005-0000-0000-00004D690000}"/>
    <cellStyle name="Output 6 2 16" xfId="26953" xr:uid="{00000000-0005-0000-0000-00004E690000}"/>
    <cellStyle name="Output 6 2 17" xfId="26954" xr:uid="{00000000-0005-0000-0000-00004F690000}"/>
    <cellStyle name="Output 6 2 18" xfId="26955" xr:uid="{00000000-0005-0000-0000-000050690000}"/>
    <cellStyle name="Output 6 2 19" xfId="26956" xr:uid="{00000000-0005-0000-0000-000051690000}"/>
    <cellStyle name="Output 6 2 2" xfId="26957" xr:uid="{00000000-0005-0000-0000-000052690000}"/>
    <cellStyle name="Output 6 2 2 10" xfId="26958" xr:uid="{00000000-0005-0000-0000-000053690000}"/>
    <cellStyle name="Output 6 2 2 11" xfId="26959" xr:uid="{00000000-0005-0000-0000-000054690000}"/>
    <cellStyle name="Output 6 2 2 12" xfId="26960" xr:uid="{00000000-0005-0000-0000-000055690000}"/>
    <cellStyle name="Output 6 2 2 13" xfId="26961" xr:uid="{00000000-0005-0000-0000-000056690000}"/>
    <cellStyle name="Output 6 2 2 14" xfId="26962" xr:uid="{00000000-0005-0000-0000-000057690000}"/>
    <cellStyle name="Output 6 2 2 15" xfId="26963" xr:uid="{00000000-0005-0000-0000-000058690000}"/>
    <cellStyle name="Output 6 2 2 16" xfId="26964" xr:uid="{00000000-0005-0000-0000-000059690000}"/>
    <cellStyle name="Output 6 2 2 17" xfId="26965" xr:uid="{00000000-0005-0000-0000-00005A690000}"/>
    <cellStyle name="Output 6 2 2 18" xfId="26966" xr:uid="{00000000-0005-0000-0000-00005B690000}"/>
    <cellStyle name="Output 6 2 2 19" xfId="26967" xr:uid="{00000000-0005-0000-0000-00005C690000}"/>
    <cellStyle name="Output 6 2 2 2" xfId="26968" xr:uid="{00000000-0005-0000-0000-00005D690000}"/>
    <cellStyle name="Output 6 2 2 20" xfId="26969" xr:uid="{00000000-0005-0000-0000-00005E690000}"/>
    <cellStyle name="Output 6 2 2 21" xfId="26970" xr:uid="{00000000-0005-0000-0000-00005F690000}"/>
    <cellStyle name="Output 6 2 2 22" xfId="26971" xr:uid="{00000000-0005-0000-0000-000060690000}"/>
    <cellStyle name="Output 6 2 2 23" xfId="26972" xr:uid="{00000000-0005-0000-0000-000061690000}"/>
    <cellStyle name="Output 6 2 2 24" xfId="26973" xr:uid="{00000000-0005-0000-0000-000062690000}"/>
    <cellStyle name="Output 6 2 2 25" xfId="26974" xr:uid="{00000000-0005-0000-0000-000063690000}"/>
    <cellStyle name="Output 6 2 2 26" xfId="26975" xr:uid="{00000000-0005-0000-0000-000064690000}"/>
    <cellStyle name="Output 6 2 2 27" xfId="26976" xr:uid="{00000000-0005-0000-0000-000065690000}"/>
    <cellStyle name="Output 6 2 2 28" xfId="26977" xr:uid="{00000000-0005-0000-0000-000066690000}"/>
    <cellStyle name="Output 6 2 2 29" xfId="26978" xr:uid="{00000000-0005-0000-0000-000067690000}"/>
    <cellStyle name="Output 6 2 2 3" xfId="26979" xr:uid="{00000000-0005-0000-0000-000068690000}"/>
    <cellStyle name="Output 6 2 2 30" xfId="26980" xr:uid="{00000000-0005-0000-0000-000069690000}"/>
    <cellStyle name="Output 6 2 2 31" xfId="26981" xr:uid="{00000000-0005-0000-0000-00006A690000}"/>
    <cellStyle name="Output 6 2 2 32" xfId="26982" xr:uid="{00000000-0005-0000-0000-00006B690000}"/>
    <cellStyle name="Output 6 2 2 33" xfId="26983" xr:uid="{00000000-0005-0000-0000-00006C690000}"/>
    <cellStyle name="Output 6 2 2 34" xfId="26984" xr:uid="{00000000-0005-0000-0000-00006D690000}"/>
    <cellStyle name="Output 6 2 2 4" xfId="26985" xr:uid="{00000000-0005-0000-0000-00006E690000}"/>
    <cellStyle name="Output 6 2 2 5" xfId="26986" xr:uid="{00000000-0005-0000-0000-00006F690000}"/>
    <cellStyle name="Output 6 2 2 6" xfId="26987" xr:uid="{00000000-0005-0000-0000-000070690000}"/>
    <cellStyle name="Output 6 2 2 7" xfId="26988" xr:uid="{00000000-0005-0000-0000-000071690000}"/>
    <cellStyle name="Output 6 2 2 8" xfId="26989" xr:uid="{00000000-0005-0000-0000-000072690000}"/>
    <cellStyle name="Output 6 2 2 9" xfId="26990" xr:uid="{00000000-0005-0000-0000-000073690000}"/>
    <cellStyle name="Output 6 2 20" xfId="26991" xr:uid="{00000000-0005-0000-0000-000074690000}"/>
    <cellStyle name="Output 6 2 3" xfId="26992" xr:uid="{00000000-0005-0000-0000-000075690000}"/>
    <cellStyle name="Output 6 2 3 2" xfId="26993" xr:uid="{00000000-0005-0000-0000-000076690000}"/>
    <cellStyle name="Output 6 2 3 3" xfId="26994" xr:uid="{00000000-0005-0000-0000-000077690000}"/>
    <cellStyle name="Output 6 2 4" xfId="26995" xr:uid="{00000000-0005-0000-0000-000078690000}"/>
    <cellStyle name="Output 6 2 5" xfId="26996" xr:uid="{00000000-0005-0000-0000-000079690000}"/>
    <cellStyle name="Output 6 2 6" xfId="26997" xr:uid="{00000000-0005-0000-0000-00007A690000}"/>
    <cellStyle name="Output 6 2 7" xfId="26998" xr:uid="{00000000-0005-0000-0000-00007B690000}"/>
    <cellStyle name="Output 6 2 8" xfId="26999" xr:uid="{00000000-0005-0000-0000-00007C690000}"/>
    <cellStyle name="Output 6 2 9" xfId="27000" xr:uid="{00000000-0005-0000-0000-00007D690000}"/>
    <cellStyle name="Output 6 20" xfId="27001" xr:uid="{00000000-0005-0000-0000-00007E690000}"/>
    <cellStyle name="Output 6 21" xfId="27002" xr:uid="{00000000-0005-0000-0000-00007F690000}"/>
    <cellStyle name="Output 6 3" xfId="27003" xr:uid="{00000000-0005-0000-0000-000080690000}"/>
    <cellStyle name="Output 6 3 10" xfId="27004" xr:uid="{00000000-0005-0000-0000-000081690000}"/>
    <cellStyle name="Output 6 3 11" xfId="27005" xr:uid="{00000000-0005-0000-0000-000082690000}"/>
    <cellStyle name="Output 6 3 12" xfId="27006" xr:uid="{00000000-0005-0000-0000-000083690000}"/>
    <cellStyle name="Output 6 3 13" xfId="27007" xr:uid="{00000000-0005-0000-0000-000084690000}"/>
    <cellStyle name="Output 6 3 14" xfId="27008" xr:uid="{00000000-0005-0000-0000-000085690000}"/>
    <cellStyle name="Output 6 3 15" xfId="27009" xr:uid="{00000000-0005-0000-0000-000086690000}"/>
    <cellStyle name="Output 6 3 16" xfId="27010" xr:uid="{00000000-0005-0000-0000-000087690000}"/>
    <cellStyle name="Output 6 3 17" xfId="27011" xr:uid="{00000000-0005-0000-0000-000088690000}"/>
    <cellStyle name="Output 6 3 18" xfId="27012" xr:uid="{00000000-0005-0000-0000-000089690000}"/>
    <cellStyle name="Output 6 3 19" xfId="27013" xr:uid="{00000000-0005-0000-0000-00008A690000}"/>
    <cellStyle name="Output 6 3 2" xfId="27014" xr:uid="{00000000-0005-0000-0000-00008B690000}"/>
    <cellStyle name="Output 6 3 20" xfId="27015" xr:uid="{00000000-0005-0000-0000-00008C690000}"/>
    <cellStyle name="Output 6 3 21" xfId="27016" xr:uid="{00000000-0005-0000-0000-00008D690000}"/>
    <cellStyle name="Output 6 3 22" xfId="27017" xr:uid="{00000000-0005-0000-0000-00008E690000}"/>
    <cellStyle name="Output 6 3 23" xfId="27018" xr:uid="{00000000-0005-0000-0000-00008F690000}"/>
    <cellStyle name="Output 6 3 24" xfId="27019" xr:uid="{00000000-0005-0000-0000-000090690000}"/>
    <cellStyle name="Output 6 3 25" xfId="27020" xr:uid="{00000000-0005-0000-0000-000091690000}"/>
    <cellStyle name="Output 6 3 26" xfId="27021" xr:uid="{00000000-0005-0000-0000-000092690000}"/>
    <cellStyle name="Output 6 3 27" xfId="27022" xr:uid="{00000000-0005-0000-0000-000093690000}"/>
    <cellStyle name="Output 6 3 28" xfId="27023" xr:uid="{00000000-0005-0000-0000-000094690000}"/>
    <cellStyle name="Output 6 3 29" xfId="27024" xr:uid="{00000000-0005-0000-0000-000095690000}"/>
    <cellStyle name="Output 6 3 3" xfId="27025" xr:uid="{00000000-0005-0000-0000-000096690000}"/>
    <cellStyle name="Output 6 3 30" xfId="27026" xr:uid="{00000000-0005-0000-0000-000097690000}"/>
    <cellStyle name="Output 6 3 31" xfId="27027" xr:uid="{00000000-0005-0000-0000-000098690000}"/>
    <cellStyle name="Output 6 3 32" xfId="27028" xr:uid="{00000000-0005-0000-0000-000099690000}"/>
    <cellStyle name="Output 6 3 33" xfId="27029" xr:uid="{00000000-0005-0000-0000-00009A690000}"/>
    <cellStyle name="Output 6 3 34" xfId="27030" xr:uid="{00000000-0005-0000-0000-00009B690000}"/>
    <cellStyle name="Output 6 3 4" xfId="27031" xr:uid="{00000000-0005-0000-0000-00009C690000}"/>
    <cellStyle name="Output 6 3 5" xfId="27032" xr:uid="{00000000-0005-0000-0000-00009D690000}"/>
    <cellStyle name="Output 6 3 6" xfId="27033" xr:uid="{00000000-0005-0000-0000-00009E690000}"/>
    <cellStyle name="Output 6 3 7" xfId="27034" xr:uid="{00000000-0005-0000-0000-00009F690000}"/>
    <cellStyle name="Output 6 3 8" xfId="27035" xr:uid="{00000000-0005-0000-0000-0000A0690000}"/>
    <cellStyle name="Output 6 3 9" xfId="27036" xr:uid="{00000000-0005-0000-0000-0000A1690000}"/>
    <cellStyle name="Output 6 4" xfId="27037" xr:uid="{00000000-0005-0000-0000-0000A2690000}"/>
    <cellStyle name="Output 6 4 2" xfId="27038" xr:uid="{00000000-0005-0000-0000-0000A3690000}"/>
    <cellStyle name="Output 6 4 3" xfId="27039" xr:uid="{00000000-0005-0000-0000-0000A4690000}"/>
    <cellStyle name="Output 6 5" xfId="27040" xr:uid="{00000000-0005-0000-0000-0000A5690000}"/>
    <cellStyle name="Output 6 6" xfId="27041" xr:uid="{00000000-0005-0000-0000-0000A6690000}"/>
    <cellStyle name="Output 6 7" xfId="27042" xr:uid="{00000000-0005-0000-0000-0000A7690000}"/>
    <cellStyle name="Output 6 8" xfId="27043" xr:uid="{00000000-0005-0000-0000-0000A8690000}"/>
    <cellStyle name="Output 6 9" xfId="27044" xr:uid="{00000000-0005-0000-0000-0000A9690000}"/>
    <cellStyle name="Output 7" xfId="27045" xr:uid="{00000000-0005-0000-0000-0000AA690000}"/>
    <cellStyle name="Output 7 2" xfId="27046" xr:uid="{00000000-0005-0000-0000-0000AB690000}"/>
    <cellStyle name="Output 8" xfId="27047" xr:uid="{00000000-0005-0000-0000-0000AC690000}"/>
    <cellStyle name="Output 8 2" xfId="27048" xr:uid="{00000000-0005-0000-0000-0000AD690000}"/>
    <cellStyle name="Output 9" xfId="27049" xr:uid="{00000000-0005-0000-0000-0000AE690000}"/>
    <cellStyle name="Output 9 2" xfId="27050" xr:uid="{00000000-0005-0000-0000-0000AF690000}"/>
    <cellStyle name="Output Amounts" xfId="27051" xr:uid="{00000000-0005-0000-0000-0000B0690000}"/>
    <cellStyle name="Output Column Headings" xfId="27052" xr:uid="{00000000-0005-0000-0000-0000B1690000}"/>
    <cellStyle name="Output Line Items" xfId="27053" xr:uid="{00000000-0005-0000-0000-0000B2690000}"/>
    <cellStyle name="Output Report Heading" xfId="27054" xr:uid="{00000000-0005-0000-0000-0000B3690000}"/>
    <cellStyle name="Output Report Title" xfId="27055" xr:uid="{00000000-0005-0000-0000-0000B4690000}"/>
    <cellStyle name="OverHead" xfId="27056" xr:uid="{00000000-0005-0000-0000-0000B5690000}"/>
    <cellStyle name="OverHead 10" xfId="27057" xr:uid="{00000000-0005-0000-0000-0000B6690000}"/>
    <cellStyle name="OverHead 11" xfId="27058" xr:uid="{00000000-0005-0000-0000-0000B7690000}"/>
    <cellStyle name="OverHead 12" xfId="27059" xr:uid="{00000000-0005-0000-0000-0000B8690000}"/>
    <cellStyle name="OverHead 13" xfId="27060" xr:uid="{00000000-0005-0000-0000-0000B9690000}"/>
    <cellStyle name="OverHead 14" xfId="27061" xr:uid="{00000000-0005-0000-0000-0000BA690000}"/>
    <cellStyle name="OverHead 15" xfId="27062" xr:uid="{00000000-0005-0000-0000-0000BB690000}"/>
    <cellStyle name="OverHead 16" xfId="27063" xr:uid="{00000000-0005-0000-0000-0000BC690000}"/>
    <cellStyle name="OverHead 17" xfId="27064" xr:uid="{00000000-0005-0000-0000-0000BD690000}"/>
    <cellStyle name="OverHead 18" xfId="27065" xr:uid="{00000000-0005-0000-0000-0000BE690000}"/>
    <cellStyle name="OverHead 19" xfId="27066" xr:uid="{00000000-0005-0000-0000-0000BF690000}"/>
    <cellStyle name="OverHead 2" xfId="27067" xr:uid="{00000000-0005-0000-0000-0000C0690000}"/>
    <cellStyle name="OverHead 2 10" xfId="27068" xr:uid="{00000000-0005-0000-0000-0000C1690000}"/>
    <cellStyle name="OverHead 2 11" xfId="27069" xr:uid="{00000000-0005-0000-0000-0000C2690000}"/>
    <cellStyle name="OverHead 2 12" xfId="27070" xr:uid="{00000000-0005-0000-0000-0000C3690000}"/>
    <cellStyle name="OverHead 2 13" xfId="27071" xr:uid="{00000000-0005-0000-0000-0000C4690000}"/>
    <cellStyle name="OverHead 2 14" xfId="27072" xr:uid="{00000000-0005-0000-0000-0000C5690000}"/>
    <cellStyle name="OverHead 2 15" xfId="27073" xr:uid="{00000000-0005-0000-0000-0000C6690000}"/>
    <cellStyle name="OverHead 2 16" xfId="27074" xr:uid="{00000000-0005-0000-0000-0000C7690000}"/>
    <cellStyle name="OverHead 2 17" xfId="27075" xr:uid="{00000000-0005-0000-0000-0000C8690000}"/>
    <cellStyle name="OverHead 2 18" xfId="27076" xr:uid="{00000000-0005-0000-0000-0000C9690000}"/>
    <cellStyle name="OverHead 2 19" xfId="27077" xr:uid="{00000000-0005-0000-0000-0000CA690000}"/>
    <cellStyle name="OverHead 2 2" xfId="27078" xr:uid="{00000000-0005-0000-0000-0000CB690000}"/>
    <cellStyle name="OverHead 2 2 2" xfId="27079" xr:uid="{00000000-0005-0000-0000-0000CC690000}"/>
    <cellStyle name="OverHead 2 2 3" xfId="27080" xr:uid="{00000000-0005-0000-0000-0000CD690000}"/>
    <cellStyle name="OverHead 2 20" xfId="27081" xr:uid="{00000000-0005-0000-0000-0000CE690000}"/>
    <cellStyle name="OverHead 2 21" xfId="27082" xr:uid="{00000000-0005-0000-0000-0000CF690000}"/>
    <cellStyle name="OverHead 2 22" xfId="27083" xr:uid="{00000000-0005-0000-0000-0000D0690000}"/>
    <cellStyle name="OverHead 2 23" xfId="27084" xr:uid="{00000000-0005-0000-0000-0000D1690000}"/>
    <cellStyle name="OverHead 2 24" xfId="27085" xr:uid="{00000000-0005-0000-0000-0000D2690000}"/>
    <cellStyle name="OverHead 2 25" xfId="27086" xr:uid="{00000000-0005-0000-0000-0000D3690000}"/>
    <cellStyle name="OverHead 2 26" xfId="27087" xr:uid="{00000000-0005-0000-0000-0000D4690000}"/>
    <cellStyle name="OverHead 2 27" xfId="27088" xr:uid="{00000000-0005-0000-0000-0000D5690000}"/>
    <cellStyle name="OverHead 2 28" xfId="27089" xr:uid="{00000000-0005-0000-0000-0000D6690000}"/>
    <cellStyle name="OverHead 2 29" xfId="27090" xr:uid="{00000000-0005-0000-0000-0000D7690000}"/>
    <cellStyle name="OverHead 2 3" xfId="27091" xr:uid="{00000000-0005-0000-0000-0000D8690000}"/>
    <cellStyle name="OverHead 2 30" xfId="27092" xr:uid="{00000000-0005-0000-0000-0000D9690000}"/>
    <cellStyle name="OverHead 2 31" xfId="27093" xr:uid="{00000000-0005-0000-0000-0000DA690000}"/>
    <cellStyle name="OverHead 2 32" xfId="27094" xr:uid="{00000000-0005-0000-0000-0000DB690000}"/>
    <cellStyle name="OverHead 2 33" xfId="27095" xr:uid="{00000000-0005-0000-0000-0000DC690000}"/>
    <cellStyle name="OverHead 2 34" xfId="27096" xr:uid="{00000000-0005-0000-0000-0000DD690000}"/>
    <cellStyle name="OverHead 2 35" xfId="27097" xr:uid="{00000000-0005-0000-0000-0000DE690000}"/>
    <cellStyle name="OverHead 2 36" xfId="27098" xr:uid="{00000000-0005-0000-0000-0000DF690000}"/>
    <cellStyle name="OverHead 2 4" xfId="27099" xr:uid="{00000000-0005-0000-0000-0000E0690000}"/>
    <cellStyle name="OverHead 2 5" xfId="27100" xr:uid="{00000000-0005-0000-0000-0000E1690000}"/>
    <cellStyle name="OverHead 2 6" xfId="27101" xr:uid="{00000000-0005-0000-0000-0000E2690000}"/>
    <cellStyle name="OverHead 2 7" xfId="27102" xr:uid="{00000000-0005-0000-0000-0000E3690000}"/>
    <cellStyle name="OverHead 2 8" xfId="27103" xr:uid="{00000000-0005-0000-0000-0000E4690000}"/>
    <cellStyle name="OverHead 2 9" xfId="27104" xr:uid="{00000000-0005-0000-0000-0000E5690000}"/>
    <cellStyle name="OverHead 20" xfId="27105" xr:uid="{00000000-0005-0000-0000-0000E6690000}"/>
    <cellStyle name="OverHead 21" xfId="27106" xr:uid="{00000000-0005-0000-0000-0000E7690000}"/>
    <cellStyle name="OverHead 22" xfId="27107" xr:uid="{00000000-0005-0000-0000-0000E8690000}"/>
    <cellStyle name="OverHead 23" xfId="27108" xr:uid="{00000000-0005-0000-0000-0000E9690000}"/>
    <cellStyle name="OverHead 24" xfId="27109" xr:uid="{00000000-0005-0000-0000-0000EA690000}"/>
    <cellStyle name="OverHead 25" xfId="27110" xr:uid="{00000000-0005-0000-0000-0000EB690000}"/>
    <cellStyle name="OverHead 26" xfId="27111" xr:uid="{00000000-0005-0000-0000-0000EC690000}"/>
    <cellStyle name="OverHead 27" xfId="27112" xr:uid="{00000000-0005-0000-0000-0000ED690000}"/>
    <cellStyle name="OverHead 28" xfId="27113" xr:uid="{00000000-0005-0000-0000-0000EE690000}"/>
    <cellStyle name="OverHead 29" xfId="27114" xr:uid="{00000000-0005-0000-0000-0000EF690000}"/>
    <cellStyle name="OverHead 3" xfId="27115" xr:uid="{00000000-0005-0000-0000-0000F0690000}"/>
    <cellStyle name="OverHead 3 2" xfId="27116" xr:uid="{00000000-0005-0000-0000-0000F1690000}"/>
    <cellStyle name="OverHead 3 2 2" xfId="27117" xr:uid="{00000000-0005-0000-0000-0000F2690000}"/>
    <cellStyle name="OverHead 3 2 3" xfId="27118" xr:uid="{00000000-0005-0000-0000-0000F3690000}"/>
    <cellStyle name="OverHead 3 3" xfId="27119" xr:uid="{00000000-0005-0000-0000-0000F4690000}"/>
    <cellStyle name="OverHead 3 3 2" xfId="27120" xr:uid="{00000000-0005-0000-0000-0000F5690000}"/>
    <cellStyle name="OverHead 3 3 3" xfId="27121" xr:uid="{00000000-0005-0000-0000-0000F6690000}"/>
    <cellStyle name="OverHead 3 4" xfId="27122" xr:uid="{00000000-0005-0000-0000-0000F7690000}"/>
    <cellStyle name="OverHead 3 5" xfId="27123" xr:uid="{00000000-0005-0000-0000-0000F8690000}"/>
    <cellStyle name="OverHead 30" xfId="27124" xr:uid="{00000000-0005-0000-0000-0000F9690000}"/>
    <cellStyle name="OverHead 31" xfId="27125" xr:uid="{00000000-0005-0000-0000-0000FA690000}"/>
    <cellStyle name="OverHead 32" xfId="27126" xr:uid="{00000000-0005-0000-0000-0000FB690000}"/>
    <cellStyle name="OverHead 33" xfId="27127" xr:uid="{00000000-0005-0000-0000-0000FC690000}"/>
    <cellStyle name="OverHead 34" xfId="27128" xr:uid="{00000000-0005-0000-0000-0000FD690000}"/>
    <cellStyle name="OverHead 35" xfId="27129" xr:uid="{00000000-0005-0000-0000-0000FE690000}"/>
    <cellStyle name="OverHead 36" xfId="27130" xr:uid="{00000000-0005-0000-0000-0000FF690000}"/>
    <cellStyle name="OverHead 4" xfId="27131" xr:uid="{00000000-0005-0000-0000-0000006A0000}"/>
    <cellStyle name="OverHead 4 2" xfId="27132" xr:uid="{00000000-0005-0000-0000-0000016A0000}"/>
    <cellStyle name="OverHead 4 2 2" xfId="27133" xr:uid="{00000000-0005-0000-0000-0000026A0000}"/>
    <cellStyle name="OverHead 4 2 3" xfId="27134" xr:uid="{00000000-0005-0000-0000-0000036A0000}"/>
    <cellStyle name="OverHead 4 3" xfId="27135" xr:uid="{00000000-0005-0000-0000-0000046A0000}"/>
    <cellStyle name="OverHead 4 3 2" xfId="27136" xr:uid="{00000000-0005-0000-0000-0000056A0000}"/>
    <cellStyle name="OverHead 4 3 3" xfId="27137" xr:uid="{00000000-0005-0000-0000-0000066A0000}"/>
    <cellStyle name="OverHead 4 4" xfId="27138" xr:uid="{00000000-0005-0000-0000-0000076A0000}"/>
    <cellStyle name="OverHead 4 5" xfId="27139" xr:uid="{00000000-0005-0000-0000-0000086A0000}"/>
    <cellStyle name="OverHead 5" xfId="27140" xr:uid="{00000000-0005-0000-0000-0000096A0000}"/>
    <cellStyle name="OverHead 5 2" xfId="27141" xr:uid="{00000000-0005-0000-0000-00000A6A0000}"/>
    <cellStyle name="OverHead 5 3" xfId="27142" xr:uid="{00000000-0005-0000-0000-00000B6A0000}"/>
    <cellStyle name="OverHead 6" xfId="27143" xr:uid="{00000000-0005-0000-0000-00000C6A0000}"/>
    <cellStyle name="OverHead 7" xfId="27144" xr:uid="{00000000-0005-0000-0000-00000D6A0000}"/>
    <cellStyle name="OverHead 8" xfId="27145" xr:uid="{00000000-0005-0000-0000-00000E6A0000}"/>
    <cellStyle name="OverHead 9" xfId="27146" xr:uid="{00000000-0005-0000-0000-00000F6A0000}"/>
    <cellStyle name="Overskrift" xfId="27147" xr:uid="{00000000-0005-0000-0000-0000106A0000}"/>
    <cellStyle name="pc1" xfId="27148" xr:uid="{00000000-0005-0000-0000-0000116A0000}"/>
    <cellStyle name="per.style" xfId="27149" xr:uid="{00000000-0005-0000-0000-0000126A0000}"/>
    <cellStyle name="Percen - Style2" xfId="27150" xr:uid="{00000000-0005-0000-0000-0000136A0000}"/>
    <cellStyle name="Percent [0]" xfId="27151" xr:uid="{00000000-0005-0000-0000-0000146A0000}"/>
    <cellStyle name="Percent [0] 2" xfId="27152" xr:uid="{00000000-0005-0000-0000-0000156A0000}"/>
    <cellStyle name="Percent [0] 3" xfId="27153" xr:uid="{00000000-0005-0000-0000-0000166A0000}"/>
    <cellStyle name="Percent [00]" xfId="27154" xr:uid="{00000000-0005-0000-0000-0000176A0000}"/>
    <cellStyle name="Percent [00] 2" xfId="27155" xr:uid="{00000000-0005-0000-0000-0000186A0000}"/>
    <cellStyle name="Percent [00] 3" xfId="27156" xr:uid="{00000000-0005-0000-0000-0000196A0000}"/>
    <cellStyle name="Percent [1]" xfId="27157" xr:uid="{00000000-0005-0000-0000-00001A6A0000}"/>
    <cellStyle name="Percent [2]" xfId="27158" xr:uid="{00000000-0005-0000-0000-00001B6A0000}"/>
    <cellStyle name="Percent [2] 2" xfId="27159" xr:uid="{00000000-0005-0000-0000-00001C6A0000}"/>
    <cellStyle name="Percent [2] 2 2" xfId="27160" xr:uid="{00000000-0005-0000-0000-00001D6A0000}"/>
    <cellStyle name="Percent [2] 3" xfId="27161" xr:uid="{00000000-0005-0000-0000-00001E6A0000}"/>
    <cellStyle name="Percent [2] 3 2" xfId="27162" xr:uid="{00000000-0005-0000-0000-00001F6A0000}"/>
    <cellStyle name="Percent 10" xfId="27163" xr:uid="{00000000-0005-0000-0000-0000206A0000}"/>
    <cellStyle name="Percent 11" xfId="27164" xr:uid="{00000000-0005-0000-0000-0000216A0000}"/>
    <cellStyle name="Percent 2" xfId="27165" xr:uid="{00000000-0005-0000-0000-0000226A0000}"/>
    <cellStyle name="Percent 2 10" xfId="27166" xr:uid="{00000000-0005-0000-0000-0000236A0000}"/>
    <cellStyle name="Percent 2 11" xfId="27167" xr:uid="{00000000-0005-0000-0000-0000246A0000}"/>
    <cellStyle name="Percent 2 12" xfId="27168" xr:uid="{00000000-0005-0000-0000-0000256A0000}"/>
    <cellStyle name="Percent 2 13" xfId="27169" xr:uid="{00000000-0005-0000-0000-0000266A0000}"/>
    <cellStyle name="Percent 2 14" xfId="27170" xr:uid="{00000000-0005-0000-0000-0000276A0000}"/>
    <cellStyle name="Percent 2 15" xfId="27171" xr:uid="{00000000-0005-0000-0000-0000286A0000}"/>
    <cellStyle name="Percent 2 16" xfId="27172" xr:uid="{00000000-0005-0000-0000-0000296A0000}"/>
    <cellStyle name="Percent 2 17" xfId="27173" xr:uid="{00000000-0005-0000-0000-00002A6A0000}"/>
    <cellStyle name="Percent 2 18" xfId="27174" xr:uid="{00000000-0005-0000-0000-00002B6A0000}"/>
    <cellStyle name="Percent 2 19" xfId="27175" xr:uid="{00000000-0005-0000-0000-00002C6A0000}"/>
    <cellStyle name="Percent 2 2" xfId="27176" xr:uid="{00000000-0005-0000-0000-00002D6A0000}"/>
    <cellStyle name="Percent 2 2 2" xfId="27177" xr:uid="{00000000-0005-0000-0000-00002E6A0000}"/>
    <cellStyle name="Percent 2 2 3" xfId="27178" xr:uid="{00000000-0005-0000-0000-00002F6A0000}"/>
    <cellStyle name="Percent 2 2 4" xfId="27179" xr:uid="{00000000-0005-0000-0000-0000306A0000}"/>
    <cellStyle name="Percent 2 2 5" xfId="27180" xr:uid="{00000000-0005-0000-0000-0000316A0000}"/>
    <cellStyle name="Percent 2 2 6" xfId="27181" xr:uid="{00000000-0005-0000-0000-0000326A0000}"/>
    <cellStyle name="Percent 2 20" xfId="27182" xr:uid="{00000000-0005-0000-0000-0000336A0000}"/>
    <cellStyle name="Percent 2 3" xfId="27183" xr:uid="{00000000-0005-0000-0000-0000346A0000}"/>
    <cellStyle name="Percent 2 4" xfId="27184" xr:uid="{00000000-0005-0000-0000-0000356A0000}"/>
    <cellStyle name="Percent 2 5" xfId="27185" xr:uid="{00000000-0005-0000-0000-0000366A0000}"/>
    <cellStyle name="Percent 2 6" xfId="27186" xr:uid="{00000000-0005-0000-0000-0000376A0000}"/>
    <cellStyle name="Percent 2 7" xfId="27187" xr:uid="{00000000-0005-0000-0000-0000386A0000}"/>
    <cellStyle name="Percent 2 8" xfId="27188" xr:uid="{00000000-0005-0000-0000-0000396A0000}"/>
    <cellStyle name="Percent 2 9" xfId="27189" xr:uid="{00000000-0005-0000-0000-00003A6A0000}"/>
    <cellStyle name="Percent 3" xfId="27190" xr:uid="{00000000-0005-0000-0000-00003B6A0000}"/>
    <cellStyle name="Percent 3 2" xfId="27191" xr:uid="{00000000-0005-0000-0000-00003C6A0000}"/>
    <cellStyle name="Percent 3 2 2" xfId="27192" xr:uid="{00000000-0005-0000-0000-00003D6A0000}"/>
    <cellStyle name="Percent 3 2 2 2" xfId="27193" xr:uid="{00000000-0005-0000-0000-00003E6A0000}"/>
    <cellStyle name="Percent 3 2 2 2 2" xfId="27194" xr:uid="{00000000-0005-0000-0000-00003F6A0000}"/>
    <cellStyle name="Percent 3 2 2 2 2 2" xfId="27195" xr:uid="{00000000-0005-0000-0000-0000406A0000}"/>
    <cellStyle name="Percent 3 2 2 2 3" xfId="27196" xr:uid="{00000000-0005-0000-0000-0000416A0000}"/>
    <cellStyle name="Percent 3 2 2 3" xfId="27197" xr:uid="{00000000-0005-0000-0000-0000426A0000}"/>
    <cellStyle name="Percent 3 2 2 3 2" xfId="27198" xr:uid="{00000000-0005-0000-0000-0000436A0000}"/>
    <cellStyle name="Percent 3 2 2 4" xfId="27199" xr:uid="{00000000-0005-0000-0000-0000446A0000}"/>
    <cellStyle name="Percent 3 2 3" xfId="27200" xr:uid="{00000000-0005-0000-0000-0000456A0000}"/>
    <cellStyle name="Percent 3 2 3 2" xfId="27201" xr:uid="{00000000-0005-0000-0000-0000466A0000}"/>
    <cellStyle name="Percent 3 2 3 2 2" xfId="27202" xr:uid="{00000000-0005-0000-0000-0000476A0000}"/>
    <cellStyle name="Percent 3 2 3 3" xfId="27203" xr:uid="{00000000-0005-0000-0000-0000486A0000}"/>
    <cellStyle name="Percent 3 2 4" xfId="27204" xr:uid="{00000000-0005-0000-0000-0000496A0000}"/>
    <cellStyle name="Percent 3 2 4 2" xfId="27205" xr:uid="{00000000-0005-0000-0000-00004A6A0000}"/>
    <cellStyle name="Percent 3 2 5" xfId="27206" xr:uid="{00000000-0005-0000-0000-00004B6A0000}"/>
    <cellStyle name="Percent 3 3" xfId="27207" xr:uid="{00000000-0005-0000-0000-00004C6A0000}"/>
    <cellStyle name="Percent 3 3 2" xfId="27208" xr:uid="{00000000-0005-0000-0000-00004D6A0000}"/>
    <cellStyle name="Percent 3 3 2 2" xfId="27209" xr:uid="{00000000-0005-0000-0000-00004E6A0000}"/>
    <cellStyle name="Percent 3 3 2 2 2" xfId="27210" xr:uid="{00000000-0005-0000-0000-00004F6A0000}"/>
    <cellStyle name="Percent 3 3 2 3" xfId="27211" xr:uid="{00000000-0005-0000-0000-0000506A0000}"/>
    <cellStyle name="Percent 3 3 3" xfId="27212" xr:uid="{00000000-0005-0000-0000-0000516A0000}"/>
    <cellStyle name="Percent 3 3 3 2" xfId="27213" xr:uid="{00000000-0005-0000-0000-0000526A0000}"/>
    <cellStyle name="Percent 3 3 4" xfId="27214" xr:uid="{00000000-0005-0000-0000-0000536A0000}"/>
    <cellStyle name="Percent 3 4" xfId="27215" xr:uid="{00000000-0005-0000-0000-0000546A0000}"/>
    <cellStyle name="Percent 3 4 2" xfId="27216" xr:uid="{00000000-0005-0000-0000-0000556A0000}"/>
    <cellStyle name="Percent 3 4 2 2" xfId="27217" xr:uid="{00000000-0005-0000-0000-0000566A0000}"/>
    <cellStyle name="Percent 3 4 3" xfId="27218" xr:uid="{00000000-0005-0000-0000-0000576A0000}"/>
    <cellStyle name="Percent 3 5" xfId="27219" xr:uid="{00000000-0005-0000-0000-0000586A0000}"/>
    <cellStyle name="Percent 3 5 2" xfId="27220" xr:uid="{00000000-0005-0000-0000-0000596A0000}"/>
    <cellStyle name="Percent 3 6" xfId="27221" xr:uid="{00000000-0005-0000-0000-00005A6A0000}"/>
    <cellStyle name="Percent 4" xfId="27222" xr:uid="{00000000-0005-0000-0000-00005B6A0000}"/>
    <cellStyle name="Percent 4 2" xfId="27223" xr:uid="{00000000-0005-0000-0000-00005C6A0000}"/>
    <cellStyle name="Percent 4 3" xfId="27224" xr:uid="{00000000-0005-0000-0000-00005D6A0000}"/>
    <cellStyle name="Percent 4 3 2" xfId="27225" xr:uid="{00000000-0005-0000-0000-00005E6A0000}"/>
    <cellStyle name="Percent 5" xfId="27226" xr:uid="{00000000-0005-0000-0000-00005F6A0000}"/>
    <cellStyle name="Percent 5 2" xfId="27227" xr:uid="{00000000-0005-0000-0000-0000606A0000}"/>
    <cellStyle name="Percent 5 3" xfId="27228" xr:uid="{00000000-0005-0000-0000-0000616A0000}"/>
    <cellStyle name="Percent 6" xfId="27229" xr:uid="{00000000-0005-0000-0000-0000626A0000}"/>
    <cellStyle name="Percent 6 2" xfId="27230" xr:uid="{00000000-0005-0000-0000-0000636A0000}"/>
    <cellStyle name="Percent 7" xfId="27231" xr:uid="{00000000-0005-0000-0000-0000646A0000}"/>
    <cellStyle name="Percent 7 2" xfId="27232" xr:uid="{00000000-0005-0000-0000-0000656A0000}"/>
    <cellStyle name="Percent 8" xfId="27233" xr:uid="{00000000-0005-0000-0000-0000666A0000}"/>
    <cellStyle name="Percent 8 2" xfId="27234" xr:uid="{00000000-0005-0000-0000-0000676A0000}"/>
    <cellStyle name="Percent 9" xfId="27235" xr:uid="{00000000-0005-0000-0000-0000686A0000}"/>
    <cellStyle name="PERCENTAGE" xfId="27236" xr:uid="{00000000-0005-0000-0000-0000696A0000}"/>
    <cellStyle name="Percentage (2dp)" xfId="27237" xr:uid="{00000000-0005-0000-0000-00006A6A0000}"/>
    <cellStyle name="PERCENTAGE 10" xfId="27238" xr:uid="{00000000-0005-0000-0000-00006B6A0000}"/>
    <cellStyle name="PERCENTAGE 11" xfId="27239" xr:uid="{00000000-0005-0000-0000-00006C6A0000}"/>
    <cellStyle name="PERCENTAGE 12" xfId="27240" xr:uid="{00000000-0005-0000-0000-00006D6A0000}"/>
    <cellStyle name="PERCENTAGE 13" xfId="27241" xr:uid="{00000000-0005-0000-0000-00006E6A0000}"/>
    <cellStyle name="PERCENTAGE 14" xfId="27242" xr:uid="{00000000-0005-0000-0000-00006F6A0000}"/>
    <cellStyle name="PERCENTAGE 15" xfId="27243" xr:uid="{00000000-0005-0000-0000-0000706A0000}"/>
    <cellStyle name="PERCENTAGE 16" xfId="27244" xr:uid="{00000000-0005-0000-0000-0000716A0000}"/>
    <cellStyle name="PERCENTAGE 17" xfId="27245" xr:uid="{00000000-0005-0000-0000-0000726A0000}"/>
    <cellStyle name="PERCENTAGE 18" xfId="27246" xr:uid="{00000000-0005-0000-0000-0000736A0000}"/>
    <cellStyle name="PERCENTAGE 19" xfId="27247" xr:uid="{00000000-0005-0000-0000-0000746A0000}"/>
    <cellStyle name="PERCENTAGE 2" xfId="27248" xr:uid="{00000000-0005-0000-0000-0000756A0000}"/>
    <cellStyle name="PERCENTAGE 20" xfId="27249" xr:uid="{00000000-0005-0000-0000-0000766A0000}"/>
    <cellStyle name="PERCENTAGE 21" xfId="27250" xr:uid="{00000000-0005-0000-0000-0000776A0000}"/>
    <cellStyle name="PERCENTAGE 22" xfId="27251" xr:uid="{00000000-0005-0000-0000-0000786A0000}"/>
    <cellStyle name="PERCENTAGE 23" xfId="27252" xr:uid="{00000000-0005-0000-0000-0000796A0000}"/>
    <cellStyle name="PERCENTAGE 24" xfId="27253" xr:uid="{00000000-0005-0000-0000-00007A6A0000}"/>
    <cellStyle name="PERCENTAGE 25" xfId="27254" xr:uid="{00000000-0005-0000-0000-00007B6A0000}"/>
    <cellStyle name="PERCENTAGE 26" xfId="27255" xr:uid="{00000000-0005-0000-0000-00007C6A0000}"/>
    <cellStyle name="PERCENTAGE 27" xfId="27256" xr:uid="{00000000-0005-0000-0000-00007D6A0000}"/>
    <cellStyle name="PERCENTAGE 28" xfId="27257" xr:uid="{00000000-0005-0000-0000-00007E6A0000}"/>
    <cellStyle name="PERCENTAGE 29" xfId="27258" xr:uid="{00000000-0005-0000-0000-00007F6A0000}"/>
    <cellStyle name="PERCENTAGE 3" xfId="27259" xr:uid="{00000000-0005-0000-0000-0000806A0000}"/>
    <cellStyle name="PERCENTAGE 30" xfId="27260" xr:uid="{00000000-0005-0000-0000-0000816A0000}"/>
    <cellStyle name="PERCENTAGE 31" xfId="27261" xr:uid="{00000000-0005-0000-0000-0000826A0000}"/>
    <cellStyle name="PERCENTAGE 32" xfId="27262" xr:uid="{00000000-0005-0000-0000-0000836A0000}"/>
    <cellStyle name="PERCENTAGE 33" xfId="27263" xr:uid="{00000000-0005-0000-0000-0000846A0000}"/>
    <cellStyle name="PERCENTAGE 34" xfId="27264" xr:uid="{00000000-0005-0000-0000-0000856A0000}"/>
    <cellStyle name="PERCENTAGE 35" xfId="27265" xr:uid="{00000000-0005-0000-0000-0000866A0000}"/>
    <cellStyle name="PERCENTAGE 36" xfId="27266" xr:uid="{00000000-0005-0000-0000-0000876A0000}"/>
    <cellStyle name="PERCENTAGE 37" xfId="27267" xr:uid="{00000000-0005-0000-0000-0000886A0000}"/>
    <cellStyle name="PERCENTAGE 38" xfId="27268" xr:uid="{00000000-0005-0000-0000-0000896A0000}"/>
    <cellStyle name="PERCENTAGE 39" xfId="27269" xr:uid="{00000000-0005-0000-0000-00008A6A0000}"/>
    <cellStyle name="PERCENTAGE 4" xfId="27270" xr:uid="{00000000-0005-0000-0000-00008B6A0000}"/>
    <cellStyle name="PERCENTAGE 40" xfId="27271" xr:uid="{00000000-0005-0000-0000-00008C6A0000}"/>
    <cellStyle name="PERCENTAGE 41" xfId="27272" xr:uid="{00000000-0005-0000-0000-00008D6A0000}"/>
    <cellStyle name="PERCENTAGE 42" xfId="27273" xr:uid="{00000000-0005-0000-0000-00008E6A0000}"/>
    <cellStyle name="PERCENTAGE 5" xfId="27274" xr:uid="{00000000-0005-0000-0000-00008F6A0000}"/>
    <cellStyle name="PERCENTAGE 6" xfId="27275" xr:uid="{00000000-0005-0000-0000-0000906A0000}"/>
    <cellStyle name="PERCENTAGE 7" xfId="27276" xr:uid="{00000000-0005-0000-0000-0000916A0000}"/>
    <cellStyle name="PERCENTAGE 8" xfId="27277" xr:uid="{00000000-0005-0000-0000-0000926A0000}"/>
    <cellStyle name="PERCENTAGE 9" xfId="27278" xr:uid="{00000000-0005-0000-0000-0000936A0000}"/>
    <cellStyle name="Percentage_MobileV12" xfId="27279" xr:uid="{00000000-0005-0000-0000-0000946A0000}"/>
    <cellStyle name="PercentSales" xfId="27280" xr:uid="{00000000-0005-0000-0000-0000956A0000}"/>
    <cellStyle name="Porcentaje" xfId="27281" xr:uid="{00000000-0005-0000-0000-0000966A0000}"/>
    <cellStyle name="Porcentaje 2" xfId="27282" xr:uid="{00000000-0005-0000-0000-0000976A0000}"/>
    <cellStyle name="Porcentaje 2 2" xfId="27283" xr:uid="{00000000-0005-0000-0000-0000986A0000}"/>
    <cellStyle name="Porcentaje 3" xfId="27284" xr:uid="{00000000-0005-0000-0000-0000996A0000}"/>
    <cellStyle name="Porcentaje 3 2" xfId="27285" xr:uid="{00000000-0005-0000-0000-00009A6A0000}"/>
    <cellStyle name="Porcentaje 4" xfId="27286" xr:uid="{00000000-0005-0000-0000-00009B6A0000}"/>
    <cellStyle name="pourcent" xfId="27287" xr:uid="{00000000-0005-0000-0000-00009C6A0000}"/>
    <cellStyle name="Pourcentage_pldt" xfId="27288" xr:uid="{00000000-0005-0000-0000-00009D6A0000}"/>
    <cellStyle name="Prefilled" xfId="27289" xr:uid="{00000000-0005-0000-0000-00009E6A0000}"/>
    <cellStyle name="Prefilled 10" xfId="27290" xr:uid="{00000000-0005-0000-0000-00009F6A0000}"/>
    <cellStyle name="Prefilled 11" xfId="27291" xr:uid="{00000000-0005-0000-0000-0000A06A0000}"/>
    <cellStyle name="Prefilled 12" xfId="27292" xr:uid="{00000000-0005-0000-0000-0000A16A0000}"/>
    <cellStyle name="Prefilled 13" xfId="27293" xr:uid="{00000000-0005-0000-0000-0000A26A0000}"/>
    <cellStyle name="Prefilled 14" xfId="27294" xr:uid="{00000000-0005-0000-0000-0000A36A0000}"/>
    <cellStyle name="Prefilled 15" xfId="27295" xr:uid="{00000000-0005-0000-0000-0000A46A0000}"/>
    <cellStyle name="Prefilled 16" xfId="27296" xr:uid="{00000000-0005-0000-0000-0000A56A0000}"/>
    <cellStyle name="Prefilled 17" xfId="27297" xr:uid="{00000000-0005-0000-0000-0000A66A0000}"/>
    <cellStyle name="Prefilled 18" xfId="27298" xr:uid="{00000000-0005-0000-0000-0000A76A0000}"/>
    <cellStyle name="Prefilled 19" xfId="27299" xr:uid="{00000000-0005-0000-0000-0000A86A0000}"/>
    <cellStyle name="Prefilled 2" xfId="27300" xr:uid="{00000000-0005-0000-0000-0000A96A0000}"/>
    <cellStyle name="Prefilled 2 10" xfId="27301" xr:uid="{00000000-0005-0000-0000-0000AA6A0000}"/>
    <cellStyle name="Prefilled 2 11" xfId="27302" xr:uid="{00000000-0005-0000-0000-0000AB6A0000}"/>
    <cellStyle name="Prefilled 2 12" xfId="27303" xr:uid="{00000000-0005-0000-0000-0000AC6A0000}"/>
    <cellStyle name="Prefilled 2 13" xfId="27304" xr:uid="{00000000-0005-0000-0000-0000AD6A0000}"/>
    <cellStyle name="Prefilled 2 14" xfId="27305" xr:uid="{00000000-0005-0000-0000-0000AE6A0000}"/>
    <cellStyle name="Prefilled 2 15" xfId="27306" xr:uid="{00000000-0005-0000-0000-0000AF6A0000}"/>
    <cellStyle name="Prefilled 2 16" xfId="27307" xr:uid="{00000000-0005-0000-0000-0000B06A0000}"/>
    <cellStyle name="Prefilled 2 17" xfId="27308" xr:uid="{00000000-0005-0000-0000-0000B16A0000}"/>
    <cellStyle name="Prefilled 2 18" xfId="27309" xr:uid="{00000000-0005-0000-0000-0000B26A0000}"/>
    <cellStyle name="Prefilled 2 19" xfId="27310" xr:uid="{00000000-0005-0000-0000-0000B36A0000}"/>
    <cellStyle name="Prefilled 2 2" xfId="27311" xr:uid="{00000000-0005-0000-0000-0000B46A0000}"/>
    <cellStyle name="Prefilled 2 2 10" xfId="27312" xr:uid="{00000000-0005-0000-0000-0000B56A0000}"/>
    <cellStyle name="Prefilled 2 2 11" xfId="27313" xr:uid="{00000000-0005-0000-0000-0000B66A0000}"/>
    <cellStyle name="Prefilled 2 2 12" xfId="27314" xr:uid="{00000000-0005-0000-0000-0000B76A0000}"/>
    <cellStyle name="Prefilled 2 2 13" xfId="27315" xr:uid="{00000000-0005-0000-0000-0000B86A0000}"/>
    <cellStyle name="Prefilled 2 2 14" xfId="27316" xr:uid="{00000000-0005-0000-0000-0000B96A0000}"/>
    <cellStyle name="Prefilled 2 2 15" xfId="27317" xr:uid="{00000000-0005-0000-0000-0000BA6A0000}"/>
    <cellStyle name="Prefilled 2 2 16" xfId="27318" xr:uid="{00000000-0005-0000-0000-0000BB6A0000}"/>
    <cellStyle name="Prefilled 2 2 17" xfId="27319" xr:uid="{00000000-0005-0000-0000-0000BC6A0000}"/>
    <cellStyle name="Prefilled 2 2 18" xfId="27320" xr:uid="{00000000-0005-0000-0000-0000BD6A0000}"/>
    <cellStyle name="Prefilled 2 2 19" xfId="27321" xr:uid="{00000000-0005-0000-0000-0000BE6A0000}"/>
    <cellStyle name="Prefilled 2 2 2" xfId="27322" xr:uid="{00000000-0005-0000-0000-0000BF6A0000}"/>
    <cellStyle name="Prefilled 2 2 2 10" xfId="27323" xr:uid="{00000000-0005-0000-0000-0000C06A0000}"/>
    <cellStyle name="Prefilled 2 2 2 11" xfId="27324" xr:uid="{00000000-0005-0000-0000-0000C16A0000}"/>
    <cellStyle name="Prefilled 2 2 2 12" xfId="27325" xr:uid="{00000000-0005-0000-0000-0000C26A0000}"/>
    <cellStyle name="Prefilled 2 2 2 13" xfId="27326" xr:uid="{00000000-0005-0000-0000-0000C36A0000}"/>
    <cellStyle name="Prefilled 2 2 2 14" xfId="27327" xr:uid="{00000000-0005-0000-0000-0000C46A0000}"/>
    <cellStyle name="Prefilled 2 2 2 15" xfId="27328" xr:uid="{00000000-0005-0000-0000-0000C56A0000}"/>
    <cellStyle name="Prefilled 2 2 2 16" xfId="27329" xr:uid="{00000000-0005-0000-0000-0000C66A0000}"/>
    <cellStyle name="Prefilled 2 2 2 17" xfId="27330" xr:uid="{00000000-0005-0000-0000-0000C76A0000}"/>
    <cellStyle name="Prefilled 2 2 2 18" xfId="27331" xr:uid="{00000000-0005-0000-0000-0000C86A0000}"/>
    <cellStyle name="Prefilled 2 2 2 19" xfId="27332" xr:uid="{00000000-0005-0000-0000-0000C96A0000}"/>
    <cellStyle name="Prefilled 2 2 2 2" xfId="27333" xr:uid="{00000000-0005-0000-0000-0000CA6A0000}"/>
    <cellStyle name="Prefilled 2 2 2 2 2" xfId="27334" xr:uid="{00000000-0005-0000-0000-0000CB6A0000}"/>
    <cellStyle name="Prefilled 2 2 2 2 3" xfId="27335" xr:uid="{00000000-0005-0000-0000-0000CC6A0000}"/>
    <cellStyle name="Prefilled 2 2 2 20" xfId="27336" xr:uid="{00000000-0005-0000-0000-0000CD6A0000}"/>
    <cellStyle name="Prefilled 2 2 2 21" xfId="27337" xr:uid="{00000000-0005-0000-0000-0000CE6A0000}"/>
    <cellStyle name="Prefilled 2 2 2 22" xfId="27338" xr:uid="{00000000-0005-0000-0000-0000CF6A0000}"/>
    <cellStyle name="Prefilled 2 2 2 23" xfId="27339" xr:uid="{00000000-0005-0000-0000-0000D06A0000}"/>
    <cellStyle name="Prefilled 2 2 2 24" xfId="27340" xr:uid="{00000000-0005-0000-0000-0000D16A0000}"/>
    <cellStyle name="Prefilled 2 2 2 25" xfId="27341" xr:uid="{00000000-0005-0000-0000-0000D26A0000}"/>
    <cellStyle name="Prefilled 2 2 2 26" xfId="27342" xr:uid="{00000000-0005-0000-0000-0000D36A0000}"/>
    <cellStyle name="Prefilled 2 2 2 27" xfId="27343" xr:uid="{00000000-0005-0000-0000-0000D46A0000}"/>
    <cellStyle name="Prefilled 2 2 2 28" xfId="27344" xr:uid="{00000000-0005-0000-0000-0000D56A0000}"/>
    <cellStyle name="Prefilled 2 2 2 29" xfId="27345" xr:uid="{00000000-0005-0000-0000-0000D66A0000}"/>
    <cellStyle name="Prefilled 2 2 2 3" xfId="27346" xr:uid="{00000000-0005-0000-0000-0000D76A0000}"/>
    <cellStyle name="Prefilled 2 2 2 30" xfId="27347" xr:uid="{00000000-0005-0000-0000-0000D86A0000}"/>
    <cellStyle name="Prefilled 2 2 2 31" xfId="27348" xr:uid="{00000000-0005-0000-0000-0000D96A0000}"/>
    <cellStyle name="Prefilled 2 2 2 32" xfId="27349" xr:uid="{00000000-0005-0000-0000-0000DA6A0000}"/>
    <cellStyle name="Prefilled 2 2 2 33" xfId="27350" xr:uid="{00000000-0005-0000-0000-0000DB6A0000}"/>
    <cellStyle name="Prefilled 2 2 2 34" xfId="27351" xr:uid="{00000000-0005-0000-0000-0000DC6A0000}"/>
    <cellStyle name="Prefilled 2 2 2 35" xfId="27352" xr:uid="{00000000-0005-0000-0000-0000DD6A0000}"/>
    <cellStyle name="Prefilled 2 2 2 36" xfId="27353" xr:uid="{00000000-0005-0000-0000-0000DE6A0000}"/>
    <cellStyle name="Prefilled 2 2 2 4" xfId="27354" xr:uid="{00000000-0005-0000-0000-0000DF6A0000}"/>
    <cellStyle name="Prefilled 2 2 2 5" xfId="27355" xr:uid="{00000000-0005-0000-0000-0000E06A0000}"/>
    <cellStyle name="Prefilled 2 2 2 6" xfId="27356" xr:uid="{00000000-0005-0000-0000-0000E16A0000}"/>
    <cellStyle name="Prefilled 2 2 2 7" xfId="27357" xr:uid="{00000000-0005-0000-0000-0000E26A0000}"/>
    <cellStyle name="Prefilled 2 2 2 8" xfId="27358" xr:uid="{00000000-0005-0000-0000-0000E36A0000}"/>
    <cellStyle name="Prefilled 2 2 2 9" xfId="27359" xr:uid="{00000000-0005-0000-0000-0000E46A0000}"/>
    <cellStyle name="Prefilled 2 2 20" xfId="27360" xr:uid="{00000000-0005-0000-0000-0000E56A0000}"/>
    <cellStyle name="Prefilled 2 2 21" xfId="27361" xr:uid="{00000000-0005-0000-0000-0000E66A0000}"/>
    <cellStyle name="Prefilled 2 2 22" xfId="27362" xr:uid="{00000000-0005-0000-0000-0000E76A0000}"/>
    <cellStyle name="Prefilled 2 2 23" xfId="27363" xr:uid="{00000000-0005-0000-0000-0000E86A0000}"/>
    <cellStyle name="Prefilled 2 2 24" xfId="27364" xr:uid="{00000000-0005-0000-0000-0000E96A0000}"/>
    <cellStyle name="Prefilled 2 2 25" xfId="27365" xr:uid="{00000000-0005-0000-0000-0000EA6A0000}"/>
    <cellStyle name="Prefilled 2 2 26" xfId="27366" xr:uid="{00000000-0005-0000-0000-0000EB6A0000}"/>
    <cellStyle name="Prefilled 2 2 27" xfId="27367" xr:uid="{00000000-0005-0000-0000-0000EC6A0000}"/>
    <cellStyle name="Prefilled 2 2 28" xfId="27368" xr:uid="{00000000-0005-0000-0000-0000ED6A0000}"/>
    <cellStyle name="Prefilled 2 2 29" xfId="27369" xr:uid="{00000000-0005-0000-0000-0000EE6A0000}"/>
    <cellStyle name="Prefilled 2 2 3" xfId="27370" xr:uid="{00000000-0005-0000-0000-0000EF6A0000}"/>
    <cellStyle name="Prefilled 2 2 3 2" xfId="27371" xr:uid="{00000000-0005-0000-0000-0000F06A0000}"/>
    <cellStyle name="Prefilled 2 2 3 2 2" xfId="27372" xr:uid="{00000000-0005-0000-0000-0000F16A0000}"/>
    <cellStyle name="Prefilled 2 2 3 2 3" xfId="27373" xr:uid="{00000000-0005-0000-0000-0000F26A0000}"/>
    <cellStyle name="Prefilled 2 2 3 3" xfId="27374" xr:uid="{00000000-0005-0000-0000-0000F36A0000}"/>
    <cellStyle name="Prefilled 2 2 3 3 2" xfId="27375" xr:uid="{00000000-0005-0000-0000-0000F46A0000}"/>
    <cellStyle name="Prefilled 2 2 3 3 3" xfId="27376" xr:uid="{00000000-0005-0000-0000-0000F56A0000}"/>
    <cellStyle name="Prefilled 2 2 3 4" xfId="27377" xr:uid="{00000000-0005-0000-0000-0000F66A0000}"/>
    <cellStyle name="Prefilled 2 2 3 5" xfId="27378" xr:uid="{00000000-0005-0000-0000-0000F76A0000}"/>
    <cellStyle name="Prefilled 2 2 30" xfId="27379" xr:uid="{00000000-0005-0000-0000-0000F86A0000}"/>
    <cellStyle name="Prefilled 2 2 31" xfId="27380" xr:uid="{00000000-0005-0000-0000-0000F96A0000}"/>
    <cellStyle name="Prefilled 2 2 32" xfId="27381" xr:uid="{00000000-0005-0000-0000-0000FA6A0000}"/>
    <cellStyle name="Prefilled 2 2 33" xfId="27382" xr:uid="{00000000-0005-0000-0000-0000FB6A0000}"/>
    <cellStyle name="Prefilled 2 2 34" xfId="27383" xr:uid="{00000000-0005-0000-0000-0000FC6A0000}"/>
    <cellStyle name="Prefilled 2 2 35" xfId="27384" xr:uid="{00000000-0005-0000-0000-0000FD6A0000}"/>
    <cellStyle name="Prefilled 2 2 36" xfId="27385" xr:uid="{00000000-0005-0000-0000-0000FE6A0000}"/>
    <cellStyle name="Prefilled 2 2 4" xfId="27386" xr:uid="{00000000-0005-0000-0000-0000FF6A0000}"/>
    <cellStyle name="Prefilled 2 2 4 2" xfId="27387" xr:uid="{00000000-0005-0000-0000-0000006B0000}"/>
    <cellStyle name="Prefilled 2 2 4 2 2" xfId="27388" xr:uid="{00000000-0005-0000-0000-0000016B0000}"/>
    <cellStyle name="Prefilled 2 2 4 2 3" xfId="27389" xr:uid="{00000000-0005-0000-0000-0000026B0000}"/>
    <cellStyle name="Prefilled 2 2 4 3" xfId="27390" xr:uid="{00000000-0005-0000-0000-0000036B0000}"/>
    <cellStyle name="Prefilled 2 2 4 3 2" xfId="27391" xr:uid="{00000000-0005-0000-0000-0000046B0000}"/>
    <cellStyle name="Prefilled 2 2 4 3 3" xfId="27392" xr:uid="{00000000-0005-0000-0000-0000056B0000}"/>
    <cellStyle name="Prefilled 2 2 4 4" xfId="27393" xr:uid="{00000000-0005-0000-0000-0000066B0000}"/>
    <cellStyle name="Prefilled 2 2 4 5" xfId="27394" xr:uid="{00000000-0005-0000-0000-0000076B0000}"/>
    <cellStyle name="Prefilled 2 2 5" xfId="27395" xr:uid="{00000000-0005-0000-0000-0000086B0000}"/>
    <cellStyle name="Prefilled 2 2 5 2" xfId="27396" xr:uid="{00000000-0005-0000-0000-0000096B0000}"/>
    <cellStyle name="Prefilled 2 2 5 3" xfId="27397" xr:uid="{00000000-0005-0000-0000-00000A6B0000}"/>
    <cellStyle name="Prefilled 2 2 6" xfId="27398" xr:uid="{00000000-0005-0000-0000-00000B6B0000}"/>
    <cellStyle name="Prefilled 2 2 7" xfId="27399" xr:uid="{00000000-0005-0000-0000-00000C6B0000}"/>
    <cellStyle name="Prefilled 2 2 8" xfId="27400" xr:uid="{00000000-0005-0000-0000-00000D6B0000}"/>
    <cellStyle name="Prefilled 2 2 9" xfId="27401" xr:uid="{00000000-0005-0000-0000-00000E6B0000}"/>
    <cellStyle name="Prefilled 2 20" xfId="27402" xr:uid="{00000000-0005-0000-0000-00000F6B0000}"/>
    <cellStyle name="Prefilled 2 21" xfId="27403" xr:uid="{00000000-0005-0000-0000-0000106B0000}"/>
    <cellStyle name="Prefilled 2 22" xfId="27404" xr:uid="{00000000-0005-0000-0000-0000116B0000}"/>
    <cellStyle name="Prefilled 2 23" xfId="27405" xr:uid="{00000000-0005-0000-0000-0000126B0000}"/>
    <cellStyle name="Prefilled 2 24" xfId="27406" xr:uid="{00000000-0005-0000-0000-0000136B0000}"/>
    <cellStyle name="Prefilled 2 25" xfId="27407" xr:uid="{00000000-0005-0000-0000-0000146B0000}"/>
    <cellStyle name="Prefilled 2 26" xfId="27408" xr:uid="{00000000-0005-0000-0000-0000156B0000}"/>
    <cellStyle name="Prefilled 2 27" xfId="27409" xr:uid="{00000000-0005-0000-0000-0000166B0000}"/>
    <cellStyle name="Prefilled 2 28" xfId="27410" xr:uid="{00000000-0005-0000-0000-0000176B0000}"/>
    <cellStyle name="Prefilled 2 29" xfId="27411" xr:uid="{00000000-0005-0000-0000-0000186B0000}"/>
    <cellStyle name="Prefilled 2 3" xfId="27412" xr:uid="{00000000-0005-0000-0000-0000196B0000}"/>
    <cellStyle name="Prefilled 2 3 10" xfId="27413" xr:uid="{00000000-0005-0000-0000-00001A6B0000}"/>
    <cellStyle name="Prefilled 2 3 11" xfId="27414" xr:uid="{00000000-0005-0000-0000-00001B6B0000}"/>
    <cellStyle name="Prefilled 2 3 12" xfId="27415" xr:uid="{00000000-0005-0000-0000-00001C6B0000}"/>
    <cellStyle name="Prefilled 2 3 13" xfId="27416" xr:uid="{00000000-0005-0000-0000-00001D6B0000}"/>
    <cellStyle name="Prefilled 2 3 14" xfId="27417" xr:uid="{00000000-0005-0000-0000-00001E6B0000}"/>
    <cellStyle name="Prefilled 2 3 15" xfId="27418" xr:uid="{00000000-0005-0000-0000-00001F6B0000}"/>
    <cellStyle name="Prefilled 2 3 16" xfId="27419" xr:uid="{00000000-0005-0000-0000-0000206B0000}"/>
    <cellStyle name="Prefilled 2 3 17" xfId="27420" xr:uid="{00000000-0005-0000-0000-0000216B0000}"/>
    <cellStyle name="Prefilled 2 3 18" xfId="27421" xr:uid="{00000000-0005-0000-0000-0000226B0000}"/>
    <cellStyle name="Prefilled 2 3 19" xfId="27422" xr:uid="{00000000-0005-0000-0000-0000236B0000}"/>
    <cellStyle name="Prefilled 2 3 2" xfId="27423" xr:uid="{00000000-0005-0000-0000-0000246B0000}"/>
    <cellStyle name="Prefilled 2 3 2 2" xfId="27424" xr:uid="{00000000-0005-0000-0000-0000256B0000}"/>
    <cellStyle name="Prefilled 2 3 2 3" xfId="27425" xr:uid="{00000000-0005-0000-0000-0000266B0000}"/>
    <cellStyle name="Prefilled 2 3 20" xfId="27426" xr:uid="{00000000-0005-0000-0000-0000276B0000}"/>
    <cellStyle name="Prefilled 2 3 21" xfId="27427" xr:uid="{00000000-0005-0000-0000-0000286B0000}"/>
    <cellStyle name="Prefilled 2 3 22" xfId="27428" xr:uid="{00000000-0005-0000-0000-0000296B0000}"/>
    <cellStyle name="Prefilled 2 3 23" xfId="27429" xr:uid="{00000000-0005-0000-0000-00002A6B0000}"/>
    <cellStyle name="Prefilled 2 3 24" xfId="27430" xr:uid="{00000000-0005-0000-0000-00002B6B0000}"/>
    <cellStyle name="Prefilled 2 3 25" xfId="27431" xr:uid="{00000000-0005-0000-0000-00002C6B0000}"/>
    <cellStyle name="Prefilled 2 3 26" xfId="27432" xr:uid="{00000000-0005-0000-0000-00002D6B0000}"/>
    <cellStyle name="Prefilled 2 3 27" xfId="27433" xr:uid="{00000000-0005-0000-0000-00002E6B0000}"/>
    <cellStyle name="Prefilled 2 3 28" xfId="27434" xr:uid="{00000000-0005-0000-0000-00002F6B0000}"/>
    <cellStyle name="Prefilled 2 3 29" xfId="27435" xr:uid="{00000000-0005-0000-0000-0000306B0000}"/>
    <cellStyle name="Prefilled 2 3 3" xfId="27436" xr:uid="{00000000-0005-0000-0000-0000316B0000}"/>
    <cellStyle name="Prefilled 2 3 30" xfId="27437" xr:uid="{00000000-0005-0000-0000-0000326B0000}"/>
    <cellStyle name="Prefilled 2 3 31" xfId="27438" xr:uid="{00000000-0005-0000-0000-0000336B0000}"/>
    <cellStyle name="Prefilled 2 3 32" xfId="27439" xr:uid="{00000000-0005-0000-0000-0000346B0000}"/>
    <cellStyle name="Prefilled 2 3 33" xfId="27440" xr:uid="{00000000-0005-0000-0000-0000356B0000}"/>
    <cellStyle name="Prefilled 2 3 34" xfId="27441" xr:uid="{00000000-0005-0000-0000-0000366B0000}"/>
    <cellStyle name="Prefilled 2 3 35" xfId="27442" xr:uid="{00000000-0005-0000-0000-0000376B0000}"/>
    <cellStyle name="Prefilled 2 3 36" xfId="27443" xr:uid="{00000000-0005-0000-0000-0000386B0000}"/>
    <cellStyle name="Prefilled 2 3 4" xfId="27444" xr:uid="{00000000-0005-0000-0000-0000396B0000}"/>
    <cellStyle name="Prefilled 2 3 5" xfId="27445" xr:uid="{00000000-0005-0000-0000-00003A6B0000}"/>
    <cellStyle name="Prefilled 2 3 6" xfId="27446" xr:uid="{00000000-0005-0000-0000-00003B6B0000}"/>
    <cellStyle name="Prefilled 2 3 7" xfId="27447" xr:uid="{00000000-0005-0000-0000-00003C6B0000}"/>
    <cellStyle name="Prefilled 2 3 8" xfId="27448" xr:uid="{00000000-0005-0000-0000-00003D6B0000}"/>
    <cellStyle name="Prefilled 2 3 9" xfId="27449" xr:uid="{00000000-0005-0000-0000-00003E6B0000}"/>
    <cellStyle name="Prefilled 2 30" xfId="27450" xr:uid="{00000000-0005-0000-0000-00003F6B0000}"/>
    <cellStyle name="Prefilled 2 31" xfId="27451" xr:uid="{00000000-0005-0000-0000-0000406B0000}"/>
    <cellStyle name="Prefilled 2 32" xfId="27452" xr:uid="{00000000-0005-0000-0000-0000416B0000}"/>
    <cellStyle name="Prefilled 2 33" xfId="27453" xr:uid="{00000000-0005-0000-0000-0000426B0000}"/>
    <cellStyle name="Prefilled 2 34" xfId="27454" xr:uid="{00000000-0005-0000-0000-0000436B0000}"/>
    <cellStyle name="Prefilled 2 35" xfId="27455" xr:uid="{00000000-0005-0000-0000-0000446B0000}"/>
    <cellStyle name="Prefilled 2 36" xfId="27456" xr:uid="{00000000-0005-0000-0000-0000456B0000}"/>
    <cellStyle name="Prefilled 2 37" xfId="27457" xr:uid="{00000000-0005-0000-0000-0000466B0000}"/>
    <cellStyle name="Prefilled 2 4" xfId="27458" xr:uid="{00000000-0005-0000-0000-0000476B0000}"/>
    <cellStyle name="Prefilled 2 4 2" xfId="27459" xr:uid="{00000000-0005-0000-0000-0000486B0000}"/>
    <cellStyle name="Prefilled 2 4 2 2" xfId="27460" xr:uid="{00000000-0005-0000-0000-0000496B0000}"/>
    <cellStyle name="Prefilled 2 4 2 3" xfId="27461" xr:uid="{00000000-0005-0000-0000-00004A6B0000}"/>
    <cellStyle name="Prefilled 2 4 3" xfId="27462" xr:uid="{00000000-0005-0000-0000-00004B6B0000}"/>
    <cellStyle name="Prefilled 2 4 3 2" xfId="27463" xr:uid="{00000000-0005-0000-0000-00004C6B0000}"/>
    <cellStyle name="Prefilled 2 4 3 3" xfId="27464" xr:uid="{00000000-0005-0000-0000-00004D6B0000}"/>
    <cellStyle name="Prefilled 2 4 4" xfId="27465" xr:uid="{00000000-0005-0000-0000-00004E6B0000}"/>
    <cellStyle name="Prefilled 2 4 5" xfId="27466" xr:uid="{00000000-0005-0000-0000-00004F6B0000}"/>
    <cellStyle name="Prefilled 2 5" xfId="27467" xr:uid="{00000000-0005-0000-0000-0000506B0000}"/>
    <cellStyle name="Prefilled 2 5 2" xfId="27468" xr:uid="{00000000-0005-0000-0000-0000516B0000}"/>
    <cellStyle name="Prefilled 2 5 2 2" xfId="27469" xr:uid="{00000000-0005-0000-0000-0000526B0000}"/>
    <cellStyle name="Prefilled 2 5 2 3" xfId="27470" xr:uid="{00000000-0005-0000-0000-0000536B0000}"/>
    <cellStyle name="Prefilled 2 5 3" xfId="27471" xr:uid="{00000000-0005-0000-0000-0000546B0000}"/>
    <cellStyle name="Prefilled 2 5 3 2" xfId="27472" xr:uid="{00000000-0005-0000-0000-0000556B0000}"/>
    <cellStyle name="Prefilled 2 5 3 3" xfId="27473" xr:uid="{00000000-0005-0000-0000-0000566B0000}"/>
    <cellStyle name="Prefilled 2 5 4" xfId="27474" xr:uid="{00000000-0005-0000-0000-0000576B0000}"/>
    <cellStyle name="Prefilled 2 5 5" xfId="27475" xr:uid="{00000000-0005-0000-0000-0000586B0000}"/>
    <cellStyle name="Prefilled 2 6" xfId="27476" xr:uid="{00000000-0005-0000-0000-0000596B0000}"/>
    <cellStyle name="Prefilled 2 6 2" xfId="27477" xr:uid="{00000000-0005-0000-0000-00005A6B0000}"/>
    <cellStyle name="Prefilled 2 6 3" xfId="27478" xr:uid="{00000000-0005-0000-0000-00005B6B0000}"/>
    <cellStyle name="Prefilled 2 7" xfId="27479" xr:uid="{00000000-0005-0000-0000-00005C6B0000}"/>
    <cellStyle name="Prefilled 2 8" xfId="27480" xr:uid="{00000000-0005-0000-0000-00005D6B0000}"/>
    <cellStyle name="Prefilled 2 9" xfId="27481" xr:uid="{00000000-0005-0000-0000-00005E6B0000}"/>
    <cellStyle name="Prefilled 20" xfId="27482" xr:uid="{00000000-0005-0000-0000-00005F6B0000}"/>
    <cellStyle name="Prefilled 21" xfId="27483" xr:uid="{00000000-0005-0000-0000-0000606B0000}"/>
    <cellStyle name="Prefilled 22" xfId="27484" xr:uid="{00000000-0005-0000-0000-0000616B0000}"/>
    <cellStyle name="Prefilled 23" xfId="27485" xr:uid="{00000000-0005-0000-0000-0000626B0000}"/>
    <cellStyle name="Prefilled 24" xfId="27486" xr:uid="{00000000-0005-0000-0000-0000636B0000}"/>
    <cellStyle name="Prefilled 25" xfId="27487" xr:uid="{00000000-0005-0000-0000-0000646B0000}"/>
    <cellStyle name="Prefilled 26" xfId="27488" xr:uid="{00000000-0005-0000-0000-0000656B0000}"/>
    <cellStyle name="Prefilled 27" xfId="27489" xr:uid="{00000000-0005-0000-0000-0000666B0000}"/>
    <cellStyle name="Prefilled 28" xfId="27490" xr:uid="{00000000-0005-0000-0000-0000676B0000}"/>
    <cellStyle name="Prefilled 29" xfId="27491" xr:uid="{00000000-0005-0000-0000-0000686B0000}"/>
    <cellStyle name="Prefilled 3" xfId="27492" xr:uid="{00000000-0005-0000-0000-0000696B0000}"/>
    <cellStyle name="Prefilled 3 10" xfId="27493" xr:uid="{00000000-0005-0000-0000-00006A6B0000}"/>
    <cellStyle name="Prefilled 3 11" xfId="27494" xr:uid="{00000000-0005-0000-0000-00006B6B0000}"/>
    <cellStyle name="Prefilled 3 12" xfId="27495" xr:uid="{00000000-0005-0000-0000-00006C6B0000}"/>
    <cellStyle name="Prefilled 3 13" xfId="27496" xr:uid="{00000000-0005-0000-0000-00006D6B0000}"/>
    <cellStyle name="Prefilled 3 14" xfId="27497" xr:uid="{00000000-0005-0000-0000-00006E6B0000}"/>
    <cellStyle name="Prefilled 3 15" xfId="27498" xr:uid="{00000000-0005-0000-0000-00006F6B0000}"/>
    <cellStyle name="Prefilled 3 16" xfId="27499" xr:uid="{00000000-0005-0000-0000-0000706B0000}"/>
    <cellStyle name="Prefilled 3 17" xfId="27500" xr:uid="{00000000-0005-0000-0000-0000716B0000}"/>
    <cellStyle name="Prefilled 3 18" xfId="27501" xr:uid="{00000000-0005-0000-0000-0000726B0000}"/>
    <cellStyle name="Prefilled 3 19" xfId="27502" xr:uid="{00000000-0005-0000-0000-0000736B0000}"/>
    <cellStyle name="Prefilled 3 2" xfId="27503" xr:uid="{00000000-0005-0000-0000-0000746B0000}"/>
    <cellStyle name="Prefilled 3 2 10" xfId="27504" xr:uid="{00000000-0005-0000-0000-0000756B0000}"/>
    <cellStyle name="Prefilled 3 2 11" xfId="27505" xr:uid="{00000000-0005-0000-0000-0000766B0000}"/>
    <cellStyle name="Prefilled 3 2 12" xfId="27506" xr:uid="{00000000-0005-0000-0000-0000776B0000}"/>
    <cellStyle name="Prefilled 3 2 13" xfId="27507" xr:uid="{00000000-0005-0000-0000-0000786B0000}"/>
    <cellStyle name="Prefilled 3 2 14" xfId="27508" xr:uid="{00000000-0005-0000-0000-0000796B0000}"/>
    <cellStyle name="Prefilled 3 2 15" xfId="27509" xr:uid="{00000000-0005-0000-0000-00007A6B0000}"/>
    <cellStyle name="Prefilled 3 2 16" xfId="27510" xr:uid="{00000000-0005-0000-0000-00007B6B0000}"/>
    <cellStyle name="Prefilled 3 2 17" xfId="27511" xr:uid="{00000000-0005-0000-0000-00007C6B0000}"/>
    <cellStyle name="Prefilled 3 2 18" xfId="27512" xr:uid="{00000000-0005-0000-0000-00007D6B0000}"/>
    <cellStyle name="Prefilled 3 2 19" xfId="27513" xr:uid="{00000000-0005-0000-0000-00007E6B0000}"/>
    <cellStyle name="Prefilled 3 2 2" xfId="27514" xr:uid="{00000000-0005-0000-0000-00007F6B0000}"/>
    <cellStyle name="Prefilled 3 2 2 2" xfId="27515" xr:uid="{00000000-0005-0000-0000-0000806B0000}"/>
    <cellStyle name="Prefilled 3 2 2 3" xfId="27516" xr:uid="{00000000-0005-0000-0000-0000816B0000}"/>
    <cellStyle name="Prefilled 3 2 20" xfId="27517" xr:uid="{00000000-0005-0000-0000-0000826B0000}"/>
    <cellStyle name="Prefilled 3 2 21" xfId="27518" xr:uid="{00000000-0005-0000-0000-0000836B0000}"/>
    <cellStyle name="Prefilled 3 2 22" xfId="27519" xr:uid="{00000000-0005-0000-0000-0000846B0000}"/>
    <cellStyle name="Prefilled 3 2 23" xfId="27520" xr:uid="{00000000-0005-0000-0000-0000856B0000}"/>
    <cellStyle name="Prefilled 3 2 24" xfId="27521" xr:uid="{00000000-0005-0000-0000-0000866B0000}"/>
    <cellStyle name="Prefilled 3 2 25" xfId="27522" xr:uid="{00000000-0005-0000-0000-0000876B0000}"/>
    <cellStyle name="Prefilled 3 2 26" xfId="27523" xr:uid="{00000000-0005-0000-0000-0000886B0000}"/>
    <cellStyle name="Prefilled 3 2 27" xfId="27524" xr:uid="{00000000-0005-0000-0000-0000896B0000}"/>
    <cellStyle name="Prefilled 3 2 28" xfId="27525" xr:uid="{00000000-0005-0000-0000-00008A6B0000}"/>
    <cellStyle name="Prefilled 3 2 29" xfId="27526" xr:uid="{00000000-0005-0000-0000-00008B6B0000}"/>
    <cellStyle name="Prefilled 3 2 3" xfId="27527" xr:uid="{00000000-0005-0000-0000-00008C6B0000}"/>
    <cellStyle name="Prefilled 3 2 30" xfId="27528" xr:uid="{00000000-0005-0000-0000-00008D6B0000}"/>
    <cellStyle name="Prefilled 3 2 31" xfId="27529" xr:uid="{00000000-0005-0000-0000-00008E6B0000}"/>
    <cellStyle name="Prefilled 3 2 32" xfId="27530" xr:uid="{00000000-0005-0000-0000-00008F6B0000}"/>
    <cellStyle name="Prefilled 3 2 33" xfId="27531" xr:uid="{00000000-0005-0000-0000-0000906B0000}"/>
    <cellStyle name="Prefilled 3 2 34" xfId="27532" xr:uid="{00000000-0005-0000-0000-0000916B0000}"/>
    <cellStyle name="Prefilled 3 2 35" xfId="27533" xr:uid="{00000000-0005-0000-0000-0000926B0000}"/>
    <cellStyle name="Prefilled 3 2 36" xfId="27534" xr:uid="{00000000-0005-0000-0000-0000936B0000}"/>
    <cellStyle name="Prefilled 3 2 4" xfId="27535" xr:uid="{00000000-0005-0000-0000-0000946B0000}"/>
    <cellStyle name="Prefilled 3 2 5" xfId="27536" xr:uid="{00000000-0005-0000-0000-0000956B0000}"/>
    <cellStyle name="Prefilled 3 2 6" xfId="27537" xr:uid="{00000000-0005-0000-0000-0000966B0000}"/>
    <cellStyle name="Prefilled 3 2 7" xfId="27538" xr:uid="{00000000-0005-0000-0000-0000976B0000}"/>
    <cellStyle name="Prefilled 3 2 8" xfId="27539" xr:uid="{00000000-0005-0000-0000-0000986B0000}"/>
    <cellStyle name="Prefilled 3 2 9" xfId="27540" xr:uid="{00000000-0005-0000-0000-0000996B0000}"/>
    <cellStyle name="Prefilled 3 20" xfId="27541" xr:uid="{00000000-0005-0000-0000-00009A6B0000}"/>
    <cellStyle name="Prefilled 3 21" xfId="27542" xr:uid="{00000000-0005-0000-0000-00009B6B0000}"/>
    <cellStyle name="Prefilled 3 22" xfId="27543" xr:uid="{00000000-0005-0000-0000-00009C6B0000}"/>
    <cellStyle name="Prefilled 3 23" xfId="27544" xr:uid="{00000000-0005-0000-0000-00009D6B0000}"/>
    <cellStyle name="Prefilled 3 24" xfId="27545" xr:uid="{00000000-0005-0000-0000-00009E6B0000}"/>
    <cellStyle name="Prefilled 3 25" xfId="27546" xr:uid="{00000000-0005-0000-0000-00009F6B0000}"/>
    <cellStyle name="Prefilled 3 26" xfId="27547" xr:uid="{00000000-0005-0000-0000-0000A06B0000}"/>
    <cellStyle name="Prefilled 3 27" xfId="27548" xr:uid="{00000000-0005-0000-0000-0000A16B0000}"/>
    <cellStyle name="Prefilled 3 28" xfId="27549" xr:uid="{00000000-0005-0000-0000-0000A26B0000}"/>
    <cellStyle name="Prefilled 3 29" xfId="27550" xr:uid="{00000000-0005-0000-0000-0000A36B0000}"/>
    <cellStyle name="Prefilled 3 3" xfId="27551" xr:uid="{00000000-0005-0000-0000-0000A46B0000}"/>
    <cellStyle name="Prefilled 3 3 2" xfId="27552" xr:uid="{00000000-0005-0000-0000-0000A56B0000}"/>
    <cellStyle name="Prefilled 3 3 2 2" xfId="27553" xr:uid="{00000000-0005-0000-0000-0000A66B0000}"/>
    <cellStyle name="Prefilled 3 3 2 3" xfId="27554" xr:uid="{00000000-0005-0000-0000-0000A76B0000}"/>
    <cellStyle name="Prefilled 3 3 3" xfId="27555" xr:uid="{00000000-0005-0000-0000-0000A86B0000}"/>
    <cellStyle name="Prefilled 3 3 3 2" xfId="27556" xr:uid="{00000000-0005-0000-0000-0000A96B0000}"/>
    <cellStyle name="Prefilled 3 3 3 3" xfId="27557" xr:uid="{00000000-0005-0000-0000-0000AA6B0000}"/>
    <cellStyle name="Prefilled 3 3 4" xfId="27558" xr:uid="{00000000-0005-0000-0000-0000AB6B0000}"/>
    <cellStyle name="Prefilled 3 3 5" xfId="27559" xr:uid="{00000000-0005-0000-0000-0000AC6B0000}"/>
    <cellStyle name="Prefilled 3 30" xfId="27560" xr:uid="{00000000-0005-0000-0000-0000AD6B0000}"/>
    <cellStyle name="Prefilled 3 31" xfId="27561" xr:uid="{00000000-0005-0000-0000-0000AE6B0000}"/>
    <cellStyle name="Prefilled 3 32" xfId="27562" xr:uid="{00000000-0005-0000-0000-0000AF6B0000}"/>
    <cellStyle name="Prefilled 3 33" xfId="27563" xr:uid="{00000000-0005-0000-0000-0000B06B0000}"/>
    <cellStyle name="Prefilled 3 34" xfId="27564" xr:uid="{00000000-0005-0000-0000-0000B16B0000}"/>
    <cellStyle name="Prefilled 3 35" xfId="27565" xr:uid="{00000000-0005-0000-0000-0000B26B0000}"/>
    <cellStyle name="Prefilled 3 36" xfId="27566" xr:uid="{00000000-0005-0000-0000-0000B36B0000}"/>
    <cellStyle name="Prefilled 3 4" xfId="27567" xr:uid="{00000000-0005-0000-0000-0000B46B0000}"/>
    <cellStyle name="Prefilled 3 4 2" xfId="27568" xr:uid="{00000000-0005-0000-0000-0000B56B0000}"/>
    <cellStyle name="Prefilled 3 4 2 2" xfId="27569" xr:uid="{00000000-0005-0000-0000-0000B66B0000}"/>
    <cellStyle name="Prefilled 3 4 2 3" xfId="27570" xr:uid="{00000000-0005-0000-0000-0000B76B0000}"/>
    <cellStyle name="Prefilled 3 4 3" xfId="27571" xr:uid="{00000000-0005-0000-0000-0000B86B0000}"/>
    <cellStyle name="Prefilled 3 4 3 2" xfId="27572" xr:uid="{00000000-0005-0000-0000-0000B96B0000}"/>
    <cellStyle name="Prefilled 3 4 3 3" xfId="27573" xr:uid="{00000000-0005-0000-0000-0000BA6B0000}"/>
    <cellStyle name="Prefilled 3 4 4" xfId="27574" xr:uid="{00000000-0005-0000-0000-0000BB6B0000}"/>
    <cellStyle name="Prefilled 3 4 5" xfId="27575" xr:uid="{00000000-0005-0000-0000-0000BC6B0000}"/>
    <cellStyle name="Prefilled 3 5" xfId="27576" xr:uid="{00000000-0005-0000-0000-0000BD6B0000}"/>
    <cellStyle name="Prefilled 3 5 2" xfId="27577" xr:uid="{00000000-0005-0000-0000-0000BE6B0000}"/>
    <cellStyle name="Prefilled 3 5 3" xfId="27578" xr:uid="{00000000-0005-0000-0000-0000BF6B0000}"/>
    <cellStyle name="Prefilled 3 6" xfId="27579" xr:uid="{00000000-0005-0000-0000-0000C06B0000}"/>
    <cellStyle name="Prefilled 3 7" xfId="27580" xr:uid="{00000000-0005-0000-0000-0000C16B0000}"/>
    <cellStyle name="Prefilled 3 8" xfId="27581" xr:uid="{00000000-0005-0000-0000-0000C26B0000}"/>
    <cellStyle name="Prefilled 3 9" xfId="27582" xr:uid="{00000000-0005-0000-0000-0000C36B0000}"/>
    <cellStyle name="Prefilled 30" xfId="27583" xr:uid="{00000000-0005-0000-0000-0000C46B0000}"/>
    <cellStyle name="Prefilled 31" xfId="27584" xr:uid="{00000000-0005-0000-0000-0000C56B0000}"/>
    <cellStyle name="Prefilled 32" xfId="27585" xr:uid="{00000000-0005-0000-0000-0000C66B0000}"/>
    <cellStyle name="Prefilled 33" xfId="27586" xr:uid="{00000000-0005-0000-0000-0000C76B0000}"/>
    <cellStyle name="Prefilled 34" xfId="27587" xr:uid="{00000000-0005-0000-0000-0000C86B0000}"/>
    <cellStyle name="Prefilled 35" xfId="27588" xr:uid="{00000000-0005-0000-0000-0000C96B0000}"/>
    <cellStyle name="Prefilled 36" xfId="27589" xr:uid="{00000000-0005-0000-0000-0000CA6B0000}"/>
    <cellStyle name="Prefilled 37" xfId="27590" xr:uid="{00000000-0005-0000-0000-0000CB6B0000}"/>
    <cellStyle name="Prefilled 38" xfId="27591" xr:uid="{00000000-0005-0000-0000-0000CC6B0000}"/>
    <cellStyle name="Prefilled 4" xfId="27592" xr:uid="{00000000-0005-0000-0000-0000CD6B0000}"/>
    <cellStyle name="Prefilled 4 10" xfId="27593" xr:uid="{00000000-0005-0000-0000-0000CE6B0000}"/>
    <cellStyle name="Prefilled 4 11" xfId="27594" xr:uid="{00000000-0005-0000-0000-0000CF6B0000}"/>
    <cellStyle name="Prefilled 4 12" xfId="27595" xr:uid="{00000000-0005-0000-0000-0000D06B0000}"/>
    <cellStyle name="Prefilled 4 13" xfId="27596" xr:uid="{00000000-0005-0000-0000-0000D16B0000}"/>
    <cellStyle name="Prefilled 4 14" xfId="27597" xr:uid="{00000000-0005-0000-0000-0000D26B0000}"/>
    <cellStyle name="Prefilled 4 15" xfId="27598" xr:uid="{00000000-0005-0000-0000-0000D36B0000}"/>
    <cellStyle name="Prefilled 4 16" xfId="27599" xr:uid="{00000000-0005-0000-0000-0000D46B0000}"/>
    <cellStyle name="Prefilled 4 17" xfId="27600" xr:uid="{00000000-0005-0000-0000-0000D56B0000}"/>
    <cellStyle name="Prefilled 4 18" xfId="27601" xr:uid="{00000000-0005-0000-0000-0000D66B0000}"/>
    <cellStyle name="Prefilled 4 19" xfId="27602" xr:uid="{00000000-0005-0000-0000-0000D76B0000}"/>
    <cellStyle name="Prefilled 4 2" xfId="27603" xr:uid="{00000000-0005-0000-0000-0000D86B0000}"/>
    <cellStyle name="Prefilled 4 2 2" xfId="27604" xr:uid="{00000000-0005-0000-0000-0000D96B0000}"/>
    <cellStyle name="Prefilled 4 2 3" xfId="27605" xr:uid="{00000000-0005-0000-0000-0000DA6B0000}"/>
    <cellStyle name="Prefilled 4 20" xfId="27606" xr:uid="{00000000-0005-0000-0000-0000DB6B0000}"/>
    <cellStyle name="Prefilled 4 21" xfId="27607" xr:uid="{00000000-0005-0000-0000-0000DC6B0000}"/>
    <cellStyle name="Prefilled 4 22" xfId="27608" xr:uid="{00000000-0005-0000-0000-0000DD6B0000}"/>
    <cellStyle name="Prefilled 4 23" xfId="27609" xr:uid="{00000000-0005-0000-0000-0000DE6B0000}"/>
    <cellStyle name="Prefilled 4 24" xfId="27610" xr:uid="{00000000-0005-0000-0000-0000DF6B0000}"/>
    <cellStyle name="Prefilled 4 25" xfId="27611" xr:uid="{00000000-0005-0000-0000-0000E06B0000}"/>
    <cellStyle name="Prefilled 4 26" xfId="27612" xr:uid="{00000000-0005-0000-0000-0000E16B0000}"/>
    <cellStyle name="Prefilled 4 27" xfId="27613" xr:uid="{00000000-0005-0000-0000-0000E26B0000}"/>
    <cellStyle name="Prefilled 4 28" xfId="27614" xr:uid="{00000000-0005-0000-0000-0000E36B0000}"/>
    <cellStyle name="Prefilled 4 29" xfId="27615" xr:uid="{00000000-0005-0000-0000-0000E46B0000}"/>
    <cellStyle name="Prefilled 4 3" xfId="27616" xr:uid="{00000000-0005-0000-0000-0000E56B0000}"/>
    <cellStyle name="Prefilled 4 30" xfId="27617" xr:uid="{00000000-0005-0000-0000-0000E66B0000}"/>
    <cellStyle name="Prefilled 4 31" xfId="27618" xr:uid="{00000000-0005-0000-0000-0000E76B0000}"/>
    <cellStyle name="Prefilled 4 32" xfId="27619" xr:uid="{00000000-0005-0000-0000-0000E86B0000}"/>
    <cellStyle name="Prefilled 4 33" xfId="27620" xr:uid="{00000000-0005-0000-0000-0000E96B0000}"/>
    <cellStyle name="Prefilled 4 34" xfId="27621" xr:uid="{00000000-0005-0000-0000-0000EA6B0000}"/>
    <cellStyle name="Prefilled 4 35" xfId="27622" xr:uid="{00000000-0005-0000-0000-0000EB6B0000}"/>
    <cellStyle name="Prefilled 4 36" xfId="27623" xr:uid="{00000000-0005-0000-0000-0000EC6B0000}"/>
    <cellStyle name="Prefilled 4 4" xfId="27624" xr:uid="{00000000-0005-0000-0000-0000ED6B0000}"/>
    <cellStyle name="Prefilled 4 5" xfId="27625" xr:uid="{00000000-0005-0000-0000-0000EE6B0000}"/>
    <cellStyle name="Prefilled 4 6" xfId="27626" xr:uid="{00000000-0005-0000-0000-0000EF6B0000}"/>
    <cellStyle name="Prefilled 4 7" xfId="27627" xr:uid="{00000000-0005-0000-0000-0000F06B0000}"/>
    <cellStyle name="Prefilled 4 8" xfId="27628" xr:uid="{00000000-0005-0000-0000-0000F16B0000}"/>
    <cellStyle name="Prefilled 4 9" xfId="27629" xr:uid="{00000000-0005-0000-0000-0000F26B0000}"/>
    <cellStyle name="Prefilled 5" xfId="27630" xr:uid="{00000000-0005-0000-0000-0000F36B0000}"/>
    <cellStyle name="Prefilled 5 2" xfId="27631" xr:uid="{00000000-0005-0000-0000-0000F46B0000}"/>
    <cellStyle name="Prefilled 5 2 2" xfId="27632" xr:uid="{00000000-0005-0000-0000-0000F56B0000}"/>
    <cellStyle name="Prefilled 5 2 3" xfId="27633" xr:uid="{00000000-0005-0000-0000-0000F66B0000}"/>
    <cellStyle name="Prefilled 5 3" xfId="27634" xr:uid="{00000000-0005-0000-0000-0000F76B0000}"/>
    <cellStyle name="Prefilled 5 3 2" xfId="27635" xr:uid="{00000000-0005-0000-0000-0000F86B0000}"/>
    <cellStyle name="Prefilled 5 3 3" xfId="27636" xr:uid="{00000000-0005-0000-0000-0000F96B0000}"/>
    <cellStyle name="Prefilled 5 4" xfId="27637" xr:uid="{00000000-0005-0000-0000-0000FA6B0000}"/>
    <cellStyle name="Prefilled 5 5" xfId="27638" xr:uid="{00000000-0005-0000-0000-0000FB6B0000}"/>
    <cellStyle name="Prefilled 6" xfId="27639" xr:uid="{00000000-0005-0000-0000-0000FC6B0000}"/>
    <cellStyle name="Prefilled 6 2" xfId="27640" xr:uid="{00000000-0005-0000-0000-0000FD6B0000}"/>
    <cellStyle name="Prefilled 6 2 2" xfId="27641" xr:uid="{00000000-0005-0000-0000-0000FE6B0000}"/>
    <cellStyle name="Prefilled 6 2 3" xfId="27642" xr:uid="{00000000-0005-0000-0000-0000FF6B0000}"/>
    <cellStyle name="Prefilled 6 3" xfId="27643" xr:uid="{00000000-0005-0000-0000-0000006C0000}"/>
    <cellStyle name="Prefilled 6 3 2" xfId="27644" xr:uid="{00000000-0005-0000-0000-0000016C0000}"/>
    <cellStyle name="Prefilled 6 3 3" xfId="27645" xr:uid="{00000000-0005-0000-0000-0000026C0000}"/>
    <cellStyle name="Prefilled 6 4" xfId="27646" xr:uid="{00000000-0005-0000-0000-0000036C0000}"/>
    <cellStyle name="Prefilled 6 5" xfId="27647" xr:uid="{00000000-0005-0000-0000-0000046C0000}"/>
    <cellStyle name="Prefilled 7" xfId="27648" xr:uid="{00000000-0005-0000-0000-0000056C0000}"/>
    <cellStyle name="Prefilled 7 2" xfId="27649" xr:uid="{00000000-0005-0000-0000-0000066C0000}"/>
    <cellStyle name="Prefilled 7 3" xfId="27650" xr:uid="{00000000-0005-0000-0000-0000076C0000}"/>
    <cellStyle name="Prefilled 8" xfId="27651" xr:uid="{00000000-0005-0000-0000-0000086C0000}"/>
    <cellStyle name="Prefilled 9" xfId="27652" xr:uid="{00000000-0005-0000-0000-0000096C0000}"/>
    <cellStyle name="PrePop Currency (0)" xfId="27653" xr:uid="{00000000-0005-0000-0000-00000A6C0000}"/>
    <cellStyle name="PrePop Currency (0) 2" xfId="27654" xr:uid="{00000000-0005-0000-0000-00000B6C0000}"/>
    <cellStyle name="PrePop Currency (0) 2 2" xfId="27655" xr:uid="{00000000-0005-0000-0000-00000C6C0000}"/>
    <cellStyle name="PrePop Currency (0) 3" xfId="27656" xr:uid="{00000000-0005-0000-0000-00000D6C0000}"/>
    <cellStyle name="PrePop Currency (2)" xfId="27657" xr:uid="{00000000-0005-0000-0000-00000E6C0000}"/>
    <cellStyle name="PrePop Units (0)" xfId="27658" xr:uid="{00000000-0005-0000-0000-00000F6C0000}"/>
    <cellStyle name="PrePop Units (0) 2" xfId="27659" xr:uid="{00000000-0005-0000-0000-0000106C0000}"/>
    <cellStyle name="PrePop Units (0) 2 2" xfId="27660" xr:uid="{00000000-0005-0000-0000-0000116C0000}"/>
    <cellStyle name="PrePop Units (0) 3" xfId="27661" xr:uid="{00000000-0005-0000-0000-0000126C0000}"/>
    <cellStyle name="PrePop Units (1)" xfId="27662" xr:uid="{00000000-0005-0000-0000-0000136C0000}"/>
    <cellStyle name="PrePop Units (1) 2" xfId="27663" xr:uid="{00000000-0005-0000-0000-0000146C0000}"/>
    <cellStyle name="PrePop Units (1) 3" xfId="27664" xr:uid="{00000000-0005-0000-0000-0000156C0000}"/>
    <cellStyle name="PrePop Units (2)" xfId="27665" xr:uid="{00000000-0005-0000-0000-0000166C0000}"/>
    <cellStyle name="Price" xfId="27666" xr:uid="{00000000-0005-0000-0000-0000176C0000}"/>
    <cellStyle name="Problem Var" xfId="27667" xr:uid="{00000000-0005-0000-0000-0000186C0000}"/>
    <cellStyle name="Prosent_Oversikt" xfId="27668" xr:uid="{00000000-0005-0000-0000-0000196C0000}"/>
    <cellStyle name="Protected" xfId="27669" xr:uid="{00000000-0005-0000-0000-00001A6C0000}"/>
    <cellStyle name="Qté calculées" xfId="27670" xr:uid="{00000000-0005-0000-0000-00001B6C0000}"/>
    <cellStyle name="Qté calculées 10" xfId="27671" xr:uid="{00000000-0005-0000-0000-00001C6C0000}"/>
    <cellStyle name="Qté calculées 11" xfId="27672" xr:uid="{00000000-0005-0000-0000-00001D6C0000}"/>
    <cellStyle name="Qté calculées 12" xfId="27673" xr:uid="{00000000-0005-0000-0000-00001E6C0000}"/>
    <cellStyle name="Qté calculées 13" xfId="27674" xr:uid="{00000000-0005-0000-0000-00001F6C0000}"/>
    <cellStyle name="Qté calculées 14" xfId="27675" xr:uid="{00000000-0005-0000-0000-0000206C0000}"/>
    <cellStyle name="Qté calculées 15" xfId="27676" xr:uid="{00000000-0005-0000-0000-0000216C0000}"/>
    <cellStyle name="Qté calculées 16" xfId="27677" xr:uid="{00000000-0005-0000-0000-0000226C0000}"/>
    <cellStyle name="Qté calculées 17" xfId="27678" xr:uid="{00000000-0005-0000-0000-0000236C0000}"/>
    <cellStyle name="Qté calculées 18" xfId="27679" xr:uid="{00000000-0005-0000-0000-0000246C0000}"/>
    <cellStyle name="Qté calculées 19" xfId="27680" xr:uid="{00000000-0005-0000-0000-0000256C0000}"/>
    <cellStyle name="Qté calculées 2" xfId="27681" xr:uid="{00000000-0005-0000-0000-0000266C0000}"/>
    <cellStyle name="Qté calculées 2 10" xfId="27682" xr:uid="{00000000-0005-0000-0000-0000276C0000}"/>
    <cellStyle name="Qté calculées 2 11" xfId="27683" xr:uid="{00000000-0005-0000-0000-0000286C0000}"/>
    <cellStyle name="Qté calculées 2 12" xfId="27684" xr:uid="{00000000-0005-0000-0000-0000296C0000}"/>
    <cellStyle name="Qté calculées 2 13" xfId="27685" xr:uid="{00000000-0005-0000-0000-00002A6C0000}"/>
    <cellStyle name="Qté calculées 2 14" xfId="27686" xr:uid="{00000000-0005-0000-0000-00002B6C0000}"/>
    <cellStyle name="Qté calculées 2 15" xfId="27687" xr:uid="{00000000-0005-0000-0000-00002C6C0000}"/>
    <cellStyle name="Qté calculées 2 16" xfId="27688" xr:uid="{00000000-0005-0000-0000-00002D6C0000}"/>
    <cellStyle name="Qté calculées 2 17" xfId="27689" xr:uid="{00000000-0005-0000-0000-00002E6C0000}"/>
    <cellStyle name="Qté calculées 2 18" xfId="27690" xr:uid="{00000000-0005-0000-0000-00002F6C0000}"/>
    <cellStyle name="Qté calculées 2 19" xfId="27691" xr:uid="{00000000-0005-0000-0000-0000306C0000}"/>
    <cellStyle name="Qté calculées 2 2" xfId="27692" xr:uid="{00000000-0005-0000-0000-0000316C0000}"/>
    <cellStyle name="Qté calculées 2 2 10" xfId="27693" xr:uid="{00000000-0005-0000-0000-0000326C0000}"/>
    <cellStyle name="Qté calculées 2 2 11" xfId="27694" xr:uid="{00000000-0005-0000-0000-0000336C0000}"/>
    <cellStyle name="Qté calculées 2 2 12" xfId="27695" xr:uid="{00000000-0005-0000-0000-0000346C0000}"/>
    <cellStyle name="Qté calculées 2 2 13" xfId="27696" xr:uid="{00000000-0005-0000-0000-0000356C0000}"/>
    <cellStyle name="Qté calculées 2 2 14" xfId="27697" xr:uid="{00000000-0005-0000-0000-0000366C0000}"/>
    <cellStyle name="Qté calculées 2 2 15" xfId="27698" xr:uid="{00000000-0005-0000-0000-0000376C0000}"/>
    <cellStyle name="Qté calculées 2 2 16" xfId="27699" xr:uid="{00000000-0005-0000-0000-0000386C0000}"/>
    <cellStyle name="Qté calculées 2 2 17" xfId="27700" xr:uid="{00000000-0005-0000-0000-0000396C0000}"/>
    <cellStyle name="Qté calculées 2 2 18" xfId="27701" xr:uid="{00000000-0005-0000-0000-00003A6C0000}"/>
    <cellStyle name="Qté calculées 2 2 19" xfId="27702" xr:uid="{00000000-0005-0000-0000-00003B6C0000}"/>
    <cellStyle name="Qté calculées 2 2 2" xfId="27703" xr:uid="{00000000-0005-0000-0000-00003C6C0000}"/>
    <cellStyle name="Qté calculées 2 2 2 10" xfId="27704" xr:uid="{00000000-0005-0000-0000-00003D6C0000}"/>
    <cellStyle name="Qté calculées 2 2 2 11" xfId="27705" xr:uid="{00000000-0005-0000-0000-00003E6C0000}"/>
    <cellStyle name="Qté calculées 2 2 2 12" xfId="27706" xr:uid="{00000000-0005-0000-0000-00003F6C0000}"/>
    <cellStyle name="Qté calculées 2 2 2 13" xfId="27707" xr:uid="{00000000-0005-0000-0000-0000406C0000}"/>
    <cellStyle name="Qté calculées 2 2 2 14" xfId="27708" xr:uid="{00000000-0005-0000-0000-0000416C0000}"/>
    <cellStyle name="Qté calculées 2 2 2 15" xfId="27709" xr:uid="{00000000-0005-0000-0000-0000426C0000}"/>
    <cellStyle name="Qté calculées 2 2 2 16" xfId="27710" xr:uid="{00000000-0005-0000-0000-0000436C0000}"/>
    <cellStyle name="Qté calculées 2 2 2 17" xfId="27711" xr:uid="{00000000-0005-0000-0000-0000446C0000}"/>
    <cellStyle name="Qté calculées 2 2 2 18" xfId="27712" xr:uid="{00000000-0005-0000-0000-0000456C0000}"/>
    <cellStyle name="Qté calculées 2 2 2 19" xfId="27713" xr:uid="{00000000-0005-0000-0000-0000466C0000}"/>
    <cellStyle name="Qté calculées 2 2 2 2" xfId="27714" xr:uid="{00000000-0005-0000-0000-0000476C0000}"/>
    <cellStyle name="Qté calculées 2 2 2 2 2" xfId="27715" xr:uid="{00000000-0005-0000-0000-0000486C0000}"/>
    <cellStyle name="Qté calculées 2 2 2 2 3" xfId="27716" xr:uid="{00000000-0005-0000-0000-0000496C0000}"/>
    <cellStyle name="Qté calculées 2 2 2 20" xfId="27717" xr:uid="{00000000-0005-0000-0000-00004A6C0000}"/>
    <cellStyle name="Qté calculées 2 2 2 21" xfId="27718" xr:uid="{00000000-0005-0000-0000-00004B6C0000}"/>
    <cellStyle name="Qté calculées 2 2 2 22" xfId="27719" xr:uid="{00000000-0005-0000-0000-00004C6C0000}"/>
    <cellStyle name="Qté calculées 2 2 2 23" xfId="27720" xr:uid="{00000000-0005-0000-0000-00004D6C0000}"/>
    <cellStyle name="Qté calculées 2 2 2 24" xfId="27721" xr:uid="{00000000-0005-0000-0000-00004E6C0000}"/>
    <cellStyle name="Qté calculées 2 2 2 25" xfId="27722" xr:uid="{00000000-0005-0000-0000-00004F6C0000}"/>
    <cellStyle name="Qté calculées 2 2 2 26" xfId="27723" xr:uid="{00000000-0005-0000-0000-0000506C0000}"/>
    <cellStyle name="Qté calculées 2 2 2 27" xfId="27724" xr:uid="{00000000-0005-0000-0000-0000516C0000}"/>
    <cellStyle name="Qté calculées 2 2 2 28" xfId="27725" xr:uid="{00000000-0005-0000-0000-0000526C0000}"/>
    <cellStyle name="Qté calculées 2 2 2 29" xfId="27726" xr:uid="{00000000-0005-0000-0000-0000536C0000}"/>
    <cellStyle name="Qté calculées 2 2 2 3" xfId="27727" xr:uid="{00000000-0005-0000-0000-0000546C0000}"/>
    <cellStyle name="Qté calculées 2 2 2 30" xfId="27728" xr:uid="{00000000-0005-0000-0000-0000556C0000}"/>
    <cellStyle name="Qté calculées 2 2 2 31" xfId="27729" xr:uid="{00000000-0005-0000-0000-0000566C0000}"/>
    <cellStyle name="Qté calculées 2 2 2 32" xfId="27730" xr:uid="{00000000-0005-0000-0000-0000576C0000}"/>
    <cellStyle name="Qté calculées 2 2 2 33" xfId="27731" xr:uid="{00000000-0005-0000-0000-0000586C0000}"/>
    <cellStyle name="Qté calculées 2 2 2 34" xfId="27732" xr:uid="{00000000-0005-0000-0000-0000596C0000}"/>
    <cellStyle name="Qté calculées 2 2 2 35" xfId="27733" xr:uid="{00000000-0005-0000-0000-00005A6C0000}"/>
    <cellStyle name="Qté calculées 2 2 2 36" xfId="27734" xr:uid="{00000000-0005-0000-0000-00005B6C0000}"/>
    <cellStyle name="Qté calculées 2 2 2 4" xfId="27735" xr:uid="{00000000-0005-0000-0000-00005C6C0000}"/>
    <cellStyle name="Qté calculées 2 2 2 5" xfId="27736" xr:uid="{00000000-0005-0000-0000-00005D6C0000}"/>
    <cellStyle name="Qté calculées 2 2 2 6" xfId="27737" xr:uid="{00000000-0005-0000-0000-00005E6C0000}"/>
    <cellStyle name="Qté calculées 2 2 2 7" xfId="27738" xr:uid="{00000000-0005-0000-0000-00005F6C0000}"/>
    <cellStyle name="Qté calculées 2 2 2 8" xfId="27739" xr:uid="{00000000-0005-0000-0000-0000606C0000}"/>
    <cellStyle name="Qté calculées 2 2 2 9" xfId="27740" xr:uid="{00000000-0005-0000-0000-0000616C0000}"/>
    <cellStyle name="Qté calculées 2 2 20" xfId="27741" xr:uid="{00000000-0005-0000-0000-0000626C0000}"/>
    <cellStyle name="Qté calculées 2 2 21" xfId="27742" xr:uid="{00000000-0005-0000-0000-0000636C0000}"/>
    <cellStyle name="Qté calculées 2 2 22" xfId="27743" xr:uid="{00000000-0005-0000-0000-0000646C0000}"/>
    <cellStyle name="Qté calculées 2 2 23" xfId="27744" xr:uid="{00000000-0005-0000-0000-0000656C0000}"/>
    <cellStyle name="Qté calculées 2 2 24" xfId="27745" xr:uid="{00000000-0005-0000-0000-0000666C0000}"/>
    <cellStyle name="Qté calculées 2 2 25" xfId="27746" xr:uid="{00000000-0005-0000-0000-0000676C0000}"/>
    <cellStyle name="Qté calculées 2 2 26" xfId="27747" xr:uid="{00000000-0005-0000-0000-0000686C0000}"/>
    <cellStyle name="Qté calculées 2 2 27" xfId="27748" xr:uid="{00000000-0005-0000-0000-0000696C0000}"/>
    <cellStyle name="Qté calculées 2 2 28" xfId="27749" xr:uid="{00000000-0005-0000-0000-00006A6C0000}"/>
    <cellStyle name="Qté calculées 2 2 29" xfId="27750" xr:uid="{00000000-0005-0000-0000-00006B6C0000}"/>
    <cellStyle name="Qté calculées 2 2 3" xfId="27751" xr:uid="{00000000-0005-0000-0000-00006C6C0000}"/>
    <cellStyle name="Qté calculées 2 2 3 2" xfId="27752" xr:uid="{00000000-0005-0000-0000-00006D6C0000}"/>
    <cellStyle name="Qté calculées 2 2 3 2 2" xfId="27753" xr:uid="{00000000-0005-0000-0000-00006E6C0000}"/>
    <cellStyle name="Qté calculées 2 2 3 2 3" xfId="27754" xr:uid="{00000000-0005-0000-0000-00006F6C0000}"/>
    <cellStyle name="Qté calculées 2 2 3 3" xfId="27755" xr:uid="{00000000-0005-0000-0000-0000706C0000}"/>
    <cellStyle name="Qté calculées 2 2 3 3 2" xfId="27756" xr:uid="{00000000-0005-0000-0000-0000716C0000}"/>
    <cellStyle name="Qté calculées 2 2 3 3 3" xfId="27757" xr:uid="{00000000-0005-0000-0000-0000726C0000}"/>
    <cellStyle name="Qté calculées 2 2 3 4" xfId="27758" xr:uid="{00000000-0005-0000-0000-0000736C0000}"/>
    <cellStyle name="Qté calculées 2 2 3 5" xfId="27759" xr:uid="{00000000-0005-0000-0000-0000746C0000}"/>
    <cellStyle name="Qté calculées 2 2 30" xfId="27760" xr:uid="{00000000-0005-0000-0000-0000756C0000}"/>
    <cellStyle name="Qté calculées 2 2 31" xfId="27761" xr:uid="{00000000-0005-0000-0000-0000766C0000}"/>
    <cellStyle name="Qté calculées 2 2 32" xfId="27762" xr:uid="{00000000-0005-0000-0000-0000776C0000}"/>
    <cellStyle name="Qté calculées 2 2 33" xfId="27763" xr:uid="{00000000-0005-0000-0000-0000786C0000}"/>
    <cellStyle name="Qté calculées 2 2 34" xfId="27764" xr:uid="{00000000-0005-0000-0000-0000796C0000}"/>
    <cellStyle name="Qté calculées 2 2 35" xfId="27765" xr:uid="{00000000-0005-0000-0000-00007A6C0000}"/>
    <cellStyle name="Qté calculées 2 2 36" xfId="27766" xr:uid="{00000000-0005-0000-0000-00007B6C0000}"/>
    <cellStyle name="Qté calculées 2 2 4" xfId="27767" xr:uid="{00000000-0005-0000-0000-00007C6C0000}"/>
    <cellStyle name="Qté calculées 2 2 4 2" xfId="27768" xr:uid="{00000000-0005-0000-0000-00007D6C0000}"/>
    <cellStyle name="Qté calculées 2 2 4 2 2" xfId="27769" xr:uid="{00000000-0005-0000-0000-00007E6C0000}"/>
    <cellStyle name="Qté calculées 2 2 4 2 3" xfId="27770" xr:uid="{00000000-0005-0000-0000-00007F6C0000}"/>
    <cellStyle name="Qté calculées 2 2 4 3" xfId="27771" xr:uid="{00000000-0005-0000-0000-0000806C0000}"/>
    <cellStyle name="Qté calculées 2 2 4 3 2" xfId="27772" xr:uid="{00000000-0005-0000-0000-0000816C0000}"/>
    <cellStyle name="Qté calculées 2 2 4 3 3" xfId="27773" xr:uid="{00000000-0005-0000-0000-0000826C0000}"/>
    <cellStyle name="Qté calculées 2 2 4 4" xfId="27774" xr:uid="{00000000-0005-0000-0000-0000836C0000}"/>
    <cellStyle name="Qté calculées 2 2 4 5" xfId="27775" xr:uid="{00000000-0005-0000-0000-0000846C0000}"/>
    <cellStyle name="Qté calculées 2 2 5" xfId="27776" xr:uid="{00000000-0005-0000-0000-0000856C0000}"/>
    <cellStyle name="Qté calculées 2 2 5 2" xfId="27777" xr:uid="{00000000-0005-0000-0000-0000866C0000}"/>
    <cellStyle name="Qté calculées 2 2 5 3" xfId="27778" xr:uid="{00000000-0005-0000-0000-0000876C0000}"/>
    <cellStyle name="Qté calculées 2 2 6" xfId="27779" xr:uid="{00000000-0005-0000-0000-0000886C0000}"/>
    <cellStyle name="Qté calculées 2 2 7" xfId="27780" xr:uid="{00000000-0005-0000-0000-0000896C0000}"/>
    <cellStyle name="Qté calculées 2 2 8" xfId="27781" xr:uid="{00000000-0005-0000-0000-00008A6C0000}"/>
    <cellStyle name="Qté calculées 2 2 9" xfId="27782" xr:uid="{00000000-0005-0000-0000-00008B6C0000}"/>
    <cellStyle name="Qté calculées 2 20" xfId="27783" xr:uid="{00000000-0005-0000-0000-00008C6C0000}"/>
    <cellStyle name="Qté calculées 2 21" xfId="27784" xr:uid="{00000000-0005-0000-0000-00008D6C0000}"/>
    <cellStyle name="Qté calculées 2 22" xfId="27785" xr:uid="{00000000-0005-0000-0000-00008E6C0000}"/>
    <cellStyle name="Qté calculées 2 23" xfId="27786" xr:uid="{00000000-0005-0000-0000-00008F6C0000}"/>
    <cellStyle name="Qté calculées 2 24" xfId="27787" xr:uid="{00000000-0005-0000-0000-0000906C0000}"/>
    <cellStyle name="Qté calculées 2 25" xfId="27788" xr:uid="{00000000-0005-0000-0000-0000916C0000}"/>
    <cellStyle name="Qté calculées 2 26" xfId="27789" xr:uid="{00000000-0005-0000-0000-0000926C0000}"/>
    <cellStyle name="Qté calculées 2 27" xfId="27790" xr:uid="{00000000-0005-0000-0000-0000936C0000}"/>
    <cellStyle name="Qté calculées 2 28" xfId="27791" xr:uid="{00000000-0005-0000-0000-0000946C0000}"/>
    <cellStyle name="Qté calculées 2 29" xfId="27792" xr:uid="{00000000-0005-0000-0000-0000956C0000}"/>
    <cellStyle name="Qté calculées 2 3" xfId="27793" xr:uid="{00000000-0005-0000-0000-0000966C0000}"/>
    <cellStyle name="Qté calculées 2 3 10" xfId="27794" xr:uid="{00000000-0005-0000-0000-0000976C0000}"/>
    <cellStyle name="Qté calculées 2 3 11" xfId="27795" xr:uid="{00000000-0005-0000-0000-0000986C0000}"/>
    <cellStyle name="Qté calculées 2 3 12" xfId="27796" xr:uid="{00000000-0005-0000-0000-0000996C0000}"/>
    <cellStyle name="Qté calculées 2 3 13" xfId="27797" xr:uid="{00000000-0005-0000-0000-00009A6C0000}"/>
    <cellStyle name="Qté calculées 2 3 14" xfId="27798" xr:uid="{00000000-0005-0000-0000-00009B6C0000}"/>
    <cellStyle name="Qté calculées 2 3 15" xfId="27799" xr:uid="{00000000-0005-0000-0000-00009C6C0000}"/>
    <cellStyle name="Qté calculées 2 3 16" xfId="27800" xr:uid="{00000000-0005-0000-0000-00009D6C0000}"/>
    <cellStyle name="Qté calculées 2 3 17" xfId="27801" xr:uid="{00000000-0005-0000-0000-00009E6C0000}"/>
    <cellStyle name="Qté calculées 2 3 18" xfId="27802" xr:uid="{00000000-0005-0000-0000-00009F6C0000}"/>
    <cellStyle name="Qté calculées 2 3 19" xfId="27803" xr:uid="{00000000-0005-0000-0000-0000A06C0000}"/>
    <cellStyle name="Qté calculées 2 3 2" xfId="27804" xr:uid="{00000000-0005-0000-0000-0000A16C0000}"/>
    <cellStyle name="Qté calculées 2 3 2 2" xfId="27805" xr:uid="{00000000-0005-0000-0000-0000A26C0000}"/>
    <cellStyle name="Qté calculées 2 3 2 3" xfId="27806" xr:uid="{00000000-0005-0000-0000-0000A36C0000}"/>
    <cellStyle name="Qté calculées 2 3 20" xfId="27807" xr:uid="{00000000-0005-0000-0000-0000A46C0000}"/>
    <cellStyle name="Qté calculées 2 3 21" xfId="27808" xr:uid="{00000000-0005-0000-0000-0000A56C0000}"/>
    <cellStyle name="Qté calculées 2 3 22" xfId="27809" xr:uid="{00000000-0005-0000-0000-0000A66C0000}"/>
    <cellStyle name="Qté calculées 2 3 23" xfId="27810" xr:uid="{00000000-0005-0000-0000-0000A76C0000}"/>
    <cellStyle name="Qté calculées 2 3 24" xfId="27811" xr:uid="{00000000-0005-0000-0000-0000A86C0000}"/>
    <cellStyle name="Qté calculées 2 3 25" xfId="27812" xr:uid="{00000000-0005-0000-0000-0000A96C0000}"/>
    <cellStyle name="Qté calculées 2 3 26" xfId="27813" xr:uid="{00000000-0005-0000-0000-0000AA6C0000}"/>
    <cellStyle name="Qté calculées 2 3 27" xfId="27814" xr:uid="{00000000-0005-0000-0000-0000AB6C0000}"/>
    <cellStyle name="Qté calculées 2 3 28" xfId="27815" xr:uid="{00000000-0005-0000-0000-0000AC6C0000}"/>
    <cellStyle name="Qté calculées 2 3 29" xfId="27816" xr:uid="{00000000-0005-0000-0000-0000AD6C0000}"/>
    <cellStyle name="Qté calculées 2 3 3" xfId="27817" xr:uid="{00000000-0005-0000-0000-0000AE6C0000}"/>
    <cellStyle name="Qté calculées 2 3 30" xfId="27818" xr:uid="{00000000-0005-0000-0000-0000AF6C0000}"/>
    <cellStyle name="Qté calculées 2 3 31" xfId="27819" xr:uid="{00000000-0005-0000-0000-0000B06C0000}"/>
    <cellStyle name="Qté calculées 2 3 32" xfId="27820" xr:uid="{00000000-0005-0000-0000-0000B16C0000}"/>
    <cellStyle name="Qté calculées 2 3 33" xfId="27821" xr:uid="{00000000-0005-0000-0000-0000B26C0000}"/>
    <cellStyle name="Qté calculées 2 3 34" xfId="27822" xr:uid="{00000000-0005-0000-0000-0000B36C0000}"/>
    <cellStyle name="Qté calculées 2 3 35" xfId="27823" xr:uid="{00000000-0005-0000-0000-0000B46C0000}"/>
    <cellStyle name="Qté calculées 2 3 36" xfId="27824" xr:uid="{00000000-0005-0000-0000-0000B56C0000}"/>
    <cellStyle name="Qté calculées 2 3 4" xfId="27825" xr:uid="{00000000-0005-0000-0000-0000B66C0000}"/>
    <cellStyle name="Qté calculées 2 3 5" xfId="27826" xr:uid="{00000000-0005-0000-0000-0000B76C0000}"/>
    <cellStyle name="Qté calculées 2 3 6" xfId="27827" xr:uid="{00000000-0005-0000-0000-0000B86C0000}"/>
    <cellStyle name="Qté calculées 2 3 7" xfId="27828" xr:uid="{00000000-0005-0000-0000-0000B96C0000}"/>
    <cellStyle name="Qté calculées 2 3 8" xfId="27829" xr:uid="{00000000-0005-0000-0000-0000BA6C0000}"/>
    <cellStyle name="Qté calculées 2 3 9" xfId="27830" xr:uid="{00000000-0005-0000-0000-0000BB6C0000}"/>
    <cellStyle name="Qté calculées 2 30" xfId="27831" xr:uid="{00000000-0005-0000-0000-0000BC6C0000}"/>
    <cellStyle name="Qté calculées 2 31" xfId="27832" xr:uid="{00000000-0005-0000-0000-0000BD6C0000}"/>
    <cellStyle name="Qté calculées 2 32" xfId="27833" xr:uid="{00000000-0005-0000-0000-0000BE6C0000}"/>
    <cellStyle name="Qté calculées 2 33" xfId="27834" xr:uid="{00000000-0005-0000-0000-0000BF6C0000}"/>
    <cellStyle name="Qté calculées 2 34" xfId="27835" xr:uid="{00000000-0005-0000-0000-0000C06C0000}"/>
    <cellStyle name="Qté calculées 2 35" xfId="27836" xr:uid="{00000000-0005-0000-0000-0000C16C0000}"/>
    <cellStyle name="Qté calculées 2 36" xfId="27837" xr:uid="{00000000-0005-0000-0000-0000C26C0000}"/>
    <cellStyle name="Qté calculées 2 37" xfId="27838" xr:uid="{00000000-0005-0000-0000-0000C36C0000}"/>
    <cellStyle name="Qté calculées 2 4" xfId="27839" xr:uid="{00000000-0005-0000-0000-0000C46C0000}"/>
    <cellStyle name="Qté calculées 2 4 2" xfId="27840" xr:uid="{00000000-0005-0000-0000-0000C56C0000}"/>
    <cellStyle name="Qté calculées 2 4 2 2" xfId="27841" xr:uid="{00000000-0005-0000-0000-0000C66C0000}"/>
    <cellStyle name="Qté calculées 2 4 2 3" xfId="27842" xr:uid="{00000000-0005-0000-0000-0000C76C0000}"/>
    <cellStyle name="Qté calculées 2 4 3" xfId="27843" xr:uid="{00000000-0005-0000-0000-0000C86C0000}"/>
    <cellStyle name="Qté calculées 2 4 3 2" xfId="27844" xr:uid="{00000000-0005-0000-0000-0000C96C0000}"/>
    <cellStyle name="Qté calculées 2 4 3 3" xfId="27845" xr:uid="{00000000-0005-0000-0000-0000CA6C0000}"/>
    <cellStyle name="Qté calculées 2 4 4" xfId="27846" xr:uid="{00000000-0005-0000-0000-0000CB6C0000}"/>
    <cellStyle name="Qté calculées 2 4 5" xfId="27847" xr:uid="{00000000-0005-0000-0000-0000CC6C0000}"/>
    <cellStyle name="Qté calculées 2 5" xfId="27848" xr:uid="{00000000-0005-0000-0000-0000CD6C0000}"/>
    <cellStyle name="Qté calculées 2 5 2" xfId="27849" xr:uid="{00000000-0005-0000-0000-0000CE6C0000}"/>
    <cellStyle name="Qté calculées 2 5 2 2" xfId="27850" xr:uid="{00000000-0005-0000-0000-0000CF6C0000}"/>
    <cellStyle name="Qté calculées 2 5 2 3" xfId="27851" xr:uid="{00000000-0005-0000-0000-0000D06C0000}"/>
    <cellStyle name="Qté calculées 2 5 3" xfId="27852" xr:uid="{00000000-0005-0000-0000-0000D16C0000}"/>
    <cellStyle name="Qté calculées 2 5 3 2" xfId="27853" xr:uid="{00000000-0005-0000-0000-0000D26C0000}"/>
    <cellStyle name="Qté calculées 2 5 3 3" xfId="27854" xr:uid="{00000000-0005-0000-0000-0000D36C0000}"/>
    <cellStyle name="Qté calculées 2 5 4" xfId="27855" xr:uid="{00000000-0005-0000-0000-0000D46C0000}"/>
    <cellStyle name="Qté calculées 2 5 5" xfId="27856" xr:uid="{00000000-0005-0000-0000-0000D56C0000}"/>
    <cellStyle name="Qté calculées 2 6" xfId="27857" xr:uid="{00000000-0005-0000-0000-0000D66C0000}"/>
    <cellStyle name="Qté calculées 2 6 2" xfId="27858" xr:uid="{00000000-0005-0000-0000-0000D76C0000}"/>
    <cellStyle name="Qté calculées 2 6 3" xfId="27859" xr:uid="{00000000-0005-0000-0000-0000D86C0000}"/>
    <cellStyle name="Qté calculées 2 7" xfId="27860" xr:uid="{00000000-0005-0000-0000-0000D96C0000}"/>
    <cellStyle name="Qté calculées 2 8" xfId="27861" xr:uid="{00000000-0005-0000-0000-0000DA6C0000}"/>
    <cellStyle name="Qté calculées 2 9" xfId="27862" xr:uid="{00000000-0005-0000-0000-0000DB6C0000}"/>
    <cellStyle name="Qté calculées 20" xfId="27863" xr:uid="{00000000-0005-0000-0000-0000DC6C0000}"/>
    <cellStyle name="Qté calculées 21" xfId="27864" xr:uid="{00000000-0005-0000-0000-0000DD6C0000}"/>
    <cellStyle name="Qté calculées 22" xfId="27865" xr:uid="{00000000-0005-0000-0000-0000DE6C0000}"/>
    <cellStyle name="Qté calculées 23" xfId="27866" xr:uid="{00000000-0005-0000-0000-0000DF6C0000}"/>
    <cellStyle name="Qté calculées 24" xfId="27867" xr:uid="{00000000-0005-0000-0000-0000E06C0000}"/>
    <cellStyle name="Qté calculées 25" xfId="27868" xr:uid="{00000000-0005-0000-0000-0000E16C0000}"/>
    <cellStyle name="Qté calculées 26" xfId="27869" xr:uid="{00000000-0005-0000-0000-0000E26C0000}"/>
    <cellStyle name="Qté calculées 27" xfId="27870" xr:uid="{00000000-0005-0000-0000-0000E36C0000}"/>
    <cellStyle name="Qté calculées 28" xfId="27871" xr:uid="{00000000-0005-0000-0000-0000E46C0000}"/>
    <cellStyle name="Qté calculées 29" xfId="27872" xr:uid="{00000000-0005-0000-0000-0000E56C0000}"/>
    <cellStyle name="Qté calculées 3" xfId="27873" xr:uid="{00000000-0005-0000-0000-0000E66C0000}"/>
    <cellStyle name="Qté calculées 3 10" xfId="27874" xr:uid="{00000000-0005-0000-0000-0000E76C0000}"/>
    <cellStyle name="Qté calculées 3 11" xfId="27875" xr:uid="{00000000-0005-0000-0000-0000E86C0000}"/>
    <cellStyle name="Qté calculées 3 12" xfId="27876" xr:uid="{00000000-0005-0000-0000-0000E96C0000}"/>
    <cellStyle name="Qté calculées 3 13" xfId="27877" xr:uid="{00000000-0005-0000-0000-0000EA6C0000}"/>
    <cellStyle name="Qté calculées 3 14" xfId="27878" xr:uid="{00000000-0005-0000-0000-0000EB6C0000}"/>
    <cellStyle name="Qté calculées 3 15" xfId="27879" xr:uid="{00000000-0005-0000-0000-0000EC6C0000}"/>
    <cellStyle name="Qté calculées 3 16" xfId="27880" xr:uid="{00000000-0005-0000-0000-0000ED6C0000}"/>
    <cellStyle name="Qté calculées 3 17" xfId="27881" xr:uid="{00000000-0005-0000-0000-0000EE6C0000}"/>
    <cellStyle name="Qté calculées 3 18" xfId="27882" xr:uid="{00000000-0005-0000-0000-0000EF6C0000}"/>
    <cellStyle name="Qté calculées 3 19" xfId="27883" xr:uid="{00000000-0005-0000-0000-0000F06C0000}"/>
    <cellStyle name="Qté calculées 3 2" xfId="27884" xr:uid="{00000000-0005-0000-0000-0000F16C0000}"/>
    <cellStyle name="Qté calculées 3 2 10" xfId="27885" xr:uid="{00000000-0005-0000-0000-0000F26C0000}"/>
    <cellStyle name="Qté calculées 3 2 11" xfId="27886" xr:uid="{00000000-0005-0000-0000-0000F36C0000}"/>
    <cellStyle name="Qté calculées 3 2 12" xfId="27887" xr:uid="{00000000-0005-0000-0000-0000F46C0000}"/>
    <cellStyle name="Qté calculées 3 2 13" xfId="27888" xr:uid="{00000000-0005-0000-0000-0000F56C0000}"/>
    <cellStyle name="Qté calculées 3 2 14" xfId="27889" xr:uid="{00000000-0005-0000-0000-0000F66C0000}"/>
    <cellStyle name="Qté calculées 3 2 15" xfId="27890" xr:uid="{00000000-0005-0000-0000-0000F76C0000}"/>
    <cellStyle name="Qté calculées 3 2 16" xfId="27891" xr:uid="{00000000-0005-0000-0000-0000F86C0000}"/>
    <cellStyle name="Qté calculées 3 2 17" xfId="27892" xr:uid="{00000000-0005-0000-0000-0000F96C0000}"/>
    <cellStyle name="Qté calculées 3 2 18" xfId="27893" xr:uid="{00000000-0005-0000-0000-0000FA6C0000}"/>
    <cellStyle name="Qté calculées 3 2 19" xfId="27894" xr:uid="{00000000-0005-0000-0000-0000FB6C0000}"/>
    <cellStyle name="Qté calculées 3 2 2" xfId="27895" xr:uid="{00000000-0005-0000-0000-0000FC6C0000}"/>
    <cellStyle name="Qté calculées 3 2 2 2" xfId="27896" xr:uid="{00000000-0005-0000-0000-0000FD6C0000}"/>
    <cellStyle name="Qté calculées 3 2 2 3" xfId="27897" xr:uid="{00000000-0005-0000-0000-0000FE6C0000}"/>
    <cellStyle name="Qté calculées 3 2 20" xfId="27898" xr:uid="{00000000-0005-0000-0000-0000FF6C0000}"/>
    <cellStyle name="Qté calculées 3 2 21" xfId="27899" xr:uid="{00000000-0005-0000-0000-0000006D0000}"/>
    <cellStyle name="Qté calculées 3 2 22" xfId="27900" xr:uid="{00000000-0005-0000-0000-0000016D0000}"/>
    <cellStyle name="Qté calculées 3 2 23" xfId="27901" xr:uid="{00000000-0005-0000-0000-0000026D0000}"/>
    <cellStyle name="Qté calculées 3 2 24" xfId="27902" xr:uid="{00000000-0005-0000-0000-0000036D0000}"/>
    <cellStyle name="Qté calculées 3 2 25" xfId="27903" xr:uid="{00000000-0005-0000-0000-0000046D0000}"/>
    <cellStyle name="Qté calculées 3 2 26" xfId="27904" xr:uid="{00000000-0005-0000-0000-0000056D0000}"/>
    <cellStyle name="Qté calculées 3 2 27" xfId="27905" xr:uid="{00000000-0005-0000-0000-0000066D0000}"/>
    <cellStyle name="Qté calculées 3 2 28" xfId="27906" xr:uid="{00000000-0005-0000-0000-0000076D0000}"/>
    <cellStyle name="Qté calculées 3 2 29" xfId="27907" xr:uid="{00000000-0005-0000-0000-0000086D0000}"/>
    <cellStyle name="Qté calculées 3 2 3" xfId="27908" xr:uid="{00000000-0005-0000-0000-0000096D0000}"/>
    <cellStyle name="Qté calculées 3 2 30" xfId="27909" xr:uid="{00000000-0005-0000-0000-00000A6D0000}"/>
    <cellStyle name="Qté calculées 3 2 31" xfId="27910" xr:uid="{00000000-0005-0000-0000-00000B6D0000}"/>
    <cellStyle name="Qté calculées 3 2 32" xfId="27911" xr:uid="{00000000-0005-0000-0000-00000C6D0000}"/>
    <cellStyle name="Qté calculées 3 2 33" xfId="27912" xr:uid="{00000000-0005-0000-0000-00000D6D0000}"/>
    <cellStyle name="Qté calculées 3 2 34" xfId="27913" xr:uid="{00000000-0005-0000-0000-00000E6D0000}"/>
    <cellStyle name="Qté calculées 3 2 35" xfId="27914" xr:uid="{00000000-0005-0000-0000-00000F6D0000}"/>
    <cellStyle name="Qté calculées 3 2 36" xfId="27915" xr:uid="{00000000-0005-0000-0000-0000106D0000}"/>
    <cellStyle name="Qté calculées 3 2 4" xfId="27916" xr:uid="{00000000-0005-0000-0000-0000116D0000}"/>
    <cellStyle name="Qté calculées 3 2 5" xfId="27917" xr:uid="{00000000-0005-0000-0000-0000126D0000}"/>
    <cellStyle name="Qté calculées 3 2 6" xfId="27918" xr:uid="{00000000-0005-0000-0000-0000136D0000}"/>
    <cellStyle name="Qté calculées 3 2 7" xfId="27919" xr:uid="{00000000-0005-0000-0000-0000146D0000}"/>
    <cellStyle name="Qté calculées 3 2 8" xfId="27920" xr:uid="{00000000-0005-0000-0000-0000156D0000}"/>
    <cellStyle name="Qté calculées 3 2 9" xfId="27921" xr:uid="{00000000-0005-0000-0000-0000166D0000}"/>
    <cellStyle name="Qté calculées 3 20" xfId="27922" xr:uid="{00000000-0005-0000-0000-0000176D0000}"/>
    <cellStyle name="Qté calculées 3 21" xfId="27923" xr:uid="{00000000-0005-0000-0000-0000186D0000}"/>
    <cellStyle name="Qté calculées 3 22" xfId="27924" xr:uid="{00000000-0005-0000-0000-0000196D0000}"/>
    <cellStyle name="Qté calculées 3 23" xfId="27925" xr:uid="{00000000-0005-0000-0000-00001A6D0000}"/>
    <cellStyle name="Qté calculées 3 24" xfId="27926" xr:uid="{00000000-0005-0000-0000-00001B6D0000}"/>
    <cellStyle name="Qté calculées 3 25" xfId="27927" xr:uid="{00000000-0005-0000-0000-00001C6D0000}"/>
    <cellStyle name="Qté calculées 3 26" xfId="27928" xr:uid="{00000000-0005-0000-0000-00001D6D0000}"/>
    <cellStyle name="Qté calculées 3 27" xfId="27929" xr:uid="{00000000-0005-0000-0000-00001E6D0000}"/>
    <cellStyle name="Qté calculées 3 28" xfId="27930" xr:uid="{00000000-0005-0000-0000-00001F6D0000}"/>
    <cellStyle name="Qté calculées 3 29" xfId="27931" xr:uid="{00000000-0005-0000-0000-0000206D0000}"/>
    <cellStyle name="Qté calculées 3 3" xfId="27932" xr:uid="{00000000-0005-0000-0000-0000216D0000}"/>
    <cellStyle name="Qté calculées 3 3 2" xfId="27933" xr:uid="{00000000-0005-0000-0000-0000226D0000}"/>
    <cellStyle name="Qté calculées 3 3 2 2" xfId="27934" xr:uid="{00000000-0005-0000-0000-0000236D0000}"/>
    <cellStyle name="Qté calculées 3 3 2 3" xfId="27935" xr:uid="{00000000-0005-0000-0000-0000246D0000}"/>
    <cellStyle name="Qté calculées 3 3 3" xfId="27936" xr:uid="{00000000-0005-0000-0000-0000256D0000}"/>
    <cellStyle name="Qté calculées 3 3 3 2" xfId="27937" xr:uid="{00000000-0005-0000-0000-0000266D0000}"/>
    <cellStyle name="Qté calculées 3 3 3 3" xfId="27938" xr:uid="{00000000-0005-0000-0000-0000276D0000}"/>
    <cellStyle name="Qté calculées 3 3 4" xfId="27939" xr:uid="{00000000-0005-0000-0000-0000286D0000}"/>
    <cellStyle name="Qté calculées 3 3 5" xfId="27940" xr:uid="{00000000-0005-0000-0000-0000296D0000}"/>
    <cellStyle name="Qté calculées 3 30" xfId="27941" xr:uid="{00000000-0005-0000-0000-00002A6D0000}"/>
    <cellStyle name="Qté calculées 3 31" xfId="27942" xr:uid="{00000000-0005-0000-0000-00002B6D0000}"/>
    <cellStyle name="Qté calculées 3 32" xfId="27943" xr:uid="{00000000-0005-0000-0000-00002C6D0000}"/>
    <cellStyle name="Qté calculées 3 33" xfId="27944" xr:uid="{00000000-0005-0000-0000-00002D6D0000}"/>
    <cellStyle name="Qté calculées 3 34" xfId="27945" xr:uid="{00000000-0005-0000-0000-00002E6D0000}"/>
    <cellStyle name="Qté calculées 3 35" xfId="27946" xr:uid="{00000000-0005-0000-0000-00002F6D0000}"/>
    <cellStyle name="Qté calculées 3 36" xfId="27947" xr:uid="{00000000-0005-0000-0000-0000306D0000}"/>
    <cellStyle name="Qté calculées 3 4" xfId="27948" xr:uid="{00000000-0005-0000-0000-0000316D0000}"/>
    <cellStyle name="Qté calculées 3 4 2" xfId="27949" xr:uid="{00000000-0005-0000-0000-0000326D0000}"/>
    <cellStyle name="Qté calculées 3 4 2 2" xfId="27950" xr:uid="{00000000-0005-0000-0000-0000336D0000}"/>
    <cellStyle name="Qté calculées 3 4 2 3" xfId="27951" xr:uid="{00000000-0005-0000-0000-0000346D0000}"/>
    <cellStyle name="Qté calculées 3 4 3" xfId="27952" xr:uid="{00000000-0005-0000-0000-0000356D0000}"/>
    <cellStyle name="Qté calculées 3 4 3 2" xfId="27953" xr:uid="{00000000-0005-0000-0000-0000366D0000}"/>
    <cellStyle name="Qté calculées 3 4 3 3" xfId="27954" xr:uid="{00000000-0005-0000-0000-0000376D0000}"/>
    <cellStyle name="Qté calculées 3 4 4" xfId="27955" xr:uid="{00000000-0005-0000-0000-0000386D0000}"/>
    <cellStyle name="Qté calculées 3 4 5" xfId="27956" xr:uid="{00000000-0005-0000-0000-0000396D0000}"/>
    <cellStyle name="Qté calculées 3 5" xfId="27957" xr:uid="{00000000-0005-0000-0000-00003A6D0000}"/>
    <cellStyle name="Qté calculées 3 5 2" xfId="27958" xr:uid="{00000000-0005-0000-0000-00003B6D0000}"/>
    <cellStyle name="Qté calculées 3 5 3" xfId="27959" xr:uid="{00000000-0005-0000-0000-00003C6D0000}"/>
    <cellStyle name="Qté calculées 3 6" xfId="27960" xr:uid="{00000000-0005-0000-0000-00003D6D0000}"/>
    <cellStyle name="Qté calculées 3 7" xfId="27961" xr:uid="{00000000-0005-0000-0000-00003E6D0000}"/>
    <cellStyle name="Qté calculées 3 8" xfId="27962" xr:uid="{00000000-0005-0000-0000-00003F6D0000}"/>
    <cellStyle name="Qté calculées 3 9" xfId="27963" xr:uid="{00000000-0005-0000-0000-0000406D0000}"/>
    <cellStyle name="Qté calculées 30" xfId="27964" xr:uid="{00000000-0005-0000-0000-0000416D0000}"/>
    <cellStyle name="Qté calculées 31" xfId="27965" xr:uid="{00000000-0005-0000-0000-0000426D0000}"/>
    <cellStyle name="Qté calculées 32" xfId="27966" xr:uid="{00000000-0005-0000-0000-0000436D0000}"/>
    <cellStyle name="Qté calculées 33" xfId="27967" xr:uid="{00000000-0005-0000-0000-0000446D0000}"/>
    <cellStyle name="Qté calculées 34" xfId="27968" xr:uid="{00000000-0005-0000-0000-0000456D0000}"/>
    <cellStyle name="Qté calculées 35" xfId="27969" xr:uid="{00000000-0005-0000-0000-0000466D0000}"/>
    <cellStyle name="Qté calculées 36" xfId="27970" xr:uid="{00000000-0005-0000-0000-0000476D0000}"/>
    <cellStyle name="Qté calculées 37" xfId="27971" xr:uid="{00000000-0005-0000-0000-0000486D0000}"/>
    <cellStyle name="Qté calculées 38" xfId="27972" xr:uid="{00000000-0005-0000-0000-0000496D0000}"/>
    <cellStyle name="Qté calculées 4" xfId="27973" xr:uid="{00000000-0005-0000-0000-00004A6D0000}"/>
    <cellStyle name="Qté calculées 4 10" xfId="27974" xr:uid="{00000000-0005-0000-0000-00004B6D0000}"/>
    <cellStyle name="Qté calculées 4 11" xfId="27975" xr:uid="{00000000-0005-0000-0000-00004C6D0000}"/>
    <cellStyle name="Qté calculées 4 12" xfId="27976" xr:uid="{00000000-0005-0000-0000-00004D6D0000}"/>
    <cellStyle name="Qté calculées 4 13" xfId="27977" xr:uid="{00000000-0005-0000-0000-00004E6D0000}"/>
    <cellStyle name="Qté calculées 4 14" xfId="27978" xr:uid="{00000000-0005-0000-0000-00004F6D0000}"/>
    <cellStyle name="Qté calculées 4 15" xfId="27979" xr:uid="{00000000-0005-0000-0000-0000506D0000}"/>
    <cellStyle name="Qté calculées 4 16" xfId="27980" xr:uid="{00000000-0005-0000-0000-0000516D0000}"/>
    <cellStyle name="Qté calculées 4 17" xfId="27981" xr:uid="{00000000-0005-0000-0000-0000526D0000}"/>
    <cellStyle name="Qté calculées 4 18" xfId="27982" xr:uid="{00000000-0005-0000-0000-0000536D0000}"/>
    <cellStyle name="Qté calculées 4 19" xfId="27983" xr:uid="{00000000-0005-0000-0000-0000546D0000}"/>
    <cellStyle name="Qté calculées 4 2" xfId="27984" xr:uid="{00000000-0005-0000-0000-0000556D0000}"/>
    <cellStyle name="Qté calculées 4 2 2" xfId="27985" xr:uid="{00000000-0005-0000-0000-0000566D0000}"/>
    <cellStyle name="Qté calculées 4 2 3" xfId="27986" xr:uid="{00000000-0005-0000-0000-0000576D0000}"/>
    <cellStyle name="Qté calculées 4 20" xfId="27987" xr:uid="{00000000-0005-0000-0000-0000586D0000}"/>
    <cellStyle name="Qté calculées 4 21" xfId="27988" xr:uid="{00000000-0005-0000-0000-0000596D0000}"/>
    <cellStyle name="Qté calculées 4 22" xfId="27989" xr:uid="{00000000-0005-0000-0000-00005A6D0000}"/>
    <cellStyle name="Qté calculées 4 23" xfId="27990" xr:uid="{00000000-0005-0000-0000-00005B6D0000}"/>
    <cellStyle name="Qté calculées 4 24" xfId="27991" xr:uid="{00000000-0005-0000-0000-00005C6D0000}"/>
    <cellStyle name="Qté calculées 4 25" xfId="27992" xr:uid="{00000000-0005-0000-0000-00005D6D0000}"/>
    <cellStyle name="Qté calculées 4 26" xfId="27993" xr:uid="{00000000-0005-0000-0000-00005E6D0000}"/>
    <cellStyle name="Qté calculées 4 27" xfId="27994" xr:uid="{00000000-0005-0000-0000-00005F6D0000}"/>
    <cellStyle name="Qté calculées 4 28" xfId="27995" xr:uid="{00000000-0005-0000-0000-0000606D0000}"/>
    <cellStyle name="Qté calculées 4 29" xfId="27996" xr:uid="{00000000-0005-0000-0000-0000616D0000}"/>
    <cellStyle name="Qté calculées 4 3" xfId="27997" xr:uid="{00000000-0005-0000-0000-0000626D0000}"/>
    <cellStyle name="Qté calculées 4 30" xfId="27998" xr:uid="{00000000-0005-0000-0000-0000636D0000}"/>
    <cellStyle name="Qté calculées 4 31" xfId="27999" xr:uid="{00000000-0005-0000-0000-0000646D0000}"/>
    <cellStyle name="Qté calculées 4 32" xfId="28000" xr:uid="{00000000-0005-0000-0000-0000656D0000}"/>
    <cellStyle name="Qté calculées 4 33" xfId="28001" xr:uid="{00000000-0005-0000-0000-0000666D0000}"/>
    <cellStyle name="Qté calculées 4 34" xfId="28002" xr:uid="{00000000-0005-0000-0000-0000676D0000}"/>
    <cellStyle name="Qté calculées 4 35" xfId="28003" xr:uid="{00000000-0005-0000-0000-0000686D0000}"/>
    <cellStyle name="Qté calculées 4 36" xfId="28004" xr:uid="{00000000-0005-0000-0000-0000696D0000}"/>
    <cellStyle name="Qté calculées 4 4" xfId="28005" xr:uid="{00000000-0005-0000-0000-00006A6D0000}"/>
    <cellStyle name="Qté calculées 4 5" xfId="28006" xr:uid="{00000000-0005-0000-0000-00006B6D0000}"/>
    <cellStyle name="Qté calculées 4 6" xfId="28007" xr:uid="{00000000-0005-0000-0000-00006C6D0000}"/>
    <cellStyle name="Qté calculées 4 7" xfId="28008" xr:uid="{00000000-0005-0000-0000-00006D6D0000}"/>
    <cellStyle name="Qté calculées 4 8" xfId="28009" xr:uid="{00000000-0005-0000-0000-00006E6D0000}"/>
    <cellStyle name="Qté calculées 4 9" xfId="28010" xr:uid="{00000000-0005-0000-0000-00006F6D0000}"/>
    <cellStyle name="Qté calculées 5" xfId="28011" xr:uid="{00000000-0005-0000-0000-0000706D0000}"/>
    <cellStyle name="Qté calculées 5 2" xfId="28012" xr:uid="{00000000-0005-0000-0000-0000716D0000}"/>
    <cellStyle name="Qté calculées 5 2 2" xfId="28013" xr:uid="{00000000-0005-0000-0000-0000726D0000}"/>
    <cellStyle name="Qté calculées 5 2 3" xfId="28014" xr:uid="{00000000-0005-0000-0000-0000736D0000}"/>
    <cellStyle name="Qté calculées 5 3" xfId="28015" xr:uid="{00000000-0005-0000-0000-0000746D0000}"/>
    <cellStyle name="Qté calculées 5 3 2" xfId="28016" xr:uid="{00000000-0005-0000-0000-0000756D0000}"/>
    <cellStyle name="Qté calculées 5 3 3" xfId="28017" xr:uid="{00000000-0005-0000-0000-0000766D0000}"/>
    <cellStyle name="Qté calculées 5 4" xfId="28018" xr:uid="{00000000-0005-0000-0000-0000776D0000}"/>
    <cellStyle name="Qté calculées 5 5" xfId="28019" xr:uid="{00000000-0005-0000-0000-0000786D0000}"/>
    <cellStyle name="Qté calculées 6" xfId="28020" xr:uid="{00000000-0005-0000-0000-0000796D0000}"/>
    <cellStyle name="Qté calculées 6 2" xfId="28021" xr:uid="{00000000-0005-0000-0000-00007A6D0000}"/>
    <cellStyle name="Qté calculées 6 2 2" xfId="28022" xr:uid="{00000000-0005-0000-0000-00007B6D0000}"/>
    <cellStyle name="Qté calculées 6 2 3" xfId="28023" xr:uid="{00000000-0005-0000-0000-00007C6D0000}"/>
    <cellStyle name="Qté calculées 6 3" xfId="28024" xr:uid="{00000000-0005-0000-0000-00007D6D0000}"/>
    <cellStyle name="Qté calculées 6 3 2" xfId="28025" xr:uid="{00000000-0005-0000-0000-00007E6D0000}"/>
    <cellStyle name="Qté calculées 6 3 3" xfId="28026" xr:uid="{00000000-0005-0000-0000-00007F6D0000}"/>
    <cellStyle name="Qté calculées 6 4" xfId="28027" xr:uid="{00000000-0005-0000-0000-0000806D0000}"/>
    <cellStyle name="Qté calculées 6 5" xfId="28028" xr:uid="{00000000-0005-0000-0000-0000816D0000}"/>
    <cellStyle name="Qté calculées 7" xfId="28029" xr:uid="{00000000-0005-0000-0000-0000826D0000}"/>
    <cellStyle name="Qté calculées 7 2" xfId="28030" xr:uid="{00000000-0005-0000-0000-0000836D0000}"/>
    <cellStyle name="Qté calculées 7 3" xfId="28031" xr:uid="{00000000-0005-0000-0000-0000846D0000}"/>
    <cellStyle name="Qté calculées 8" xfId="28032" xr:uid="{00000000-0005-0000-0000-0000856D0000}"/>
    <cellStyle name="Qté calculées 9" xfId="28033" xr:uid="{00000000-0005-0000-0000-0000866D0000}"/>
    <cellStyle name="QTé entrées" xfId="28034" xr:uid="{00000000-0005-0000-0000-0000876D0000}"/>
    <cellStyle name="QTé entrées 2" xfId="28035" xr:uid="{00000000-0005-0000-0000-0000886D0000}"/>
    <cellStyle name="QTé entrées 2 2" xfId="28036" xr:uid="{00000000-0005-0000-0000-0000896D0000}"/>
    <cellStyle name="QTé entrées 2 2 2" xfId="28037" xr:uid="{00000000-0005-0000-0000-00008A6D0000}"/>
    <cellStyle name="QTé entrées 2 2 2 2" xfId="28038" xr:uid="{00000000-0005-0000-0000-00008B6D0000}"/>
    <cellStyle name="QTé entrées 2 2 3" xfId="28039" xr:uid="{00000000-0005-0000-0000-00008C6D0000}"/>
    <cellStyle name="QTé entrées 2 2 4" xfId="28040" xr:uid="{00000000-0005-0000-0000-00008D6D0000}"/>
    <cellStyle name="QTé entrées 2 3" xfId="28041" xr:uid="{00000000-0005-0000-0000-00008E6D0000}"/>
    <cellStyle name="QTé entrées 2 3 2" xfId="28042" xr:uid="{00000000-0005-0000-0000-00008F6D0000}"/>
    <cellStyle name="QTé entrées 2 4" xfId="28043" xr:uid="{00000000-0005-0000-0000-0000906D0000}"/>
    <cellStyle name="QTé entrées 2 5" xfId="28044" xr:uid="{00000000-0005-0000-0000-0000916D0000}"/>
    <cellStyle name="QTé entrées 3" xfId="28045" xr:uid="{00000000-0005-0000-0000-0000926D0000}"/>
    <cellStyle name="QTé entrées 3 2" xfId="28046" xr:uid="{00000000-0005-0000-0000-0000936D0000}"/>
    <cellStyle name="QTé entrées 3 2 2" xfId="28047" xr:uid="{00000000-0005-0000-0000-0000946D0000}"/>
    <cellStyle name="QTé entrées 3 3" xfId="28048" xr:uid="{00000000-0005-0000-0000-0000956D0000}"/>
    <cellStyle name="QTé entrées 3 4" xfId="28049" xr:uid="{00000000-0005-0000-0000-0000966D0000}"/>
    <cellStyle name="QTé entrées 4" xfId="28050" xr:uid="{00000000-0005-0000-0000-0000976D0000}"/>
    <cellStyle name="QTé entrées 4 2" xfId="28051" xr:uid="{00000000-0005-0000-0000-0000986D0000}"/>
    <cellStyle name="QTé entrées 5" xfId="28052" xr:uid="{00000000-0005-0000-0000-0000996D0000}"/>
    <cellStyle name="QTé entrées 6" xfId="28053" xr:uid="{00000000-0005-0000-0000-00009A6D0000}"/>
    <cellStyle name="Quantity" xfId="28054" xr:uid="{00000000-0005-0000-0000-00009B6D0000}"/>
    <cellStyle name="Quantity 2" xfId="28055" xr:uid="{00000000-0005-0000-0000-00009C6D0000}"/>
    <cellStyle name="Quantity 2 2" xfId="28056" xr:uid="{00000000-0005-0000-0000-00009D6D0000}"/>
    <cellStyle name="Quantity 2 2 2" xfId="28057" xr:uid="{00000000-0005-0000-0000-00009E6D0000}"/>
    <cellStyle name="Quantity 2 2 3" xfId="28058" xr:uid="{00000000-0005-0000-0000-00009F6D0000}"/>
    <cellStyle name="Quantity 2 3" xfId="28059" xr:uid="{00000000-0005-0000-0000-0000A06D0000}"/>
    <cellStyle name="Quantity 3" xfId="28060" xr:uid="{00000000-0005-0000-0000-0000A16D0000}"/>
    <cellStyle name="Quantity 3 2" xfId="28061" xr:uid="{00000000-0005-0000-0000-0000A26D0000}"/>
    <cellStyle name="Quantity 3 2 2" xfId="28062" xr:uid="{00000000-0005-0000-0000-0000A36D0000}"/>
    <cellStyle name="Quantity 3 2 3" xfId="28063" xr:uid="{00000000-0005-0000-0000-0000A46D0000}"/>
    <cellStyle name="Quantity 3 3" xfId="28064" xr:uid="{00000000-0005-0000-0000-0000A56D0000}"/>
    <cellStyle name="Quantity 4" xfId="28065" xr:uid="{00000000-0005-0000-0000-0000A66D0000}"/>
    <cellStyle name="Quantity 4 2" xfId="28066" xr:uid="{00000000-0005-0000-0000-0000A76D0000}"/>
    <cellStyle name="Quantity 4 3" xfId="28067" xr:uid="{00000000-0005-0000-0000-0000A86D0000}"/>
    <cellStyle name="Quantity 5" xfId="28068" xr:uid="{00000000-0005-0000-0000-0000A96D0000}"/>
    <cellStyle name="Red font" xfId="28069" xr:uid="{00000000-0005-0000-0000-0000AA6D0000}"/>
    <cellStyle name="Released" xfId="28070" xr:uid="{00000000-0005-0000-0000-0000AB6D0000}"/>
    <cellStyle name="Released 10" xfId="28071" xr:uid="{00000000-0005-0000-0000-0000AC6D0000}"/>
    <cellStyle name="Released 11" xfId="28072" xr:uid="{00000000-0005-0000-0000-0000AD6D0000}"/>
    <cellStyle name="Released 12" xfId="28073" xr:uid="{00000000-0005-0000-0000-0000AE6D0000}"/>
    <cellStyle name="Released 13" xfId="28074" xr:uid="{00000000-0005-0000-0000-0000AF6D0000}"/>
    <cellStyle name="Released 14" xfId="28075" xr:uid="{00000000-0005-0000-0000-0000B06D0000}"/>
    <cellStyle name="Released 15" xfId="28076" xr:uid="{00000000-0005-0000-0000-0000B16D0000}"/>
    <cellStyle name="Released 16" xfId="28077" xr:uid="{00000000-0005-0000-0000-0000B26D0000}"/>
    <cellStyle name="Released 17" xfId="28078" xr:uid="{00000000-0005-0000-0000-0000B36D0000}"/>
    <cellStyle name="Released 18" xfId="28079" xr:uid="{00000000-0005-0000-0000-0000B46D0000}"/>
    <cellStyle name="Released 19" xfId="28080" xr:uid="{00000000-0005-0000-0000-0000B56D0000}"/>
    <cellStyle name="Released 2" xfId="28081" xr:uid="{00000000-0005-0000-0000-0000B66D0000}"/>
    <cellStyle name="Released 2 10" xfId="28082" xr:uid="{00000000-0005-0000-0000-0000B76D0000}"/>
    <cellStyle name="Released 2 11" xfId="28083" xr:uid="{00000000-0005-0000-0000-0000B86D0000}"/>
    <cellStyle name="Released 2 12" xfId="28084" xr:uid="{00000000-0005-0000-0000-0000B96D0000}"/>
    <cellStyle name="Released 2 13" xfId="28085" xr:uid="{00000000-0005-0000-0000-0000BA6D0000}"/>
    <cellStyle name="Released 2 14" xfId="28086" xr:uid="{00000000-0005-0000-0000-0000BB6D0000}"/>
    <cellStyle name="Released 2 15" xfId="28087" xr:uid="{00000000-0005-0000-0000-0000BC6D0000}"/>
    <cellStyle name="Released 2 16" xfId="28088" xr:uid="{00000000-0005-0000-0000-0000BD6D0000}"/>
    <cellStyle name="Released 2 17" xfId="28089" xr:uid="{00000000-0005-0000-0000-0000BE6D0000}"/>
    <cellStyle name="Released 2 18" xfId="28090" xr:uid="{00000000-0005-0000-0000-0000BF6D0000}"/>
    <cellStyle name="Released 2 19" xfId="28091" xr:uid="{00000000-0005-0000-0000-0000C06D0000}"/>
    <cellStyle name="Released 2 2" xfId="28092" xr:uid="{00000000-0005-0000-0000-0000C16D0000}"/>
    <cellStyle name="Released 2 2 2" xfId="28093" xr:uid="{00000000-0005-0000-0000-0000C26D0000}"/>
    <cellStyle name="Released 2 2 3" xfId="28094" xr:uid="{00000000-0005-0000-0000-0000C36D0000}"/>
    <cellStyle name="Released 2 20" xfId="28095" xr:uid="{00000000-0005-0000-0000-0000C46D0000}"/>
    <cellStyle name="Released 2 21" xfId="28096" xr:uid="{00000000-0005-0000-0000-0000C56D0000}"/>
    <cellStyle name="Released 2 22" xfId="28097" xr:uid="{00000000-0005-0000-0000-0000C66D0000}"/>
    <cellStyle name="Released 2 23" xfId="28098" xr:uid="{00000000-0005-0000-0000-0000C76D0000}"/>
    <cellStyle name="Released 2 24" xfId="28099" xr:uid="{00000000-0005-0000-0000-0000C86D0000}"/>
    <cellStyle name="Released 2 25" xfId="28100" xr:uid="{00000000-0005-0000-0000-0000C96D0000}"/>
    <cellStyle name="Released 2 26" xfId="28101" xr:uid="{00000000-0005-0000-0000-0000CA6D0000}"/>
    <cellStyle name="Released 2 27" xfId="28102" xr:uid="{00000000-0005-0000-0000-0000CB6D0000}"/>
    <cellStyle name="Released 2 28" xfId="28103" xr:uid="{00000000-0005-0000-0000-0000CC6D0000}"/>
    <cellStyle name="Released 2 29" xfId="28104" xr:uid="{00000000-0005-0000-0000-0000CD6D0000}"/>
    <cellStyle name="Released 2 3" xfId="28105" xr:uid="{00000000-0005-0000-0000-0000CE6D0000}"/>
    <cellStyle name="Released 2 30" xfId="28106" xr:uid="{00000000-0005-0000-0000-0000CF6D0000}"/>
    <cellStyle name="Released 2 31" xfId="28107" xr:uid="{00000000-0005-0000-0000-0000D06D0000}"/>
    <cellStyle name="Released 2 32" xfId="28108" xr:uid="{00000000-0005-0000-0000-0000D16D0000}"/>
    <cellStyle name="Released 2 33" xfId="28109" xr:uid="{00000000-0005-0000-0000-0000D26D0000}"/>
    <cellStyle name="Released 2 34" xfId="28110" xr:uid="{00000000-0005-0000-0000-0000D36D0000}"/>
    <cellStyle name="Released 2 35" xfId="28111" xr:uid="{00000000-0005-0000-0000-0000D46D0000}"/>
    <cellStyle name="Released 2 36" xfId="28112" xr:uid="{00000000-0005-0000-0000-0000D56D0000}"/>
    <cellStyle name="Released 2 4" xfId="28113" xr:uid="{00000000-0005-0000-0000-0000D66D0000}"/>
    <cellStyle name="Released 2 5" xfId="28114" xr:uid="{00000000-0005-0000-0000-0000D76D0000}"/>
    <cellStyle name="Released 2 6" xfId="28115" xr:uid="{00000000-0005-0000-0000-0000D86D0000}"/>
    <cellStyle name="Released 2 7" xfId="28116" xr:uid="{00000000-0005-0000-0000-0000D96D0000}"/>
    <cellStyle name="Released 2 8" xfId="28117" xr:uid="{00000000-0005-0000-0000-0000DA6D0000}"/>
    <cellStyle name="Released 2 9" xfId="28118" xr:uid="{00000000-0005-0000-0000-0000DB6D0000}"/>
    <cellStyle name="Released 20" xfId="28119" xr:uid="{00000000-0005-0000-0000-0000DC6D0000}"/>
    <cellStyle name="Released 21" xfId="28120" xr:uid="{00000000-0005-0000-0000-0000DD6D0000}"/>
    <cellStyle name="Released 22" xfId="28121" xr:uid="{00000000-0005-0000-0000-0000DE6D0000}"/>
    <cellStyle name="Released 23" xfId="28122" xr:uid="{00000000-0005-0000-0000-0000DF6D0000}"/>
    <cellStyle name="Released 24" xfId="28123" xr:uid="{00000000-0005-0000-0000-0000E06D0000}"/>
    <cellStyle name="Released 25" xfId="28124" xr:uid="{00000000-0005-0000-0000-0000E16D0000}"/>
    <cellStyle name="Released 26" xfId="28125" xr:uid="{00000000-0005-0000-0000-0000E26D0000}"/>
    <cellStyle name="Released 27" xfId="28126" xr:uid="{00000000-0005-0000-0000-0000E36D0000}"/>
    <cellStyle name="Released 28" xfId="28127" xr:uid="{00000000-0005-0000-0000-0000E46D0000}"/>
    <cellStyle name="Released 29" xfId="28128" xr:uid="{00000000-0005-0000-0000-0000E56D0000}"/>
    <cellStyle name="Released 3" xfId="28129" xr:uid="{00000000-0005-0000-0000-0000E66D0000}"/>
    <cellStyle name="Released 3 2" xfId="28130" xr:uid="{00000000-0005-0000-0000-0000E76D0000}"/>
    <cellStyle name="Released 3 2 2" xfId="28131" xr:uid="{00000000-0005-0000-0000-0000E86D0000}"/>
    <cellStyle name="Released 3 2 3" xfId="28132" xr:uid="{00000000-0005-0000-0000-0000E96D0000}"/>
    <cellStyle name="Released 3 3" xfId="28133" xr:uid="{00000000-0005-0000-0000-0000EA6D0000}"/>
    <cellStyle name="Released 3 3 2" xfId="28134" xr:uid="{00000000-0005-0000-0000-0000EB6D0000}"/>
    <cellStyle name="Released 3 3 3" xfId="28135" xr:uid="{00000000-0005-0000-0000-0000EC6D0000}"/>
    <cellStyle name="Released 3 4" xfId="28136" xr:uid="{00000000-0005-0000-0000-0000ED6D0000}"/>
    <cellStyle name="Released 3 5" xfId="28137" xr:uid="{00000000-0005-0000-0000-0000EE6D0000}"/>
    <cellStyle name="Released 30" xfId="28138" xr:uid="{00000000-0005-0000-0000-0000EF6D0000}"/>
    <cellStyle name="Released 31" xfId="28139" xr:uid="{00000000-0005-0000-0000-0000F06D0000}"/>
    <cellStyle name="Released 32" xfId="28140" xr:uid="{00000000-0005-0000-0000-0000F16D0000}"/>
    <cellStyle name="Released 33" xfId="28141" xr:uid="{00000000-0005-0000-0000-0000F26D0000}"/>
    <cellStyle name="Released 34" xfId="28142" xr:uid="{00000000-0005-0000-0000-0000F36D0000}"/>
    <cellStyle name="Released 35" xfId="28143" xr:uid="{00000000-0005-0000-0000-0000F46D0000}"/>
    <cellStyle name="Released 36" xfId="28144" xr:uid="{00000000-0005-0000-0000-0000F56D0000}"/>
    <cellStyle name="Released 4" xfId="28145" xr:uid="{00000000-0005-0000-0000-0000F66D0000}"/>
    <cellStyle name="Released 4 2" xfId="28146" xr:uid="{00000000-0005-0000-0000-0000F76D0000}"/>
    <cellStyle name="Released 4 2 2" xfId="28147" xr:uid="{00000000-0005-0000-0000-0000F86D0000}"/>
    <cellStyle name="Released 4 2 3" xfId="28148" xr:uid="{00000000-0005-0000-0000-0000F96D0000}"/>
    <cellStyle name="Released 4 3" xfId="28149" xr:uid="{00000000-0005-0000-0000-0000FA6D0000}"/>
    <cellStyle name="Released 4 3 2" xfId="28150" xr:uid="{00000000-0005-0000-0000-0000FB6D0000}"/>
    <cellStyle name="Released 4 3 3" xfId="28151" xr:uid="{00000000-0005-0000-0000-0000FC6D0000}"/>
    <cellStyle name="Released 4 4" xfId="28152" xr:uid="{00000000-0005-0000-0000-0000FD6D0000}"/>
    <cellStyle name="Released 4 5" xfId="28153" xr:uid="{00000000-0005-0000-0000-0000FE6D0000}"/>
    <cellStyle name="Released 5" xfId="28154" xr:uid="{00000000-0005-0000-0000-0000FF6D0000}"/>
    <cellStyle name="Released 5 2" xfId="28155" xr:uid="{00000000-0005-0000-0000-0000006E0000}"/>
    <cellStyle name="Released 5 3" xfId="28156" xr:uid="{00000000-0005-0000-0000-0000016E0000}"/>
    <cellStyle name="Released 6" xfId="28157" xr:uid="{00000000-0005-0000-0000-0000026E0000}"/>
    <cellStyle name="Released 7" xfId="28158" xr:uid="{00000000-0005-0000-0000-0000036E0000}"/>
    <cellStyle name="Released 8" xfId="28159" xr:uid="{00000000-0005-0000-0000-0000046E0000}"/>
    <cellStyle name="Released 9" xfId="28160" xr:uid="{00000000-0005-0000-0000-0000056E0000}"/>
    <cellStyle name="RM" xfId="28161" xr:uid="{00000000-0005-0000-0000-0000066E0000}"/>
    <cellStyle name="Row label" xfId="28162" xr:uid="{00000000-0005-0000-0000-0000076E0000}"/>
    <cellStyle name="Row label (indent)" xfId="28163" xr:uid="{00000000-0005-0000-0000-0000086E0000}"/>
    <cellStyle name="S" xfId="28164" xr:uid="{00000000-0005-0000-0000-0000096E0000}"/>
    <cellStyle name="S by Region Pg 2" xfId="28165" xr:uid="{00000000-0005-0000-0000-00000A6E0000}"/>
    <cellStyle name="S_BellTel MS RFP Annex 7 Pricing Template 081312" xfId="28166" xr:uid="{00000000-0005-0000-0000-00000B6E0000}"/>
    <cellStyle name="Saída" xfId="28167" xr:uid="{00000000-0005-0000-0000-00000C6E0000}"/>
    <cellStyle name="Saída 10" xfId="28168" xr:uid="{00000000-0005-0000-0000-00000D6E0000}"/>
    <cellStyle name="Saída 11" xfId="28169" xr:uid="{00000000-0005-0000-0000-00000E6E0000}"/>
    <cellStyle name="Saída 12" xfId="28170" xr:uid="{00000000-0005-0000-0000-00000F6E0000}"/>
    <cellStyle name="Saída 13" xfId="28171" xr:uid="{00000000-0005-0000-0000-0000106E0000}"/>
    <cellStyle name="Saída 14" xfId="28172" xr:uid="{00000000-0005-0000-0000-0000116E0000}"/>
    <cellStyle name="Saída 15" xfId="28173" xr:uid="{00000000-0005-0000-0000-0000126E0000}"/>
    <cellStyle name="Saída 16" xfId="28174" xr:uid="{00000000-0005-0000-0000-0000136E0000}"/>
    <cellStyle name="Saída 17" xfId="28175" xr:uid="{00000000-0005-0000-0000-0000146E0000}"/>
    <cellStyle name="Saída 18" xfId="28176" xr:uid="{00000000-0005-0000-0000-0000156E0000}"/>
    <cellStyle name="Saída 19" xfId="28177" xr:uid="{00000000-0005-0000-0000-0000166E0000}"/>
    <cellStyle name="Saída 2" xfId="28178" xr:uid="{00000000-0005-0000-0000-0000176E0000}"/>
    <cellStyle name="Saída 2 10" xfId="28179" xr:uid="{00000000-0005-0000-0000-0000186E0000}"/>
    <cellStyle name="Saída 2 11" xfId="28180" xr:uid="{00000000-0005-0000-0000-0000196E0000}"/>
    <cellStyle name="Saída 2 12" xfId="28181" xr:uid="{00000000-0005-0000-0000-00001A6E0000}"/>
    <cellStyle name="Saída 2 13" xfId="28182" xr:uid="{00000000-0005-0000-0000-00001B6E0000}"/>
    <cellStyle name="Saída 2 14" xfId="28183" xr:uid="{00000000-0005-0000-0000-00001C6E0000}"/>
    <cellStyle name="Saída 2 15" xfId="28184" xr:uid="{00000000-0005-0000-0000-00001D6E0000}"/>
    <cellStyle name="Saída 2 16" xfId="28185" xr:uid="{00000000-0005-0000-0000-00001E6E0000}"/>
    <cellStyle name="Saída 2 17" xfId="28186" xr:uid="{00000000-0005-0000-0000-00001F6E0000}"/>
    <cellStyle name="Saída 2 18" xfId="28187" xr:uid="{00000000-0005-0000-0000-0000206E0000}"/>
    <cellStyle name="Saída 2 19" xfId="28188" xr:uid="{00000000-0005-0000-0000-0000216E0000}"/>
    <cellStyle name="Saída 2 2" xfId="28189" xr:uid="{00000000-0005-0000-0000-0000226E0000}"/>
    <cellStyle name="Saída 2 20" xfId="28190" xr:uid="{00000000-0005-0000-0000-0000236E0000}"/>
    <cellStyle name="Saída 2 21" xfId="28191" xr:uid="{00000000-0005-0000-0000-0000246E0000}"/>
    <cellStyle name="Saída 2 22" xfId="28192" xr:uid="{00000000-0005-0000-0000-0000256E0000}"/>
    <cellStyle name="Saída 2 23" xfId="28193" xr:uid="{00000000-0005-0000-0000-0000266E0000}"/>
    <cellStyle name="Saída 2 24" xfId="28194" xr:uid="{00000000-0005-0000-0000-0000276E0000}"/>
    <cellStyle name="Saída 2 25" xfId="28195" xr:uid="{00000000-0005-0000-0000-0000286E0000}"/>
    <cellStyle name="Saída 2 26" xfId="28196" xr:uid="{00000000-0005-0000-0000-0000296E0000}"/>
    <cellStyle name="Saída 2 27" xfId="28197" xr:uid="{00000000-0005-0000-0000-00002A6E0000}"/>
    <cellStyle name="Saída 2 28" xfId="28198" xr:uid="{00000000-0005-0000-0000-00002B6E0000}"/>
    <cellStyle name="Saída 2 29" xfId="28199" xr:uid="{00000000-0005-0000-0000-00002C6E0000}"/>
    <cellStyle name="Saída 2 3" xfId="28200" xr:uid="{00000000-0005-0000-0000-00002D6E0000}"/>
    <cellStyle name="Saída 2 30" xfId="28201" xr:uid="{00000000-0005-0000-0000-00002E6E0000}"/>
    <cellStyle name="Saída 2 31" xfId="28202" xr:uid="{00000000-0005-0000-0000-00002F6E0000}"/>
    <cellStyle name="Saída 2 32" xfId="28203" xr:uid="{00000000-0005-0000-0000-0000306E0000}"/>
    <cellStyle name="Saída 2 33" xfId="28204" xr:uid="{00000000-0005-0000-0000-0000316E0000}"/>
    <cellStyle name="Saída 2 34" xfId="28205" xr:uid="{00000000-0005-0000-0000-0000326E0000}"/>
    <cellStyle name="Saída 2 4" xfId="28206" xr:uid="{00000000-0005-0000-0000-0000336E0000}"/>
    <cellStyle name="Saída 2 5" xfId="28207" xr:uid="{00000000-0005-0000-0000-0000346E0000}"/>
    <cellStyle name="Saída 2 6" xfId="28208" xr:uid="{00000000-0005-0000-0000-0000356E0000}"/>
    <cellStyle name="Saída 2 7" xfId="28209" xr:uid="{00000000-0005-0000-0000-0000366E0000}"/>
    <cellStyle name="Saída 2 8" xfId="28210" xr:uid="{00000000-0005-0000-0000-0000376E0000}"/>
    <cellStyle name="Saída 2 9" xfId="28211" xr:uid="{00000000-0005-0000-0000-0000386E0000}"/>
    <cellStyle name="Saída 20" xfId="28212" xr:uid="{00000000-0005-0000-0000-0000396E0000}"/>
    <cellStyle name="Saída 3" xfId="28213" xr:uid="{00000000-0005-0000-0000-00003A6E0000}"/>
    <cellStyle name="Saída 3 2" xfId="28214" xr:uid="{00000000-0005-0000-0000-00003B6E0000}"/>
    <cellStyle name="Saída 3 3" xfId="28215" xr:uid="{00000000-0005-0000-0000-00003C6E0000}"/>
    <cellStyle name="Saída 4" xfId="28216" xr:uid="{00000000-0005-0000-0000-00003D6E0000}"/>
    <cellStyle name="Saída 5" xfId="28217" xr:uid="{00000000-0005-0000-0000-00003E6E0000}"/>
    <cellStyle name="Saída 6" xfId="28218" xr:uid="{00000000-0005-0000-0000-00003F6E0000}"/>
    <cellStyle name="Saída 7" xfId="28219" xr:uid="{00000000-0005-0000-0000-0000406E0000}"/>
    <cellStyle name="Saída 8" xfId="28220" xr:uid="{00000000-0005-0000-0000-0000416E0000}"/>
    <cellStyle name="Saída 9" xfId="28221" xr:uid="{00000000-0005-0000-0000-0000426E0000}"/>
    <cellStyle name="SAPBEXaggData" xfId="28222" xr:uid="{00000000-0005-0000-0000-0000436E0000}"/>
    <cellStyle name="SAPBEXaggData 10" xfId="28223" xr:uid="{00000000-0005-0000-0000-0000446E0000}"/>
    <cellStyle name="SAPBEXaggData 11" xfId="28224" xr:uid="{00000000-0005-0000-0000-0000456E0000}"/>
    <cellStyle name="SAPBEXaggData 12" xfId="28225" xr:uid="{00000000-0005-0000-0000-0000466E0000}"/>
    <cellStyle name="SAPBEXaggData 13" xfId="28226" xr:uid="{00000000-0005-0000-0000-0000476E0000}"/>
    <cellStyle name="SAPBEXaggData 14" xfId="28227" xr:uid="{00000000-0005-0000-0000-0000486E0000}"/>
    <cellStyle name="SAPBEXaggData 15" xfId="28228" xr:uid="{00000000-0005-0000-0000-0000496E0000}"/>
    <cellStyle name="SAPBEXaggData 16" xfId="28229" xr:uid="{00000000-0005-0000-0000-00004A6E0000}"/>
    <cellStyle name="SAPBEXaggData 17" xfId="28230" xr:uid="{00000000-0005-0000-0000-00004B6E0000}"/>
    <cellStyle name="SAPBEXaggData 18" xfId="28231" xr:uid="{00000000-0005-0000-0000-00004C6E0000}"/>
    <cellStyle name="SAPBEXaggData 19" xfId="28232" xr:uid="{00000000-0005-0000-0000-00004D6E0000}"/>
    <cellStyle name="SAPBEXaggData 2" xfId="28233" xr:uid="{00000000-0005-0000-0000-00004E6E0000}"/>
    <cellStyle name="SAPBEXaggData 2 10" xfId="28234" xr:uid="{00000000-0005-0000-0000-00004F6E0000}"/>
    <cellStyle name="SAPBEXaggData 2 11" xfId="28235" xr:uid="{00000000-0005-0000-0000-0000506E0000}"/>
    <cellStyle name="SAPBEXaggData 2 12" xfId="28236" xr:uid="{00000000-0005-0000-0000-0000516E0000}"/>
    <cellStyle name="SAPBEXaggData 2 13" xfId="28237" xr:uid="{00000000-0005-0000-0000-0000526E0000}"/>
    <cellStyle name="SAPBEXaggData 2 14" xfId="28238" xr:uid="{00000000-0005-0000-0000-0000536E0000}"/>
    <cellStyle name="SAPBEXaggData 2 15" xfId="28239" xr:uid="{00000000-0005-0000-0000-0000546E0000}"/>
    <cellStyle name="SAPBEXaggData 2 16" xfId="28240" xr:uid="{00000000-0005-0000-0000-0000556E0000}"/>
    <cellStyle name="SAPBEXaggData 2 17" xfId="28241" xr:uid="{00000000-0005-0000-0000-0000566E0000}"/>
    <cellStyle name="SAPBEXaggData 2 18" xfId="28242" xr:uid="{00000000-0005-0000-0000-0000576E0000}"/>
    <cellStyle name="SAPBEXaggData 2 19" xfId="28243" xr:uid="{00000000-0005-0000-0000-0000586E0000}"/>
    <cellStyle name="SAPBEXaggData 2 2" xfId="28244" xr:uid="{00000000-0005-0000-0000-0000596E0000}"/>
    <cellStyle name="SAPBEXaggData 2 20" xfId="28245" xr:uid="{00000000-0005-0000-0000-00005A6E0000}"/>
    <cellStyle name="SAPBEXaggData 2 21" xfId="28246" xr:uid="{00000000-0005-0000-0000-00005B6E0000}"/>
    <cellStyle name="SAPBEXaggData 2 22" xfId="28247" xr:uid="{00000000-0005-0000-0000-00005C6E0000}"/>
    <cellStyle name="SAPBEXaggData 2 23" xfId="28248" xr:uid="{00000000-0005-0000-0000-00005D6E0000}"/>
    <cellStyle name="SAPBEXaggData 2 24" xfId="28249" xr:uid="{00000000-0005-0000-0000-00005E6E0000}"/>
    <cellStyle name="SAPBEXaggData 2 25" xfId="28250" xr:uid="{00000000-0005-0000-0000-00005F6E0000}"/>
    <cellStyle name="SAPBEXaggData 2 26" xfId="28251" xr:uid="{00000000-0005-0000-0000-0000606E0000}"/>
    <cellStyle name="SAPBEXaggData 2 27" xfId="28252" xr:uid="{00000000-0005-0000-0000-0000616E0000}"/>
    <cellStyle name="SAPBEXaggData 2 28" xfId="28253" xr:uid="{00000000-0005-0000-0000-0000626E0000}"/>
    <cellStyle name="SAPBEXaggData 2 29" xfId="28254" xr:uid="{00000000-0005-0000-0000-0000636E0000}"/>
    <cellStyle name="SAPBEXaggData 2 3" xfId="28255" xr:uid="{00000000-0005-0000-0000-0000646E0000}"/>
    <cellStyle name="SAPBEXaggData 2 30" xfId="28256" xr:uid="{00000000-0005-0000-0000-0000656E0000}"/>
    <cellStyle name="SAPBEXaggData 2 31" xfId="28257" xr:uid="{00000000-0005-0000-0000-0000666E0000}"/>
    <cellStyle name="SAPBEXaggData 2 32" xfId="28258" xr:uid="{00000000-0005-0000-0000-0000676E0000}"/>
    <cellStyle name="SAPBEXaggData 2 33" xfId="28259" xr:uid="{00000000-0005-0000-0000-0000686E0000}"/>
    <cellStyle name="SAPBEXaggData 2 34" xfId="28260" xr:uid="{00000000-0005-0000-0000-0000696E0000}"/>
    <cellStyle name="SAPBEXaggData 2 4" xfId="28261" xr:uid="{00000000-0005-0000-0000-00006A6E0000}"/>
    <cellStyle name="SAPBEXaggData 2 5" xfId="28262" xr:uid="{00000000-0005-0000-0000-00006B6E0000}"/>
    <cellStyle name="SAPBEXaggData 2 6" xfId="28263" xr:uid="{00000000-0005-0000-0000-00006C6E0000}"/>
    <cellStyle name="SAPBEXaggData 2 7" xfId="28264" xr:uid="{00000000-0005-0000-0000-00006D6E0000}"/>
    <cellStyle name="SAPBEXaggData 2 8" xfId="28265" xr:uid="{00000000-0005-0000-0000-00006E6E0000}"/>
    <cellStyle name="SAPBEXaggData 2 9" xfId="28266" xr:uid="{00000000-0005-0000-0000-00006F6E0000}"/>
    <cellStyle name="SAPBEXaggData 20" xfId="28267" xr:uid="{00000000-0005-0000-0000-0000706E0000}"/>
    <cellStyle name="SAPBEXaggData 3" xfId="28268" xr:uid="{00000000-0005-0000-0000-0000716E0000}"/>
    <cellStyle name="SAPBEXaggData 3 2" xfId="28269" xr:uid="{00000000-0005-0000-0000-0000726E0000}"/>
    <cellStyle name="SAPBEXaggData 3 3" xfId="28270" xr:uid="{00000000-0005-0000-0000-0000736E0000}"/>
    <cellStyle name="SAPBEXaggData 4" xfId="28271" xr:uid="{00000000-0005-0000-0000-0000746E0000}"/>
    <cellStyle name="SAPBEXaggData 5" xfId="28272" xr:uid="{00000000-0005-0000-0000-0000756E0000}"/>
    <cellStyle name="SAPBEXaggData 6" xfId="28273" xr:uid="{00000000-0005-0000-0000-0000766E0000}"/>
    <cellStyle name="SAPBEXaggData 7" xfId="28274" xr:uid="{00000000-0005-0000-0000-0000776E0000}"/>
    <cellStyle name="SAPBEXaggData 8" xfId="28275" xr:uid="{00000000-0005-0000-0000-0000786E0000}"/>
    <cellStyle name="SAPBEXaggData 9" xfId="28276" xr:uid="{00000000-0005-0000-0000-0000796E0000}"/>
    <cellStyle name="SAPBEXaggItem" xfId="28277" xr:uid="{00000000-0005-0000-0000-00007A6E0000}"/>
    <cellStyle name="SAPBEXaggItem 10" xfId="28278" xr:uid="{00000000-0005-0000-0000-00007B6E0000}"/>
    <cellStyle name="SAPBEXaggItem 11" xfId="28279" xr:uid="{00000000-0005-0000-0000-00007C6E0000}"/>
    <cellStyle name="SAPBEXaggItem 12" xfId="28280" xr:uid="{00000000-0005-0000-0000-00007D6E0000}"/>
    <cellStyle name="SAPBEXaggItem 13" xfId="28281" xr:uid="{00000000-0005-0000-0000-00007E6E0000}"/>
    <cellStyle name="SAPBEXaggItem 14" xfId="28282" xr:uid="{00000000-0005-0000-0000-00007F6E0000}"/>
    <cellStyle name="SAPBEXaggItem 15" xfId="28283" xr:uid="{00000000-0005-0000-0000-0000806E0000}"/>
    <cellStyle name="SAPBEXaggItem 16" xfId="28284" xr:uid="{00000000-0005-0000-0000-0000816E0000}"/>
    <cellStyle name="SAPBEXaggItem 17" xfId="28285" xr:uid="{00000000-0005-0000-0000-0000826E0000}"/>
    <cellStyle name="SAPBEXaggItem 18" xfId="28286" xr:uid="{00000000-0005-0000-0000-0000836E0000}"/>
    <cellStyle name="SAPBEXaggItem 19" xfId="28287" xr:uid="{00000000-0005-0000-0000-0000846E0000}"/>
    <cellStyle name="SAPBEXaggItem 2" xfId="28288" xr:uid="{00000000-0005-0000-0000-0000856E0000}"/>
    <cellStyle name="SAPBEXaggItem 2 10" xfId="28289" xr:uid="{00000000-0005-0000-0000-0000866E0000}"/>
    <cellStyle name="SAPBEXaggItem 2 11" xfId="28290" xr:uid="{00000000-0005-0000-0000-0000876E0000}"/>
    <cellStyle name="SAPBEXaggItem 2 12" xfId="28291" xr:uid="{00000000-0005-0000-0000-0000886E0000}"/>
    <cellStyle name="SAPBEXaggItem 2 13" xfId="28292" xr:uid="{00000000-0005-0000-0000-0000896E0000}"/>
    <cellStyle name="SAPBEXaggItem 2 14" xfId="28293" xr:uid="{00000000-0005-0000-0000-00008A6E0000}"/>
    <cellStyle name="SAPBEXaggItem 2 15" xfId="28294" xr:uid="{00000000-0005-0000-0000-00008B6E0000}"/>
    <cellStyle name="SAPBEXaggItem 2 16" xfId="28295" xr:uid="{00000000-0005-0000-0000-00008C6E0000}"/>
    <cellStyle name="SAPBEXaggItem 2 17" xfId="28296" xr:uid="{00000000-0005-0000-0000-00008D6E0000}"/>
    <cellStyle name="SAPBEXaggItem 2 18" xfId="28297" xr:uid="{00000000-0005-0000-0000-00008E6E0000}"/>
    <cellStyle name="SAPBEXaggItem 2 19" xfId="28298" xr:uid="{00000000-0005-0000-0000-00008F6E0000}"/>
    <cellStyle name="SAPBEXaggItem 2 2" xfId="28299" xr:uid="{00000000-0005-0000-0000-0000906E0000}"/>
    <cellStyle name="SAPBEXaggItem 2 20" xfId="28300" xr:uid="{00000000-0005-0000-0000-0000916E0000}"/>
    <cellStyle name="SAPBEXaggItem 2 21" xfId="28301" xr:uid="{00000000-0005-0000-0000-0000926E0000}"/>
    <cellStyle name="SAPBEXaggItem 2 22" xfId="28302" xr:uid="{00000000-0005-0000-0000-0000936E0000}"/>
    <cellStyle name="SAPBEXaggItem 2 23" xfId="28303" xr:uid="{00000000-0005-0000-0000-0000946E0000}"/>
    <cellStyle name="SAPBEXaggItem 2 24" xfId="28304" xr:uid="{00000000-0005-0000-0000-0000956E0000}"/>
    <cellStyle name="SAPBEXaggItem 2 25" xfId="28305" xr:uid="{00000000-0005-0000-0000-0000966E0000}"/>
    <cellStyle name="SAPBEXaggItem 2 26" xfId="28306" xr:uid="{00000000-0005-0000-0000-0000976E0000}"/>
    <cellStyle name="SAPBEXaggItem 2 27" xfId="28307" xr:uid="{00000000-0005-0000-0000-0000986E0000}"/>
    <cellStyle name="SAPBEXaggItem 2 28" xfId="28308" xr:uid="{00000000-0005-0000-0000-0000996E0000}"/>
    <cellStyle name="SAPBEXaggItem 2 29" xfId="28309" xr:uid="{00000000-0005-0000-0000-00009A6E0000}"/>
    <cellStyle name="SAPBEXaggItem 2 3" xfId="28310" xr:uid="{00000000-0005-0000-0000-00009B6E0000}"/>
    <cellStyle name="SAPBEXaggItem 2 30" xfId="28311" xr:uid="{00000000-0005-0000-0000-00009C6E0000}"/>
    <cellStyle name="SAPBEXaggItem 2 31" xfId="28312" xr:uid="{00000000-0005-0000-0000-00009D6E0000}"/>
    <cellStyle name="SAPBEXaggItem 2 32" xfId="28313" xr:uid="{00000000-0005-0000-0000-00009E6E0000}"/>
    <cellStyle name="SAPBEXaggItem 2 33" xfId="28314" xr:uid="{00000000-0005-0000-0000-00009F6E0000}"/>
    <cellStyle name="SAPBEXaggItem 2 34" xfId="28315" xr:uid="{00000000-0005-0000-0000-0000A06E0000}"/>
    <cellStyle name="SAPBEXaggItem 2 4" xfId="28316" xr:uid="{00000000-0005-0000-0000-0000A16E0000}"/>
    <cellStyle name="SAPBEXaggItem 2 5" xfId="28317" xr:uid="{00000000-0005-0000-0000-0000A26E0000}"/>
    <cellStyle name="SAPBEXaggItem 2 6" xfId="28318" xr:uid="{00000000-0005-0000-0000-0000A36E0000}"/>
    <cellStyle name="SAPBEXaggItem 2 7" xfId="28319" xr:uid="{00000000-0005-0000-0000-0000A46E0000}"/>
    <cellStyle name="SAPBEXaggItem 2 8" xfId="28320" xr:uid="{00000000-0005-0000-0000-0000A56E0000}"/>
    <cellStyle name="SAPBEXaggItem 2 9" xfId="28321" xr:uid="{00000000-0005-0000-0000-0000A66E0000}"/>
    <cellStyle name="SAPBEXaggItem 20" xfId="28322" xr:uid="{00000000-0005-0000-0000-0000A76E0000}"/>
    <cellStyle name="SAPBEXaggItem 3" xfId="28323" xr:uid="{00000000-0005-0000-0000-0000A86E0000}"/>
    <cellStyle name="SAPBEXaggItem 3 2" xfId="28324" xr:uid="{00000000-0005-0000-0000-0000A96E0000}"/>
    <cellStyle name="SAPBEXaggItem 3 3" xfId="28325" xr:uid="{00000000-0005-0000-0000-0000AA6E0000}"/>
    <cellStyle name="SAPBEXaggItem 4" xfId="28326" xr:uid="{00000000-0005-0000-0000-0000AB6E0000}"/>
    <cellStyle name="SAPBEXaggItem 5" xfId="28327" xr:uid="{00000000-0005-0000-0000-0000AC6E0000}"/>
    <cellStyle name="SAPBEXaggItem 6" xfId="28328" xr:uid="{00000000-0005-0000-0000-0000AD6E0000}"/>
    <cellStyle name="SAPBEXaggItem 7" xfId="28329" xr:uid="{00000000-0005-0000-0000-0000AE6E0000}"/>
    <cellStyle name="SAPBEXaggItem 8" xfId="28330" xr:uid="{00000000-0005-0000-0000-0000AF6E0000}"/>
    <cellStyle name="SAPBEXaggItem 9" xfId="28331" xr:uid="{00000000-0005-0000-0000-0000B06E0000}"/>
    <cellStyle name="SAPBEXchaText" xfId="28332" xr:uid="{00000000-0005-0000-0000-0000B16E0000}"/>
    <cellStyle name="SAPBEXHLevel1" xfId="28333" xr:uid="{00000000-0005-0000-0000-0000B26E0000}"/>
    <cellStyle name="SAPBEXHLevel1 10" xfId="28334" xr:uid="{00000000-0005-0000-0000-0000B36E0000}"/>
    <cellStyle name="SAPBEXHLevel1 11" xfId="28335" xr:uid="{00000000-0005-0000-0000-0000B46E0000}"/>
    <cellStyle name="SAPBEXHLevel1 12" xfId="28336" xr:uid="{00000000-0005-0000-0000-0000B56E0000}"/>
    <cellStyle name="SAPBEXHLevel1 13" xfId="28337" xr:uid="{00000000-0005-0000-0000-0000B66E0000}"/>
    <cellStyle name="SAPBEXHLevel1 14" xfId="28338" xr:uid="{00000000-0005-0000-0000-0000B76E0000}"/>
    <cellStyle name="SAPBEXHLevel1 15" xfId="28339" xr:uid="{00000000-0005-0000-0000-0000B86E0000}"/>
    <cellStyle name="SAPBEXHLevel1 16" xfId="28340" xr:uid="{00000000-0005-0000-0000-0000B96E0000}"/>
    <cellStyle name="SAPBEXHLevel1 17" xfId="28341" xr:uid="{00000000-0005-0000-0000-0000BA6E0000}"/>
    <cellStyle name="SAPBEXHLevel1 18" xfId="28342" xr:uid="{00000000-0005-0000-0000-0000BB6E0000}"/>
    <cellStyle name="SAPBEXHLevel1 19" xfId="28343" xr:uid="{00000000-0005-0000-0000-0000BC6E0000}"/>
    <cellStyle name="SAPBEXHLevel1 2" xfId="28344" xr:uid="{00000000-0005-0000-0000-0000BD6E0000}"/>
    <cellStyle name="SAPBEXHLevel1 2 10" xfId="28345" xr:uid="{00000000-0005-0000-0000-0000BE6E0000}"/>
    <cellStyle name="SAPBEXHLevel1 2 11" xfId="28346" xr:uid="{00000000-0005-0000-0000-0000BF6E0000}"/>
    <cellStyle name="SAPBEXHLevel1 2 12" xfId="28347" xr:uid="{00000000-0005-0000-0000-0000C06E0000}"/>
    <cellStyle name="SAPBEXHLevel1 2 13" xfId="28348" xr:uid="{00000000-0005-0000-0000-0000C16E0000}"/>
    <cellStyle name="SAPBEXHLevel1 2 14" xfId="28349" xr:uid="{00000000-0005-0000-0000-0000C26E0000}"/>
    <cellStyle name="SAPBEXHLevel1 2 15" xfId="28350" xr:uid="{00000000-0005-0000-0000-0000C36E0000}"/>
    <cellStyle name="SAPBEXHLevel1 2 16" xfId="28351" xr:uid="{00000000-0005-0000-0000-0000C46E0000}"/>
    <cellStyle name="SAPBEXHLevel1 2 17" xfId="28352" xr:uid="{00000000-0005-0000-0000-0000C56E0000}"/>
    <cellStyle name="SAPBEXHLevel1 2 18" xfId="28353" xr:uid="{00000000-0005-0000-0000-0000C66E0000}"/>
    <cellStyle name="SAPBEXHLevel1 2 19" xfId="28354" xr:uid="{00000000-0005-0000-0000-0000C76E0000}"/>
    <cellStyle name="SAPBEXHLevel1 2 2" xfId="28355" xr:uid="{00000000-0005-0000-0000-0000C86E0000}"/>
    <cellStyle name="SAPBEXHLevel1 2 20" xfId="28356" xr:uid="{00000000-0005-0000-0000-0000C96E0000}"/>
    <cellStyle name="SAPBEXHLevel1 2 21" xfId="28357" xr:uid="{00000000-0005-0000-0000-0000CA6E0000}"/>
    <cellStyle name="SAPBEXHLevel1 2 22" xfId="28358" xr:uid="{00000000-0005-0000-0000-0000CB6E0000}"/>
    <cellStyle name="SAPBEXHLevel1 2 23" xfId="28359" xr:uid="{00000000-0005-0000-0000-0000CC6E0000}"/>
    <cellStyle name="SAPBEXHLevel1 2 24" xfId="28360" xr:uid="{00000000-0005-0000-0000-0000CD6E0000}"/>
    <cellStyle name="SAPBEXHLevel1 2 25" xfId="28361" xr:uid="{00000000-0005-0000-0000-0000CE6E0000}"/>
    <cellStyle name="SAPBEXHLevel1 2 26" xfId="28362" xr:uid="{00000000-0005-0000-0000-0000CF6E0000}"/>
    <cellStyle name="SAPBEXHLevel1 2 27" xfId="28363" xr:uid="{00000000-0005-0000-0000-0000D06E0000}"/>
    <cellStyle name="SAPBEXHLevel1 2 28" xfId="28364" xr:uid="{00000000-0005-0000-0000-0000D16E0000}"/>
    <cellStyle name="SAPBEXHLevel1 2 29" xfId="28365" xr:uid="{00000000-0005-0000-0000-0000D26E0000}"/>
    <cellStyle name="SAPBEXHLevel1 2 3" xfId="28366" xr:uid="{00000000-0005-0000-0000-0000D36E0000}"/>
    <cellStyle name="SAPBEXHLevel1 2 30" xfId="28367" xr:uid="{00000000-0005-0000-0000-0000D46E0000}"/>
    <cellStyle name="SAPBEXHLevel1 2 31" xfId="28368" xr:uid="{00000000-0005-0000-0000-0000D56E0000}"/>
    <cellStyle name="SAPBEXHLevel1 2 32" xfId="28369" xr:uid="{00000000-0005-0000-0000-0000D66E0000}"/>
    <cellStyle name="SAPBEXHLevel1 2 33" xfId="28370" xr:uid="{00000000-0005-0000-0000-0000D76E0000}"/>
    <cellStyle name="SAPBEXHLevel1 2 34" xfId="28371" xr:uid="{00000000-0005-0000-0000-0000D86E0000}"/>
    <cellStyle name="SAPBEXHLevel1 2 4" xfId="28372" xr:uid="{00000000-0005-0000-0000-0000D96E0000}"/>
    <cellStyle name="SAPBEXHLevel1 2 5" xfId="28373" xr:uid="{00000000-0005-0000-0000-0000DA6E0000}"/>
    <cellStyle name="SAPBEXHLevel1 2 6" xfId="28374" xr:uid="{00000000-0005-0000-0000-0000DB6E0000}"/>
    <cellStyle name="SAPBEXHLevel1 2 7" xfId="28375" xr:uid="{00000000-0005-0000-0000-0000DC6E0000}"/>
    <cellStyle name="SAPBEXHLevel1 2 8" xfId="28376" xr:uid="{00000000-0005-0000-0000-0000DD6E0000}"/>
    <cellStyle name="SAPBEXHLevel1 2 9" xfId="28377" xr:uid="{00000000-0005-0000-0000-0000DE6E0000}"/>
    <cellStyle name="SAPBEXHLevel1 20" xfId="28378" xr:uid="{00000000-0005-0000-0000-0000DF6E0000}"/>
    <cellStyle name="SAPBEXHLevel1 3" xfId="28379" xr:uid="{00000000-0005-0000-0000-0000E06E0000}"/>
    <cellStyle name="SAPBEXHLevel1 3 2" xfId="28380" xr:uid="{00000000-0005-0000-0000-0000E16E0000}"/>
    <cellStyle name="SAPBEXHLevel1 3 3" xfId="28381" xr:uid="{00000000-0005-0000-0000-0000E26E0000}"/>
    <cellStyle name="SAPBEXHLevel1 4" xfId="28382" xr:uid="{00000000-0005-0000-0000-0000E36E0000}"/>
    <cellStyle name="SAPBEXHLevel1 5" xfId="28383" xr:uid="{00000000-0005-0000-0000-0000E46E0000}"/>
    <cellStyle name="SAPBEXHLevel1 6" xfId="28384" xr:uid="{00000000-0005-0000-0000-0000E56E0000}"/>
    <cellStyle name="SAPBEXHLevel1 7" xfId="28385" xr:uid="{00000000-0005-0000-0000-0000E66E0000}"/>
    <cellStyle name="SAPBEXHLevel1 8" xfId="28386" xr:uid="{00000000-0005-0000-0000-0000E76E0000}"/>
    <cellStyle name="SAPBEXHLevel1 9" xfId="28387" xr:uid="{00000000-0005-0000-0000-0000E86E0000}"/>
    <cellStyle name="SAPBEXstdData" xfId="28388" xr:uid="{00000000-0005-0000-0000-0000E96E0000}"/>
    <cellStyle name="SAPBEXstdData 10" xfId="28389" xr:uid="{00000000-0005-0000-0000-0000EA6E0000}"/>
    <cellStyle name="SAPBEXstdData 11" xfId="28390" xr:uid="{00000000-0005-0000-0000-0000EB6E0000}"/>
    <cellStyle name="SAPBEXstdData 12" xfId="28391" xr:uid="{00000000-0005-0000-0000-0000EC6E0000}"/>
    <cellStyle name="SAPBEXstdData 13" xfId="28392" xr:uid="{00000000-0005-0000-0000-0000ED6E0000}"/>
    <cellStyle name="SAPBEXstdData 14" xfId="28393" xr:uid="{00000000-0005-0000-0000-0000EE6E0000}"/>
    <cellStyle name="SAPBEXstdData 15" xfId="28394" xr:uid="{00000000-0005-0000-0000-0000EF6E0000}"/>
    <cellStyle name="SAPBEXstdData 16" xfId="28395" xr:uid="{00000000-0005-0000-0000-0000F06E0000}"/>
    <cellStyle name="SAPBEXstdData 17" xfId="28396" xr:uid="{00000000-0005-0000-0000-0000F16E0000}"/>
    <cellStyle name="SAPBEXstdData 18" xfId="28397" xr:uid="{00000000-0005-0000-0000-0000F26E0000}"/>
    <cellStyle name="SAPBEXstdData 19" xfId="28398" xr:uid="{00000000-0005-0000-0000-0000F36E0000}"/>
    <cellStyle name="SAPBEXstdData 2" xfId="28399" xr:uid="{00000000-0005-0000-0000-0000F46E0000}"/>
    <cellStyle name="SAPBEXstdData 2 10" xfId="28400" xr:uid="{00000000-0005-0000-0000-0000F56E0000}"/>
    <cellStyle name="SAPBEXstdData 2 11" xfId="28401" xr:uid="{00000000-0005-0000-0000-0000F66E0000}"/>
    <cellStyle name="SAPBEXstdData 2 12" xfId="28402" xr:uid="{00000000-0005-0000-0000-0000F76E0000}"/>
    <cellStyle name="SAPBEXstdData 2 13" xfId="28403" xr:uid="{00000000-0005-0000-0000-0000F86E0000}"/>
    <cellStyle name="SAPBEXstdData 2 14" xfId="28404" xr:uid="{00000000-0005-0000-0000-0000F96E0000}"/>
    <cellStyle name="SAPBEXstdData 2 15" xfId="28405" xr:uid="{00000000-0005-0000-0000-0000FA6E0000}"/>
    <cellStyle name="SAPBEXstdData 2 16" xfId="28406" xr:uid="{00000000-0005-0000-0000-0000FB6E0000}"/>
    <cellStyle name="SAPBEXstdData 2 17" xfId="28407" xr:uid="{00000000-0005-0000-0000-0000FC6E0000}"/>
    <cellStyle name="SAPBEXstdData 2 18" xfId="28408" xr:uid="{00000000-0005-0000-0000-0000FD6E0000}"/>
    <cellStyle name="SAPBEXstdData 2 19" xfId="28409" xr:uid="{00000000-0005-0000-0000-0000FE6E0000}"/>
    <cellStyle name="SAPBEXstdData 2 2" xfId="28410" xr:uid="{00000000-0005-0000-0000-0000FF6E0000}"/>
    <cellStyle name="SAPBEXstdData 2 20" xfId="28411" xr:uid="{00000000-0005-0000-0000-0000006F0000}"/>
    <cellStyle name="SAPBEXstdData 2 21" xfId="28412" xr:uid="{00000000-0005-0000-0000-0000016F0000}"/>
    <cellStyle name="SAPBEXstdData 2 22" xfId="28413" xr:uid="{00000000-0005-0000-0000-0000026F0000}"/>
    <cellStyle name="SAPBEXstdData 2 23" xfId="28414" xr:uid="{00000000-0005-0000-0000-0000036F0000}"/>
    <cellStyle name="SAPBEXstdData 2 24" xfId="28415" xr:uid="{00000000-0005-0000-0000-0000046F0000}"/>
    <cellStyle name="SAPBEXstdData 2 25" xfId="28416" xr:uid="{00000000-0005-0000-0000-0000056F0000}"/>
    <cellStyle name="SAPBEXstdData 2 26" xfId="28417" xr:uid="{00000000-0005-0000-0000-0000066F0000}"/>
    <cellStyle name="SAPBEXstdData 2 27" xfId="28418" xr:uid="{00000000-0005-0000-0000-0000076F0000}"/>
    <cellStyle name="SAPBEXstdData 2 28" xfId="28419" xr:uid="{00000000-0005-0000-0000-0000086F0000}"/>
    <cellStyle name="SAPBEXstdData 2 29" xfId="28420" xr:uid="{00000000-0005-0000-0000-0000096F0000}"/>
    <cellStyle name="SAPBEXstdData 2 3" xfId="28421" xr:uid="{00000000-0005-0000-0000-00000A6F0000}"/>
    <cellStyle name="SAPBEXstdData 2 30" xfId="28422" xr:uid="{00000000-0005-0000-0000-00000B6F0000}"/>
    <cellStyle name="SAPBEXstdData 2 31" xfId="28423" xr:uid="{00000000-0005-0000-0000-00000C6F0000}"/>
    <cellStyle name="SAPBEXstdData 2 32" xfId="28424" xr:uid="{00000000-0005-0000-0000-00000D6F0000}"/>
    <cellStyle name="SAPBEXstdData 2 33" xfId="28425" xr:uid="{00000000-0005-0000-0000-00000E6F0000}"/>
    <cellStyle name="SAPBEXstdData 2 34" xfId="28426" xr:uid="{00000000-0005-0000-0000-00000F6F0000}"/>
    <cellStyle name="SAPBEXstdData 2 4" xfId="28427" xr:uid="{00000000-0005-0000-0000-0000106F0000}"/>
    <cellStyle name="SAPBEXstdData 2 5" xfId="28428" xr:uid="{00000000-0005-0000-0000-0000116F0000}"/>
    <cellStyle name="SAPBEXstdData 2 6" xfId="28429" xr:uid="{00000000-0005-0000-0000-0000126F0000}"/>
    <cellStyle name="SAPBEXstdData 2 7" xfId="28430" xr:uid="{00000000-0005-0000-0000-0000136F0000}"/>
    <cellStyle name="SAPBEXstdData 2 8" xfId="28431" xr:uid="{00000000-0005-0000-0000-0000146F0000}"/>
    <cellStyle name="SAPBEXstdData 2 9" xfId="28432" xr:uid="{00000000-0005-0000-0000-0000156F0000}"/>
    <cellStyle name="SAPBEXstdData 20" xfId="28433" xr:uid="{00000000-0005-0000-0000-0000166F0000}"/>
    <cellStyle name="SAPBEXstdData 3" xfId="28434" xr:uid="{00000000-0005-0000-0000-0000176F0000}"/>
    <cellStyle name="SAPBEXstdData 3 2" xfId="28435" xr:uid="{00000000-0005-0000-0000-0000186F0000}"/>
    <cellStyle name="SAPBEXstdData 3 3" xfId="28436" xr:uid="{00000000-0005-0000-0000-0000196F0000}"/>
    <cellStyle name="SAPBEXstdData 4" xfId="28437" xr:uid="{00000000-0005-0000-0000-00001A6F0000}"/>
    <cellStyle name="SAPBEXstdData 5" xfId="28438" xr:uid="{00000000-0005-0000-0000-00001B6F0000}"/>
    <cellStyle name="SAPBEXstdData 6" xfId="28439" xr:uid="{00000000-0005-0000-0000-00001C6F0000}"/>
    <cellStyle name="SAPBEXstdData 7" xfId="28440" xr:uid="{00000000-0005-0000-0000-00001D6F0000}"/>
    <cellStyle name="SAPBEXstdData 8" xfId="28441" xr:uid="{00000000-0005-0000-0000-00001E6F0000}"/>
    <cellStyle name="SAPBEXstdData 9" xfId="28442" xr:uid="{00000000-0005-0000-0000-00001F6F0000}"/>
    <cellStyle name="SAPBEXstdItem" xfId="28443" xr:uid="{00000000-0005-0000-0000-0000206F0000}"/>
    <cellStyle name="SAPBEXstdItem 10" xfId="28444" xr:uid="{00000000-0005-0000-0000-0000216F0000}"/>
    <cellStyle name="SAPBEXstdItem 11" xfId="28445" xr:uid="{00000000-0005-0000-0000-0000226F0000}"/>
    <cellStyle name="SAPBEXstdItem 12" xfId="28446" xr:uid="{00000000-0005-0000-0000-0000236F0000}"/>
    <cellStyle name="SAPBEXstdItem 13" xfId="28447" xr:uid="{00000000-0005-0000-0000-0000246F0000}"/>
    <cellStyle name="SAPBEXstdItem 14" xfId="28448" xr:uid="{00000000-0005-0000-0000-0000256F0000}"/>
    <cellStyle name="SAPBEXstdItem 15" xfId="28449" xr:uid="{00000000-0005-0000-0000-0000266F0000}"/>
    <cellStyle name="SAPBEXstdItem 16" xfId="28450" xr:uid="{00000000-0005-0000-0000-0000276F0000}"/>
    <cellStyle name="SAPBEXstdItem 17" xfId="28451" xr:uid="{00000000-0005-0000-0000-0000286F0000}"/>
    <cellStyle name="SAPBEXstdItem 18" xfId="28452" xr:uid="{00000000-0005-0000-0000-0000296F0000}"/>
    <cellStyle name="SAPBEXstdItem 19" xfId="28453" xr:uid="{00000000-0005-0000-0000-00002A6F0000}"/>
    <cellStyle name="SAPBEXstdItem 2" xfId="28454" xr:uid="{00000000-0005-0000-0000-00002B6F0000}"/>
    <cellStyle name="SAPBEXstdItem 2 10" xfId="28455" xr:uid="{00000000-0005-0000-0000-00002C6F0000}"/>
    <cellStyle name="SAPBEXstdItem 2 11" xfId="28456" xr:uid="{00000000-0005-0000-0000-00002D6F0000}"/>
    <cellStyle name="SAPBEXstdItem 2 12" xfId="28457" xr:uid="{00000000-0005-0000-0000-00002E6F0000}"/>
    <cellStyle name="SAPBEXstdItem 2 13" xfId="28458" xr:uid="{00000000-0005-0000-0000-00002F6F0000}"/>
    <cellStyle name="SAPBEXstdItem 2 14" xfId="28459" xr:uid="{00000000-0005-0000-0000-0000306F0000}"/>
    <cellStyle name="SAPBEXstdItem 2 15" xfId="28460" xr:uid="{00000000-0005-0000-0000-0000316F0000}"/>
    <cellStyle name="SAPBEXstdItem 2 16" xfId="28461" xr:uid="{00000000-0005-0000-0000-0000326F0000}"/>
    <cellStyle name="SAPBEXstdItem 2 17" xfId="28462" xr:uid="{00000000-0005-0000-0000-0000336F0000}"/>
    <cellStyle name="SAPBEXstdItem 2 18" xfId="28463" xr:uid="{00000000-0005-0000-0000-0000346F0000}"/>
    <cellStyle name="SAPBEXstdItem 2 19" xfId="28464" xr:uid="{00000000-0005-0000-0000-0000356F0000}"/>
    <cellStyle name="SAPBEXstdItem 2 2" xfId="28465" xr:uid="{00000000-0005-0000-0000-0000366F0000}"/>
    <cellStyle name="SAPBEXstdItem 2 20" xfId="28466" xr:uid="{00000000-0005-0000-0000-0000376F0000}"/>
    <cellStyle name="SAPBEXstdItem 2 21" xfId="28467" xr:uid="{00000000-0005-0000-0000-0000386F0000}"/>
    <cellStyle name="SAPBEXstdItem 2 22" xfId="28468" xr:uid="{00000000-0005-0000-0000-0000396F0000}"/>
    <cellStyle name="SAPBEXstdItem 2 23" xfId="28469" xr:uid="{00000000-0005-0000-0000-00003A6F0000}"/>
    <cellStyle name="SAPBEXstdItem 2 24" xfId="28470" xr:uid="{00000000-0005-0000-0000-00003B6F0000}"/>
    <cellStyle name="SAPBEXstdItem 2 25" xfId="28471" xr:uid="{00000000-0005-0000-0000-00003C6F0000}"/>
    <cellStyle name="SAPBEXstdItem 2 26" xfId="28472" xr:uid="{00000000-0005-0000-0000-00003D6F0000}"/>
    <cellStyle name="SAPBEXstdItem 2 27" xfId="28473" xr:uid="{00000000-0005-0000-0000-00003E6F0000}"/>
    <cellStyle name="SAPBEXstdItem 2 28" xfId="28474" xr:uid="{00000000-0005-0000-0000-00003F6F0000}"/>
    <cellStyle name="SAPBEXstdItem 2 29" xfId="28475" xr:uid="{00000000-0005-0000-0000-0000406F0000}"/>
    <cellStyle name="SAPBEXstdItem 2 3" xfId="28476" xr:uid="{00000000-0005-0000-0000-0000416F0000}"/>
    <cellStyle name="SAPBEXstdItem 2 30" xfId="28477" xr:uid="{00000000-0005-0000-0000-0000426F0000}"/>
    <cellStyle name="SAPBEXstdItem 2 31" xfId="28478" xr:uid="{00000000-0005-0000-0000-0000436F0000}"/>
    <cellStyle name="SAPBEXstdItem 2 32" xfId="28479" xr:uid="{00000000-0005-0000-0000-0000446F0000}"/>
    <cellStyle name="SAPBEXstdItem 2 33" xfId="28480" xr:uid="{00000000-0005-0000-0000-0000456F0000}"/>
    <cellStyle name="SAPBEXstdItem 2 34" xfId="28481" xr:uid="{00000000-0005-0000-0000-0000466F0000}"/>
    <cellStyle name="SAPBEXstdItem 2 4" xfId="28482" xr:uid="{00000000-0005-0000-0000-0000476F0000}"/>
    <cellStyle name="SAPBEXstdItem 2 5" xfId="28483" xr:uid="{00000000-0005-0000-0000-0000486F0000}"/>
    <cellStyle name="SAPBEXstdItem 2 6" xfId="28484" xr:uid="{00000000-0005-0000-0000-0000496F0000}"/>
    <cellStyle name="SAPBEXstdItem 2 7" xfId="28485" xr:uid="{00000000-0005-0000-0000-00004A6F0000}"/>
    <cellStyle name="SAPBEXstdItem 2 8" xfId="28486" xr:uid="{00000000-0005-0000-0000-00004B6F0000}"/>
    <cellStyle name="SAPBEXstdItem 2 9" xfId="28487" xr:uid="{00000000-0005-0000-0000-00004C6F0000}"/>
    <cellStyle name="SAPBEXstdItem 20" xfId="28488" xr:uid="{00000000-0005-0000-0000-00004D6F0000}"/>
    <cellStyle name="SAPBEXstdItem 3" xfId="28489" xr:uid="{00000000-0005-0000-0000-00004E6F0000}"/>
    <cellStyle name="SAPBEXstdItem 3 2" xfId="28490" xr:uid="{00000000-0005-0000-0000-00004F6F0000}"/>
    <cellStyle name="SAPBEXstdItem 3 3" xfId="28491" xr:uid="{00000000-0005-0000-0000-0000506F0000}"/>
    <cellStyle name="SAPBEXstdItem 4" xfId="28492" xr:uid="{00000000-0005-0000-0000-0000516F0000}"/>
    <cellStyle name="SAPBEXstdItem 5" xfId="28493" xr:uid="{00000000-0005-0000-0000-0000526F0000}"/>
    <cellStyle name="SAPBEXstdItem 6" xfId="28494" xr:uid="{00000000-0005-0000-0000-0000536F0000}"/>
    <cellStyle name="SAPBEXstdItem 7" xfId="28495" xr:uid="{00000000-0005-0000-0000-0000546F0000}"/>
    <cellStyle name="SAPBEXstdItem 8" xfId="28496" xr:uid="{00000000-0005-0000-0000-0000556F0000}"/>
    <cellStyle name="SAPBEXstdItem 9" xfId="28497" xr:uid="{00000000-0005-0000-0000-0000566F0000}"/>
    <cellStyle name="Satisfaisant" xfId="28498" xr:uid="{00000000-0005-0000-0000-0000576F0000}"/>
    <cellStyle name="Satisfaisant 2" xfId="28499" xr:uid="{00000000-0005-0000-0000-0000586F0000}"/>
    <cellStyle name="Schedule" xfId="28500" xr:uid="{00000000-0005-0000-0000-0000596F0000}"/>
    <cellStyle name="Section Title" xfId="28501" xr:uid="{00000000-0005-0000-0000-00005A6F0000}"/>
    <cellStyle name="Single Accounting" xfId="28502" xr:uid="{00000000-0005-0000-0000-00005B6F0000}"/>
    <cellStyle name="Single Cell Column Heading" xfId="28503" xr:uid="{00000000-0005-0000-0000-00005C6F0000}"/>
    <cellStyle name="Single Cell Column Heading 5" xfId="28504" xr:uid="{00000000-0005-0000-0000-00005D6F0000}"/>
    <cellStyle name="Single Cell Column Heading_Copy of Myanmar-MS-Addendum-Proposal-Summary-April3-2013" xfId="28505" xr:uid="{00000000-0005-0000-0000-00005E6F0000}"/>
    <cellStyle name="Small" xfId="28506" xr:uid="{00000000-0005-0000-0000-00005F6F0000}"/>
    <cellStyle name="Small 10" xfId="28507" xr:uid="{00000000-0005-0000-0000-0000606F0000}"/>
    <cellStyle name="Small 11" xfId="28508" xr:uid="{00000000-0005-0000-0000-0000616F0000}"/>
    <cellStyle name="Small 12" xfId="28509" xr:uid="{00000000-0005-0000-0000-0000626F0000}"/>
    <cellStyle name="Small 13" xfId="28510" xr:uid="{00000000-0005-0000-0000-0000636F0000}"/>
    <cellStyle name="Small 14" xfId="28511" xr:uid="{00000000-0005-0000-0000-0000646F0000}"/>
    <cellStyle name="Small 15" xfId="28512" xr:uid="{00000000-0005-0000-0000-0000656F0000}"/>
    <cellStyle name="Small 16" xfId="28513" xr:uid="{00000000-0005-0000-0000-0000666F0000}"/>
    <cellStyle name="Small 17" xfId="28514" xr:uid="{00000000-0005-0000-0000-0000676F0000}"/>
    <cellStyle name="Small 18" xfId="28515" xr:uid="{00000000-0005-0000-0000-0000686F0000}"/>
    <cellStyle name="Small 19" xfId="28516" xr:uid="{00000000-0005-0000-0000-0000696F0000}"/>
    <cellStyle name="Small 2" xfId="28517" xr:uid="{00000000-0005-0000-0000-00006A6F0000}"/>
    <cellStyle name="Small 2 10" xfId="28518" xr:uid="{00000000-0005-0000-0000-00006B6F0000}"/>
    <cellStyle name="Small 2 11" xfId="28519" xr:uid="{00000000-0005-0000-0000-00006C6F0000}"/>
    <cellStyle name="Small 2 12" xfId="28520" xr:uid="{00000000-0005-0000-0000-00006D6F0000}"/>
    <cellStyle name="Small 2 13" xfId="28521" xr:uid="{00000000-0005-0000-0000-00006E6F0000}"/>
    <cellStyle name="Small 2 14" xfId="28522" xr:uid="{00000000-0005-0000-0000-00006F6F0000}"/>
    <cellStyle name="Small 2 15" xfId="28523" xr:uid="{00000000-0005-0000-0000-0000706F0000}"/>
    <cellStyle name="Small 2 16" xfId="28524" xr:uid="{00000000-0005-0000-0000-0000716F0000}"/>
    <cellStyle name="Small 2 17" xfId="28525" xr:uid="{00000000-0005-0000-0000-0000726F0000}"/>
    <cellStyle name="Small 2 18" xfId="28526" xr:uid="{00000000-0005-0000-0000-0000736F0000}"/>
    <cellStyle name="Small 2 19" xfId="28527" xr:uid="{00000000-0005-0000-0000-0000746F0000}"/>
    <cellStyle name="Small 2 2" xfId="28528" xr:uid="{00000000-0005-0000-0000-0000756F0000}"/>
    <cellStyle name="Small 2 2 10" xfId="28529" xr:uid="{00000000-0005-0000-0000-0000766F0000}"/>
    <cellStyle name="Small 2 2 11" xfId="28530" xr:uid="{00000000-0005-0000-0000-0000776F0000}"/>
    <cellStyle name="Small 2 2 12" xfId="28531" xr:uid="{00000000-0005-0000-0000-0000786F0000}"/>
    <cellStyle name="Small 2 2 13" xfId="28532" xr:uid="{00000000-0005-0000-0000-0000796F0000}"/>
    <cellStyle name="Small 2 2 14" xfId="28533" xr:uid="{00000000-0005-0000-0000-00007A6F0000}"/>
    <cellStyle name="Small 2 2 15" xfId="28534" xr:uid="{00000000-0005-0000-0000-00007B6F0000}"/>
    <cellStyle name="Small 2 2 16" xfId="28535" xr:uid="{00000000-0005-0000-0000-00007C6F0000}"/>
    <cellStyle name="Small 2 2 17" xfId="28536" xr:uid="{00000000-0005-0000-0000-00007D6F0000}"/>
    <cellStyle name="Small 2 2 18" xfId="28537" xr:uid="{00000000-0005-0000-0000-00007E6F0000}"/>
    <cellStyle name="Small 2 2 19" xfId="28538" xr:uid="{00000000-0005-0000-0000-00007F6F0000}"/>
    <cellStyle name="Small 2 2 2" xfId="28539" xr:uid="{00000000-0005-0000-0000-0000806F0000}"/>
    <cellStyle name="Small 2 2 2 10" xfId="28540" xr:uid="{00000000-0005-0000-0000-0000816F0000}"/>
    <cellStyle name="Small 2 2 2 11" xfId="28541" xr:uid="{00000000-0005-0000-0000-0000826F0000}"/>
    <cellStyle name="Small 2 2 2 12" xfId="28542" xr:uid="{00000000-0005-0000-0000-0000836F0000}"/>
    <cellStyle name="Small 2 2 2 13" xfId="28543" xr:uid="{00000000-0005-0000-0000-0000846F0000}"/>
    <cellStyle name="Small 2 2 2 14" xfId="28544" xr:uid="{00000000-0005-0000-0000-0000856F0000}"/>
    <cellStyle name="Small 2 2 2 15" xfId="28545" xr:uid="{00000000-0005-0000-0000-0000866F0000}"/>
    <cellStyle name="Small 2 2 2 16" xfId="28546" xr:uid="{00000000-0005-0000-0000-0000876F0000}"/>
    <cellStyle name="Small 2 2 2 17" xfId="28547" xr:uid="{00000000-0005-0000-0000-0000886F0000}"/>
    <cellStyle name="Small 2 2 2 18" xfId="28548" xr:uid="{00000000-0005-0000-0000-0000896F0000}"/>
    <cellStyle name="Small 2 2 2 19" xfId="28549" xr:uid="{00000000-0005-0000-0000-00008A6F0000}"/>
    <cellStyle name="Small 2 2 2 2" xfId="28550" xr:uid="{00000000-0005-0000-0000-00008B6F0000}"/>
    <cellStyle name="Small 2 2 2 2 2" xfId="28551" xr:uid="{00000000-0005-0000-0000-00008C6F0000}"/>
    <cellStyle name="Small 2 2 2 2 3" xfId="28552" xr:uid="{00000000-0005-0000-0000-00008D6F0000}"/>
    <cellStyle name="Small 2 2 2 20" xfId="28553" xr:uid="{00000000-0005-0000-0000-00008E6F0000}"/>
    <cellStyle name="Small 2 2 2 21" xfId="28554" xr:uid="{00000000-0005-0000-0000-00008F6F0000}"/>
    <cellStyle name="Small 2 2 2 22" xfId="28555" xr:uid="{00000000-0005-0000-0000-0000906F0000}"/>
    <cellStyle name="Small 2 2 2 23" xfId="28556" xr:uid="{00000000-0005-0000-0000-0000916F0000}"/>
    <cellStyle name="Small 2 2 2 24" xfId="28557" xr:uid="{00000000-0005-0000-0000-0000926F0000}"/>
    <cellStyle name="Small 2 2 2 25" xfId="28558" xr:uid="{00000000-0005-0000-0000-0000936F0000}"/>
    <cellStyle name="Small 2 2 2 26" xfId="28559" xr:uid="{00000000-0005-0000-0000-0000946F0000}"/>
    <cellStyle name="Small 2 2 2 27" xfId="28560" xr:uid="{00000000-0005-0000-0000-0000956F0000}"/>
    <cellStyle name="Small 2 2 2 28" xfId="28561" xr:uid="{00000000-0005-0000-0000-0000966F0000}"/>
    <cellStyle name="Small 2 2 2 29" xfId="28562" xr:uid="{00000000-0005-0000-0000-0000976F0000}"/>
    <cellStyle name="Small 2 2 2 3" xfId="28563" xr:uid="{00000000-0005-0000-0000-0000986F0000}"/>
    <cellStyle name="Small 2 2 2 30" xfId="28564" xr:uid="{00000000-0005-0000-0000-0000996F0000}"/>
    <cellStyle name="Small 2 2 2 31" xfId="28565" xr:uid="{00000000-0005-0000-0000-00009A6F0000}"/>
    <cellStyle name="Small 2 2 2 32" xfId="28566" xr:uid="{00000000-0005-0000-0000-00009B6F0000}"/>
    <cellStyle name="Small 2 2 2 33" xfId="28567" xr:uid="{00000000-0005-0000-0000-00009C6F0000}"/>
    <cellStyle name="Small 2 2 2 34" xfId="28568" xr:uid="{00000000-0005-0000-0000-00009D6F0000}"/>
    <cellStyle name="Small 2 2 2 35" xfId="28569" xr:uid="{00000000-0005-0000-0000-00009E6F0000}"/>
    <cellStyle name="Small 2 2 2 36" xfId="28570" xr:uid="{00000000-0005-0000-0000-00009F6F0000}"/>
    <cellStyle name="Small 2 2 2 4" xfId="28571" xr:uid="{00000000-0005-0000-0000-0000A06F0000}"/>
    <cellStyle name="Small 2 2 2 5" xfId="28572" xr:uid="{00000000-0005-0000-0000-0000A16F0000}"/>
    <cellStyle name="Small 2 2 2 6" xfId="28573" xr:uid="{00000000-0005-0000-0000-0000A26F0000}"/>
    <cellStyle name="Small 2 2 2 7" xfId="28574" xr:uid="{00000000-0005-0000-0000-0000A36F0000}"/>
    <cellStyle name="Small 2 2 2 8" xfId="28575" xr:uid="{00000000-0005-0000-0000-0000A46F0000}"/>
    <cellStyle name="Small 2 2 2 9" xfId="28576" xr:uid="{00000000-0005-0000-0000-0000A56F0000}"/>
    <cellStyle name="Small 2 2 20" xfId="28577" xr:uid="{00000000-0005-0000-0000-0000A66F0000}"/>
    <cellStyle name="Small 2 2 21" xfId="28578" xr:uid="{00000000-0005-0000-0000-0000A76F0000}"/>
    <cellStyle name="Small 2 2 22" xfId="28579" xr:uid="{00000000-0005-0000-0000-0000A86F0000}"/>
    <cellStyle name="Small 2 2 23" xfId="28580" xr:uid="{00000000-0005-0000-0000-0000A96F0000}"/>
    <cellStyle name="Small 2 2 24" xfId="28581" xr:uid="{00000000-0005-0000-0000-0000AA6F0000}"/>
    <cellStyle name="Small 2 2 25" xfId="28582" xr:uid="{00000000-0005-0000-0000-0000AB6F0000}"/>
    <cellStyle name="Small 2 2 26" xfId="28583" xr:uid="{00000000-0005-0000-0000-0000AC6F0000}"/>
    <cellStyle name="Small 2 2 27" xfId="28584" xr:uid="{00000000-0005-0000-0000-0000AD6F0000}"/>
    <cellStyle name="Small 2 2 28" xfId="28585" xr:uid="{00000000-0005-0000-0000-0000AE6F0000}"/>
    <cellStyle name="Small 2 2 29" xfId="28586" xr:uid="{00000000-0005-0000-0000-0000AF6F0000}"/>
    <cellStyle name="Small 2 2 3" xfId="28587" xr:uid="{00000000-0005-0000-0000-0000B06F0000}"/>
    <cellStyle name="Small 2 2 3 2" xfId="28588" xr:uid="{00000000-0005-0000-0000-0000B16F0000}"/>
    <cellStyle name="Small 2 2 3 2 2" xfId="28589" xr:uid="{00000000-0005-0000-0000-0000B26F0000}"/>
    <cellStyle name="Small 2 2 3 2 3" xfId="28590" xr:uid="{00000000-0005-0000-0000-0000B36F0000}"/>
    <cellStyle name="Small 2 2 3 3" xfId="28591" xr:uid="{00000000-0005-0000-0000-0000B46F0000}"/>
    <cellStyle name="Small 2 2 3 3 2" xfId="28592" xr:uid="{00000000-0005-0000-0000-0000B56F0000}"/>
    <cellStyle name="Small 2 2 3 3 3" xfId="28593" xr:uid="{00000000-0005-0000-0000-0000B66F0000}"/>
    <cellStyle name="Small 2 2 3 4" xfId="28594" xr:uid="{00000000-0005-0000-0000-0000B76F0000}"/>
    <cellStyle name="Small 2 2 3 5" xfId="28595" xr:uid="{00000000-0005-0000-0000-0000B86F0000}"/>
    <cellStyle name="Small 2 2 30" xfId="28596" xr:uid="{00000000-0005-0000-0000-0000B96F0000}"/>
    <cellStyle name="Small 2 2 31" xfId="28597" xr:uid="{00000000-0005-0000-0000-0000BA6F0000}"/>
    <cellStyle name="Small 2 2 32" xfId="28598" xr:uid="{00000000-0005-0000-0000-0000BB6F0000}"/>
    <cellStyle name="Small 2 2 33" xfId="28599" xr:uid="{00000000-0005-0000-0000-0000BC6F0000}"/>
    <cellStyle name="Small 2 2 34" xfId="28600" xr:uid="{00000000-0005-0000-0000-0000BD6F0000}"/>
    <cellStyle name="Small 2 2 35" xfId="28601" xr:uid="{00000000-0005-0000-0000-0000BE6F0000}"/>
    <cellStyle name="Small 2 2 36" xfId="28602" xr:uid="{00000000-0005-0000-0000-0000BF6F0000}"/>
    <cellStyle name="Small 2 2 4" xfId="28603" xr:uid="{00000000-0005-0000-0000-0000C06F0000}"/>
    <cellStyle name="Small 2 2 4 2" xfId="28604" xr:uid="{00000000-0005-0000-0000-0000C16F0000}"/>
    <cellStyle name="Small 2 2 4 2 2" xfId="28605" xr:uid="{00000000-0005-0000-0000-0000C26F0000}"/>
    <cellStyle name="Small 2 2 4 2 3" xfId="28606" xr:uid="{00000000-0005-0000-0000-0000C36F0000}"/>
    <cellStyle name="Small 2 2 4 3" xfId="28607" xr:uid="{00000000-0005-0000-0000-0000C46F0000}"/>
    <cellStyle name="Small 2 2 4 3 2" xfId="28608" xr:uid="{00000000-0005-0000-0000-0000C56F0000}"/>
    <cellStyle name="Small 2 2 4 3 3" xfId="28609" xr:uid="{00000000-0005-0000-0000-0000C66F0000}"/>
    <cellStyle name="Small 2 2 4 4" xfId="28610" xr:uid="{00000000-0005-0000-0000-0000C76F0000}"/>
    <cellStyle name="Small 2 2 4 5" xfId="28611" xr:uid="{00000000-0005-0000-0000-0000C86F0000}"/>
    <cellStyle name="Small 2 2 5" xfId="28612" xr:uid="{00000000-0005-0000-0000-0000C96F0000}"/>
    <cellStyle name="Small 2 2 5 2" xfId="28613" xr:uid="{00000000-0005-0000-0000-0000CA6F0000}"/>
    <cellStyle name="Small 2 2 5 3" xfId="28614" xr:uid="{00000000-0005-0000-0000-0000CB6F0000}"/>
    <cellStyle name="Small 2 2 6" xfId="28615" xr:uid="{00000000-0005-0000-0000-0000CC6F0000}"/>
    <cellStyle name="Small 2 2 7" xfId="28616" xr:uid="{00000000-0005-0000-0000-0000CD6F0000}"/>
    <cellStyle name="Small 2 2 8" xfId="28617" xr:uid="{00000000-0005-0000-0000-0000CE6F0000}"/>
    <cellStyle name="Small 2 2 9" xfId="28618" xr:uid="{00000000-0005-0000-0000-0000CF6F0000}"/>
    <cellStyle name="Small 2 20" xfId="28619" xr:uid="{00000000-0005-0000-0000-0000D06F0000}"/>
    <cellStyle name="Small 2 21" xfId="28620" xr:uid="{00000000-0005-0000-0000-0000D16F0000}"/>
    <cellStyle name="Small 2 22" xfId="28621" xr:uid="{00000000-0005-0000-0000-0000D26F0000}"/>
    <cellStyle name="Small 2 23" xfId="28622" xr:uid="{00000000-0005-0000-0000-0000D36F0000}"/>
    <cellStyle name="Small 2 24" xfId="28623" xr:uid="{00000000-0005-0000-0000-0000D46F0000}"/>
    <cellStyle name="Small 2 25" xfId="28624" xr:uid="{00000000-0005-0000-0000-0000D56F0000}"/>
    <cellStyle name="Small 2 26" xfId="28625" xr:uid="{00000000-0005-0000-0000-0000D66F0000}"/>
    <cellStyle name="Small 2 27" xfId="28626" xr:uid="{00000000-0005-0000-0000-0000D76F0000}"/>
    <cellStyle name="Small 2 28" xfId="28627" xr:uid="{00000000-0005-0000-0000-0000D86F0000}"/>
    <cellStyle name="Small 2 29" xfId="28628" xr:uid="{00000000-0005-0000-0000-0000D96F0000}"/>
    <cellStyle name="Small 2 3" xfId="28629" xr:uid="{00000000-0005-0000-0000-0000DA6F0000}"/>
    <cellStyle name="Small 2 3 10" xfId="28630" xr:uid="{00000000-0005-0000-0000-0000DB6F0000}"/>
    <cellStyle name="Small 2 3 11" xfId="28631" xr:uid="{00000000-0005-0000-0000-0000DC6F0000}"/>
    <cellStyle name="Small 2 3 12" xfId="28632" xr:uid="{00000000-0005-0000-0000-0000DD6F0000}"/>
    <cellStyle name="Small 2 3 13" xfId="28633" xr:uid="{00000000-0005-0000-0000-0000DE6F0000}"/>
    <cellStyle name="Small 2 3 14" xfId="28634" xr:uid="{00000000-0005-0000-0000-0000DF6F0000}"/>
    <cellStyle name="Small 2 3 15" xfId="28635" xr:uid="{00000000-0005-0000-0000-0000E06F0000}"/>
    <cellStyle name="Small 2 3 16" xfId="28636" xr:uid="{00000000-0005-0000-0000-0000E16F0000}"/>
    <cellStyle name="Small 2 3 17" xfId="28637" xr:uid="{00000000-0005-0000-0000-0000E26F0000}"/>
    <cellStyle name="Small 2 3 18" xfId="28638" xr:uid="{00000000-0005-0000-0000-0000E36F0000}"/>
    <cellStyle name="Small 2 3 19" xfId="28639" xr:uid="{00000000-0005-0000-0000-0000E46F0000}"/>
    <cellStyle name="Small 2 3 2" xfId="28640" xr:uid="{00000000-0005-0000-0000-0000E56F0000}"/>
    <cellStyle name="Small 2 3 2 2" xfId="28641" xr:uid="{00000000-0005-0000-0000-0000E66F0000}"/>
    <cellStyle name="Small 2 3 2 3" xfId="28642" xr:uid="{00000000-0005-0000-0000-0000E76F0000}"/>
    <cellStyle name="Small 2 3 20" xfId="28643" xr:uid="{00000000-0005-0000-0000-0000E86F0000}"/>
    <cellStyle name="Small 2 3 21" xfId="28644" xr:uid="{00000000-0005-0000-0000-0000E96F0000}"/>
    <cellStyle name="Small 2 3 22" xfId="28645" xr:uid="{00000000-0005-0000-0000-0000EA6F0000}"/>
    <cellStyle name="Small 2 3 23" xfId="28646" xr:uid="{00000000-0005-0000-0000-0000EB6F0000}"/>
    <cellStyle name="Small 2 3 24" xfId="28647" xr:uid="{00000000-0005-0000-0000-0000EC6F0000}"/>
    <cellStyle name="Small 2 3 25" xfId="28648" xr:uid="{00000000-0005-0000-0000-0000ED6F0000}"/>
    <cellStyle name="Small 2 3 26" xfId="28649" xr:uid="{00000000-0005-0000-0000-0000EE6F0000}"/>
    <cellStyle name="Small 2 3 27" xfId="28650" xr:uid="{00000000-0005-0000-0000-0000EF6F0000}"/>
    <cellStyle name="Small 2 3 28" xfId="28651" xr:uid="{00000000-0005-0000-0000-0000F06F0000}"/>
    <cellStyle name="Small 2 3 29" xfId="28652" xr:uid="{00000000-0005-0000-0000-0000F16F0000}"/>
    <cellStyle name="Small 2 3 3" xfId="28653" xr:uid="{00000000-0005-0000-0000-0000F26F0000}"/>
    <cellStyle name="Small 2 3 30" xfId="28654" xr:uid="{00000000-0005-0000-0000-0000F36F0000}"/>
    <cellStyle name="Small 2 3 31" xfId="28655" xr:uid="{00000000-0005-0000-0000-0000F46F0000}"/>
    <cellStyle name="Small 2 3 32" xfId="28656" xr:uid="{00000000-0005-0000-0000-0000F56F0000}"/>
    <cellStyle name="Small 2 3 33" xfId="28657" xr:uid="{00000000-0005-0000-0000-0000F66F0000}"/>
    <cellStyle name="Small 2 3 34" xfId="28658" xr:uid="{00000000-0005-0000-0000-0000F76F0000}"/>
    <cellStyle name="Small 2 3 35" xfId="28659" xr:uid="{00000000-0005-0000-0000-0000F86F0000}"/>
    <cellStyle name="Small 2 3 36" xfId="28660" xr:uid="{00000000-0005-0000-0000-0000F96F0000}"/>
    <cellStyle name="Small 2 3 4" xfId="28661" xr:uid="{00000000-0005-0000-0000-0000FA6F0000}"/>
    <cellStyle name="Small 2 3 5" xfId="28662" xr:uid="{00000000-0005-0000-0000-0000FB6F0000}"/>
    <cellStyle name="Small 2 3 6" xfId="28663" xr:uid="{00000000-0005-0000-0000-0000FC6F0000}"/>
    <cellStyle name="Small 2 3 7" xfId="28664" xr:uid="{00000000-0005-0000-0000-0000FD6F0000}"/>
    <cellStyle name="Small 2 3 8" xfId="28665" xr:uid="{00000000-0005-0000-0000-0000FE6F0000}"/>
    <cellStyle name="Small 2 3 9" xfId="28666" xr:uid="{00000000-0005-0000-0000-0000FF6F0000}"/>
    <cellStyle name="Small 2 30" xfId="28667" xr:uid="{00000000-0005-0000-0000-000000700000}"/>
    <cellStyle name="Small 2 31" xfId="28668" xr:uid="{00000000-0005-0000-0000-000001700000}"/>
    <cellStyle name="Small 2 32" xfId="28669" xr:uid="{00000000-0005-0000-0000-000002700000}"/>
    <cellStyle name="Small 2 33" xfId="28670" xr:uid="{00000000-0005-0000-0000-000003700000}"/>
    <cellStyle name="Small 2 34" xfId="28671" xr:uid="{00000000-0005-0000-0000-000004700000}"/>
    <cellStyle name="Small 2 35" xfId="28672" xr:uid="{00000000-0005-0000-0000-000005700000}"/>
    <cellStyle name="Small 2 36" xfId="28673" xr:uid="{00000000-0005-0000-0000-000006700000}"/>
    <cellStyle name="Small 2 37" xfId="28674" xr:uid="{00000000-0005-0000-0000-000007700000}"/>
    <cellStyle name="Small 2 4" xfId="28675" xr:uid="{00000000-0005-0000-0000-000008700000}"/>
    <cellStyle name="Small 2 4 2" xfId="28676" xr:uid="{00000000-0005-0000-0000-000009700000}"/>
    <cellStyle name="Small 2 4 2 2" xfId="28677" xr:uid="{00000000-0005-0000-0000-00000A700000}"/>
    <cellStyle name="Small 2 4 2 3" xfId="28678" xr:uid="{00000000-0005-0000-0000-00000B700000}"/>
    <cellStyle name="Small 2 4 3" xfId="28679" xr:uid="{00000000-0005-0000-0000-00000C700000}"/>
    <cellStyle name="Small 2 4 3 2" xfId="28680" xr:uid="{00000000-0005-0000-0000-00000D700000}"/>
    <cellStyle name="Small 2 4 3 3" xfId="28681" xr:uid="{00000000-0005-0000-0000-00000E700000}"/>
    <cellStyle name="Small 2 4 4" xfId="28682" xr:uid="{00000000-0005-0000-0000-00000F700000}"/>
    <cellStyle name="Small 2 4 5" xfId="28683" xr:uid="{00000000-0005-0000-0000-000010700000}"/>
    <cellStyle name="Small 2 5" xfId="28684" xr:uid="{00000000-0005-0000-0000-000011700000}"/>
    <cellStyle name="Small 2 5 2" xfId="28685" xr:uid="{00000000-0005-0000-0000-000012700000}"/>
    <cellStyle name="Small 2 5 2 2" xfId="28686" xr:uid="{00000000-0005-0000-0000-000013700000}"/>
    <cellStyle name="Small 2 5 2 3" xfId="28687" xr:uid="{00000000-0005-0000-0000-000014700000}"/>
    <cellStyle name="Small 2 5 3" xfId="28688" xr:uid="{00000000-0005-0000-0000-000015700000}"/>
    <cellStyle name="Small 2 5 3 2" xfId="28689" xr:uid="{00000000-0005-0000-0000-000016700000}"/>
    <cellStyle name="Small 2 5 3 3" xfId="28690" xr:uid="{00000000-0005-0000-0000-000017700000}"/>
    <cellStyle name="Small 2 5 4" xfId="28691" xr:uid="{00000000-0005-0000-0000-000018700000}"/>
    <cellStyle name="Small 2 5 5" xfId="28692" xr:uid="{00000000-0005-0000-0000-000019700000}"/>
    <cellStyle name="Small 2 6" xfId="28693" xr:uid="{00000000-0005-0000-0000-00001A700000}"/>
    <cellStyle name="Small 2 6 2" xfId="28694" xr:uid="{00000000-0005-0000-0000-00001B700000}"/>
    <cellStyle name="Small 2 6 3" xfId="28695" xr:uid="{00000000-0005-0000-0000-00001C700000}"/>
    <cellStyle name="Small 2 7" xfId="28696" xr:uid="{00000000-0005-0000-0000-00001D700000}"/>
    <cellStyle name="Small 2 8" xfId="28697" xr:uid="{00000000-0005-0000-0000-00001E700000}"/>
    <cellStyle name="Small 2 9" xfId="28698" xr:uid="{00000000-0005-0000-0000-00001F700000}"/>
    <cellStyle name="Small 20" xfId="28699" xr:uid="{00000000-0005-0000-0000-000020700000}"/>
    <cellStyle name="Small 21" xfId="28700" xr:uid="{00000000-0005-0000-0000-000021700000}"/>
    <cellStyle name="Small 22" xfId="28701" xr:uid="{00000000-0005-0000-0000-000022700000}"/>
    <cellStyle name="Small 23" xfId="28702" xr:uid="{00000000-0005-0000-0000-000023700000}"/>
    <cellStyle name="Small 24" xfId="28703" xr:uid="{00000000-0005-0000-0000-000024700000}"/>
    <cellStyle name="Small 25" xfId="28704" xr:uid="{00000000-0005-0000-0000-000025700000}"/>
    <cellStyle name="Small 26" xfId="28705" xr:uid="{00000000-0005-0000-0000-000026700000}"/>
    <cellStyle name="Small 27" xfId="28706" xr:uid="{00000000-0005-0000-0000-000027700000}"/>
    <cellStyle name="Small 28" xfId="28707" xr:uid="{00000000-0005-0000-0000-000028700000}"/>
    <cellStyle name="Small 29" xfId="28708" xr:uid="{00000000-0005-0000-0000-000029700000}"/>
    <cellStyle name="Small 3" xfId="28709" xr:uid="{00000000-0005-0000-0000-00002A700000}"/>
    <cellStyle name="Small 3 10" xfId="28710" xr:uid="{00000000-0005-0000-0000-00002B700000}"/>
    <cellStyle name="Small 3 11" xfId="28711" xr:uid="{00000000-0005-0000-0000-00002C700000}"/>
    <cellStyle name="Small 3 12" xfId="28712" xr:uid="{00000000-0005-0000-0000-00002D700000}"/>
    <cellStyle name="Small 3 13" xfId="28713" xr:uid="{00000000-0005-0000-0000-00002E700000}"/>
    <cellStyle name="Small 3 14" xfId="28714" xr:uid="{00000000-0005-0000-0000-00002F700000}"/>
    <cellStyle name="Small 3 15" xfId="28715" xr:uid="{00000000-0005-0000-0000-000030700000}"/>
    <cellStyle name="Small 3 16" xfId="28716" xr:uid="{00000000-0005-0000-0000-000031700000}"/>
    <cellStyle name="Small 3 17" xfId="28717" xr:uid="{00000000-0005-0000-0000-000032700000}"/>
    <cellStyle name="Small 3 18" xfId="28718" xr:uid="{00000000-0005-0000-0000-000033700000}"/>
    <cellStyle name="Small 3 19" xfId="28719" xr:uid="{00000000-0005-0000-0000-000034700000}"/>
    <cellStyle name="Small 3 2" xfId="28720" xr:uid="{00000000-0005-0000-0000-000035700000}"/>
    <cellStyle name="Small 3 2 10" xfId="28721" xr:uid="{00000000-0005-0000-0000-000036700000}"/>
    <cellStyle name="Small 3 2 11" xfId="28722" xr:uid="{00000000-0005-0000-0000-000037700000}"/>
    <cellStyle name="Small 3 2 12" xfId="28723" xr:uid="{00000000-0005-0000-0000-000038700000}"/>
    <cellStyle name="Small 3 2 13" xfId="28724" xr:uid="{00000000-0005-0000-0000-000039700000}"/>
    <cellStyle name="Small 3 2 14" xfId="28725" xr:uid="{00000000-0005-0000-0000-00003A700000}"/>
    <cellStyle name="Small 3 2 15" xfId="28726" xr:uid="{00000000-0005-0000-0000-00003B700000}"/>
    <cellStyle name="Small 3 2 16" xfId="28727" xr:uid="{00000000-0005-0000-0000-00003C700000}"/>
    <cellStyle name="Small 3 2 17" xfId="28728" xr:uid="{00000000-0005-0000-0000-00003D700000}"/>
    <cellStyle name="Small 3 2 18" xfId="28729" xr:uid="{00000000-0005-0000-0000-00003E700000}"/>
    <cellStyle name="Small 3 2 19" xfId="28730" xr:uid="{00000000-0005-0000-0000-00003F700000}"/>
    <cellStyle name="Small 3 2 2" xfId="28731" xr:uid="{00000000-0005-0000-0000-000040700000}"/>
    <cellStyle name="Small 3 2 2 2" xfId="28732" xr:uid="{00000000-0005-0000-0000-000041700000}"/>
    <cellStyle name="Small 3 2 2 3" xfId="28733" xr:uid="{00000000-0005-0000-0000-000042700000}"/>
    <cellStyle name="Small 3 2 20" xfId="28734" xr:uid="{00000000-0005-0000-0000-000043700000}"/>
    <cellStyle name="Small 3 2 21" xfId="28735" xr:uid="{00000000-0005-0000-0000-000044700000}"/>
    <cellStyle name="Small 3 2 22" xfId="28736" xr:uid="{00000000-0005-0000-0000-000045700000}"/>
    <cellStyle name="Small 3 2 23" xfId="28737" xr:uid="{00000000-0005-0000-0000-000046700000}"/>
    <cellStyle name="Small 3 2 24" xfId="28738" xr:uid="{00000000-0005-0000-0000-000047700000}"/>
    <cellStyle name="Small 3 2 25" xfId="28739" xr:uid="{00000000-0005-0000-0000-000048700000}"/>
    <cellStyle name="Small 3 2 26" xfId="28740" xr:uid="{00000000-0005-0000-0000-000049700000}"/>
    <cellStyle name="Small 3 2 27" xfId="28741" xr:uid="{00000000-0005-0000-0000-00004A700000}"/>
    <cellStyle name="Small 3 2 28" xfId="28742" xr:uid="{00000000-0005-0000-0000-00004B700000}"/>
    <cellStyle name="Small 3 2 29" xfId="28743" xr:uid="{00000000-0005-0000-0000-00004C700000}"/>
    <cellStyle name="Small 3 2 3" xfId="28744" xr:uid="{00000000-0005-0000-0000-00004D700000}"/>
    <cellStyle name="Small 3 2 30" xfId="28745" xr:uid="{00000000-0005-0000-0000-00004E700000}"/>
    <cellStyle name="Small 3 2 31" xfId="28746" xr:uid="{00000000-0005-0000-0000-00004F700000}"/>
    <cellStyle name="Small 3 2 32" xfId="28747" xr:uid="{00000000-0005-0000-0000-000050700000}"/>
    <cellStyle name="Small 3 2 33" xfId="28748" xr:uid="{00000000-0005-0000-0000-000051700000}"/>
    <cellStyle name="Small 3 2 34" xfId="28749" xr:uid="{00000000-0005-0000-0000-000052700000}"/>
    <cellStyle name="Small 3 2 35" xfId="28750" xr:uid="{00000000-0005-0000-0000-000053700000}"/>
    <cellStyle name="Small 3 2 36" xfId="28751" xr:uid="{00000000-0005-0000-0000-000054700000}"/>
    <cellStyle name="Small 3 2 4" xfId="28752" xr:uid="{00000000-0005-0000-0000-000055700000}"/>
    <cellStyle name="Small 3 2 5" xfId="28753" xr:uid="{00000000-0005-0000-0000-000056700000}"/>
    <cellStyle name="Small 3 2 6" xfId="28754" xr:uid="{00000000-0005-0000-0000-000057700000}"/>
    <cellStyle name="Small 3 2 7" xfId="28755" xr:uid="{00000000-0005-0000-0000-000058700000}"/>
    <cellStyle name="Small 3 2 8" xfId="28756" xr:uid="{00000000-0005-0000-0000-000059700000}"/>
    <cellStyle name="Small 3 2 9" xfId="28757" xr:uid="{00000000-0005-0000-0000-00005A700000}"/>
    <cellStyle name="Small 3 20" xfId="28758" xr:uid="{00000000-0005-0000-0000-00005B700000}"/>
    <cellStyle name="Small 3 21" xfId="28759" xr:uid="{00000000-0005-0000-0000-00005C700000}"/>
    <cellStyle name="Small 3 22" xfId="28760" xr:uid="{00000000-0005-0000-0000-00005D700000}"/>
    <cellStyle name="Small 3 23" xfId="28761" xr:uid="{00000000-0005-0000-0000-00005E700000}"/>
    <cellStyle name="Small 3 24" xfId="28762" xr:uid="{00000000-0005-0000-0000-00005F700000}"/>
    <cellStyle name="Small 3 25" xfId="28763" xr:uid="{00000000-0005-0000-0000-000060700000}"/>
    <cellStyle name="Small 3 26" xfId="28764" xr:uid="{00000000-0005-0000-0000-000061700000}"/>
    <cellStyle name="Small 3 27" xfId="28765" xr:uid="{00000000-0005-0000-0000-000062700000}"/>
    <cellStyle name="Small 3 28" xfId="28766" xr:uid="{00000000-0005-0000-0000-000063700000}"/>
    <cellStyle name="Small 3 29" xfId="28767" xr:uid="{00000000-0005-0000-0000-000064700000}"/>
    <cellStyle name="Small 3 3" xfId="28768" xr:uid="{00000000-0005-0000-0000-000065700000}"/>
    <cellStyle name="Small 3 3 2" xfId="28769" xr:uid="{00000000-0005-0000-0000-000066700000}"/>
    <cellStyle name="Small 3 3 2 2" xfId="28770" xr:uid="{00000000-0005-0000-0000-000067700000}"/>
    <cellStyle name="Small 3 3 2 3" xfId="28771" xr:uid="{00000000-0005-0000-0000-000068700000}"/>
    <cellStyle name="Small 3 3 3" xfId="28772" xr:uid="{00000000-0005-0000-0000-000069700000}"/>
    <cellStyle name="Small 3 3 3 2" xfId="28773" xr:uid="{00000000-0005-0000-0000-00006A700000}"/>
    <cellStyle name="Small 3 3 3 3" xfId="28774" xr:uid="{00000000-0005-0000-0000-00006B700000}"/>
    <cellStyle name="Small 3 3 4" xfId="28775" xr:uid="{00000000-0005-0000-0000-00006C700000}"/>
    <cellStyle name="Small 3 3 5" xfId="28776" xr:uid="{00000000-0005-0000-0000-00006D700000}"/>
    <cellStyle name="Small 3 30" xfId="28777" xr:uid="{00000000-0005-0000-0000-00006E700000}"/>
    <cellStyle name="Small 3 31" xfId="28778" xr:uid="{00000000-0005-0000-0000-00006F700000}"/>
    <cellStyle name="Small 3 32" xfId="28779" xr:uid="{00000000-0005-0000-0000-000070700000}"/>
    <cellStyle name="Small 3 33" xfId="28780" xr:uid="{00000000-0005-0000-0000-000071700000}"/>
    <cellStyle name="Small 3 34" xfId="28781" xr:uid="{00000000-0005-0000-0000-000072700000}"/>
    <cellStyle name="Small 3 35" xfId="28782" xr:uid="{00000000-0005-0000-0000-000073700000}"/>
    <cellStyle name="Small 3 36" xfId="28783" xr:uid="{00000000-0005-0000-0000-000074700000}"/>
    <cellStyle name="Small 3 4" xfId="28784" xr:uid="{00000000-0005-0000-0000-000075700000}"/>
    <cellStyle name="Small 3 4 2" xfId="28785" xr:uid="{00000000-0005-0000-0000-000076700000}"/>
    <cellStyle name="Small 3 4 2 2" xfId="28786" xr:uid="{00000000-0005-0000-0000-000077700000}"/>
    <cellStyle name="Small 3 4 2 3" xfId="28787" xr:uid="{00000000-0005-0000-0000-000078700000}"/>
    <cellStyle name="Small 3 4 3" xfId="28788" xr:uid="{00000000-0005-0000-0000-000079700000}"/>
    <cellStyle name="Small 3 4 3 2" xfId="28789" xr:uid="{00000000-0005-0000-0000-00007A700000}"/>
    <cellStyle name="Small 3 4 3 3" xfId="28790" xr:uid="{00000000-0005-0000-0000-00007B700000}"/>
    <cellStyle name="Small 3 4 4" xfId="28791" xr:uid="{00000000-0005-0000-0000-00007C700000}"/>
    <cellStyle name="Small 3 4 5" xfId="28792" xr:uid="{00000000-0005-0000-0000-00007D700000}"/>
    <cellStyle name="Small 3 5" xfId="28793" xr:uid="{00000000-0005-0000-0000-00007E700000}"/>
    <cellStyle name="Small 3 5 2" xfId="28794" xr:uid="{00000000-0005-0000-0000-00007F700000}"/>
    <cellStyle name="Small 3 5 3" xfId="28795" xr:uid="{00000000-0005-0000-0000-000080700000}"/>
    <cellStyle name="Small 3 6" xfId="28796" xr:uid="{00000000-0005-0000-0000-000081700000}"/>
    <cellStyle name="Small 3 7" xfId="28797" xr:uid="{00000000-0005-0000-0000-000082700000}"/>
    <cellStyle name="Small 3 8" xfId="28798" xr:uid="{00000000-0005-0000-0000-000083700000}"/>
    <cellStyle name="Small 3 9" xfId="28799" xr:uid="{00000000-0005-0000-0000-000084700000}"/>
    <cellStyle name="Small 30" xfId="28800" xr:uid="{00000000-0005-0000-0000-000085700000}"/>
    <cellStyle name="Small 31" xfId="28801" xr:uid="{00000000-0005-0000-0000-000086700000}"/>
    <cellStyle name="Small 32" xfId="28802" xr:uid="{00000000-0005-0000-0000-000087700000}"/>
    <cellStyle name="Small 33" xfId="28803" xr:uid="{00000000-0005-0000-0000-000088700000}"/>
    <cellStyle name="Small 34" xfId="28804" xr:uid="{00000000-0005-0000-0000-000089700000}"/>
    <cellStyle name="Small 35" xfId="28805" xr:uid="{00000000-0005-0000-0000-00008A700000}"/>
    <cellStyle name="Small 36" xfId="28806" xr:uid="{00000000-0005-0000-0000-00008B700000}"/>
    <cellStyle name="Small 37" xfId="28807" xr:uid="{00000000-0005-0000-0000-00008C700000}"/>
    <cellStyle name="Small 38" xfId="28808" xr:uid="{00000000-0005-0000-0000-00008D700000}"/>
    <cellStyle name="Small 4" xfId="28809" xr:uid="{00000000-0005-0000-0000-00008E700000}"/>
    <cellStyle name="Small 4 10" xfId="28810" xr:uid="{00000000-0005-0000-0000-00008F700000}"/>
    <cellStyle name="Small 4 11" xfId="28811" xr:uid="{00000000-0005-0000-0000-000090700000}"/>
    <cellStyle name="Small 4 12" xfId="28812" xr:uid="{00000000-0005-0000-0000-000091700000}"/>
    <cellStyle name="Small 4 13" xfId="28813" xr:uid="{00000000-0005-0000-0000-000092700000}"/>
    <cellStyle name="Small 4 14" xfId="28814" xr:uid="{00000000-0005-0000-0000-000093700000}"/>
    <cellStyle name="Small 4 15" xfId="28815" xr:uid="{00000000-0005-0000-0000-000094700000}"/>
    <cellStyle name="Small 4 16" xfId="28816" xr:uid="{00000000-0005-0000-0000-000095700000}"/>
    <cellStyle name="Small 4 17" xfId="28817" xr:uid="{00000000-0005-0000-0000-000096700000}"/>
    <cellStyle name="Small 4 18" xfId="28818" xr:uid="{00000000-0005-0000-0000-000097700000}"/>
    <cellStyle name="Small 4 19" xfId="28819" xr:uid="{00000000-0005-0000-0000-000098700000}"/>
    <cellStyle name="Small 4 2" xfId="28820" xr:uid="{00000000-0005-0000-0000-000099700000}"/>
    <cellStyle name="Small 4 2 2" xfId="28821" xr:uid="{00000000-0005-0000-0000-00009A700000}"/>
    <cellStyle name="Small 4 2 3" xfId="28822" xr:uid="{00000000-0005-0000-0000-00009B700000}"/>
    <cellStyle name="Small 4 20" xfId="28823" xr:uid="{00000000-0005-0000-0000-00009C700000}"/>
    <cellStyle name="Small 4 21" xfId="28824" xr:uid="{00000000-0005-0000-0000-00009D700000}"/>
    <cellStyle name="Small 4 22" xfId="28825" xr:uid="{00000000-0005-0000-0000-00009E700000}"/>
    <cellStyle name="Small 4 23" xfId="28826" xr:uid="{00000000-0005-0000-0000-00009F700000}"/>
    <cellStyle name="Small 4 24" xfId="28827" xr:uid="{00000000-0005-0000-0000-0000A0700000}"/>
    <cellStyle name="Small 4 25" xfId="28828" xr:uid="{00000000-0005-0000-0000-0000A1700000}"/>
    <cellStyle name="Small 4 26" xfId="28829" xr:uid="{00000000-0005-0000-0000-0000A2700000}"/>
    <cellStyle name="Small 4 27" xfId="28830" xr:uid="{00000000-0005-0000-0000-0000A3700000}"/>
    <cellStyle name="Small 4 28" xfId="28831" xr:uid="{00000000-0005-0000-0000-0000A4700000}"/>
    <cellStyle name="Small 4 29" xfId="28832" xr:uid="{00000000-0005-0000-0000-0000A5700000}"/>
    <cellStyle name="Small 4 3" xfId="28833" xr:uid="{00000000-0005-0000-0000-0000A6700000}"/>
    <cellStyle name="Small 4 30" xfId="28834" xr:uid="{00000000-0005-0000-0000-0000A7700000}"/>
    <cellStyle name="Small 4 31" xfId="28835" xr:uid="{00000000-0005-0000-0000-0000A8700000}"/>
    <cellStyle name="Small 4 32" xfId="28836" xr:uid="{00000000-0005-0000-0000-0000A9700000}"/>
    <cellStyle name="Small 4 33" xfId="28837" xr:uid="{00000000-0005-0000-0000-0000AA700000}"/>
    <cellStyle name="Small 4 34" xfId="28838" xr:uid="{00000000-0005-0000-0000-0000AB700000}"/>
    <cellStyle name="Small 4 35" xfId="28839" xr:uid="{00000000-0005-0000-0000-0000AC700000}"/>
    <cellStyle name="Small 4 36" xfId="28840" xr:uid="{00000000-0005-0000-0000-0000AD700000}"/>
    <cellStyle name="Small 4 4" xfId="28841" xr:uid="{00000000-0005-0000-0000-0000AE700000}"/>
    <cellStyle name="Small 4 5" xfId="28842" xr:uid="{00000000-0005-0000-0000-0000AF700000}"/>
    <cellStyle name="Small 4 6" xfId="28843" xr:uid="{00000000-0005-0000-0000-0000B0700000}"/>
    <cellStyle name="Small 4 7" xfId="28844" xr:uid="{00000000-0005-0000-0000-0000B1700000}"/>
    <cellStyle name="Small 4 8" xfId="28845" xr:uid="{00000000-0005-0000-0000-0000B2700000}"/>
    <cellStyle name="Small 4 9" xfId="28846" xr:uid="{00000000-0005-0000-0000-0000B3700000}"/>
    <cellStyle name="Small 5" xfId="28847" xr:uid="{00000000-0005-0000-0000-0000B4700000}"/>
    <cellStyle name="Small 5 2" xfId="28848" xr:uid="{00000000-0005-0000-0000-0000B5700000}"/>
    <cellStyle name="Small 5 2 2" xfId="28849" xr:uid="{00000000-0005-0000-0000-0000B6700000}"/>
    <cellStyle name="Small 5 2 3" xfId="28850" xr:uid="{00000000-0005-0000-0000-0000B7700000}"/>
    <cellStyle name="Small 5 3" xfId="28851" xr:uid="{00000000-0005-0000-0000-0000B8700000}"/>
    <cellStyle name="Small 5 3 2" xfId="28852" xr:uid="{00000000-0005-0000-0000-0000B9700000}"/>
    <cellStyle name="Small 5 3 3" xfId="28853" xr:uid="{00000000-0005-0000-0000-0000BA700000}"/>
    <cellStyle name="Small 5 4" xfId="28854" xr:uid="{00000000-0005-0000-0000-0000BB700000}"/>
    <cellStyle name="Small 5 5" xfId="28855" xr:uid="{00000000-0005-0000-0000-0000BC700000}"/>
    <cellStyle name="Small 6" xfId="28856" xr:uid="{00000000-0005-0000-0000-0000BD700000}"/>
    <cellStyle name="Small 6 2" xfId="28857" xr:uid="{00000000-0005-0000-0000-0000BE700000}"/>
    <cellStyle name="Small 6 2 2" xfId="28858" xr:uid="{00000000-0005-0000-0000-0000BF700000}"/>
    <cellStyle name="Small 6 2 3" xfId="28859" xr:uid="{00000000-0005-0000-0000-0000C0700000}"/>
    <cellStyle name="Small 6 3" xfId="28860" xr:uid="{00000000-0005-0000-0000-0000C1700000}"/>
    <cellStyle name="Small 6 3 2" xfId="28861" xr:uid="{00000000-0005-0000-0000-0000C2700000}"/>
    <cellStyle name="Small 6 3 3" xfId="28862" xr:uid="{00000000-0005-0000-0000-0000C3700000}"/>
    <cellStyle name="Small 6 4" xfId="28863" xr:uid="{00000000-0005-0000-0000-0000C4700000}"/>
    <cellStyle name="Small 6 5" xfId="28864" xr:uid="{00000000-0005-0000-0000-0000C5700000}"/>
    <cellStyle name="Small 7" xfId="28865" xr:uid="{00000000-0005-0000-0000-0000C6700000}"/>
    <cellStyle name="Small 7 2" xfId="28866" xr:uid="{00000000-0005-0000-0000-0000C7700000}"/>
    <cellStyle name="Small 7 3" xfId="28867" xr:uid="{00000000-0005-0000-0000-0000C8700000}"/>
    <cellStyle name="Small 8" xfId="28868" xr:uid="{00000000-0005-0000-0000-0000C9700000}"/>
    <cellStyle name="Small 9" xfId="28869" xr:uid="{00000000-0005-0000-0000-0000CA700000}"/>
    <cellStyle name="Small Number" xfId="28870" xr:uid="{00000000-0005-0000-0000-0000CB700000}"/>
    <cellStyle name="Sortie" xfId="28871" xr:uid="{00000000-0005-0000-0000-0000CC700000}"/>
    <cellStyle name="Sortie 10" xfId="28872" xr:uid="{00000000-0005-0000-0000-0000CD700000}"/>
    <cellStyle name="Sortie 11" xfId="28873" xr:uid="{00000000-0005-0000-0000-0000CE700000}"/>
    <cellStyle name="Sortie 12" xfId="28874" xr:uid="{00000000-0005-0000-0000-0000CF700000}"/>
    <cellStyle name="Sortie 13" xfId="28875" xr:uid="{00000000-0005-0000-0000-0000D0700000}"/>
    <cellStyle name="Sortie 14" xfId="28876" xr:uid="{00000000-0005-0000-0000-0000D1700000}"/>
    <cellStyle name="Sortie 15" xfId="28877" xr:uid="{00000000-0005-0000-0000-0000D2700000}"/>
    <cellStyle name="Sortie 16" xfId="28878" xr:uid="{00000000-0005-0000-0000-0000D3700000}"/>
    <cellStyle name="Sortie 17" xfId="28879" xr:uid="{00000000-0005-0000-0000-0000D4700000}"/>
    <cellStyle name="Sortie 18" xfId="28880" xr:uid="{00000000-0005-0000-0000-0000D5700000}"/>
    <cellStyle name="Sortie 19" xfId="28881" xr:uid="{00000000-0005-0000-0000-0000D6700000}"/>
    <cellStyle name="Sortie 2" xfId="28882" xr:uid="{00000000-0005-0000-0000-0000D7700000}"/>
    <cellStyle name="Sortie 2 10" xfId="28883" xr:uid="{00000000-0005-0000-0000-0000D8700000}"/>
    <cellStyle name="Sortie 2 11" xfId="28884" xr:uid="{00000000-0005-0000-0000-0000D9700000}"/>
    <cellStyle name="Sortie 2 12" xfId="28885" xr:uid="{00000000-0005-0000-0000-0000DA700000}"/>
    <cellStyle name="Sortie 2 13" xfId="28886" xr:uid="{00000000-0005-0000-0000-0000DB700000}"/>
    <cellStyle name="Sortie 2 14" xfId="28887" xr:uid="{00000000-0005-0000-0000-0000DC700000}"/>
    <cellStyle name="Sortie 2 15" xfId="28888" xr:uid="{00000000-0005-0000-0000-0000DD700000}"/>
    <cellStyle name="Sortie 2 16" xfId="28889" xr:uid="{00000000-0005-0000-0000-0000DE700000}"/>
    <cellStyle name="Sortie 2 17" xfId="28890" xr:uid="{00000000-0005-0000-0000-0000DF700000}"/>
    <cellStyle name="Sortie 2 18" xfId="28891" xr:uid="{00000000-0005-0000-0000-0000E0700000}"/>
    <cellStyle name="Sortie 2 19" xfId="28892" xr:uid="{00000000-0005-0000-0000-0000E1700000}"/>
    <cellStyle name="Sortie 2 2" xfId="28893" xr:uid="{00000000-0005-0000-0000-0000E2700000}"/>
    <cellStyle name="Sortie 2 2 10" xfId="28894" xr:uid="{00000000-0005-0000-0000-0000E3700000}"/>
    <cellStyle name="Sortie 2 2 11" xfId="28895" xr:uid="{00000000-0005-0000-0000-0000E4700000}"/>
    <cellStyle name="Sortie 2 2 12" xfId="28896" xr:uid="{00000000-0005-0000-0000-0000E5700000}"/>
    <cellStyle name="Sortie 2 2 13" xfId="28897" xr:uid="{00000000-0005-0000-0000-0000E6700000}"/>
    <cellStyle name="Sortie 2 2 14" xfId="28898" xr:uid="{00000000-0005-0000-0000-0000E7700000}"/>
    <cellStyle name="Sortie 2 2 15" xfId="28899" xr:uid="{00000000-0005-0000-0000-0000E8700000}"/>
    <cellStyle name="Sortie 2 2 16" xfId="28900" xr:uid="{00000000-0005-0000-0000-0000E9700000}"/>
    <cellStyle name="Sortie 2 2 17" xfId="28901" xr:uid="{00000000-0005-0000-0000-0000EA700000}"/>
    <cellStyle name="Sortie 2 2 18" xfId="28902" xr:uid="{00000000-0005-0000-0000-0000EB700000}"/>
    <cellStyle name="Sortie 2 2 19" xfId="28903" xr:uid="{00000000-0005-0000-0000-0000EC700000}"/>
    <cellStyle name="Sortie 2 2 2" xfId="28904" xr:uid="{00000000-0005-0000-0000-0000ED700000}"/>
    <cellStyle name="Sortie 2 2 20" xfId="28905" xr:uid="{00000000-0005-0000-0000-0000EE700000}"/>
    <cellStyle name="Sortie 2 2 21" xfId="28906" xr:uid="{00000000-0005-0000-0000-0000EF700000}"/>
    <cellStyle name="Sortie 2 2 22" xfId="28907" xr:uid="{00000000-0005-0000-0000-0000F0700000}"/>
    <cellStyle name="Sortie 2 2 23" xfId="28908" xr:uid="{00000000-0005-0000-0000-0000F1700000}"/>
    <cellStyle name="Sortie 2 2 24" xfId="28909" xr:uid="{00000000-0005-0000-0000-0000F2700000}"/>
    <cellStyle name="Sortie 2 2 25" xfId="28910" xr:uid="{00000000-0005-0000-0000-0000F3700000}"/>
    <cellStyle name="Sortie 2 2 26" xfId="28911" xr:uid="{00000000-0005-0000-0000-0000F4700000}"/>
    <cellStyle name="Sortie 2 2 27" xfId="28912" xr:uid="{00000000-0005-0000-0000-0000F5700000}"/>
    <cellStyle name="Sortie 2 2 28" xfId="28913" xr:uid="{00000000-0005-0000-0000-0000F6700000}"/>
    <cellStyle name="Sortie 2 2 29" xfId="28914" xr:uid="{00000000-0005-0000-0000-0000F7700000}"/>
    <cellStyle name="Sortie 2 2 3" xfId="28915" xr:uid="{00000000-0005-0000-0000-0000F8700000}"/>
    <cellStyle name="Sortie 2 2 30" xfId="28916" xr:uid="{00000000-0005-0000-0000-0000F9700000}"/>
    <cellStyle name="Sortie 2 2 31" xfId="28917" xr:uid="{00000000-0005-0000-0000-0000FA700000}"/>
    <cellStyle name="Sortie 2 2 32" xfId="28918" xr:uid="{00000000-0005-0000-0000-0000FB700000}"/>
    <cellStyle name="Sortie 2 2 33" xfId="28919" xr:uid="{00000000-0005-0000-0000-0000FC700000}"/>
    <cellStyle name="Sortie 2 2 34" xfId="28920" xr:uid="{00000000-0005-0000-0000-0000FD700000}"/>
    <cellStyle name="Sortie 2 2 4" xfId="28921" xr:uid="{00000000-0005-0000-0000-0000FE700000}"/>
    <cellStyle name="Sortie 2 2 5" xfId="28922" xr:uid="{00000000-0005-0000-0000-0000FF700000}"/>
    <cellStyle name="Sortie 2 2 6" xfId="28923" xr:uid="{00000000-0005-0000-0000-000000710000}"/>
    <cellStyle name="Sortie 2 2 7" xfId="28924" xr:uid="{00000000-0005-0000-0000-000001710000}"/>
    <cellStyle name="Sortie 2 2 8" xfId="28925" xr:uid="{00000000-0005-0000-0000-000002710000}"/>
    <cellStyle name="Sortie 2 2 9" xfId="28926" xr:uid="{00000000-0005-0000-0000-000003710000}"/>
    <cellStyle name="Sortie 2 20" xfId="28927" xr:uid="{00000000-0005-0000-0000-000004710000}"/>
    <cellStyle name="Sortie 2 3" xfId="28928" xr:uid="{00000000-0005-0000-0000-000005710000}"/>
    <cellStyle name="Sortie 2 3 2" xfId="28929" xr:uid="{00000000-0005-0000-0000-000006710000}"/>
    <cellStyle name="Sortie 2 3 3" xfId="28930" xr:uid="{00000000-0005-0000-0000-000007710000}"/>
    <cellStyle name="Sortie 2 4" xfId="28931" xr:uid="{00000000-0005-0000-0000-000008710000}"/>
    <cellStyle name="Sortie 2 5" xfId="28932" xr:uid="{00000000-0005-0000-0000-000009710000}"/>
    <cellStyle name="Sortie 2 6" xfId="28933" xr:uid="{00000000-0005-0000-0000-00000A710000}"/>
    <cellStyle name="Sortie 2 7" xfId="28934" xr:uid="{00000000-0005-0000-0000-00000B710000}"/>
    <cellStyle name="Sortie 2 8" xfId="28935" xr:uid="{00000000-0005-0000-0000-00000C710000}"/>
    <cellStyle name="Sortie 2 9" xfId="28936" xr:uid="{00000000-0005-0000-0000-00000D710000}"/>
    <cellStyle name="Sortie 20" xfId="28937" xr:uid="{00000000-0005-0000-0000-00000E710000}"/>
    <cellStyle name="Sortie 21" xfId="28938" xr:uid="{00000000-0005-0000-0000-00000F710000}"/>
    <cellStyle name="Sortie 3" xfId="28939" xr:uid="{00000000-0005-0000-0000-000010710000}"/>
    <cellStyle name="Sortie 3 10" xfId="28940" xr:uid="{00000000-0005-0000-0000-000011710000}"/>
    <cellStyle name="Sortie 3 11" xfId="28941" xr:uid="{00000000-0005-0000-0000-000012710000}"/>
    <cellStyle name="Sortie 3 12" xfId="28942" xr:uid="{00000000-0005-0000-0000-000013710000}"/>
    <cellStyle name="Sortie 3 13" xfId="28943" xr:uid="{00000000-0005-0000-0000-000014710000}"/>
    <cellStyle name="Sortie 3 14" xfId="28944" xr:uid="{00000000-0005-0000-0000-000015710000}"/>
    <cellStyle name="Sortie 3 15" xfId="28945" xr:uid="{00000000-0005-0000-0000-000016710000}"/>
    <cellStyle name="Sortie 3 16" xfId="28946" xr:uid="{00000000-0005-0000-0000-000017710000}"/>
    <cellStyle name="Sortie 3 17" xfId="28947" xr:uid="{00000000-0005-0000-0000-000018710000}"/>
    <cellStyle name="Sortie 3 18" xfId="28948" xr:uid="{00000000-0005-0000-0000-000019710000}"/>
    <cellStyle name="Sortie 3 19" xfId="28949" xr:uid="{00000000-0005-0000-0000-00001A710000}"/>
    <cellStyle name="Sortie 3 2" xfId="28950" xr:uid="{00000000-0005-0000-0000-00001B710000}"/>
    <cellStyle name="Sortie 3 20" xfId="28951" xr:uid="{00000000-0005-0000-0000-00001C710000}"/>
    <cellStyle name="Sortie 3 21" xfId="28952" xr:uid="{00000000-0005-0000-0000-00001D710000}"/>
    <cellStyle name="Sortie 3 22" xfId="28953" xr:uid="{00000000-0005-0000-0000-00001E710000}"/>
    <cellStyle name="Sortie 3 23" xfId="28954" xr:uid="{00000000-0005-0000-0000-00001F710000}"/>
    <cellStyle name="Sortie 3 24" xfId="28955" xr:uid="{00000000-0005-0000-0000-000020710000}"/>
    <cellStyle name="Sortie 3 25" xfId="28956" xr:uid="{00000000-0005-0000-0000-000021710000}"/>
    <cellStyle name="Sortie 3 26" xfId="28957" xr:uid="{00000000-0005-0000-0000-000022710000}"/>
    <cellStyle name="Sortie 3 27" xfId="28958" xr:uid="{00000000-0005-0000-0000-000023710000}"/>
    <cellStyle name="Sortie 3 28" xfId="28959" xr:uid="{00000000-0005-0000-0000-000024710000}"/>
    <cellStyle name="Sortie 3 29" xfId="28960" xr:uid="{00000000-0005-0000-0000-000025710000}"/>
    <cellStyle name="Sortie 3 3" xfId="28961" xr:uid="{00000000-0005-0000-0000-000026710000}"/>
    <cellStyle name="Sortie 3 30" xfId="28962" xr:uid="{00000000-0005-0000-0000-000027710000}"/>
    <cellStyle name="Sortie 3 31" xfId="28963" xr:uid="{00000000-0005-0000-0000-000028710000}"/>
    <cellStyle name="Sortie 3 32" xfId="28964" xr:uid="{00000000-0005-0000-0000-000029710000}"/>
    <cellStyle name="Sortie 3 33" xfId="28965" xr:uid="{00000000-0005-0000-0000-00002A710000}"/>
    <cellStyle name="Sortie 3 34" xfId="28966" xr:uid="{00000000-0005-0000-0000-00002B710000}"/>
    <cellStyle name="Sortie 3 4" xfId="28967" xr:uid="{00000000-0005-0000-0000-00002C710000}"/>
    <cellStyle name="Sortie 3 5" xfId="28968" xr:uid="{00000000-0005-0000-0000-00002D710000}"/>
    <cellStyle name="Sortie 3 6" xfId="28969" xr:uid="{00000000-0005-0000-0000-00002E710000}"/>
    <cellStyle name="Sortie 3 7" xfId="28970" xr:uid="{00000000-0005-0000-0000-00002F710000}"/>
    <cellStyle name="Sortie 3 8" xfId="28971" xr:uid="{00000000-0005-0000-0000-000030710000}"/>
    <cellStyle name="Sortie 3 9" xfId="28972" xr:uid="{00000000-0005-0000-0000-000031710000}"/>
    <cellStyle name="Sortie 4" xfId="28973" xr:uid="{00000000-0005-0000-0000-000032710000}"/>
    <cellStyle name="Sortie 4 2" xfId="28974" xr:uid="{00000000-0005-0000-0000-000033710000}"/>
    <cellStyle name="Sortie 4 3" xfId="28975" xr:uid="{00000000-0005-0000-0000-000034710000}"/>
    <cellStyle name="Sortie 5" xfId="28976" xr:uid="{00000000-0005-0000-0000-000035710000}"/>
    <cellStyle name="Sortie 6" xfId="28977" xr:uid="{00000000-0005-0000-0000-000036710000}"/>
    <cellStyle name="Sortie 7" xfId="28978" xr:uid="{00000000-0005-0000-0000-000037710000}"/>
    <cellStyle name="Sortie 8" xfId="28979" xr:uid="{00000000-0005-0000-0000-000038710000}"/>
    <cellStyle name="Sortie 9" xfId="28980" xr:uid="{00000000-0005-0000-0000-000039710000}"/>
    <cellStyle name="ST_01" xfId="28981" xr:uid="{00000000-0005-0000-0000-00003A710000}"/>
    <cellStyle name="Standaard_Blad1" xfId="28982" xr:uid="{00000000-0005-0000-0000-00003B710000}"/>
    <cellStyle name="STANDARD" xfId="28983" xr:uid="{00000000-0005-0000-0000-00003C710000}"/>
    <cellStyle name="STANDARD 2" xfId="28984" xr:uid="{00000000-0005-0000-0000-00003D710000}"/>
    <cellStyle name="STANDARD 3" xfId="28985" xr:uid="{00000000-0005-0000-0000-00003E710000}"/>
    <cellStyle name="Standard_2005-09-14 CDMA NewCo Business Model - Full Case (rel2)" xfId="28986" xr:uid="{00000000-0005-0000-0000-00003F710000}"/>
    <cellStyle name="Std" xfId="28987" xr:uid="{00000000-0005-0000-0000-000040710000}"/>
    <cellStyle name="Strange" xfId="28988" xr:uid="{00000000-0005-0000-0000-000041710000}"/>
    <cellStyle name="Style 1" xfId="28989" xr:uid="{00000000-0005-0000-0000-000042710000}"/>
    <cellStyle name="Style 1 10" xfId="28990" xr:uid="{00000000-0005-0000-0000-000043710000}"/>
    <cellStyle name="Style 1 10 2" xfId="28991" xr:uid="{00000000-0005-0000-0000-000044710000}"/>
    <cellStyle name="Style 1 11" xfId="28992" xr:uid="{00000000-0005-0000-0000-000045710000}"/>
    <cellStyle name="Style 1 11 2" xfId="28993" xr:uid="{00000000-0005-0000-0000-000046710000}"/>
    <cellStyle name="Style 1 12" xfId="28994" xr:uid="{00000000-0005-0000-0000-000047710000}"/>
    <cellStyle name="Style 1 12 2" xfId="28995" xr:uid="{00000000-0005-0000-0000-000048710000}"/>
    <cellStyle name="Style 1 13" xfId="28996" xr:uid="{00000000-0005-0000-0000-000049710000}"/>
    <cellStyle name="Style 1 13 2" xfId="28997" xr:uid="{00000000-0005-0000-0000-00004A710000}"/>
    <cellStyle name="Style 1 14" xfId="28998" xr:uid="{00000000-0005-0000-0000-00004B710000}"/>
    <cellStyle name="Style 1 14 2" xfId="28999" xr:uid="{00000000-0005-0000-0000-00004C710000}"/>
    <cellStyle name="Style 1 15" xfId="29000" xr:uid="{00000000-0005-0000-0000-00004D710000}"/>
    <cellStyle name="Style 1 15 2" xfId="29001" xr:uid="{00000000-0005-0000-0000-00004E710000}"/>
    <cellStyle name="Style 1 16" xfId="29002" xr:uid="{00000000-0005-0000-0000-00004F710000}"/>
    <cellStyle name="Style 1 16 2" xfId="29003" xr:uid="{00000000-0005-0000-0000-000050710000}"/>
    <cellStyle name="Style 1 17" xfId="29004" xr:uid="{00000000-0005-0000-0000-000051710000}"/>
    <cellStyle name="Style 1 17 2" xfId="29005" xr:uid="{00000000-0005-0000-0000-000052710000}"/>
    <cellStyle name="Style 1 18" xfId="29006" xr:uid="{00000000-0005-0000-0000-000053710000}"/>
    <cellStyle name="Style 1 18 2" xfId="29007" xr:uid="{00000000-0005-0000-0000-000054710000}"/>
    <cellStyle name="Style 1 19" xfId="29008" xr:uid="{00000000-0005-0000-0000-000055710000}"/>
    <cellStyle name="Style 1 19 2" xfId="29009" xr:uid="{00000000-0005-0000-0000-000056710000}"/>
    <cellStyle name="Style 1 2" xfId="29010" xr:uid="{00000000-0005-0000-0000-000057710000}"/>
    <cellStyle name="Style 1 2 2" xfId="29011" xr:uid="{00000000-0005-0000-0000-000058710000}"/>
    <cellStyle name="Style 1 2 2 2" xfId="29012" xr:uid="{00000000-0005-0000-0000-000059710000}"/>
    <cellStyle name="Style 1 2 2 2 2" xfId="29013" xr:uid="{00000000-0005-0000-0000-00005A710000}"/>
    <cellStyle name="Style 1 2 2 3" xfId="29014" xr:uid="{00000000-0005-0000-0000-00005B710000}"/>
    <cellStyle name="Style 1 2 3" xfId="29015" xr:uid="{00000000-0005-0000-0000-00005C710000}"/>
    <cellStyle name="Style 1 20" xfId="29016" xr:uid="{00000000-0005-0000-0000-00005D710000}"/>
    <cellStyle name="Style 1 20 2" xfId="29017" xr:uid="{00000000-0005-0000-0000-00005E710000}"/>
    <cellStyle name="Style 1 21" xfId="29018" xr:uid="{00000000-0005-0000-0000-00005F710000}"/>
    <cellStyle name="Style 1 21 2" xfId="29019" xr:uid="{00000000-0005-0000-0000-000060710000}"/>
    <cellStyle name="Style 1 22" xfId="29020" xr:uid="{00000000-0005-0000-0000-000061710000}"/>
    <cellStyle name="Style 1 22 2" xfId="29021" xr:uid="{00000000-0005-0000-0000-000062710000}"/>
    <cellStyle name="Style 1 23" xfId="29022" xr:uid="{00000000-0005-0000-0000-000063710000}"/>
    <cellStyle name="Style 1 23 2" xfId="29023" xr:uid="{00000000-0005-0000-0000-000064710000}"/>
    <cellStyle name="Style 1 24" xfId="29024" xr:uid="{00000000-0005-0000-0000-000065710000}"/>
    <cellStyle name="Style 1 24 2" xfId="29025" xr:uid="{00000000-0005-0000-0000-000066710000}"/>
    <cellStyle name="Style 1 25" xfId="29026" xr:uid="{00000000-0005-0000-0000-000067710000}"/>
    <cellStyle name="Style 1 25 2" xfId="29027" xr:uid="{00000000-0005-0000-0000-000068710000}"/>
    <cellStyle name="Style 1 26" xfId="29028" xr:uid="{00000000-0005-0000-0000-000069710000}"/>
    <cellStyle name="Style 1 26 2" xfId="29029" xr:uid="{00000000-0005-0000-0000-00006A710000}"/>
    <cellStyle name="Style 1 27" xfId="29030" xr:uid="{00000000-0005-0000-0000-00006B710000}"/>
    <cellStyle name="Style 1 27 2" xfId="29031" xr:uid="{00000000-0005-0000-0000-00006C710000}"/>
    <cellStyle name="Style 1 28" xfId="29032" xr:uid="{00000000-0005-0000-0000-00006D710000}"/>
    <cellStyle name="Style 1 28 2" xfId="29033" xr:uid="{00000000-0005-0000-0000-00006E710000}"/>
    <cellStyle name="Style 1 29" xfId="29034" xr:uid="{00000000-0005-0000-0000-00006F710000}"/>
    <cellStyle name="Style 1 29 2" xfId="29035" xr:uid="{00000000-0005-0000-0000-000070710000}"/>
    <cellStyle name="Style 1 3" xfId="29036" xr:uid="{00000000-0005-0000-0000-000071710000}"/>
    <cellStyle name="Style 1 3 2" xfId="29037" xr:uid="{00000000-0005-0000-0000-000072710000}"/>
    <cellStyle name="Style 1 3 2 2" xfId="29038" xr:uid="{00000000-0005-0000-0000-000073710000}"/>
    <cellStyle name="Style 1 3 3" xfId="29039" xr:uid="{00000000-0005-0000-0000-000074710000}"/>
    <cellStyle name="Style 1 3 3 2" xfId="29040" xr:uid="{00000000-0005-0000-0000-000075710000}"/>
    <cellStyle name="Style 1 3 4" xfId="29041" xr:uid="{00000000-0005-0000-0000-000076710000}"/>
    <cellStyle name="Style 1 30" xfId="29042" xr:uid="{00000000-0005-0000-0000-000077710000}"/>
    <cellStyle name="Style 1 30 2" xfId="29043" xr:uid="{00000000-0005-0000-0000-000078710000}"/>
    <cellStyle name="Style 1 31" xfId="29044" xr:uid="{00000000-0005-0000-0000-000079710000}"/>
    <cellStyle name="Style 1 31 2" xfId="29045" xr:uid="{00000000-0005-0000-0000-00007A710000}"/>
    <cellStyle name="Style 1 32" xfId="29046" xr:uid="{00000000-0005-0000-0000-00007B710000}"/>
    <cellStyle name="Style 1 32 2" xfId="29047" xr:uid="{00000000-0005-0000-0000-00007C710000}"/>
    <cellStyle name="Style 1 33" xfId="29048" xr:uid="{00000000-0005-0000-0000-00007D710000}"/>
    <cellStyle name="Style 1 33 2" xfId="29049" xr:uid="{00000000-0005-0000-0000-00007E710000}"/>
    <cellStyle name="Style 1 34" xfId="29050" xr:uid="{00000000-0005-0000-0000-00007F710000}"/>
    <cellStyle name="Style 1 34 2" xfId="29051" xr:uid="{00000000-0005-0000-0000-000080710000}"/>
    <cellStyle name="Style 1 35" xfId="29052" xr:uid="{00000000-0005-0000-0000-000081710000}"/>
    <cellStyle name="Style 1 35 2" xfId="29053" xr:uid="{00000000-0005-0000-0000-000082710000}"/>
    <cellStyle name="Style 1 36" xfId="29054" xr:uid="{00000000-0005-0000-0000-000083710000}"/>
    <cellStyle name="Style 1 36 2" xfId="29055" xr:uid="{00000000-0005-0000-0000-000084710000}"/>
    <cellStyle name="Style 1 37" xfId="29056" xr:uid="{00000000-0005-0000-0000-000085710000}"/>
    <cellStyle name="Style 1 37 2" xfId="29057" xr:uid="{00000000-0005-0000-0000-000086710000}"/>
    <cellStyle name="Style 1 38" xfId="29058" xr:uid="{00000000-0005-0000-0000-000087710000}"/>
    <cellStyle name="Style 1 38 2" xfId="29059" xr:uid="{00000000-0005-0000-0000-000088710000}"/>
    <cellStyle name="Style 1 39" xfId="29060" xr:uid="{00000000-0005-0000-0000-000089710000}"/>
    <cellStyle name="Style 1 39 2" xfId="29061" xr:uid="{00000000-0005-0000-0000-00008A710000}"/>
    <cellStyle name="Style 1 4" xfId="29062" xr:uid="{00000000-0005-0000-0000-00008B710000}"/>
    <cellStyle name="Style 1 4 2" xfId="29063" xr:uid="{00000000-0005-0000-0000-00008C710000}"/>
    <cellStyle name="Style 1 40" xfId="29064" xr:uid="{00000000-0005-0000-0000-00008D710000}"/>
    <cellStyle name="Style 1 40 2" xfId="29065" xr:uid="{00000000-0005-0000-0000-00008E710000}"/>
    <cellStyle name="Style 1 41" xfId="29066" xr:uid="{00000000-0005-0000-0000-00008F710000}"/>
    <cellStyle name="Style 1 41 2" xfId="29067" xr:uid="{00000000-0005-0000-0000-000090710000}"/>
    <cellStyle name="Style 1 42" xfId="29068" xr:uid="{00000000-0005-0000-0000-000091710000}"/>
    <cellStyle name="Style 1 42 2" xfId="29069" xr:uid="{00000000-0005-0000-0000-000092710000}"/>
    <cellStyle name="Style 1 43" xfId="29070" xr:uid="{00000000-0005-0000-0000-000093710000}"/>
    <cellStyle name="Style 1 43 2" xfId="29071" xr:uid="{00000000-0005-0000-0000-000094710000}"/>
    <cellStyle name="Style 1 44" xfId="29072" xr:uid="{00000000-0005-0000-0000-000095710000}"/>
    <cellStyle name="Style 1 44 2" xfId="29073" xr:uid="{00000000-0005-0000-0000-000096710000}"/>
    <cellStyle name="Style 1 45" xfId="29074" xr:uid="{00000000-0005-0000-0000-000097710000}"/>
    <cellStyle name="Style 1 45 2" xfId="29075" xr:uid="{00000000-0005-0000-0000-000098710000}"/>
    <cellStyle name="Style 1 46" xfId="29076" xr:uid="{00000000-0005-0000-0000-000099710000}"/>
    <cellStyle name="Style 1 46 2" xfId="29077" xr:uid="{00000000-0005-0000-0000-00009A710000}"/>
    <cellStyle name="Style 1 47" xfId="29078" xr:uid="{00000000-0005-0000-0000-00009B710000}"/>
    <cellStyle name="Style 1 47 2" xfId="29079" xr:uid="{00000000-0005-0000-0000-00009C710000}"/>
    <cellStyle name="Style 1 48" xfId="29080" xr:uid="{00000000-0005-0000-0000-00009D710000}"/>
    <cellStyle name="Style 1 48 2" xfId="29081" xr:uid="{00000000-0005-0000-0000-00009E710000}"/>
    <cellStyle name="Style 1 49" xfId="29082" xr:uid="{00000000-0005-0000-0000-00009F710000}"/>
    <cellStyle name="Style 1 49 2" xfId="29083" xr:uid="{00000000-0005-0000-0000-0000A0710000}"/>
    <cellStyle name="Style 1 5" xfId="29084" xr:uid="{00000000-0005-0000-0000-0000A1710000}"/>
    <cellStyle name="Style 1 5 2" xfId="29085" xr:uid="{00000000-0005-0000-0000-0000A2710000}"/>
    <cellStyle name="Style 1 50" xfId="29086" xr:uid="{00000000-0005-0000-0000-0000A3710000}"/>
    <cellStyle name="Style 1 50 2" xfId="29087" xr:uid="{00000000-0005-0000-0000-0000A4710000}"/>
    <cellStyle name="Style 1 51" xfId="29088" xr:uid="{00000000-0005-0000-0000-0000A5710000}"/>
    <cellStyle name="Style 1 51 2" xfId="29089" xr:uid="{00000000-0005-0000-0000-0000A6710000}"/>
    <cellStyle name="Style 1 52" xfId="29090" xr:uid="{00000000-0005-0000-0000-0000A7710000}"/>
    <cellStyle name="Style 1 52 2" xfId="29091" xr:uid="{00000000-0005-0000-0000-0000A8710000}"/>
    <cellStyle name="Style 1 53" xfId="29092" xr:uid="{00000000-0005-0000-0000-0000A9710000}"/>
    <cellStyle name="Style 1 53 2" xfId="29093" xr:uid="{00000000-0005-0000-0000-0000AA710000}"/>
    <cellStyle name="Style 1 54" xfId="29094" xr:uid="{00000000-0005-0000-0000-0000AB710000}"/>
    <cellStyle name="Style 1 54 2" xfId="29095" xr:uid="{00000000-0005-0000-0000-0000AC710000}"/>
    <cellStyle name="Style 1 55" xfId="29096" xr:uid="{00000000-0005-0000-0000-0000AD710000}"/>
    <cellStyle name="Style 1 55 2" xfId="29097" xr:uid="{00000000-0005-0000-0000-0000AE710000}"/>
    <cellStyle name="Style 1 56" xfId="29098" xr:uid="{00000000-0005-0000-0000-0000AF710000}"/>
    <cellStyle name="Style 1 56 2" xfId="29099" xr:uid="{00000000-0005-0000-0000-0000B0710000}"/>
    <cellStyle name="Style 1 57" xfId="29100" xr:uid="{00000000-0005-0000-0000-0000B1710000}"/>
    <cellStyle name="Style 1 57 2" xfId="29101" xr:uid="{00000000-0005-0000-0000-0000B2710000}"/>
    <cellStyle name="Style 1 58" xfId="29102" xr:uid="{00000000-0005-0000-0000-0000B3710000}"/>
    <cellStyle name="Style 1 58 2" xfId="29103" xr:uid="{00000000-0005-0000-0000-0000B4710000}"/>
    <cellStyle name="Style 1 59" xfId="29104" xr:uid="{00000000-0005-0000-0000-0000B5710000}"/>
    <cellStyle name="Style 1 59 2" xfId="29105" xr:uid="{00000000-0005-0000-0000-0000B6710000}"/>
    <cellStyle name="Style 1 6" xfId="29106" xr:uid="{00000000-0005-0000-0000-0000B7710000}"/>
    <cellStyle name="Style 1 6 2" xfId="29107" xr:uid="{00000000-0005-0000-0000-0000B8710000}"/>
    <cellStyle name="Style 1 60" xfId="29108" xr:uid="{00000000-0005-0000-0000-0000B9710000}"/>
    <cellStyle name="Style 1 60 2" xfId="29109" xr:uid="{00000000-0005-0000-0000-0000BA710000}"/>
    <cellStyle name="Style 1 61" xfId="29110" xr:uid="{00000000-0005-0000-0000-0000BB710000}"/>
    <cellStyle name="Style 1 61 2" xfId="29111" xr:uid="{00000000-0005-0000-0000-0000BC710000}"/>
    <cellStyle name="Style 1 62" xfId="29112" xr:uid="{00000000-0005-0000-0000-0000BD710000}"/>
    <cellStyle name="Style 1 62 2" xfId="29113" xr:uid="{00000000-0005-0000-0000-0000BE710000}"/>
    <cellStyle name="Style 1 63" xfId="29114" xr:uid="{00000000-0005-0000-0000-0000BF710000}"/>
    <cellStyle name="Style 1 63 2" xfId="29115" xr:uid="{00000000-0005-0000-0000-0000C0710000}"/>
    <cellStyle name="Style 1 64" xfId="29116" xr:uid="{00000000-0005-0000-0000-0000C1710000}"/>
    <cellStyle name="Style 1 64 2" xfId="29117" xr:uid="{00000000-0005-0000-0000-0000C2710000}"/>
    <cellStyle name="Style 1 65" xfId="29118" xr:uid="{00000000-0005-0000-0000-0000C3710000}"/>
    <cellStyle name="Style 1 65 2" xfId="29119" xr:uid="{00000000-0005-0000-0000-0000C4710000}"/>
    <cellStyle name="Style 1 66" xfId="29120" xr:uid="{00000000-0005-0000-0000-0000C5710000}"/>
    <cellStyle name="Style 1 66 2" xfId="29121" xr:uid="{00000000-0005-0000-0000-0000C6710000}"/>
    <cellStyle name="Style 1 67" xfId="29122" xr:uid="{00000000-0005-0000-0000-0000C7710000}"/>
    <cellStyle name="Style 1 67 2" xfId="29123" xr:uid="{00000000-0005-0000-0000-0000C8710000}"/>
    <cellStyle name="Style 1 68" xfId="29124" xr:uid="{00000000-0005-0000-0000-0000C9710000}"/>
    <cellStyle name="Style 1 68 2" xfId="29125" xr:uid="{00000000-0005-0000-0000-0000CA710000}"/>
    <cellStyle name="Style 1 69" xfId="29126" xr:uid="{00000000-0005-0000-0000-0000CB710000}"/>
    <cellStyle name="Style 1 69 2" xfId="29127" xr:uid="{00000000-0005-0000-0000-0000CC710000}"/>
    <cellStyle name="Style 1 7" xfId="29128" xr:uid="{00000000-0005-0000-0000-0000CD710000}"/>
    <cellStyle name="Style 1 7 2" xfId="29129" xr:uid="{00000000-0005-0000-0000-0000CE710000}"/>
    <cellStyle name="Style 1 70" xfId="29130" xr:uid="{00000000-0005-0000-0000-0000CF710000}"/>
    <cellStyle name="Style 1 70 2" xfId="29131" xr:uid="{00000000-0005-0000-0000-0000D0710000}"/>
    <cellStyle name="Style 1 8" xfId="29132" xr:uid="{00000000-0005-0000-0000-0000D1710000}"/>
    <cellStyle name="Style 1 8 2" xfId="29133" xr:uid="{00000000-0005-0000-0000-0000D2710000}"/>
    <cellStyle name="Style 1 9" xfId="29134" xr:uid="{00000000-0005-0000-0000-0000D3710000}"/>
    <cellStyle name="Style 1 9 2" xfId="29135" xr:uid="{00000000-0005-0000-0000-0000D4710000}"/>
    <cellStyle name="Style 1_20100303 Annex 27 Part 2.1b Prices Serbia and Hungary, Core  20100410 V2.0" xfId="29136" xr:uid="{00000000-0005-0000-0000-0000D5710000}"/>
    <cellStyle name="Style 2" xfId="29137" xr:uid="{00000000-0005-0000-0000-0000D6710000}"/>
    <cellStyle name="Style 2 2" xfId="29138" xr:uid="{00000000-0005-0000-0000-0000D7710000}"/>
    <cellStyle name="Style 2 2 2" xfId="29139" xr:uid="{00000000-0005-0000-0000-0000D8710000}"/>
    <cellStyle name="Style 2 3" xfId="29140" xr:uid="{00000000-0005-0000-0000-0000D9710000}"/>
    <cellStyle name="Style 3" xfId="29141" xr:uid="{00000000-0005-0000-0000-0000DA710000}"/>
    <cellStyle name="Style 3 2" xfId="29142" xr:uid="{00000000-0005-0000-0000-0000DB710000}"/>
    <cellStyle name="Style 3 2 2" xfId="29143" xr:uid="{00000000-0005-0000-0000-0000DC710000}"/>
    <cellStyle name="Style 3 3" xfId="29144" xr:uid="{00000000-0005-0000-0000-0000DD710000}"/>
    <cellStyle name="Style 3 3 2" xfId="29145" xr:uid="{00000000-0005-0000-0000-0000DE710000}"/>
    <cellStyle name="Style 3 4" xfId="29146" xr:uid="{00000000-0005-0000-0000-0000DF710000}"/>
    <cellStyle name="subhead" xfId="29233" xr:uid="{00000000-0005-0000-0000-0000E0710000}"/>
    <cellStyle name="subhead 2" xfId="29234" xr:uid="{00000000-0005-0000-0000-0000E1710000}"/>
    <cellStyle name="subhead 2 2" xfId="29235" xr:uid="{00000000-0005-0000-0000-0000E2710000}"/>
    <cellStyle name="subhead 3" xfId="29236" xr:uid="{00000000-0005-0000-0000-0000E3710000}"/>
    <cellStyle name="Sub-heading" xfId="29147" xr:uid="{00000000-0005-0000-0000-0000E4710000}"/>
    <cellStyle name="Sub-heading 2" xfId="29148" xr:uid="{00000000-0005-0000-0000-0000E5710000}"/>
    <cellStyle name="Sub-heading 2 2" xfId="29149" xr:uid="{00000000-0005-0000-0000-0000E6710000}"/>
    <cellStyle name="Sub-heading 3" xfId="29150" xr:uid="{00000000-0005-0000-0000-0000E7710000}"/>
    <cellStyle name="SUBSC98" xfId="29237" xr:uid="{00000000-0005-0000-0000-0000E8710000}"/>
    <cellStyle name="Sub-total row" xfId="29151" xr:uid="{00000000-0005-0000-0000-0000E9710000}"/>
    <cellStyle name="Sub-total row 10" xfId="29152" xr:uid="{00000000-0005-0000-0000-0000EA710000}"/>
    <cellStyle name="Sub-total row 10 2" xfId="29153" xr:uid="{00000000-0005-0000-0000-0000EB710000}"/>
    <cellStyle name="Sub-total row 11" xfId="29154" xr:uid="{00000000-0005-0000-0000-0000EC710000}"/>
    <cellStyle name="Sub-total row 2" xfId="29155" xr:uid="{00000000-0005-0000-0000-0000ED710000}"/>
    <cellStyle name="Sub-total row 2 10" xfId="29156" xr:uid="{00000000-0005-0000-0000-0000EE710000}"/>
    <cellStyle name="Sub-total row 2 11" xfId="29157" xr:uid="{00000000-0005-0000-0000-0000EF710000}"/>
    <cellStyle name="Sub-total row 2 12" xfId="29158" xr:uid="{00000000-0005-0000-0000-0000F0710000}"/>
    <cellStyle name="Sub-total row 2 13" xfId="29159" xr:uid="{00000000-0005-0000-0000-0000F1710000}"/>
    <cellStyle name="Sub-total row 2 14" xfId="29160" xr:uid="{00000000-0005-0000-0000-0000F2710000}"/>
    <cellStyle name="Sub-total row 2 15" xfId="29161" xr:uid="{00000000-0005-0000-0000-0000F3710000}"/>
    <cellStyle name="Sub-total row 2 16" xfId="29162" xr:uid="{00000000-0005-0000-0000-0000F4710000}"/>
    <cellStyle name="Sub-total row 2 17" xfId="29163" xr:uid="{00000000-0005-0000-0000-0000F5710000}"/>
    <cellStyle name="Sub-total row 2 18" xfId="29164" xr:uid="{00000000-0005-0000-0000-0000F6710000}"/>
    <cellStyle name="Sub-total row 2 19" xfId="29165" xr:uid="{00000000-0005-0000-0000-0000F7710000}"/>
    <cellStyle name="Sub-total row 2 2" xfId="29166" xr:uid="{00000000-0005-0000-0000-0000F8710000}"/>
    <cellStyle name="Sub-total row 2 2 2" xfId="29167" xr:uid="{00000000-0005-0000-0000-0000F9710000}"/>
    <cellStyle name="Sub-total row 2 2 2 2" xfId="29168" xr:uid="{00000000-0005-0000-0000-0000FA710000}"/>
    <cellStyle name="Sub-total row 2 2 2 3" xfId="29169" xr:uid="{00000000-0005-0000-0000-0000FB710000}"/>
    <cellStyle name="Sub-total row 2 2 2 4" xfId="29170" xr:uid="{00000000-0005-0000-0000-0000FC710000}"/>
    <cellStyle name="Sub-total row 2 2 3" xfId="29171" xr:uid="{00000000-0005-0000-0000-0000FD710000}"/>
    <cellStyle name="Sub-total row 2 2 3 2" xfId="29172" xr:uid="{00000000-0005-0000-0000-0000FE710000}"/>
    <cellStyle name="Sub-total row 2 2 3 3" xfId="29173" xr:uid="{00000000-0005-0000-0000-0000FF710000}"/>
    <cellStyle name="Sub-total row 2 2 3 4" xfId="29174" xr:uid="{00000000-0005-0000-0000-000000720000}"/>
    <cellStyle name="Sub-total row 2 2 4" xfId="29175" xr:uid="{00000000-0005-0000-0000-000001720000}"/>
    <cellStyle name="Sub-total row 2 2 5" xfId="29176" xr:uid="{00000000-0005-0000-0000-000002720000}"/>
    <cellStyle name="Sub-total row 2 2 6" xfId="29177" xr:uid="{00000000-0005-0000-0000-000003720000}"/>
    <cellStyle name="Sub-total row 2 3" xfId="29178" xr:uid="{00000000-0005-0000-0000-000004720000}"/>
    <cellStyle name="Sub-total row 2 3 2" xfId="29179" xr:uid="{00000000-0005-0000-0000-000005720000}"/>
    <cellStyle name="Sub-total row 2 3 2 2" xfId="29180" xr:uid="{00000000-0005-0000-0000-000006720000}"/>
    <cellStyle name="Sub-total row 2 3 2 3" xfId="29181" xr:uid="{00000000-0005-0000-0000-000007720000}"/>
    <cellStyle name="Sub-total row 2 3 2 4" xfId="29182" xr:uid="{00000000-0005-0000-0000-000008720000}"/>
    <cellStyle name="Sub-total row 2 3 3" xfId="29183" xr:uid="{00000000-0005-0000-0000-000009720000}"/>
    <cellStyle name="Sub-total row 2 3 3 2" xfId="29184" xr:uid="{00000000-0005-0000-0000-00000A720000}"/>
    <cellStyle name="Sub-total row 2 3 3 3" xfId="29185" xr:uid="{00000000-0005-0000-0000-00000B720000}"/>
    <cellStyle name="Sub-total row 2 3 3 4" xfId="29186" xr:uid="{00000000-0005-0000-0000-00000C720000}"/>
    <cellStyle name="Sub-total row 2 3 4" xfId="29187" xr:uid="{00000000-0005-0000-0000-00000D720000}"/>
    <cellStyle name="Sub-total row 2 3 5" xfId="29188" xr:uid="{00000000-0005-0000-0000-00000E720000}"/>
    <cellStyle name="Sub-total row 2 3 6" xfId="29189" xr:uid="{00000000-0005-0000-0000-00000F720000}"/>
    <cellStyle name="Sub-total row 2 4" xfId="29190" xr:uid="{00000000-0005-0000-0000-000010720000}"/>
    <cellStyle name="Sub-total row 2 4 2" xfId="29191" xr:uid="{00000000-0005-0000-0000-000011720000}"/>
    <cellStyle name="Sub-total row 2 4 3" xfId="29192" xr:uid="{00000000-0005-0000-0000-000012720000}"/>
    <cellStyle name="Sub-total row 2 4 4" xfId="29193" xr:uid="{00000000-0005-0000-0000-000013720000}"/>
    <cellStyle name="Sub-total row 2 5" xfId="29194" xr:uid="{00000000-0005-0000-0000-000014720000}"/>
    <cellStyle name="Sub-total row 2 6" xfId="29195" xr:uid="{00000000-0005-0000-0000-000015720000}"/>
    <cellStyle name="Sub-total row 2 7" xfId="29196" xr:uid="{00000000-0005-0000-0000-000016720000}"/>
    <cellStyle name="Sub-total row 2 8" xfId="29197" xr:uid="{00000000-0005-0000-0000-000017720000}"/>
    <cellStyle name="Sub-total row 2 9" xfId="29198" xr:uid="{00000000-0005-0000-0000-000018720000}"/>
    <cellStyle name="Sub-total row 3" xfId="29199" xr:uid="{00000000-0005-0000-0000-000019720000}"/>
    <cellStyle name="Sub-total row 3 2" xfId="29200" xr:uid="{00000000-0005-0000-0000-00001A720000}"/>
    <cellStyle name="Sub-total row 3 2 2" xfId="29201" xr:uid="{00000000-0005-0000-0000-00001B720000}"/>
    <cellStyle name="Sub-total row 3 2 3" xfId="29202" xr:uid="{00000000-0005-0000-0000-00001C720000}"/>
    <cellStyle name="Sub-total row 3 2 4" xfId="29203" xr:uid="{00000000-0005-0000-0000-00001D720000}"/>
    <cellStyle name="Sub-total row 3 3" xfId="29204" xr:uid="{00000000-0005-0000-0000-00001E720000}"/>
    <cellStyle name="Sub-total row 3 3 2" xfId="29205" xr:uid="{00000000-0005-0000-0000-00001F720000}"/>
    <cellStyle name="Sub-total row 3 3 3" xfId="29206" xr:uid="{00000000-0005-0000-0000-000020720000}"/>
    <cellStyle name="Sub-total row 3 3 4" xfId="29207" xr:uid="{00000000-0005-0000-0000-000021720000}"/>
    <cellStyle name="Sub-total row 3 4" xfId="29208" xr:uid="{00000000-0005-0000-0000-000022720000}"/>
    <cellStyle name="Sub-total row 3 5" xfId="29209" xr:uid="{00000000-0005-0000-0000-000023720000}"/>
    <cellStyle name="Sub-total row 3 6" xfId="29210" xr:uid="{00000000-0005-0000-0000-000024720000}"/>
    <cellStyle name="Sub-total row 4" xfId="29211" xr:uid="{00000000-0005-0000-0000-000025720000}"/>
    <cellStyle name="Sub-total row 4 2" xfId="29212" xr:uid="{00000000-0005-0000-0000-000026720000}"/>
    <cellStyle name="Sub-total row 4 2 2" xfId="29213" xr:uid="{00000000-0005-0000-0000-000027720000}"/>
    <cellStyle name="Sub-total row 4 2 3" xfId="29214" xr:uid="{00000000-0005-0000-0000-000028720000}"/>
    <cellStyle name="Sub-total row 4 2 4" xfId="29215" xr:uid="{00000000-0005-0000-0000-000029720000}"/>
    <cellStyle name="Sub-total row 4 3" xfId="29216" xr:uid="{00000000-0005-0000-0000-00002A720000}"/>
    <cellStyle name="Sub-total row 4 3 2" xfId="29217" xr:uid="{00000000-0005-0000-0000-00002B720000}"/>
    <cellStyle name="Sub-total row 4 3 3" xfId="29218" xr:uid="{00000000-0005-0000-0000-00002C720000}"/>
    <cellStyle name="Sub-total row 4 3 4" xfId="29219" xr:uid="{00000000-0005-0000-0000-00002D720000}"/>
    <cellStyle name="Sub-total row 4 4" xfId="29220" xr:uid="{00000000-0005-0000-0000-00002E720000}"/>
    <cellStyle name="Sub-total row 4 5" xfId="29221" xr:uid="{00000000-0005-0000-0000-00002F720000}"/>
    <cellStyle name="Sub-total row 4 6" xfId="29222" xr:uid="{00000000-0005-0000-0000-000030720000}"/>
    <cellStyle name="Sub-total row 5" xfId="29223" xr:uid="{00000000-0005-0000-0000-000031720000}"/>
    <cellStyle name="Sub-total row 5 2" xfId="29224" xr:uid="{00000000-0005-0000-0000-000032720000}"/>
    <cellStyle name="Sub-total row 6" xfId="29225" xr:uid="{00000000-0005-0000-0000-000033720000}"/>
    <cellStyle name="Sub-total row 6 2" xfId="29226" xr:uid="{00000000-0005-0000-0000-000034720000}"/>
    <cellStyle name="Sub-total row 7" xfId="29227" xr:uid="{00000000-0005-0000-0000-000035720000}"/>
    <cellStyle name="Sub-total row 7 2" xfId="29228" xr:uid="{00000000-0005-0000-0000-000036720000}"/>
    <cellStyle name="Sub-total row 8" xfId="29229" xr:uid="{00000000-0005-0000-0000-000037720000}"/>
    <cellStyle name="Sub-total row 8 2" xfId="29230" xr:uid="{00000000-0005-0000-0000-000038720000}"/>
    <cellStyle name="Sub-total row 9" xfId="29231" xr:uid="{00000000-0005-0000-0000-000039720000}"/>
    <cellStyle name="Sub-total row 9 2" xfId="29232" xr:uid="{00000000-0005-0000-0000-00003A720000}"/>
    <cellStyle name="Sum" xfId="29238" xr:uid="{00000000-0005-0000-0000-00003B720000}"/>
    <cellStyle name="Sum 2" xfId="29239" xr:uid="{00000000-0005-0000-0000-00003C720000}"/>
    <cellStyle name="Sum 2 2" xfId="29240" xr:uid="{00000000-0005-0000-0000-00003D720000}"/>
    <cellStyle name="Sum 2 2 2" xfId="29241" xr:uid="{00000000-0005-0000-0000-00003E720000}"/>
    <cellStyle name="Sum 2 3" xfId="29242" xr:uid="{00000000-0005-0000-0000-00003F720000}"/>
    <cellStyle name="Sum 3" xfId="29243" xr:uid="{00000000-0005-0000-0000-000040720000}"/>
    <cellStyle name="Sum 3 2" xfId="29244" xr:uid="{00000000-0005-0000-0000-000041720000}"/>
    <cellStyle name="Sum 4" xfId="29245" xr:uid="{00000000-0005-0000-0000-000042720000}"/>
    <cellStyle name="Sum 4 2" xfId="29246" xr:uid="{00000000-0005-0000-0000-000043720000}"/>
    <cellStyle name="Sum 5" xfId="29247" xr:uid="{00000000-0005-0000-0000-000044720000}"/>
    <cellStyle name="Sum 5 2" xfId="29248" xr:uid="{00000000-0005-0000-0000-000045720000}"/>
    <cellStyle name="Sum 6" xfId="29249" xr:uid="{00000000-0005-0000-0000-000046720000}"/>
    <cellStyle name="Sum 6 2" xfId="29250" xr:uid="{00000000-0005-0000-0000-000047720000}"/>
    <cellStyle name="Sum 7" xfId="29251" xr:uid="{00000000-0005-0000-0000-000048720000}"/>
    <cellStyle name="Sum 7 2" xfId="29252" xr:uid="{00000000-0005-0000-0000-000049720000}"/>
    <cellStyle name="Sum 8" xfId="29253" xr:uid="{00000000-0005-0000-0000-00004A720000}"/>
    <cellStyle name="Table" xfId="29254" xr:uid="{00000000-0005-0000-0000-00004B720000}"/>
    <cellStyle name="Table 10" xfId="29255" xr:uid="{00000000-0005-0000-0000-00004C720000}"/>
    <cellStyle name="Table 11" xfId="29256" xr:uid="{00000000-0005-0000-0000-00004D720000}"/>
    <cellStyle name="Table 12" xfId="29257" xr:uid="{00000000-0005-0000-0000-00004E720000}"/>
    <cellStyle name="Table 13" xfId="29258" xr:uid="{00000000-0005-0000-0000-00004F720000}"/>
    <cellStyle name="Table 14" xfId="29259" xr:uid="{00000000-0005-0000-0000-000050720000}"/>
    <cellStyle name="Table 15" xfId="29260" xr:uid="{00000000-0005-0000-0000-000051720000}"/>
    <cellStyle name="Table 16" xfId="29261" xr:uid="{00000000-0005-0000-0000-000052720000}"/>
    <cellStyle name="Table 17" xfId="29262" xr:uid="{00000000-0005-0000-0000-000053720000}"/>
    <cellStyle name="Table 18" xfId="29263" xr:uid="{00000000-0005-0000-0000-000054720000}"/>
    <cellStyle name="Table 19" xfId="29264" xr:uid="{00000000-0005-0000-0000-000055720000}"/>
    <cellStyle name="Table 2" xfId="29265" xr:uid="{00000000-0005-0000-0000-000056720000}"/>
    <cellStyle name="Table 2 10" xfId="29266" xr:uid="{00000000-0005-0000-0000-000057720000}"/>
    <cellStyle name="Table 2 11" xfId="29267" xr:uid="{00000000-0005-0000-0000-000058720000}"/>
    <cellStyle name="Table 2 12" xfId="29268" xr:uid="{00000000-0005-0000-0000-000059720000}"/>
    <cellStyle name="Table 2 13" xfId="29269" xr:uid="{00000000-0005-0000-0000-00005A720000}"/>
    <cellStyle name="Table 2 14" xfId="29270" xr:uid="{00000000-0005-0000-0000-00005B720000}"/>
    <cellStyle name="Table 2 15" xfId="29271" xr:uid="{00000000-0005-0000-0000-00005C720000}"/>
    <cellStyle name="Table 2 16" xfId="29272" xr:uid="{00000000-0005-0000-0000-00005D720000}"/>
    <cellStyle name="Table 2 17" xfId="29273" xr:uid="{00000000-0005-0000-0000-00005E720000}"/>
    <cellStyle name="Table 2 18" xfId="29274" xr:uid="{00000000-0005-0000-0000-00005F720000}"/>
    <cellStyle name="Table 2 19" xfId="29275" xr:uid="{00000000-0005-0000-0000-000060720000}"/>
    <cellStyle name="Table 2 2" xfId="29276" xr:uid="{00000000-0005-0000-0000-000061720000}"/>
    <cellStyle name="Table 2 2 2" xfId="29277" xr:uid="{00000000-0005-0000-0000-000062720000}"/>
    <cellStyle name="Table 2 2 3" xfId="29278" xr:uid="{00000000-0005-0000-0000-000063720000}"/>
    <cellStyle name="Table 2 20" xfId="29279" xr:uid="{00000000-0005-0000-0000-000064720000}"/>
    <cellStyle name="Table 2 21" xfId="29280" xr:uid="{00000000-0005-0000-0000-000065720000}"/>
    <cellStyle name="Table 2 22" xfId="29281" xr:uid="{00000000-0005-0000-0000-000066720000}"/>
    <cellStyle name="Table 2 23" xfId="29282" xr:uid="{00000000-0005-0000-0000-000067720000}"/>
    <cellStyle name="Table 2 24" xfId="29283" xr:uid="{00000000-0005-0000-0000-000068720000}"/>
    <cellStyle name="Table 2 25" xfId="29284" xr:uid="{00000000-0005-0000-0000-000069720000}"/>
    <cellStyle name="Table 2 26" xfId="29285" xr:uid="{00000000-0005-0000-0000-00006A720000}"/>
    <cellStyle name="Table 2 27" xfId="29286" xr:uid="{00000000-0005-0000-0000-00006B720000}"/>
    <cellStyle name="Table 2 28" xfId="29287" xr:uid="{00000000-0005-0000-0000-00006C720000}"/>
    <cellStyle name="Table 2 29" xfId="29288" xr:uid="{00000000-0005-0000-0000-00006D720000}"/>
    <cellStyle name="Table 2 3" xfId="29289" xr:uid="{00000000-0005-0000-0000-00006E720000}"/>
    <cellStyle name="Table 2 30" xfId="29290" xr:uid="{00000000-0005-0000-0000-00006F720000}"/>
    <cellStyle name="Table 2 31" xfId="29291" xr:uid="{00000000-0005-0000-0000-000070720000}"/>
    <cellStyle name="Table 2 32" xfId="29292" xr:uid="{00000000-0005-0000-0000-000071720000}"/>
    <cellStyle name="Table 2 33" xfId="29293" xr:uid="{00000000-0005-0000-0000-000072720000}"/>
    <cellStyle name="Table 2 34" xfId="29294" xr:uid="{00000000-0005-0000-0000-000073720000}"/>
    <cellStyle name="Table 2 35" xfId="29295" xr:uid="{00000000-0005-0000-0000-000074720000}"/>
    <cellStyle name="Table 2 36" xfId="29296" xr:uid="{00000000-0005-0000-0000-000075720000}"/>
    <cellStyle name="Table 2 4" xfId="29297" xr:uid="{00000000-0005-0000-0000-000076720000}"/>
    <cellStyle name="Table 2 5" xfId="29298" xr:uid="{00000000-0005-0000-0000-000077720000}"/>
    <cellStyle name="Table 2 6" xfId="29299" xr:uid="{00000000-0005-0000-0000-000078720000}"/>
    <cellStyle name="Table 2 7" xfId="29300" xr:uid="{00000000-0005-0000-0000-000079720000}"/>
    <cellStyle name="Table 2 8" xfId="29301" xr:uid="{00000000-0005-0000-0000-00007A720000}"/>
    <cellStyle name="Table 2 9" xfId="29302" xr:uid="{00000000-0005-0000-0000-00007B720000}"/>
    <cellStyle name="Table 20" xfId="29303" xr:uid="{00000000-0005-0000-0000-00007C720000}"/>
    <cellStyle name="Table 21" xfId="29304" xr:uid="{00000000-0005-0000-0000-00007D720000}"/>
    <cellStyle name="Table 22" xfId="29305" xr:uid="{00000000-0005-0000-0000-00007E720000}"/>
    <cellStyle name="Table 23" xfId="29306" xr:uid="{00000000-0005-0000-0000-00007F720000}"/>
    <cellStyle name="Table 24" xfId="29307" xr:uid="{00000000-0005-0000-0000-000080720000}"/>
    <cellStyle name="Table 25" xfId="29308" xr:uid="{00000000-0005-0000-0000-000081720000}"/>
    <cellStyle name="Table 26" xfId="29309" xr:uid="{00000000-0005-0000-0000-000082720000}"/>
    <cellStyle name="Table 27" xfId="29310" xr:uid="{00000000-0005-0000-0000-000083720000}"/>
    <cellStyle name="Table 28" xfId="29311" xr:uid="{00000000-0005-0000-0000-000084720000}"/>
    <cellStyle name="Table 29" xfId="29312" xr:uid="{00000000-0005-0000-0000-000085720000}"/>
    <cellStyle name="Table 3" xfId="29313" xr:uid="{00000000-0005-0000-0000-000086720000}"/>
    <cellStyle name="Table 3 2" xfId="29314" xr:uid="{00000000-0005-0000-0000-000087720000}"/>
    <cellStyle name="Table 3 2 2" xfId="29315" xr:uid="{00000000-0005-0000-0000-000088720000}"/>
    <cellStyle name="Table 3 2 3" xfId="29316" xr:uid="{00000000-0005-0000-0000-000089720000}"/>
    <cellStyle name="Table 3 3" xfId="29317" xr:uid="{00000000-0005-0000-0000-00008A720000}"/>
    <cellStyle name="Table 3 3 2" xfId="29318" xr:uid="{00000000-0005-0000-0000-00008B720000}"/>
    <cellStyle name="Table 3 3 3" xfId="29319" xr:uid="{00000000-0005-0000-0000-00008C720000}"/>
    <cellStyle name="Table 3 4" xfId="29320" xr:uid="{00000000-0005-0000-0000-00008D720000}"/>
    <cellStyle name="Table 3 5" xfId="29321" xr:uid="{00000000-0005-0000-0000-00008E720000}"/>
    <cellStyle name="Table 30" xfId="29322" xr:uid="{00000000-0005-0000-0000-00008F720000}"/>
    <cellStyle name="Table 31" xfId="29323" xr:uid="{00000000-0005-0000-0000-000090720000}"/>
    <cellStyle name="Table 32" xfId="29324" xr:uid="{00000000-0005-0000-0000-000091720000}"/>
    <cellStyle name="Table 33" xfId="29325" xr:uid="{00000000-0005-0000-0000-000092720000}"/>
    <cellStyle name="Table 34" xfId="29326" xr:uid="{00000000-0005-0000-0000-000093720000}"/>
    <cellStyle name="Table 35" xfId="29327" xr:uid="{00000000-0005-0000-0000-000094720000}"/>
    <cellStyle name="Table 36" xfId="29328" xr:uid="{00000000-0005-0000-0000-000095720000}"/>
    <cellStyle name="Table 4" xfId="29329" xr:uid="{00000000-0005-0000-0000-000096720000}"/>
    <cellStyle name="Table 4 2" xfId="29330" xr:uid="{00000000-0005-0000-0000-000097720000}"/>
    <cellStyle name="Table 4 2 2" xfId="29331" xr:uid="{00000000-0005-0000-0000-000098720000}"/>
    <cellStyle name="Table 4 2 3" xfId="29332" xr:uid="{00000000-0005-0000-0000-000099720000}"/>
    <cellStyle name="Table 4 3" xfId="29333" xr:uid="{00000000-0005-0000-0000-00009A720000}"/>
    <cellStyle name="Table 4 3 2" xfId="29334" xr:uid="{00000000-0005-0000-0000-00009B720000}"/>
    <cellStyle name="Table 4 3 3" xfId="29335" xr:uid="{00000000-0005-0000-0000-00009C720000}"/>
    <cellStyle name="Table 4 4" xfId="29336" xr:uid="{00000000-0005-0000-0000-00009D720000}"/>
    <cellStyle name="Table 4 5" xfId="29337" xr:uid="{00000000-0005-0000-0000-00009E720000}"/>
    <cellStyle name="Table 5" xfId="29338" xr:uid="{00000000-0005-0000-0000-00009F720000}"/>
    <cellStyle name="Table 5 2" xfId="29339" xr:uid="{00000000-0005-0000-0000-0000A0720000}"/>
    <cellStyle name="Table 5 3" xfId="29340" xr:uid="{00000000-0005-0000-0000-0000A1720000}"/>
    <cellStyle name="Table 6" xfId="29341" xr:uid="{00000000-0005-0000-0000-0000A2720000}"/>
    <cellStyle name="Table 7" xfId="29342" xr:uid="{00000000-0005-0000-0000-0000A3720000}"/>
    <cellStyle name="Table 8" xfId="29343" xr:uid="{00000000-0005-0000-0000-0000A4720000}"/>
    <cellStyle name="Table 9" xfId="29344" xr:uid="{00000000-0005-0000-0000-0000A5720000}"/>
    <cellStyle name="Table finish row" xfId="29345" xr:uid="{00000000-0005-0000-0000-0000A6720000}"/>
    <cellStyle name="Table finish row 10" xfId="29346" xr:uid="{00000000-0005-0000-0000-0000A7720000}"/>
    <cellStyle name="Table finish row 10 2" xfId="29347" xr:uid="{00000000-0005-0000-0000-0000A8720000}"/>
    <cellStyle name="Table finish row 11" xfId="29348" xr:uid="{00000000-0005-0000-0000-0000A9720000}"/>
    <cellStyle name="Table finish row 2" xfId="29349" xr:uid="{00000000-0005-0000-0000-0000AA720000}"/>
    <cellStyle name="Table finish row 2 10" xfId="29350" xr:uid="{00000000-0005-0000-0000-0000AB720000}"/>
    <cellStyle name="Table finish row 2 11" xfId="29351" xr:uid="{00000000-0005-0000-0000-0000AC720000}"/>
    <cellStyle name="Table finish row 2 12" xfId="29352" xr:uid="{00000000-0005-0000-0000-0000AD720000}"/>
    <cellStyle name="Table finish row 2 13" xfId="29353" xr:uid="{00000000-0005-0000-0000-0000AE720000}"/>
    <cellStyle name="Table finish row 2 14" xfId="29354" xr:uid="{00000000-0005-0000-0000-0000AF720000}"/>
    <cellStyle name="Table finish row 2 15" xfId="29355" xr:uid="{00000000-0005-0000-0000-0000B0720000}"/>
    <cellStyle name="Table finish row 2 16" xfId="29356" xr:uid="{00000000-0005-0000-0000-0000B1720000}"/>
    <cellStyle name="Table finish row 2 17" xfId="29357" xr:uid="{00000000-0005-0000-0000-0000B2720000}"/>
    <cellStyle name="Table finish row 2 18" xfId="29358" xr:uid="{00000000-0005-0000-0000-0000B3720000}"/>
    <cellStyle name="Table finish row 2 19" xfId="29359" xr:uid="{00000000-0005-0000-0000-0000B4720000}"/>
    <cellStyle name="Table finish row 2 2" xfId="29360" xr:uid="{00000000-0005-0000-0000-0000B5720000}"/>
    <cellStyle name="Table finish row 2 2 2" xfId="29361" xr:uid="{00000000-0005-0000-0000-0000B6720000}"/>
    <cellStyle name="Table finish row 2 2 2 2" xfId="29362" xr:uid="{00000000-0005-0000-0000-0000B7720000}"/>
    <cellStyle name="Table finish row 2 2 2 3" xfId="29363" xr:uid="{00000000-0005-0000-0000-0000B8720000}"/>
    <cellStyle name="Table finish row 2 2 2 4" xfId="29364" xr:uid="{00000000-0005-0000-0000-0000B9720000}"/>
    <cellStyle name="Table finish row 2 2 3" xfId="29365" xr:uid="{00000000-0005-0000-0000-0000BA720000}"/>
    <cellStyle name="Table finish row 2 2 3 2" xfId="29366" xr:uid="{00000000-0005-0000-0000-0000BB720000}"/>
    <cellStyle name="Table finish row 2 2 3 3" xfId="29367" xr:uid="{00000000-0005-0000-0000-0000BC720000}"/>
    <cellStyle name="Table finish row 2 2 3 4" xfId="29368" xr:uid="{00000000-0005-0000-0000-0000BD720000}"/>
    <cellStyle name="Table finish row 2 2 4" xfId="29369" xr:uid="{00000000-0005-0000-0000-0000BE720000}"/>
    <cellStyle name="Table finish row 2 2 5" xfId="29370" xr:uid="{00000000-0005-0000-0000-0000BF720000}"/>
    <cellStyle name="Table finish row 2 2 6" xfId="29371" xr:uid="{00000000-0005-0000-0000-0000C0720000}"/>
    <cellStyle name="Table finish row 2 3" xfId="29372" xr:uid="{00000000-0005-0000-0000-0000C1720000}"/>
    <cellStyle name="Table finish row 2 3 2" xfId="29373" xr:uid="{00000000-0005-0000-0000-0000C2720000}"/>
    <cellStyle name="Table finish row 2 3 2 2" xfId="29374" xr:uid="{00000000-0005-0000-0000-0000C3720000}"/>
    <cellStyle name="Table finish row 2 3 2 3" xfId="29375" xr:uid="{00000000-0005-0000-0000-0000C4720000}"/>
    <cellStyle name="Table finish row 2 3 2 4" xfId="29376" xr:uid="{00000000-0005-0000-0000-0000C5720000}"/>
    <cellStyle name="Table finish row 2 3 3" xfId="29377" xr:uid="{00000000-0005-0000-0000-0000C6720000}"/>
    <cellStyle name="Table finish row 2 3 3 2" xfId="29378" xr:uid="{00000000-0005-0000-0000-0000C7720000}"/>
    <cellStyle name="Table finish row 2 3 3 3" xfId="29379" xr:uid="{00000000-0005-0000-0000-0000C8720000}"/>
    <cellStyle name="Table finish row 2 3 3 4" xfId="29380" xr:uid="{00000000-0005-0000-0000-0000C9720000}"/>
    <cellStyle name="Table finish row 2 3 4" xfId="29381" xr:uid="{00000000-0005-0000-0000-0000CA720000}"/>
    <cellStyle name="Table finish row 2 3 5" xfId="29382" xr:uid="{00000000-0005-0000-0000-0000CB720000}"/>
    <cellStyle name="Table finish row 2 3 6" xfId="29383" xr:uid="{00000000-0005-0000-0000-0000CC720000}"/>
    <cellStyle name="Table finish row 2 4" xfId="29384" xr:uid="{00000000-0005-0000-0000-0000CD720000}"/>
    <cellStyle name="Table finish row 2 4 2" xfId="29385" xr:uid="{00000000-0005-0000-0000-0000CE720000}"/>
    <cellStyle name="Table finish row 2 4 3" xfId="29386" xr:uid="{00000000-0005-0000-0000-0000CF720000}"/>
    <cellStyle name="Table finish row 2 4 4" xfId="29387" xr:uid="{00000000-0005-0000-0000-0000D0720000}"/>
    <cellStyle name="Table finish row 2 5" xfId="29388" xr:uid="{00000000-0005-0000-0000-0000D1720000}"/>
    <cellStyle name="Table finish row 2 6" xfId="29389" xr:uid="{00000000-0005-0000-0000-0000D2720000}"/>
    <cellStyle name="Table finish row 2 7" xfId="29390" xr:uid="{00000000-0005-0000-0000-0000D3720000}"/>
    <cellStyle name="Table finish row 2 8" xfId="29391" xr:uid="{00000000-0005-0000-0000-0000D4720000}"/>
    <cellStyle name="Table finish row 2 9" xfId="29392" xr:uid="{00000000-0005-0000-0000-0000D5720000}"/>
    <cellStyle name="Table finish row 3" xfId="29393" xr:uid="{00000000-0005-0000-0000-0000D6720000}"/>
    <cellStyle name="Table finish row 3 2" xfId="29394" xr:uid="{00000000-0005-0000-0000-0000D7720000}"/>
    <cellStyle name="Table finish row 3 2 2" xfId="29395" xr:uid="{00000000-0005-0000-0000-0000D8720000}"/>
    <cellStyle name="Table finish row 3 2 3" xfId="29396" xr:uid="{00000000-0005-0000-0000-0000D9720000}"/>
    <cellStyle name="Table finish row 3 2 4" xfId="29397" xr:uid="{00000000-0005-0000-0000-0000DA720000}"/>
    <cellStyle name="Table finish row 3 3" xfId="29398" xr:uid="{00000000-0005-0000-0000-0000DB720000}"/>
    <cellStyle name="Table finish row 3 3 2" xfId="29399" xr:uid="{00000000-0005-0000-0000-0000DC720000}"/>
    <cellStyle name="Table finish row 3 3 3" xfId="29400" xr:uid="{00000000-0005-0000-0000-0000DD720000}"/>
    <cellStyle name="Table finish row 3 3 4" xfId="29401" xr:uid="{00000000-0005-0000-0000-0000DE720000}"/>
    <cellStyle name="Table finish row 3 4" xfId="29402" xr:uid="{00000000-0005-0000-0000-0000DF720000}"/>
    <cellStyle name="Table finish row 3 5" xfId="29403" xr:uid="{00000000-0005-0000-0000-0000E0720000}"/>
    <cellStyle name="Table finish row 3 6" xfId="29404" xr:uid="{00000000-0005-0000-0000-0000E1720000}"/>
    <cellStyle name="Table finish row 4" xfId="29405" xr:uid="{00000000-0005-0000-0000-0000E2720000}"/>
    <cellStyle name="Table finish row 4 2" xfId="29406" xr:uid="{00000000-0005-0000-0000-0000E3720000}"/>
    <cellStyle name="Table finish row 4 2 2" xfId="29407" xr:uid="{00000000-0005-0000-0000-0000E4720000}"/>
    <cellStyle name="Table finish row 4 2 3" xfId="29408" xr:uid="{00000000-0005-0000-0000-0000E5720000}"/>
    <cellStyle name="Table finish row 4 2 4" xfId="29409" xr:uid="{00000000-0005-0000-0000-0000E6720000}"/>
    <cellStyle name="Table finish row 4 3" xfId="29410" xr:uid="{00000000-0005-0000-0000-0000E7720000}"/>
    <cellStyle name="Table finish row 4 3 2" xfId="29411" xr:uid="{00000000-0005-0000-0000-0000E8720000}"/>
    <cellStyle name="Table finish row 4 3 3" xfId="29412" xr:uid="{00000000-0005-0000-0000-0000E9720000}"/>
    <cellStyle name="Table finish row 4 3 4" xfId="29413" xr:uid="{00000000-0005-0000-0000-0000EA720000}"/>
    <cellStyle name="Table finish row 4 4" xfId="29414" xr:uid="{00000000-0005-0000-0000-0000EB720000}"/>
    <cellStyle name="Table finish row 4 5" xfId="29415" xr:uid="{00000000-0005-0000-0000-0000EC720000}"/>
    <cellStyle name="Table finish row 4 6" xfId="29416" xr:uid="{00000000-0005-0000-0000-0000ED720000}"/>
    <cellStyle name="Table finish row 5" xfId="29417" xr:uid="{00000000-0005-0000-0000-0000EE720000}"/>
    <cellStyle name="Table finish row 5 2" xfId="29418" xr:uid="{00000000-0005-0000-0000-0000EF720000}"/>
    <cellStyle name="Table finish row 6" xfId="29419" xr:uid="{00000000-0005-0000-0000-0000F0720000}"/>
    <cellStyle name="Table finish row 6 2" xfId="29420" xr:uid="{00000000-0005-0000-0000-0000F1720000}"/>
    <cellStyle name="Table finish row 7" xfId="29421" xr:uid="{00000000-0005-0000-0000-0000F2720000}"/>
    <cellStyle name="Table finish row 7 2" xfId="29422" xr:uid="{00000000-0005-0000-0000-0000F3720000}"/>
    <cellStyle name="Table finish row 8" xfId="29423" xr:uid="{00000000-0005-0000-0000-0000F4720000}"/>
    <cellStyle name="Table finish row 8 2" xfId="29424" xr:uid="{00000000-0005-0000-0000-0000F5720000}"/>
    <cellStyle name="Table finish row 9" xfId="29425" xr:uid="{00000000-0005-0000-0000-0000F6720000}"/>
    <cellStyle name="Table finish row 9 2" xfId="29426" xr:uid="{00000000-0005-0000-0000-0000F7720000}"/>
    <cellStyle name="Table shading" xfId="29427" xr:uid="{00000000-0005-0000-0000-0000F8720000}"/>
    <cellStyle name="Table unfinish row" xfId="29428" xr:uid="{00000000-0005-0000-0000-0000F9720000}"/>
    <cellStyle name="Table unshading" xfId="29429" xr:uid="{00000000-0005-0000-0000-0000FA720000}"/>
    <cellStyle name="Tausender" xfId="29430" xr:uid="{00000000-0005-0000-0000-0000FB720000}"/>
    <cellStyle name="Tausender 2" xfId="29431" xr:uid="{00000000-0005-0000-0000-0000FC720000}"/>
    <cellStyle name="Tausender 2 2" xfId="29432" xr:uid="{00000000-0005-0000-0000-0000FD720000}"/>
    <cellStyle name="Tausender 3" xfId="29433" xr:uid="{00000000-0005-0000-0000-0000FE720000}"/>
    <cellStyle name="Tausender 3 2" xfId="29434" xr:uid="{00000000-0005-0000-0000-0000FF720000}"/>
    <cellStyle name="Test [green]" xfId="29435" xr:uid="{00000000-0005-0000-0000-000000730000}"/>
    <cellStyle name="Text" xfId="29436" xr:uid="{00000000-0005-0000-0000-000001730000}"/>
    <cellStyle name="Text Indent A" xfId="29437" xr:uid="{00000000-0005-0000-0000-000002730000}"/>
    <cellStyle name="Text Indent B" xfId="29438" xr:uid="{00000000-0005-0000-0000-000003730000}"/>
    <cellStyle name="Text Indent B 2" xfId="29439" xr:uid="{00000000-0005-0000-0000-000004730000}"/>
    <cellStyle name="Text Indent B 3" xfId="29440" xr:uid="{00000000-0005-0000-0000-000005730000}"/>
    <cellStyle name="Text Indent C" xfId="29441" xr:uid="{00000000-0005-0000-0000-000006730000}"/>
    <cellStyle name="Text Indent C 2" xfId="29442" xr:uid="{00000000-0005-0000-0000-000007730000}"/>
    <cellStyle name="Text Indent C 3" xfId="29443" xr:uid="{00000000-0005-0000-0000-000008730000}"/>
    <cellStyle name="Text Level 1" xfId="29444" xr:uid="{00000000-0005-0000-0000-000009730000}"/>
    <cellStyle name="Text Level 1 4" xfId="29445" xr:uid="{00000000-0005-0000-0000-00000A730000}"/>
    <cellStyle name="Text Level 2" xfId="29446" xr:uid="{00000000-0005-0000-0000-00000B730000}"/>
    <cellStyle name="Text Level 2 5" xfId="29447" xr:uid="{00000000-0005-0000-0000-00000C730000}"/>
    <cellStyle name="Text Level 2_Copy of Myanmar-MS-Addendum-Proposal-Summary-April3-2013" xfId="29448" xr:uid="{00000000-0005-0000-0000-00000D730000}"/>
    <cellStyle name="Text Level 3" xfId="29449" xr:uid="{00000000-0005-0000-0000-00000E730000}"/>
    <cellStyle name="Text Level 3 4" xfId="29450" xr:uid="{00000000-0005-0000-0000-00000F730000}"/>
    <cellStyle name="Texte explicatif" xfId="29451" xr:uid="{00000000-0005-0000-0000-000010730000}"/>
    <cellStyle name="Texte explicatif 2" xfId="29452" xr:uid="{00000000-0005-0000-0000-000011730000}"/>
    <cellStyle name="Texto de Aviso" xfId="29453" xr:uid="{00000000-0005-0000-0000-000012730000}"/>
    <cellStyle name="Texto Explicativo" xfId="29454" xr:uid="{00000000-0005-0000-0000-000013730000}"/>
    <cellStyle name="TFCF" xfId="29455" xr:uid="{00000000-0005-0000-0000-000014730000}"/>
    <cellStyle name="Times 10" xfId="29456" xr:uid="{00000000-0005-0000-0000-000015730000}"/>
    <cellStyle name="Times 12" xfId="29457" xr:uid="{00000000-0005-0000-0000-000016730000}"/>
    <cellStyle name="Times New Roman" xfId="29458" xr:uid="{00000000-0005-0000-0000-000017730000}"/>
    <cellStyle name="Title 10" xfId="29459" xr:uid="{00000000-0005-0000-0000-000018730000}"/>
    <cellStyle name="Title 10 2" xfId="29460" xr:uid="{00000000-0005-0000-0000-000019730000}"/>
    <cellStyle name="Title 11" xfId="29461" xr:uid="{00000000-0005-0000-0000-00001A730000}"/>
    <cellStyle name="Title 11 2" xfId="29462" xr:uid="{00000000-0005-0000-0000-00001B730000}"/>
    <cellStyle name="Title 12" xfId="29463" xr:uid="{00000000-0005-0000-0000-00001C730000}"/>
    <cellStyle name="Title 12 2" xfId="29464" xr:uid="{00000000-0005-0000-0000-00001D730000}"/>
    <cellStyle name="Title 13" xfId="29465" xr:uid="{00000000-0005-0000-0000-00001E730000}"/>
    <cellStyle name="Title 13 2" xfId="29466" xr:uid="{00000000-0005-0000-0000-00001F730000}"/>
    <cellStyle name="Title 14" xfId="29467" xr:uid="{00000000-0005-0000-0000-000020730000}"/>
    <cellStyle name="Title 14 2" xfId="29468" xr:uid="{00000000-0005-0000-0000-000021730000}"/>
    <cellStyle name="Title 15" xfId="29469" xr:uid="{00000000-0005-0000-0000-000022730000}"/>
    <cellStyle name="Title 15 2" xfId="29470" xr:uid="{00000000-0005-0000-0000-000023730000}"/>
    <cellStyle name="Title 16" xfId="29471" xr:uid="{00000000-0005-0000-0000-000024730000}"/>
    <cellStyle name="Title 16 2" xfId="29472" xr:uid="{00000000-0005-0000-0000-000025730000}"/>
    <cellStyle name="Title 17" xfId="29473" xr:uid="{00000000-0005-0000-0000-000026730000}"/>
    <cellStyle name="Title 17 2" xfId="29474" xr:uid="{00000000-0005-0000-0000-000027730000}"/>
    <cellStyle name="Title 18" xfId="29475" xr:uid="{00000000-0005-0000-0000-000028730000}"/>
    <cellStyle name="Title 18 2" xfId="29476" xr:uid="{00000000-0005-0000-0000-000029730000}"/>
    <cellStyle name="Title 19" xfId="29477" xr:uid="{00000000-0005-0000-0000-00002A730000}"/>
    <cellStyle name="Title 19 2" xfId="29478" xr:uid="{00000000-0005-0000-0000-00002B730000}"/>
    <cellStyle name="Title 2" xfId="29479" xr:uid="{00000000-0005-0000-0000-00002C730000}"/>
    <cellStyle name="Title 2 10" xfId="29480" xr:uid="{00000000-0005-0000-0000-00002D730000}"/>
    <cellStyle name="Title 2 10 2" xfId="29481" xr:uid="{00000000-0005-0000-0000-00002E730000}"/>
    <cellStyle name="Title 2 11" xfId="29482" xr:uid="{00000000-0005-0000-0000-00002F730000}"/>
    <cellStyle name="Title 2 11 2" xfId="29483" xr:uid="{00000000-0005-0000-0000-000030730000}"/>
    <cellStyle name="Title 2 12" xfId="29484" xr:uid="{00000000-0005-0000-0000-000031730000}"/>
    <cellStyle name="Title 2 12 2" xfId="29485" xr:uid="{00000000-0005-0000-0000-000032730000}"/>
    <cellStyle name="Title 2 13" xfId="29486" xr:uid="{00000000-0005-0000-0000-000033730000}"/>
    <cellStyle name="Title 2 13 2" xfId="29487" xr:uid="{00000000-0005-0000-0000-000034730000}"/>
    <cellStyle name="Title 2 14" xfId="29488" xr:uid="{00000000-0005-0000-0000-000035730000}"/>
    <cellStyle name="Title 2 14 2" xfId="29489" xr:uid="{00000000-0005-0000-0000-000036730000}"/>
    <cellStyle name="Title 2 15" xfId="29490" xr:uid="{00000000-0005-0000-0000-000037730000}"/>
    <cellStyle name="Title 2 15 2" xfId="29491" xr:uid="{00000000-0005-0000-0000-000038730000}"/>
    <cellStyle name="Title 2 16" xfId="29492" xr:uid="{00000000-0005-0000-0000-000039730000}"/>
    <cellStyle name="Title 2 16 2" xfId="29493" xr:uid="{00000000-0005-0000-0000-00003A730000}"/>
    <cellStyle name="Title 2 17" xfId="29494" xr:uid="{00000000-0005-0000-0000-00003B730000}"/>
    <cellStyle name="Title 2 17 2" xfId="29495" xr:uid="{00000000-0005-0000-0000-00003C730000}"/>
    <cellStyle name="Title 2 18" xfId="29496" xr:uid="{00000000-0005-0000-0000-00003D730000}"/>
    <cellStyle name="Title 2 18 2" xfId="29497" xr:uid="{00000000-0005-0000-0000-00003E730000}"/>
    <cellStyle name="Title 2 19" xfId="29498" xr:uid="{00000000-0005-0000-0000-00003F730000}"/>
    <cellStyle name="Title 2 19 2" xfId="29499" xr:uid="{00000000-0005-0000-0000-000040730000}"/>
    <cellStyle name="Title 2 2" xfId="29500" xr:uid="{00000000-0005-0000-0000-000041730000}"/>
    <cellStyle name="Title 2 2 2" xfId="29501" xr:uid="{00000000-0005-0000-0000-000042730000}"/>
    <cellStyle name="Title 2 20" xfId="29502" xr:uid="{00000000-0005-0000-0000-000043730000}"/>
    <cellStyle name="Title 2 3" xfId="29503" xr:uid="{00000000-0005-0000-0000-000044730000}"/>
    <cellStyle name="Title 2 3 2" xfId="29504" xr:uid="{00000000-0005-0000-0000-000045730000}"/>
    <cellStyle name="Title 2 4" xfId="29505" xr:uid="{00000000-0005-0000-0000-000046730000}"/>
    <cellStyle name="Title 2 4 2" xfId="29506" xr:uid="{00000000-0005-0000-0000-000047730000}"/>
    <cellStyle name="Title 2 5" xfId="29507" xr:uid="{00000000-0005-0000-0000-000048730000}"/>
    <cellStyle name="Title 2 5 2" xfId="29508" xr:uid="{00000000-0005-0000-0000-000049730000}"/>
    <cellStyle name="Title 2 6" xfId="29509" xr:uid="{00000000-0005-0000-0000-00004A730000}"/>
    <cellStyle name="Title 2 6 2" xfId="29510" xr:uid="{00000000-0005-0000-0000-00004B730000}"/>
    <cellStyle name="Title 2 7" xfId="29511" xr:uid="{00000000-0005-0000-0000-00004C730000}"/>
    <cellStyle name="Title 2 7 2" xfId="29512" xr:uid="{00000000-0005-0000-0000-00004D730000}"/>
    <cellStyle name="Title 2 8" xfId="29513" xr:uid="{00000000-0005-0000-0000-00004E730000}"/>
    <cellStyle name="Title 2 8 2" xfId="29514" xr:uid="{00000000-0005-0000-0000-00004F730000}"/>
    <cellStyle name="Title 2 9" xfId="29515" xr:uid="{00000000-0005-0000-0000-000050730000}"/>
    <cellStyle name="Title 2 9 2" xfId="29516" xr:uid="{00000000-0005-0000-0000-000051730000}"/>
    <cellStyle name="Title 20" xfId="29517" xr:uid="{00000000-0005-0000-0000-000052730000}"/>
    <cellStyle name="Title 20 2" xfId="29518" xr:uid="{00000000-0005-0000-0000-000053730000}"/>
    <cellStyle name="Title 21" xfId="29519" xr:uid="{00000000-0005-0000-0000-000054730000}"/>
    <cellStyle name="Title 21 2" xfId="29520" xr:uid="{00000000-0005-0000-0000-000055730000}"/>
    <cellStyle name="Title 22" xfId="29521" xr:uid="{00000000-0005-0000-0000-000056730000}"/>
    <cellStyle name="Title 22 2" xfId="29522" xr:uid="{00000000-0005-0000-0000-000057730000}"/>
    <cellStyle name="Title 23" xfId="29523" xr:uid="{00000000-0005-0000-0000-000058730000}"/>
    <cellStyle name="Title 23 2" xfId="29524" xr:uid="{00000000-0005-0000-0000-000059730000}"/>
    <cellStyle name="Title 24" xfId="29525" xr:uid="{00000000-0005-0000-0000-00005A730000}"/>
    <cellStyle name="Title 24 2" xfId="29526" xr:uid="{00000000-0005-0000-0000-00005B730000}"/>
    <cellStyle name="Title 25" xfId="29527" xr:uid="{00000000-0005-0000-0000-00005C730000}"/>
    <cellStyle name="Title 25 2" xfId="29528" xr:uid="{00000000-0005-0000-0000-00005D730000}"/>
    <cellStyle name="Title 26" xfId="29529" xr:uid="{00000000-0005-0000-0000-00005E730000}"/>
    <cellStyle name="Title 26 2" xfId="29530" xr:uid="{00000000-0005-0000-0000-00005F730000}"/>
    <cellStyle name="Title 27" xfId="29531" xr:uid="{00000000-0005-0000-0000-000060730000}"/>
    <cellStyle name="Title 27 2" xfId="29532" xr:uid="{00000000-0005-0000-0000-000061730000}"/>
    <cellStyle name="Title 3" xfId="29533" xr:uid="{00000000-0005-0000-0000-000062730000}"/>
    <cellStyle name="Title 3 2" xfId="29534" xr:uid="{00000000-0005-0000-0000-000063730000}"/>
    <cellStyle name="Title 3 2 2" xfId="29535" xr:uid="{00000000-0005-0000-0000-000064730000}"/>
    <cellStyle name="Title 3 3" xfId="29536" xr:uid="{00000000-0005-0000-0000-000065730000}"/>
    <cellStyle name="Title 4" xfId="29537" xr:uid="{00000000-0005-0000-0000-000066730000}"/>
    <cellStyle name="Title 4 2" xfId="29538" xr:uid="{00000000-0005-0000-0000-000067730000}"/>
    <cellStyle name="Title 4 2 2" xfId="29539" xr:uid="{00000000-0005-0000-0000-000068730000}"/>
    <cellStyle name="Title 4 3" xfId="29540" xr:uid="{00000000-0005-0000-0000-000069730000}"/>
    <cellStyle name="Title 5" xfId="29541" xr:uid="{00000000-0005-0000-0000-00006A730000}"/>
    <cellStyle name="Title 5 2" xfId="29542" xr:uid="{00000000-0005-0000-0000-00006B730000}"/>
    <cellStyle name="Title 6" xfId="29543" xr:uid="{00000000-0005-0000-0000-00006C730000}"/>
    <cellStyle name="Title 6 2" xfId="29544" xr:uid="{00000000-0005-0000-0000-00006D730000}"/>
    <cellStyle name="Title 7" xfId="29545" xr:uid="{00000000-0005-0000-0000-00006E730000}"/>
    <cellStyle name="Title 7 2" xfId="29546" xr:uid="{00000000-0005-0000-0000-00006F730000}"/>
    <cellStyle name="Title 8" xfId="29547" xr:uid="{00000000-0005-0000-0000-000070730000}"/>
    <cellStyle name="Title 8 2" xfId="29548" xr:uid="{00000000-0005-0000-0000-000071730000}"/>
    <cellStyle name="Title 9" xfId="29549" xr:uid="{00000000-0005-0000-0000-000072730000}"/>
    <cellStyle name="Title 9 2" xfId="29550" xr:uid="{00000000-0005-0000-0000-000073730000}"/>
    <cellStyle name="Titre" xfId="29551" xr:uid="{00000000-0005-0000-0000-000074730000}"/>
    <cellStyle name="Titre 2" xfId="29554" xr:uid="{00000000-0005-0000-0000-000075730000}"/>
    <cellStyle name="Titre 1" xfId="29552" xr:uid="{00000000-0005-0000-0000-000076730000}"/>
    <cellStyle name="Titre 1 2" xfId="29553" xr:uid="{00000000-0005-0000-0000-000077730000}"/>
    <cellStyle name="Titre 2 2" xfId="29555" xr:uid="{00000000-0005-0000-0000-000078730000}"/>
    <cellStyle name="Titre 3" xfId="29556" xr:uid="{00000000-0005-0000-0000-000079730000}"/>
    <cellStyle name="Titre 3 2" xfId="29557" xr:uid="{00000000-0005-0000-0000-00007A730000}"/>
    <cellStyle name="Titre 4" xfId="29558" xr:uid="{00000000-0005-0000-0000-00007B730000}"/>
    <cellStyle name="Titre 4 2" xfId="29559" xr:uid="{00000000-0005-0000-0000-00007C730000}"/>
    <cellStyle name="Titre1" xfId="29560" xr:uid="{00000000-0005-0000-0000-00007D730000}"/>
    <cellStyle name="Titre1 2" xfId="29561" xr:uid="{00000000-0005-0000-0000-00007E730000}"/>
    <cellStyle name="Titre1 2 2" xfId="29562" xr:uid="{00000000-0005-0000-0000-00007F730000}"/>
    <cellStyle name="Titre1 2 2 2" xfId="29563" xr:uid="{00000000-0005-0000-0000-000080730000}"/>
    <cellStyle name="Titre1 2 2 2 2" xfId="29564" xr:uid="{00000000-0005-0000-0000-000081730000}"/>
    <cellStyle name="Titre1 2 2 2 3" xfId="29565" xr:uid="{00000000-0005-0000-0000-000082730000}"/>
    <cellStyle name="Titre1 2 2 2 4" xfId="29566" xr:uid="{00000000-0005-0000-0000-000083730000}"/>
    <cellStyle name="Titre1 2 2 3" xfId="29567" xr:uid="{00000000-0005-0000-0000-000084730000}"/>
    <cellStyle name="Titre1 2 2 3 2" xfId="29568" xr:uid="{00000000-0005-0000-0000-000085730000}"/>
    <cellStyle name="Titre1 2 2 3 3" xfId="29569" xr:uid="{00000000-0005-0000-0000-000086730000}"/>
    <cellStyle name="Titre1 2 2 3 4" xfId="29570" xr:uid="{00000000-0005-0000-0000-000087730000}"/>
    <cellStyle name="Titre1 2 2 4" xfId="29571" xr:uid="{00000000-0005-0000-0000-000088730000}"/>
    <cellStyle name="Titre1 2 2 5" xfId="29572" xr:uid="{00000000-0005-0000-0000-000089730000}"/>
    <cellStyle name="Titre1 2 2 6" xfId="29573" xr:uid="{00000000-0005-0000-0000-00008A730000}"/>
    <cellStyle name="Titre1 2 3" xfId="29574" xr:uid="{00000000-0005-0000-0000-00008B730000}"/>
    <cellStyle name="Titre1 2 3 2" xfId="29575" xr:uid="{00000000-0005-0000-0000-00008C730000}"/>
    <cellStyle name="Titre1 2 3 2 2" xfId="29576" xr:uid="{00000000-0005-0000-0000-00008D730000}"/>
    <cellStyle name="Titre1 2 3 2 3" xfId="29577" xr:uid="{00000000-0005-0000-0000-00008E730000}"/>
    <cellStyle name="Titre1 2 3 2 4" xfId="29578" xr:uid="{00000000-0005-0000-0000-00008F730000}"/>
    <cellStyle name="Titre1 2 3 3" xfId="29579" xr:uid="{00000000-0005-0000-0000-000090730000}"/>
    <cellStyle name="Titre1 2 3 3 2" xfId="29580" xr:uid="{00000000-0005-0000-0000-000091730000}"/>
    <cellStyle name="Titre1 2 3 3 3" xfId="29581" xr:uid="{00000000-0005-0000-0000-000092730000}"/>
    <cellStyle name="Titre1 2 3 3 4" xfId="29582" xr:uid="{00000000-0005-0000-0000-000093730000}"/>
    <cellStyle name="Titre1 2 3 4" xfId="29583" xr:uid="{00000000-0005-0000-0000-000094730000}"/>
    <cellStyle name="Titre1 2 3 5" xfId="29584" xr:uid="{00000000-0005-0000-0000-000095730000}"/>
    <cellStyle name="Titre1 2 3 6" xfId="29585" xr:uid="{00000000-0005-0000-0000-000096730000}"/>
    <cellStyle name="Titre1 2 4" xfId="29586" xr:uid="{00000000-0005-0000-0000-000097730000}"/>
    <cellStyle name="Titre1 2 4 2" xfId="29587" xr:uid="{00000000-0005-0000-0000-000098730000}"/>
    <cellStyle name="Titre1 2 4 3" xfId="29588" xr:uid="{00000000-0005-0000-0000-000099730000}"/>
    <cellStyle name="Titre1 2 4 4" xfId="29589" xr:uid="{00000000-0005-0000-0000-00009A730000}"/>
    <cellStyle name="Titre1 2 5" xfId="29590" xr:uid="{00000000-0005-0000-0000-00009B730000}"/>
    <cellStyle name="Titre1 2 5 2" xfId="29591" xr:uid="{00000000-0005-0000-0000-00009C730000}"/>
    <cellStyle name="Titre1 2 5 3" xfId="29592" xr:uid="{00000000-0005-0000-0000-00009D730000}"/>
    <cellStyle name="Titre1 2 5 4" xfId="29593" xr:uid="{00000000-0005-0000-0000-00009E730000}"/>
    <cellStyle name="Titre1 2 6" xfId="29594" xr:uid="{00000000-0005-0000-0000-00009F730000}"/>
    <cellStyle name="Titre1 2 7" xfId="29595" xr:uid="{00000000-0005-0000-0000-0000A0730000}"/>
    <cellStyle name="Titre1 2 8" xfId="29596" xr:uid="{00000000-0005-0000-0000-0000A1730000}"/>
    <cellStyle name="Titre1 3" xfId="29597" xr:uid="{00000000-0005-0000-0000-0000A2730000}"/>
    <cellStyle name="Titre1 3 2" xfId="29598" xr:uid="{00000000-0005-0000-0000-0000A3730000}"/>
    <cellStyle name="Titre1 3 2 2" xfId="29599" xr:uid="{00000000-0005-0000-0000-0000A4730000}"/>
    <cellStyle name="Titre1 3 2 3" xfId="29600" xr:uid="{00000000-0005-0000-0000-0000A5730000}"/>
    <cellStyle name="Titre1 3 2 4" xfId="29601" xr:uid="{00000000-0005-0000-0000-0000A6730000}"/>
    <cellStyle name="Titre1 3 3" xfId="29602" xr:uid="{00000000-0005-0000-0000-0000A7730000}"/>
    <cellStyle name="Titre1 3 3 2" xfId="29603" xr:uid="{00000000-0005-0000-0000-0000A8730000}"/>
    <cellStyle name="Titre1 3 3 3" xfId="29604" xr:uid="{00000000-0005-0000-0000-0000A9730000}"/>
    <cellStyle name="Titre1 3 3 4" xfId="29605" xr:uid="{00000000-0005-0000-0000-0000AA730000}"/>
    <cellStyle name="Titre1 3 4" xfId="29606" xr:uid="{00000000-0005-0000-0000-0000AB730000}"/>
    <cellStyle name="Titre1 3 5" xfId="29607" xr:uid="{00000000-0005-0000-0000-0000AC730000}"/>
    <cellStyle name="Titre1 3 6" xfId="29608" xr:uid="{00000000-0005-0000-0000-0000AD730000}"/>
    <cellStyle name="Titre1 4" xfId="29609" xr:uid="{00000000-0005-0000-0000-0000AE730000}"/>
    <cellStyle name="Titre1 4 2" xfId="29610" xr:uid="{00000000-0005-0000-0000-0000AF730000}"/>
    <cellStyle name="Titre1 4 3" xfId="29611" xr:uid="{00000000-0005-0000-0000-0000B0730000}"/>
    <cellStyle name="Titre1 4 4" xfId="29612" xr:uid="{00000000-0005-0000-0000-0000B1730000}"/>
    <cellStyle name="Titre1 5" xfId="29613" xr:uid="{00000000-0005-0000-0000-0000B2730000}"/>
    <cellStyle name="Titre1 5 2" xfId="29614" xr:uid="{00000000-0005-0000-0000-0000B3730000}"/>
    <cellStyle name="Titre1 5 3" xfId="29615" xr:uid="{00000000-0005-0000-0000-0000B4730000}"/>
    <cellStyle name="Titre1 5 4" xfId="29616" xr:uid="{00000000-0005-0000-0000-0000B5730000}"/>
    <cellStyle name="Titre1 6" xfId="29617" xr:uid="{00000000-0005-0000-0000-0000B6730000}"/>
    <cellStyle name="Titre1 7" xfId="29618" xr:uid="{00000000-0005-0000-0000-0000B7730000}"/>
    <cellStyle name="Titre1 8" xfId="29619" xr:uid="{00000000-0005-0000-0000-0000B8730000}"/>
    <cellStyle name="Titre2" xfId="29620" xr:uid="{00000000-0005-0000-0000-0000B9730000}"/>
    <cellStyle name="Titre2 2" xfId="29621" xr:uid="{00000000-0005-0000-0000-0000BA730000}"/>
    <cellStyle name="Titre2 2 2" xfId="29622" xr:uid="{00000000-0005-0000-0000-0000BB730000}"/>
    <cellStyle name="Titre2 2 3" xfId="29623" xr:uid="{00000000-0005-0000-0000-0000BC730000}"/>
    <cellStyle name="Titre2 3" xfId="29624" xr:uid="{00000000-0005-0000-0000-0000BD730000}"/>
    <cellStyle name="Título" xfId="29625" xr:uid="{00000000-0005-0000-0000-0000BE730000}"/>
    <cellStyle name="Título 1" xfId="29626" xr:uid="{00000000-0005-0000-0000-0000BF730000}"/>
    <cellStyle name="Título 2" xfId="29627" xr:uid="{00000000-0005-0000-0000-0000C0730000}"/>
    <cellStyle name="Título 3" xfId="29628" xr:uid="{00000000-0005-0000-0000-0000C1730000}"/>
    <cellStyle name="Título 4" xfId="29629" xr:uid="{00000000-0005-0000-0000-0000C2730000}"/>
    <cellStyle name="Tms Rmn 10" xfId="29630" xr:uid="{00000000-0005-0000-0000-0000C3730000}"/>
    <cellStyle name="Total 10" xfId="29631" xr:uid="{00000000-0005-0000-0000-0000C4730000}"/>
    <cellStyle name="Total 10 2" xfId="29632" xr:uid="{00000000-0005-0000-0000-0000C5730000}"/>
    <cellStyle name="Total 11" xfId="29633" xr:uid="{00000000-0005-0000-0000-0000C6730000}"/>
    <cellStyle name="Total 11 2" xfId="29634" xr:uid="{00000000-0005-0000-0000-0000C7730000}"/>
    <cellStyle name="Total 12" xfId="29635" xr:uid="{00000000-0005-0000-0000-0000C8730000}"/>
    <cellStyle name="Total 12 2" xfId="29636" xr:uid="{00000000-0005-0000-0000-0000C9730000}"/>
    <cellStyle name="Total 13" xfId="29637" xr:uid="{00000000-0005-0000-0000-0000CA730000}"/>
    <cellStyle name="Total 13 2" xfId="29638" xr:uid="{00000000-0005-0000-0000-0000CB730000}"/>
    <cellStyle name="Total 14" xfId="29639" xr:uid="{00000000-0005-0000-0000-0000CC730000}"/>
    <cellStyle name="Total 14 2" xfId="29640" xr:uid="{00000000-0005-0000-0000-0000CD730000}"/>
    <cellStyle name="Total 15" xfId="29641" xr:uid="{00000000-0005-0000-0000-0000CE730000}"/>
    <cellStyle name="Total 15 2" xfId="29642" xr:uid="{00000000-0005-0000-0000-0000CF730000}"/>
    <cellStyle name="Total 16" xfId="29643" xr:uid="{00000000-0005-0000-0000-0000D0730000}"/>
    <cellStyle name="Total 16 2" xfId="29644" xr:uid="{00000000-0005-0000-0000-0000D1730000}"/>
    <cellStyle name="Total 17" xfId="29645" xr:uid="{00000000-0005-0000-0000-0000D2730000}"/>
    <cellStyle name="Total 17 2" xfId="29646" xr:uid="{00000000-0005-0000-0000-0000D3730000}"/>
    <cellStyle name="Total 18" xfId="29647" xr:uid="{00000000-0005-0000-0000-0000D4730000}"/>
    <cellStyle name="Total 18 2" xfId="29648" xr:uid="{00000000-0005-0000-0000-0000D5730000}"/>
    <cellStyle name="Total 19" xfId="29649" xr:uid="{00000000-0005-0000-0000-0000D6730000}"/>
    <cellStyle name="Total 19 2" xfId="29650" xr:uid="{00000000-0005-0000-0000-0000D7730000}"/>
    <cellStyle name="Total 2" xfId="29651" xr:uid="{00000000-0005-0000-0000-0000D8730000}"/>
    <cellStyle name="Total 2 10" xfId="29652" xr:uid="{00000000-0005-0000-0000-0000D9730000}"/>
    <cellStyle name="Total 2 10 2" xfId="29653" xr:uid="{00000000-0005-0000-0000-0000DA730000}"/>
    <cellStyle name="Total 2 11" xfId="29654" xr:uid="{00000000-0005-0000-0000-0000DB730000}"/>
    <cellStyle name="Total 2 11 2" xfId="29655" xr:uid="{00000000-0005-0000-0000-0000DC730000}"/>
    <cellStyle name="Total 2 12" xfId="29656" xr:uid="{00000000-0005-0000-0000-0000DD730000}"/>
    <cellStyle name="Total 2 12 2" xfId="29657" xr:uid="{00000000-0005-0000-0000-0000DE730000}"/>
    <cellStyle name="Total 2 13" xfId="29658" xr:uid="{00000000-0005-0000-0000-0000DF730000}"/>
    <cellStyle name="Total 2 13 2" xfId="29659" xr:uid="{00000000-0005-0000-0000-0000E0730000}"/>
    <cellStyle name="Total 2 14" xfId="29660" xr:uid="{00000000-0005-0000-0000-0000E1730000}"/>
    <cellStyle name="Total 2 14 2" xfId="29661" xr:uid="{00000000-0005-0000-0000-0000E2730000}"/>
    <cellStyle name="Total 2 15" xfId="29662" xr:uid="{00000000-0005-0000-0000-0000E3730000}"/>
    <cellStyle name="Total 2 15 2" xfId="29663" xr:uid="{00000000-0005-0000-0000-0000E4730000}"/>
    <cellStyle name="Total 2 16" xfId="29664" xr:uid="{00000000-0005-0000-0000-0000E5730000}"/>
    <cellStyle name="Total 2 16 2" xfId="29665" xr:uid="{00000000-0005-0000-0000-0000E6730000}"/>
    <cellStyle name="Total 2 17" xfId="29666" xr:uid="{00000000-0005-0000-0000-0000E7730000}"/>
    <cellStyle name="Total 2 17 2" xfId="29667" xr:uid="{00000000-0005-0000-0000-0000E8730000}"/>
    <cellStyle name="Total 2 18" xfId="29668" xr:uid="{00000000-0005-0000-0000-0000E9730000}"/>
    <cellStyle name="Total 2 18 2" xfId="29669" xr:uid="{00000000-0005-0000-0000-0000EA730000}"/>
    <cellStyle name="Total 2 19" xfId="29670" xr:uid="{00000000-0005-0000-0000-0000EB730000}"/>
    <cellStyle name="Total 2 19 2" xfId="29671" xr:uid="{00000000-0005-0000-0000-0000EC730000}"/>
    <cellStyle name="Total 2 2" xfId="29672" xr:uid="{00000000-0005-0000-0000-0000ED730000}"/>
    <cellStyle name="Total 2 2 10" xfId="29673" xr:uid="{00000000-0005-0000-0000-0000EE730000}"/>
    <cellStyle name="Total 2 2 11" xfId="29674" xr:uid="{00000000-0005-0000-0000-0000EF730000}"/>
    <cellStyle name="Total 2 2 12" xfId="29675" xr:uid="{00000000-0005-0000-0000-0000F0730000}"/>
    <cellStyle name="Total 2 2 13" xfId="29676" xr:uid="{00000000-0005-0000-0000-0000F1730000}"/>
    <cellStyle name="Total 2 2 14" xfId="29677" xr:uid="{00000000-0005-0000-0000-0000F2730000}"/>
    <cellStyle name="Total 2 2 15" xfId="29678" xr:uid="{00000000-0005-0000-0000-0000F3730000}"/>
    <cellStyle name="Total 2 2 16" xfId="29679" xr:uid="{00000000-0005-0000-0000-0000F4730000}"/>
    <cellStyle name="Total 2 2 17" xfId="29680" xr:uid="{00000000-0005-0000-0000-0000F5730000}"/>
    <cellStyle name="Total 2 2 18" xfId="29681" xr:uid="{00000000-0005-0000-0000-0000F6730000}"/>
    <cellStyle name="Total 2 2 19" xfId="29682" xr:uid="{00000000-0005-0000-0000-0000F7730000}"/>
    <cellStyle name="Total 2 2 2" xfId="29683" xr:uid="{00000000-0005-0000-0000-0000F8730000}"/>
    <cellStyle name="Total 2 2 2 2" xfId="29684" xr:uid="{00000000-0005-0000-0000-0000F9730000}"/>
    <cellStyle name="Total 2 2 20" xfId="29685" xr:uid="{00000000-0005-0000-0000-0000FA730000}"/>
    <cellStyle name="Total 2 2 21" xfId="29686" xr:uid="{00000000-0005-0000-0000-0000FB730000}"/>
    <cellStyle name="Total 2 2 22" xfId="29687" xr:uid="{00000000-0005-0000-0000-0000FC730000}"/>
    <cellStyle name="Total 2 2 3" xfId="29688" xr:uid="{00000000-0005-0000-0000-0000FD730000}"/>
    <cellStyle name="Total 2 2 3 10" xfId="29689" xr:uid="{00000000-0005-0000-0000-0000FE730000}"/>
    <cellStyle name="Total 2 2 3 11" xfId="29690" xr:uid="{00000000-0005-0000-0000-0000FF730000}"/>
    <cellStyle name="Total 2 2 3 12" xfId="29691" xr:uid="{00000000-0005-0000-0000-000000740000}"/>
    <cellStyle name="Total 2 2 3 13" xfId="29692" xr:uid="{00000000-0005-0000-0000-000001740000}"/>
    <cellStyle name="Total 2 2 3 14" xfId="29693" xr:uid="{00000000-0005-0000-0000-000002740000}"/>
    <cellStyle name="Total 2 2 3 15" xfId="29694" xr:uid="{00000000-0005-0000-0000-000003740000}"/>
    <cellStyle name="Total 2 2 3 16" xfId="29695" xr:uid="{00000000-0005-0000-0000-000004740000}"/>
    <cellStyle name="Total 2 2 3 17" xfId="29696" xr:uid="{00000000-0005-0000-0000-000005740000}"/>
    <cellStyle name="Total 2 2 3 18" xfId="29697" xr:uid="{00000000-0005-0000-0000-000006740000}"/>
    <cellStyle name="Total 2 2 3 19" xfId="29698" xr:uid="{00000000-0005-0000-0000-000007740000}"/>
    <cellStyle name="Total 2 2 3 2" xfId="29699" xr:uid="{00000000-0005-0000-0000-000008740000}"/>
    <cellStyle name="Total 2 2 3 2 10" xfId="29700" xr:uid="{00000000-0005-0000-0000-000009740000}"/>
    <cellStyle name="Total 2 2 3 2 11" xfId="29701" xr:uid="{00000000-0005-0000-0000-00000A740000}"/>
    <cellStyle name="Total 2 2 3 2 12" xfId="29702" xr:uid="{00000000-0005-0000-0000-00000B740000}"/>
    <cellStyle name="Total 2 2 3 2 13" xfId="29703" xr:uid="{00000000-0005-0000-0000-00000C740000}"/>
    <cellStyle name="Total 2 2 3 2 14" xfId="29704" xr:uid="{00000000-0005-0000-0000-00000D740000}"/>
    <cellStyle name="Total 2 2 3 2 15" xfId="29705" xr:uid="{00000000-0005-0000-0000-00000E740000}"/>
    <cellStyle name="Total 2 2 3 2 16" xfId="29706" xr:uid="{00000000-0005-0000-0000-00000F740000}"/>
    <cellStyle name="Total 2 2 3 2 17" xfId="29707" xr:uid="{00000000-0005-0000-0000-000010740000}"/>
    <cellStyle name="Total 2 2 3 2 18" xfId="29708" xr:uid="{00000000-0005-0000-0000-000011740000}"/>
    <cellStyle name="Total 2 2 3 2 19" xfId="29709" xr:uid="{00000000-0005-0000-0000-000012740000}"/>
    <cellStyle name="Total 2 2 3 2 2" xfId="29710" xr:uid="{00000000-0005-0000-0000-000013740000}"/>
    <cellStyle name="Total 2 2 3 2 20" xfId="29711" xr:uid="{00000000-0005-0000-0000-000014740000}"/>
    <cellStyle name="Total 2 2 3 2 21" xfId="29712" xr:uid="{00000000-0005-0000-0000-000015740000}"/>
    <cellStyle name="Total 2 2 3 2 22" xfId="29713" xr:uid="{00000000-0005-0000-0000-000016740000}"/>
    <cellStyle name="Total 2 2 3 2 23" xfId="29714" xr:uid="{00000000-0005-0000-0000-000017740000}"/>
    <cellStyle name="Total 2 2 3 2 24" xfId="29715" xr:uid="{00000000-0005-0000-0000-000018740000}"/>
    <cellStyle name="Total 2 2 3 2 25" xfId="29716" xr:uid="{00000000-0005-0000-0000-000019740000}"/>
    <cellStyle name="Total 2 2 3 2 26" xfId="29717" xr:uid="{00000000-0005-0000-0000-00001A740000}"/>
    <cellStyle name="Total 2 2 3 2 27" xfId="29718" xr:uid="{00000000-0005-0000-0000-00001B740000}"/>
    <cellStyle name="Total 2 2 3 2 28" xfId="29719" xr:uid="{00000000-0005-0000-0000-00001C740000}"/>
    <cellStyle name="Total 2 2 3 2 29" xfId="29720" xr:uid="{00000000-0005-0000-0000-00001D740000}"/>
    <cellStyle name="Total 2 2 3 2 3" xfId="29721" xr:uid="{00000000-0005-0000-0000-00001E740000}"/>
    <cellStyle name="Total 2 2 3 2 30" xfId="29722" xr:uid="{00000000-0005-0000-0000-00001F740000}"/>
    <cellStyle name="Total 2 2 3 2 31" xfId="29723" xr:uid="{00000000-0005-0000-0000-000020740000}"/>
    <cellStyle name="Total 2 2 3 2 32" xfId="29724" xr:uid="{00000000-0005-0000-0000-000021740000}"/>
    <cellStyle name="Total 2 2 3 2 33" xfId="29725" xr:uid="{00000000-0005-0000-0000-000022740000}"/>
    <cellStyle name="Total 2 2 3 2 34" xfId="29726" xr:uid="{00000000-0005-0000-0000-000023740000}"/>
    <cellStyle name="Total 2 2 3 2 4" xfId="29727" xr:uid="{00000000-0005-0000-0000-000024740000}"/>
    <cellStyle name="Total 2 2 3 2 5" xfId="29728" xr:uid="{00000000-0005-0000-0000-000025740000}"/>
    <cellStyle name="Total 2 2 3 2 6" xfId="29729" xr:uid="{00000000-0005-0000-0000-000026740000}"/>
    <cellStyle name="Total 2 2 3 2 7" xfId="29730" xr:uid="{00000000-0005-0000-0000-000027740000}"/>
    <cellStyle name="Total 2 2 3 2 8" xfId="29731" xr:uid="{00000000-0005-0000-0000-000028740000}"/>
    <cellStyle name="Total 2 2 3 2 9" xfId="29732" xr:uid="{00000000-0005-0000-0000-000029740000}"/>
    <cellStyle name="Total 2 2 3 20" xfId="29733" xr:uid="{00000000-0005-0000-0000-00002A740000}"/>
    <cellStyle name="Total 2 2 3 3" xfId="29734" xr:uid="{00000000-0005-0000-0000-00002B740000}"/>
    <cellStyle name="Total 2 2 3 3 2" xfId="29735" xr:uid="{00000000-0005-0000-0000-00002C740000}"/>
    <cellStyle name="Total 2 2 3 3 3" xfId="29736" xr:uid="{00000000-0005-0000-0000-00002D740000}"/>
    <cellStyle name="Total 2 2 3 4" xfId="29737" xr:uid="{00000000-0005-0000-0000-00002E740000}"/>
    <cellStyle name="Total 2 2 3 5" xfId="29738" xr:uid="{00000000-0005-0000-0000-00002F740000}"/>
    <cellStyle name="Total 2 2 3 6" xfId="29739" xr:uid="{00000000-0005-0000-0000-000030740000}"/>
    <cellStyle name="Total 2 2 3 7" xfId="29740" xr:uid="{00000000-0005-0000-0000-000031740000}"/>
    <cellStyle name="Total 2 2 3 8" xfId="29741" xr:uid="{00000000-0005-0000-0000-000032740000}"/>
    <cellStyle name="Total 2 2 3 9" xfId="29742" xr:uid="{00000000-0005-0000-0000-000033740000}"/>
    <cellStyle name="Total 2 2 4" xfId="29743" xr:uid="{00000000-0005-0000-0000-000034740000}"/>
    <cellStyle name="Total 2 2 4 10" xfId="29744" xr:uid="{00000000-0005-0000-0000-000035740000}"/>
    <cellStyle name="Total 2 2 4 11" xfId="29745" xr:uid="{00000000-0005-0000-0000-000036740000}"/>
    <cellStyle name="Total 2 2 4 12" xfId="29746" xr:uid="{00000000-0005-0000-0000-000037740000}"/>
    <cellStyle name="Total 2 2 4 13" xfId="29747" xr:uid="{00000000-0005-0000-0000-000038740000}"/>
    <cellStyle name="Total 2 2 4 14" xfId="29748" xr:uid="{00000000-0005-0000-0000-000039740000}"/>
    <cellStyle name="Total 2 2 4 15" xfId="29749" xr:uid="{00000000-0005-0000-0000-00003A740000}"/>
    <cellStyle name="Total 2 2 4 16" xfId="29750" xr:uid="{00000000-0005-0000-0000-00003B740000}"/>
    <cellStyle name="Total 2 2 4 17" xfId="29751" xr:uid="{00000000-0005-0000-0000-00003C740000}"/>
    <cellStyle name="Total 2 2 4 18" xfId="29752" xr:uid="{00000000-0005-0000-0000-00003D740000}"/>
    <cellStyle name="Total 2 2 4 19" xfId="29753" xr:uid="{00000000-0005-0000-0000-00003E740000}"/>
    <cellStyle name="Total 2 2 4 2" xfId="29754" xr:uid="{00000000-0005-0000-0000-00003F740000}"/>
    <cellStyle name="Total 2 2 4 20" xfId="29755" xr:uid="{00000000-0005-0000-0000-000040740000}"/>
    <cellStyle name="Total 2 2 4 21" xfId="29756" xr:uid="{00000000-0005-0000-0000-000041740000}"/>
    <cellStyle name="Total 2 2 4 22" xfId="29757" xr:uid="{00000000-0005-0000-0000-000042740000}"/>
    <cellStyle name="Total 2 2 4 23" xfId="29758" xr:uid="{00000000-0005-0000-0000-000043740000}"/>
    <cellStyle name="Total 2 2 4 24" xfId="29759" xr:uid="{00000000-0005-0000-0000-000044740000}"/>
    <cellStyle name="Total 2 2 4 25" xfId="29760" xr:uid="{00000000-0005-0000-0000-000045740000}"/>
    <cellStyle name="Total 2 2 4 26" xfId="29761" xr:uid="{00000000-0005-0000-0000-000046740000}"/>
    <cellStyle name="Total 2 2 4 27" xfId="29762" xr:uid="{00000000-0005-0000-0000-000047740000}"/>
    <cellStyle name="Total 2 2 4 28" xfId="29763" xr:uid="{00000000-0005-0000-0000-000048740000}"/>
    <cellStyle name="Total 2 2 4 29" xfId="29764" xr:uid="{00000000-0005-0000-0000-000049740000}"/>
    <cellStyle name="Total 2 2 4 3" xfId="29765" xr:uid="{00000000-0005-0000-0000-00004A740000}"/>
    <cellStyle name="Total 2 2 4 30" xfId="29766" xr:uid="{00000000-0005-0000-0000-00004B740000}"/>
    <cellStyle name="Total 2 2 4 31" xfId="29767" xr:uid="{00000000-0005-0000-0000-00004C740000}"/>
    <cellStyle name="Total 2 2 4 32" xfId="29768" xr:uid="{00000000-0005-0000-0000-00004D740000}"/>
    <cellStyle name="Total 2 2 4 33" xfId="29769" xr:uid="{00000000-0005-0000-0000-00004E740000}"/>
    <cellStyle name="Total 2 2 4 34" xfId="29770" xr:uid="{00000000-0005-0000-0000-00004F740000}"/>
    <cellStyle name="Total 2 2 4 4" xfId="29771" xr:uid="{00000000-0005-0000-0000-000050740000}"/>
    <cellStyle name="Total 2 2 4 5" xfId="29772" xr:uid="{00000000-0005-0000-0000-000051740000}"/>
    <cellStyle name="Total 2 2 4 6" xfId="29773" xr:uid="{00000000-0005-0000-0000-000052740000}"/>
    <cellStyle name="Total 2 2 4 7" xfId="29774" xr:uid="{00000000-0005-0000-0000-000053740000}"/>
    <cellStyle name="Total 2 2 4 8" xfId="29775" xr:uid="{00000000-0005-0000-0000-000054740000}"/>
    <cellStyle name="Total 2 2 4 9" xfId="29776" xr:uid="{00000000-0005-0000-0000-000055740000}"/>
    <cellStyle name="Total 2 2 5" xfId="29777" xr:uid="{00000000-0005-0000-0000-000056740000}"/>
    <cellStyle name="Total 2 2 5 2" xfId="29778" xr:uid="{00000000-0005-0000-0000-000057740000}"/>
    <cellStyle name="Total 2 2 5 3" xfId="29779" xr:uid="{00000000-0005-0000-0000-000058740000}"/>
    <cellStyle name="Total 2 2 6" xfId="29780" xr:uid="{00000000-0005-0000-0000-000059740000}"/>
    <cellStyle name="Total 2 2 7" xfId="29781" xr:uid="{00000000-0005-0000-0000-00005A740000}"/>
    <cellStyle name="Total 2 2 8" xfId="29782" xr:uid="{00000000-0005-0000-0000-00005B740000}"/>
    <cellStyle name="Total 2 2 9" xfId="29783" xr:uid="{00000000-0005-0000-0000-00005C740000}"/>
    <cellStyle name="Total 2 20" xfId="29784" xr:uid="{00000000-0005-0000-0000-00005D740000}"/>
    <cellStyle name="Total 2 20 10" xfId="29785" xr:uid="{00000000-0005-0000-0000-00005E740000}"/>
    <cellStyle name="Total 2 20 11" xfId="29786" xr:uid="{00000000-0005-0000-0000-00005F740000}"/>
    <cellStyle name="Total 2 20 12" xfId="29787" xr:uid="{00000000-0005-0000-0000-000060740000}"/>
    <cellStyle name="Total 2 20 13" xfId="29788" xr:uid="{00000000-0005-0000-0000-000061740000}"/>
    <cellStyle name="Total 2 20 14" xfId="29789" xr:uid="{00000000-0005-0000-0000-000062740000}"/>
    <cellStyle name="Total 2 20 15" xfId="29790" xr:uid="{00000000-0005-0000-0000-000063740000}"/>
    <cellStyle name="Total 2 20 16" xfId="29791" xr:uid="{00000000-0005-0000-0000-000064740000}"/>
    <cellStyle name="Total 2 20 17" xfId="29792" xr:uid="{00000000-0005-0000-0000-000065740000}"/>
    <cellStyle name="Total 2 20 18" xfId="29793" xr:uid="{00000000-0005-0000-0000-000066740000}"/>
    <cellStyle name="Total 2 20 19" xfId="29794" xr:uid="{00000000-0005-0000-0000-000067740000}"/>
    <cellStyle name="Total 2 20 2" xfId="29795" xr:uid="{00000000-0005-0000-0000-000068740000}"/>
    <cellStyle name="Total 2 20 2 10" xfId="29796" xr:uid="{00000000-0005-0000-0000-000069740000}"/>
    <cellStyle name="Total 2 20 2 11" xfId="29797" xr:uid="{00000000-0005-0000-0000-00006A740000}"/>
    <cellStyle name="Total 2 20 2 12" xfId="29798" xr:uid="{00000000-0005-0000-0000-00006B740000}"/>
    <cellStyle name="Total 2 20 2 13" xfId="29799" xr:uid="{00000000-0005-0000-0000-00006C740000}"/>
    <cellStyle name="Total 2 20 2 14" xfId="29800" xr:uid="{00000000-0005-0000-0000-00006D740000}"/>
    <cellStyle name="Total 2 20 2 15" xfId="29801" xr:uid="{00000000-0005-0000-0000-00006E740000}"/>
    <cellStyle name="Total 2 20 2 16" xfId="29802" xr:uid="{00000000-0005-0000-0000-00006F740000}"/>
    <cellStyle name="Total 2 20 2 17" xfId="29803" xr:uid="{00000000-0005-0000-0000-000070740000}"/>
    <cellStyle name="Total 2 20 2 18" xfId="29804" xr:uid="{00000000-0005-0000-0000-000071740000}"/>
    <cellStyle name="Total 2 20 2 19" xfId="29805" xr:uid="{00000000-0005-0000-0000-000072740000}"/>
    <cellStyle name="Total 2 20 2 2" xfId="29806" xr:uid="{00000000-0005-0000-0000-000073740000}"/>
    <cellStyle name="Total 2 20 2 20" xfId="29807" xr:uid="{00000000-0005-0000-0000-000074740000}"/>
    <cellStyle name="Total 2 20 2 21" xfId="29808" xr:uid="{00000000-0005-0000-0000-000075740000}"/>
    <cellStyle name="Total 2 20 2 22" xfId="29809" xr:uid="{00000000-0005-0000-0000-000076740000}"/>
    <cellStyle name="Total 2 20 2 23" xfId="29810" xr:uid="{00000000-0005-0000-0000-000077740000}"/>
    <cellStyle name="Total 2 20 2 24" xfId="29811" xr:uid="{00000000-0005-0000-0000-000078740000}"/>
    <cellStyle name="Total 2 20 2 25" xfId="29812" xr:uid="{00000000-0005-0000-0000-000079740000}"/>
    <cellStyle name="Total 2 20 2 26" xfId="29813" xr:uid="{00000000-0005-0000-0000-00007A740000}"/>
    <cellStyle name="Total 2 20 2 27" xfId="29814" xr:uid="{00000000-0005-0000-0000-00007B740000}"/>
    <cellStyle name="Total 2 20 2 28" xfId="29815" xr:uid="{00000000-0005-0000-0000-00007C740000}"/>
    <cellStyle name="Total 2 20 2 29" xfId="29816" xr:uid="{00000000-0005-0000-0000-00007D740000}"/>
    <cellStyle name="Total 2 20 2 3" xfId="29817" xr:uid="{00000000-0005-0000-0000-00007E740000}"/>
    <cellStyle name="Total 2 20 2 30" xfId="29818" xr:uid="{00000000-0005-0000-0000-00007F740000}"/>
    <cellStyle name="Total 2 20 2 31" xfId="29819" xr:uid="{00000000-0005-0000-0000-000080740000}"/>
    <cellStyle name="Total 2 20 2 32" xfId="29820" xr:uid="{00000000-0005-0000-0000-000081740000}"/>
    <cellStyle name="Total 2 20 2 33" xfId="29821" xr:uid="{00000000-0005-0000-0000-000082740000}"/>
    <cellStyle name="Total 2 20 2 34" xfId="29822" xr:uid="{00000000-0005-0000-0000-000083740000}"/>
    <cellStyle name="Total 2 20 2 4" xfId="29823" xr:uid="{00000000-0005-0000-0000-000084740000}"/>
    <cellStyle name="Total 2 20 2 5" xfId="29824" xr:uid="{00000000-0005-0000-0000-000085740000}"/>
    <cellStyle name="Total 2 20 2 6" xfId="29825" xr:uid="{00000000-0005-0000-0000-000086740000}"/>
    <cellStyle name="Total 2 20 2 7" xfId="29826" xr:uid="{00000000-0005-0000-0000-000087740000}"/>
    <cellStyle name="Total 2 20 2 8" xfId="29827" xr:uid="{00000000-0005-0000-0000-000088740000}"/>
    <cellStyle name="Total 2 20 2 9" xfId="29828" xr:uid="{00000000-0005-0000-0000-000089740000}"/>
    <cellStyle name="Total 2 20 20" xfId="29829" xr:uid="{00000000-0005-0000-0000-00008A740000}"/>
    <cellStyle name="Total 2 20 3" xfId="29830" xr:uid="{00000000-0005-0000-0000-00008B740000}"/>
    <cellStyle name="Total 2 20 3 2" xfId="29831" xr:uid="{00000000-0005-0000-0000-00008C740000}"/>
    <cellStyle name="Total 2 20 3 3" xfId="29832" xr:uid="{00000000-0005-0000-0000-00008D740000}"/>
    <cellStyle name="Total 2 20 4" xfId="29833" xr:uid="{00000000-0005-0000-0000-00008E740000}"/>
    <cellStyle name="Total 2 20 5" xfId="29834" xr:uid="{00000000-0005-0000-0000-00008F740000}"/>
    <cellStyle name="Total 2 20 6" xfId="29835" xr:uid="{00000000-0005-0000-0000-000090740000}"/>
    <cellStyle name="Total 2 20 7" xfId="29836" xr:uid="{00000000-0005-0000-0000-000091740000}"/>
    <cellStyle name="Total 2 20 8" xfId="29837" xr:uid="{00000000-0005-0000-0000-000092740000}"/>
    <cellStyle name="Total 2 20 9" xfId="29838" xr:uid="{00000000-0005-0000-0000-000093740000}"/>
    <cellStyle name="Total 2 21" xfId="29839" xr:uid="{00000000-0005-0000-0000-000094740000}"/>
    <cellStyle name="Total 2 21 10" xfId="29840" xr:uid="{00000000-0005-0000-0000-000095740000}"/>
    <cellStyle name="Total 2 21 11" xfId="29841" xr:uid="{00000000-0005-0000-0000-000096740000}"/>
    <cellStyle name="Total 2 21 12" xfId="29842" xr:uid="{00000000-0005-0000-0000-000097740000}"/>
    <cellStyle name="Total 2 21 13" xfId="29843" xr:uid="{00000000-0005-0000-0000-000098740000}"/>
    <cellStyle name="Total 2 21 14" xfId="29844" xr:uid="{00000000-0005-0000-0000-000099740000}"/>
    <cellStyle name="Total 2 21 15" xfId="29845" xr:uid="{00000000-0005-0000-0000-00009A740000}"/>
    <cellStyle name="Total 2 21 16" xfId="29846" xr:uid="{00000000-0005-0000-0000-00009B740000}"/>
    <cellStyle name="Total 2 21 17" xfId="29847" xr:uid="{00000000-0005-0000-0000-00009C740000}"/>
    <cellStyle name="Total 2 21 18" xfId="29848" xr:uid="{00000000-0005-0000-0000-00009D740000}"/>
    <cellStyle name="Total 2 21 19" xfId="29849" xr:uid="{00000000-0005-0000-0000-00009E740000}"/>
    <cellStyle name="Total 2 21 2" xfId="29850" xr:uid="{00000000-0005-0000-0000-00009F740000}"/>
    <cellStyle name="Total 2 21 20" xfId="29851" xr:uid="{00000000-0005-0000-0000-0000A0740000}"/>
    <cellStyle name="Total 2 21 21" xfId="29852" xr:uid="{00000000-0005-0000-0000-0000A1740000}"/>
    <cellStyle name="Total 2 21 22" xfId="29853" xr:uid="{00000000-0005-0000-0000-0000A2740000}"/>
    <cellStyle name="Total 2 21 23" xfId="29854" xr:uid="{00000000-0005-0000-0000-0000A3740000}"/>
    <cellStyle name="Total 2 21 24" xfId="29855" xr:uid="{00000000-0005-0000-0000-0000A4740000}"/>
    <cellStyle name="Total 2 21 25" xfId="29856" xr:uid="{00000000-0005-0000-0000-0000A5740000}"/>
    <cellStyle name="Total 2 21 26" xfId="29857" xr:uid="{00000000-0005-0000-0000-0000A6740000}"/>
    <cellStyle name="Total 2 21 27" xfId="29858" xr:uid="{00000000-0005-0000-0000-0000A7740000}"/>
    <cellStyle name="Total 2 21 28" xfId="29859" xr:uid="{00000000-0005-0000-0000-0000A8740000}"/>
    <cellStyle name="Total 2 21 29" xfId="29860" xr:uid="{00000000-0005-0000-0000-0000A9740000}"/>
    <cellStyle name="Total 2 21 3" xfId="29861" xr:uid="{00000000-0005-0000-0000-0000AA740000}"/>
    <cellStyle name="Total 2 21 30" xfId="29862" xr:uid="{00000000-0005-0000-0000-0000AB740000}"/>
    <cellStyle name="Total 2 21 31" xfId="29863" xr:uid="{00000000-0005-0000-0000-0000AC740000}"/>
    <cellStyle name="Total 2 21 32" xfId="29864" xr:uid="{00000000-0005-0000-0000-0000AD740000}"/>
    <cellStyle name="Total 2 21 33" xfId="29865" xr:uid="{00000000-0005-0000-0000-0000AE740000}"/>
    <cellStyle name="Total 2 21 34" xfId="29866" xr:uid="{00000000-0005-0000-0000-0000AF740000}"/>
    <cellStyle name="Total 2 21 4" xfId="29867" xr:uid="{00000000-0005-0000-0000-0000B0740000}"/>
    <cellStyle name="Total 2 21 5" xfId="29868" xr:uid="{00000000-0005-0000-0000-0000B1740000}"/>
    <cellStyle name="Total 2 21 6" xfId="29869" xr:uid="{00000000-0005-0000-0000-0000B2740000}"/>
    <cellStyle name="Total 2 21 7" xfId="29870" xr:uid="{00000000-0005-0000-0000-0000B3740000}"/>
    <cellStyle name="Total 2 21 8" xfId="29871" xr:uid="{00000000-0005-0000-0000-0000B4740000}"/>
    <cellStyle name="Total 2 21 9" xfId="29872" xr:uid="{00000000-0005-0000-0000-0000B5740000}"/>
    <cellStyle name="Total 2 22" xfId="29873" xr:uid="{00000000-0005-0000-0000-0000B6740000}"/>
    <cellStyle name="Total 2 22 2" xfId="29874" xr:uid="{00000000-0005-0000-0000-0000B7740000}"/>
    <cellStyle name="Total 2 22 3" xfId="29875" xr:uid="{00000000-0005-0000-0000-0000B8740000}"/>
    <cellStyle name="Total 2 23" xfId="29876" xr:uid="{00000000-0005-0000-0000-0000B9740000}"/>
    <cellStyle name="Total 2 24" xfId="29877" xr:uid="{00000000-0005-0000-0000-0000BA740000}"/>
    <cellStyle name="Total 2 25" xfId="29878" xr:uid="{00000000-0005-0000-0000-0000BB740000}"/>
    <cellStyle name="Total 2 26" xfId="29879" xr:uid="{00000000-0005-0000-0000-0000BC740000}"/>
    <cellStyle name="Total 2 27" xfId="29880" xr:uid="{00000000-0005-0000-0000-0000BD740000}"/>
    <cellStyle name="Total 2 28" xfId="29881" xr:uid="{00000000-0005-0000-0000-0000BE740000}"/>
    <cellStyle name="Total 2 29" xfId="29882" xr:uid="{00000000-0005-0000-0000-0000BF740000}"/>
    <cellStyle name="Total 2 3" xfId="29883" xr:uid="{00000000-0005-0000-0000-0000C0740000}"/>
    <cellStyle name="Total 2 3 10" xfId="29884" xr:uid="{00000000-0005-0000-0000-0000C1740000}"/>
    <cellStyle name="Total 2 3 11" xfId="29885" xr:uid="{00000000-0005-0000-0000-0000C2740000}"/>
    <cellStyle name="Total 2 3 12" xfId="29886" xr:uid="{00000000-0005-0000-0000-0000C3740000}"/>
    <cellStyle name="Total 2 3 13" xfId="29887" xr:uid="{00000000-0005-0000-0000-0000C4740000}"/>
    <cellStyle name="Total 2 3 14" xfId="29888" xr:uid="{00000000-0005-0000-0000-0000C5740000}"/>
    <cellStyle name="Total 2 3 15" xfId="29889" xr:uid="{00000000-0005-0000-0000-0000C6740000}"/>
    <cellStyle name="Total 2 3 16" xfId="29890" xr:uid="{00000000-0005-0000-0000-0000C7740000}"/>
    <cellStyle name="Total 2 3 17" xfId="29891" xr:uid="{00000000-0005-0000-0000-0000C8740000}"/>
    <cellStyle name="Total 2 3 18" xfId="29892" xr:uid="{00000000-0005-0000-0000-0000C9740000}"/>
    <cellStyle name="Total 2 3 19" xfId="29893" xr:uid="{00000000-0005-0000-0000-0000CA740000}"/>
    <cellStyle name="Total 2 3 2" xfId="29894" xr:uid="{00000000-0005-0000-0000-0000CB740000}"/>
    <cellStyle name="Total 2 3 2 10" xfId="29895" xr:uid="{00000000-0005-0000-0000-0000CC740000}"/>
    <cellStyle name="Total 2 3 2 11" xfId="29896" xr:uid="{00000000-0005-0000-0000-0000CD740000}"/>
    <cellStyle name="Total 2 3 2 12" xfId="29897" xr:uid="{00000000-0005-0000-0000-0000CE740000}"/>
    <cellStyle name="Total 2 3 2 13" xfId="29898" xr:uid="{00000000-0005-0000-0000-0000CF740000}"/>
    <cellStyle name="Total 2 3 2 14" xfId="29899" xr:uid="{00000000-0005-0000-0000-0000D0740000}"/>
    <cellStyle name="Total 2 3 2 15" xfId="29900" xr:uid="{00000000-0005-0000-0000-0000D1740000}"/>
    <cellStyle name="Total 2 3 2 16" xfId="29901" xr:uid="{00000000-0005-0000-0000-0000D2740000}"/>
    <cellStyle name="Total 2 3 2 17" xfId="29902" xr:uid="{00000000-0005-0000-0000-0000D3740000}"/>
    <cellStyle name="Total 2 3 2 18" xfId="29903" xr:uid="{00000000-0005-0000-0000-0000D4740000}"/>
    <cellStyle name="Total 2 3 2 19" xfId="29904" xr:uid="{00000000-0005-0000-0000-0000D5740000}"/>
    <cellStyle name="Total 2 3 2 2" xfId="29905" xr:uid="{00000000-0005-0000-0000-0000D6740000}"/>
    <cellStyle name="Total 2 3 2 2 10" xfId="29906" xr:uid="{00000000-0005-0000-0000-0000D7740000}"/>
    <cellStyle name="Total 2 3 2 2 11" xfId="29907" xr:uid="{00000000-0005-0000-0000-0000D8740000}"/>
    <cellStyle name="Total 2 3 2 2 12" xfId="29908" xr:uid="{00000000-0005-0000-0000-0000D9740000}"/>
    <cellStyle name="Total 2 3 2 2 13" xfId="29909" xr:uid="{00000000-0005-0000-0000-0000DA740000}"/>
    <cellStyle name="Total 2 3 2 2 14" xfId="29910" xr:uid="{00000000-0005-0000-0000-0000DB740000}"/>
    <cellStyle name="Total 2 3 2 2 15" xfId="29911" xr:uid="{00000000-0005-0000-0000-0000DC740000}"/>
    <cellStyle name="Total 2 3 2 2 16" xfId="29912" xr:uid="{00000000-0005-0000-0000-0000DD740000}"/>
    <cellStyle name="Total 2 3 2 2 17" xfId="29913" xr:uid="{00000000-0005-0000-0000-0000DE740000}"/>
    <cellStyle name="Total 2 3 2 2 18" xfId="29914" xr:uid="{00000000-0005-0000-0000-0000DF740000}"/>
    <cellStyle name="Total 2 3 2 2 19" xfId="29915" xr:uid="{00000000-0005-0000-0000-0000E0740000}"/>
    <cellStyle name="Total 2 3 2 2 2" xfId="29916" xr:uid="{00000000-0005-0000-0000-0000E1740000}"/>
    <cellStyle name="Total 2 3 2 2 20" xfId="29917" xr:uid="{00000000-0005-0000-0000-0000E2740000}"/>
    <cellStyle name="Total 2 3 2 2 21" xfId="29918" xr:uid="{00000000-0005-0000-0000-0000E3740000}"/>
    <cellStyle name="Total 2 3 2 2 22" xfId="29919" xr:uid="{00000000-0005-0000-0000-0000E4740000}"/>
    <cellStyle name="Total 2 3 2 2 23" xfId="29920" xr:uid="{00000000-0005-0000-0000-0000E5740000}"/>
    <cellStyle name="Total 2 3 2 2 24" xfId="29921" xr:uid="{00000000-0005-0000-0000-0000E6740000}"/>
    <cellStyle name="Total 2 3 2 2 25" xfId="29922" xr:uid="{00000000-0005-0000-0000-0000E7740000}"/>
    <cellStyle name="Total 2 3 2 2 26" xfId="29923" xr:uid="{00000000-0005-0000-0000-0000E8740000}"/>
    <cellStyle name="Total 2 3 2 2 27" xfId="29924" xr:uid="{00000000-0005-0000-0000-0000E9740000}"/>
    <cellStyle name="Total 2 3 2 2 28" xfId="29925" xr:uid="{00000000-0005-0000-0000-0000EA740000}"/>
    <cellStyle name="Total 2 3 2 2 29" xfId="29926" xr:uid="{00000000-0005-0000-0000-0000EB740000}"/>
    <cellStyle name="Total 2 3 2 2 3" xfId="29927" xr:uid="{00000000-0005-0000-0000-0000EC740000}"/>
    <cellStyle name="Total 2 3 2 2 30" xfId="29928" xr:uid="{00000000-0005-0000-0000-0000ED740000}"/>
    <cellStyle name="Total 2 3 2 2 31" xfId="29929" xr:uid="{00000000-0005-0000-0000-0000EE740000}"/>
    <cellStyle name="Total 2 3 2 2 32" xfId="29930" xr:uid="{00000000-0005-0000-0000-0000EF740000}"/>
    <cellStyle name="Total 2 3 2 2 33" xfId="29931" xr:uid="{00000000-0005-0000-0000-0000F0740000}"/>
    <cellStyle name="Total 2 3 2 2 34" xfId="29932" xr:uid="{00000000-0005-0000-0000-0000F1740000}"/>
    <cellStyle name="Total 2 3 2 2 4" xfId="29933" xr:uid="{00000000-0005-0000-0000-0000F2740000}"/>
    <cellStyle name="Total 2 3 2 2 5" xfId="29934" xr:uid="{00000000-0005-0000-0000-0000F3740000}"/>
    <cellStyle name="Total 2 3 2 2 6" xfId="29935" xr:uid="{00000000-0005-0000-0000-0000F4740000}"/>
    <cellStyle name="Total 2 3 2 2 7" xfId="29936" xr:uid="{00000000-0005-0000-0000-0000F5740000}"/>
    <cellStyle name="Total 2 3 2 2 8" xfId="29937" xr:uid="{00000000-0005-0000-0000-0000F6740000}"/>
    <cellStyle name="Total 2 3 2 2 9" xfId="29938" xr:uid="{00000000-0005-0000-0000-0000F7740000}"/>
    <cellStyle name="Total 2 3 2 20" xfId="29939" xr:uid="{00000000-0005-0000-0000-0000F8740000}"/>
    <cellStyle name="Total 2 3 2 3" xfId="29940" xr:uid="{00000000-0005-0000-0000-0000F9740000}"/>
    <cellStyle name="Total 2 3 2 3 2" xfId="29941" xr:uid="{00000000-0005-0000-0000-0000FA740000}"/>
    <cellStyle name="Total 2 3 2 3 3" xfId="29942" xr:uid="{00000000-0005-0000-0000-0000FB740000}"/>
    <cellStyle name="Total 2 3 2 4" xfId="29943" xr:uid="{00000000-0005-0000-0000-0000FC740000}"/>
    <cellStyle name="Total 2 3 2 5" xfId="29944" xr:uid="{00000000-0005-0000-0000-0000FD740000}"/>
    <cellStyle name="Total 2 3 2 6" xfId="29945" xr:uid="{00000000-0005-0000-0000-0000FE740000}"/>
    <cellStyle name="Total 2 3 2 7" xfId="29946" xr:uid="{00000000-0005-0000-0000-0000FF740000}"/>
    <cellStyle name="Total 2 3 2 8" xfId="29947" xr:uid="{00000000-0005-0000-0000-000000750000}"/>
    <cellStyle name="Total 2 3 2 9" xfId="29948" xr:uid="{00000000-0005-0000-0000-000001750000}"/>
    <cellStyle name="Total 2 3 20" xfId="29949" xr:uid="{00000000-0005-0000-0000-000002750000}"/>
    <cellStyle name="Total 2 3 21" xfId="29950" xr:uid="{00000000-0005-0000-0000-000003750000}"/>
    <cellStyle name="Total 2 3 3" xfId="29951" xr:uid="{00000000-0005-0000-0000-000004750000}"/>
    <cellStyle name="Total 2 3 3 10" xfId="29952" xr:uid="{00000000-0005-0000-0000-000005750000}"/>
    <cellStyle name="Total 2 3 3 11" xfId="29953" xr:uid="{00000000-0005-0000-0000-000006750000}"/>
    <cellStyle name="Total 2 3 3 12" xfId="29954" xr:uid="{00000000-0005-0000-0000-000007750000}"/>
    <cellStyle name="Total 2 3 3 13" xfId="29955" xr:uid="{00000000-0005-0000-0000-000008750000}"/>
    <cellStyle name="Total 2 3 3 14" xfId="29956" xr:uid="{00000000-0005-0000-0000-000009750000}"/>
    <cellStyle name="Total 2 3 3 15" xfId="29957" xr:uid="{00000000-0005-0000-0000-00000A750000}"/>
    <cellStyle name="Total 2 3 3 16" xfId="29958" xr:uid="{00000000-0005-0000-0000-00000B750000}"/>
    <cellStyle name="Total 2 3 3 17" xfId="29959" xr:uid="{00000000-0005-0000-0000-00000C750000}"/>
    <cellStyle name="Total 2 3 3 18" xfId="29960" xr:uid="{00000000-0005-0000-0000-00000D750000}"/>
    <cellStyle name="Total 2 3 3 19" xfId="29961" xr:uid="{00000000-0005-0000-0000-00000E750000}"/>
    <cellStyle name="Total 2 3 3 2" xfId="29962" xr:uid="{00000000-0005-0000-0000-00000F750000}"/>
    <cellStyle name="Total 2 3 3 20" xfId="29963" xr:uid="{00000000-0005-0000-0000-000010750000}"/>
    <cellStyle name="Total 2 3 3 21" xfId="29964" xr:uid="{00000000-0005-0000-0000-000011750000}"/>
    <cellStyle name="Total 2 3 3 22" xfId="29965" xr:uid="{00000000-0005-0000-0000-000012750000}"/>
    <cellStyle name="Total 2 3 3 23" xfId="29966" xr:uid="{00000000-0005-0000-0000-000013750000}"/>
    <cellStyle name="Total 2 3 3 24" xfId="29967" xr:uid="{00000000-0005-0000-0000-000014750000}"/>
    <cellStyle name="Total 2 3 3 25" xfId="29968" xr:uid="{00000000-0005-0000-0000-000015750000}"/>
    <cellStyle name="Total 2 3 3 26" xfId="29969" xr:uid="{00000000-0005-0000-0000-000016750000}"/>
    <cellStyle name="Total 2 3 3 27" xfId="29970" xr:uid="{00000000-0005-0000-0000-000017750000}"/>
    <cellStyle name="Total 2 3 3 28" xfId="29971" xr:uid="{00000000-0005-0000-0000-000018750000}"/>
    <cellStyle name="Total 2 3 3 29" xfId="29972" xr:uid="{00000000-0005-0000-0000-000019750000}"/>
    <cellStyle name="Total 2 3 3 3" xfId="29973" xr:uid="{00000000-0005-0000-0000-00001A750000}"/>
    <cellStyle name="Total 2 3 3 30" xfId="29974" xr:uid="{00000000-0005-0000-0000-00001B750000}"/>
    <cellStyle name="Total 2 3 3 31" xfId="29975" xr:uid="{00000000-0005-0000-0000-00001C750000}"/>
    <cellStyle name="Total 2 3 3 32" xfId="29976" xr:uid="{00000000-0005-0000-0000-00001D750000}"/>
    <cellStyle name="Total 2 3 3 33" xfId="29977" xr:uid="{00000000-0005-0000-0000-00001E750000}"/>
    <cellStyle name="Total 2 3 3 34" xfId="29978" xr:uid="{00000000-0005-0000-0000-00001F750000}"/>
    <cellStyle name="Total 2 3 3 4" xfId="29979" xr:uid="{00000000-0005-0000-0000-000020750000}"/>
    <cellStyle name="Total 2 3 3 5" xfId="29980" xr:uid="{00000000-0005-0000-0000-000021750000}"/>
    <cellStyle name="Total 2 3 3 6" xfId="29981" xr:uid="{00000000-0005-0000-0000-000022750000}"/>
    <cellStyle name="Total 2 3 3 7" xfId="29982" xr:uid="{00000000-0005-0000-0000-000023750000}"/>
    <cellStyle name="Total 2 3 3 8" xfId="29983" xr:uid="{00000000-0005-0000-0000-000024750000}"/>
    <cellStyle name="Total 2 3 3 9" xfId="29984" xr:uid="{00000000-0005-0000-0000-000025750000}"/>
    <cellStyle name="Total 2 3 4" xfId="29985" xr:uid="{00000000-0005-0000-0000-000026750000}"/>
    <cellStyle name="Total 2 3 4 2" xfId="29986" xr:uid="{00000000-0005-0000-0000-000027750000}"/>
    <cellStyle name="Total 2 3 4 3" xfId="29987" xr:uid="{00000000-0005-0000-0000-000028750000}"/>
    <cellStyle name="Total 2 3 5" xfId="29988" xr:uid="{00000000-0005-0000-0000-000029750000}"/>
    <cellStyle name="Total 2 3 6" xfId="29989" xr:uid="{00000000-0005-0000-0000-00002A750000}"/>
    <cellStyle name="Total 2 3 7" xfId="29990" xr:uid="{00000000-0005-0000-0000-00002B750000}"/>
    <cellStyle name="Total 2 3 8" xfId="29991" xr:uid="{00000000-0005-0000-0000-00002C750000}"/>
    <cellStyle name="Total 2 3 9" xfId="29992" xr:uid="{00000000-0005-0000-0000-00002D750000}"/>
    <cellStyle name="Total 2 30" xfId="29993" xr:uid="{00000000-0005-0000-0000-00002E750000}"/>
    <cellStyle name="Total 2 31" xfId="29994" xr:uid="{00000000-0005-0000-0000-00002F750000}"/>
    <cellStyle name="Total 2 32" xfId="29995" xr:uid="{00000000-0005-0000-0000-000030750000}"/>
    <cellStyle name="Total 2 33" xfId="29996" xr:uid="{00000000-0005-0000-0000-000031750000}"/>
    <cellStyle name="Total 2 34" xfId="29997" xr:uid="{00000000-0005-0000-0000-000032750000}"/>
    <cellStyle name="Total 2 35" xfId="29998" xr:uid="{00000000-0005-0000-0000-000033750000}"/>
    <cellStyle name="Total 2 36" xfId="29999" xr:uid="{00000000-0005-0000-0000-000034750000}"/>
    <cellStyle name="Total 2 37" xfId="30000" xr:uid="{00000000-0005-0000-0000-000035750000}"/>
    <cellStyle name="Total 2 38" xfId="30001" xr:uid="{00000000-0005-0000-0000-000036750000}"/>
    <cellStyle name="Total 2 39" xfId="30002" xr:uid="{00000000-0005-0000-0000-000037750000}"/>
    <cellStyle name="Total 2 4" xfId="30003" xr:uid="{00000000-0005-0000-0000-000038750000}"/>
    <cellStyle name="Total 2 4 10" xfId="30004" xr:uid="{00000000-0005-0000-0000-000039750000}"/>
    <cellStyle name="Total 2 4 11" xfId="30005" xr:uid="{00000000-0005-0000-0000-00003A750000}"/>
    <cellStyle name="Total 2 4 12" xfId="30006" xr:uid="{00000000-0005-0000-0000-00003B750000}"/>
    <cellStyle name="Total 2 4 13" xfId="30007" xr:uid="{00000000-0005-0000-0000-00003C750000}"/>
    <cellStyle name="Total 2 4 14" xfId="30008" xr:uid="{00000000-0005-0000-0000-00003D750000}"/>
    <cellStyle name="Total 2 4 15" xfId="30009" xr:uid="{00000000-0005-0000-0000-00003E750000}"/>
    <cellStyle name="Total 2 4 16" xfId="30010" xr:uid="{00000000-0005-0000-0000-00003F750000}"/>
    <cellStyle name="Total 2 4 17" xfId="30011" xr:uid="{00000000-0005-0000-0000-000040750000}"/>
    <cellStyle name="Total 2 4 18" xfId="30012" xr:uid="{00000000-0005-0000-0000-000041750000}"/>
    <cellStyle name="Total 2 4 19" xfId="30013" xr:uid="{00000000-0005-0000-0000-000042750000}"/>
    <cellStyle name="Total 2 4 2" xfId="30014" xr:uid="{00000000-0005-0000-0000-000043750000}"/>
    <cellStyle name="Total 2 4 2 10" xfId="30015" xr:uid="{00000000-0005-0000-0000-000044750000}"/>
    <cellStyle name="Total 2 4 2 11" xfId="30016" xr:uid="{00000000-0005-0000-0000-000045750000}"/>
    <cellStyle name="Total 2 4 2 12" xfId="30017" xr:uid="{00000000-0005-0000-0000-000046750000}"/>
    <cellStyle name="Total 2 4 2 13" xfId="30018" xr:uid="{00000000-0005-0000-0000-000047750000}"/>
    <cellStyle name="Total 2 4 2 14" xfId="30019" xr:uid="{00000000-0005-0000-0000-000048750000}"/>
    <cellStyle name="Total 2 4 2 15" xfId="30020" xr:uid="{00000000-0005-0000-0000-000049750000}"/>
    <cellStyle name="Total 2 4 2 16" xfId="30021" xr:uid="{00000000-0005-0000-0000-00004A750000}"/>
    <cellStyle name="Total 2 4 2 17" xfId="30022" xr:uid="{00000000-0005-0000-0000-00004B750000}"/>
    <cellStyle name="Total 2 4 2 18" xfId="30023" xr:uid="{00000000-0005-0000-0000-00004C750000}"/>
    <cellStyle name="Total 2 4 2 19" xfId="30024" xr:uid="{00000000-0005-0000-0000-00004D750000}"/>
    <cellStyle name="Total 2 4 2 2" xfId="30025" xr:uid="{00000000-0005-0000-0000-00004E750000}"/>
    <cellStyle name="Total 2 4 2 2 10" xfId="30026" xr:uid="{00000000-0005-0000-0000-00004F750000}"/>
    <cellStyle name="Total 2 4 2 2 11" xfId="30027" xr:uid="{00000000-0005-0000-0000-000050750000}"/>
    <cellStyle name="Total 2 4 2 2 12" xfId="30028" xr:uid="{00000000-0005-0000-0000-000051750000}"/>
    <cellStyle name="Total 2 4 2 2 13" xfId="30029" xr:uid="{00000000-0005-0000-0000-000052750000}"/>
    <cellStyle name="Total 2 4 2 2 14" xfId="30030" xr:uid="{00000000-0005-0000-0000-000053750000}"/>
    <cellStyle name="Total 2 4 2 2 15" xfId="30031" xr:uid="{00000000-0005-0000-0000-000054750000}"/>
    <cellStyle name="Total 2 4 2 2 16" xfId="30032" xr:uid="{00000000-0005-0000-0000-000055750000}"/>
    <cellStyle name="Total 2 4 2 2 17" xfId="30033" xr:uid="{00000000-0005-0000-0000-000056750000}"/>
    <cellStyle name="Total 2 4 2 2 18" xfId="30034" xr:uid="{00000000-0005-0000-0000-000057750000}"/>
    <cellStyle name="Total 2 4 2 2 19" xfId="30035" xr:uid="{00000000-0005-0000-0000-000058750000}"/>
    <cellStyle name="Total 2 4 2 2 2" xfId="30036" xr:uid="{00000000-0005-0000-0000-000059750000}"/>
    <cellStyle name="Total 2 4 2 2 20" xfId="30037" xr:uid="{00000000-0005-0000-0000-00005A750000}"/>
    <cellStyle name="Total 2 4 2 2 21" xfId="30038" xr:uid="{00000000-0005-0000-0000-00005B750000}"/>
    <cellStyle name="Total 2 4 2 2 22" xfId="30039" xr:uid="{00000000-0005-0000-0000-00005C750000}"/>
    <cellStyle name="Total 2 4 2 2 23" xfId="30040" xr:uid="{00000000-0005-0000-0000-00005D750000}"/>
    <cellStyle name="Total 2 4 2 2 24" xfId="30041" xr:uid="{00000000-0005-0000-0000-00005E750000}"/>
    <cellStyle name="Total 2 4 2 2 25" xfId="30042" xr:uid="{00000000-0005-0000-0000-00005F750000}"/>
    <cellStyle name="Total 2 4 2 2 26" xfId="30043" xr:uid="{00000000-0005-0000-0000-000060750000}"/>
    <cellStyle name="Total 2 4 2 2 27" xfId="30044" xr:uid="{00000000-0005-0000-0000-000061750000}"/>
    <cellStyle name="Total 2 4 2 2 28" xfId="30045" xr:uid="{00000000-0005-0000-0000-000062750000}"/>
    <cellStyle name="Total 2 4 2 2 29" xfId="30046" xr:uid="{00000000-0005-0000-0000-000063750000}"/>
    <cellStyle name="Total 2 4 2 2 3" xfId="30047" xr:uid="{00000000-0005-0000-0000-000064750000}"/>
    <cellStyle name="Total 2 4 2 2 30" xfId="30048" xr:uid="{00000000-0005-0000-0000-000065750000}"/>
    <cellStyle name="Total 2 4 2 2 31" xfId="30049" xr:uid="{00000000-0005-0000-0000-000066750000}"/>
    <cellStyle name="Total 2 4 2 2 32" xfId="30050" xr:uid="{00000000-0005-0000-0000-000067750000}"/>
    <cellStyle name="Total 2 4 2 2 33" xfId="30051" xr:uid="{00000000-0005-0000-0000-000068750000}"/>
    <cellStyle name="Total 2 4 2 2 34" xfId="30052" xr:uid="{00000000-0005-0000-0000-000069750000}"/>
    <cellStyle name="Total 2 4 2 2 4" xfId="30053" xr:uid="{00000000-0005-0000-0000-00006A750000}"/>
    <cellStyle name="Total 2 4 2 2 5" xfId="30054" xr:uid="{00000000-0005-0000-0000-00006B750000}"/>
    <cellStyle name="Total 2 4 2 2 6" xfId="30055" xr:uid="{00000000-0005-0000-0000-00006C750000}"/>
    <cellStyle name="Total 2 4 2 2 7" xfId="30056" xr:uid="{00000000-0005-0000-0000-00006D750000}"/>
    <cellStyle name="Total 2 4 2 2 8" xfId="30057" xr:uid="{00000000-0005-0000-0000-00006E750000}"/>
    <cellStyle name="Total 2 4 2 2 9" xfId="30058" xr:uid="{00000000-0005-0000-0000-00006F750000}"/>
    <cellStyle name="Total 2 4 2 20" xfId="30059" xr:uid="{00000000-0005-0000-0000-000070750000}"/>
    <cellStyle name="Total 2 4 2 3" xfId="30060" xr:uid="{00000000-0005-0000-0000-000071750000}"/>
    <cellStyle name="Total 2 4 2 3 2" xfId="30061" xr:uid="{00000000-0005-0000-0000-000072750000}"/>
    <cellStyle name="Total 2 4 2 3 3" xfId="30062" xr:uid="{00000000-0005-0000-0000-000073750000}"/>
    <cellStyle name="Total 2 4 2 4" xfId="30063" xr:uid="{00000000-0005-0000-0000-000074750000}"/>
    <cellStyle name="Total 2 4 2 5" xfId="30064" xr:uid="{00000000-0005-0000-0000-000075750000}"/>
    <cellStyle name="Total 2 4 2 6" xfId="30065" xr:uid="{00000000-0005-0000-0000-000076750000}"/>
    <cellStyle name="Total 2 4 2 7" xfId="30066" xr:uid="{00000000-0005-0000-0000-000077750000}"/>
    <cellStyle name="Total 2 4 2 8" xfId="30067" xr:uid="{00000000-0005-0000-0000-000078750000}"/>
    <cellStyle name="Total 2 4 2 9" xfId="30068" xr:uid="{00000000-0005-0000-0000-000079750000}"/>
    <cellStyle name="Total 2 4 20" xfId="30069" xr:uid="{00000000-0005-0000-0000-00007A750000}"/>
    <cellStyle name="Total 2 4 21" xfId="30070" xr:uid="{00000000-0005-0000-0000-00007B750000}"/>
    <cellStyle name="Total 2 4 3" xfId="30071" xr:uid="{00000000-0005-0000-0000-00007C750000}"/>
    <cellStyle name="Total 2 4 3 10" xfId="30072" xr:uid="{00000000-0005-0000-0000-00007D750000}"/>
    <cellStyle name="Total 2 4 3 11" xfId="30073" xr:uid="{00000000-0005-0000-0000-00007E750000}"/>
    <cellStyle name="Total 2 4 3 12" xfId="30074" xr:uid="{00000000-0005-0000-0000-00007F750000}"/>
    <cellStyle name="Total 2 4 3 13" xfId="30075" xr:uid="{00000000-0005-0000-0000-000080750000}"/>
    <cellStyle name="Total 2 4 3 14" xfId="30076" xr:uid="{00000000-0005-0000-0000-000081750000}"/>
    <cellStyle name="Total 2 4 3 15" xfId="30077" xr:uid="{00000000-0005-0000-0000-000082750000}"/>
    <cellStyle name="Total 2 4 3 16" xfId="30078" xr:uid="{00000000-0005-0000-0000-000083750000}"/>
    <cellStyle name="Total 2 4 3 17" xfId="30079" xr:uid="{00000000-0005-0000-0000-000084750000}"/>
    <cellStyle name="Total 2 4 3 18" xfId="30080" xr:uid="{00000000-0005-0000-0000-000085750000}"/>
    <cellStyle name="Total 2 4 3 19" xfId="30081" xr:uid="{00000000-0005-0000-0000-000086750000}"/>
    <cellStyle name="Total 2 4 3 2" xfId="30082" xr:uid="{00000000-0005-0000-0000-000087750000}"/>
    <cellStyle name="Total 2 4 3 20" xfId="30083" xr:uid="{00000000-0005-0000-0000-000088750000}"/>
    <cellStyle name="Total 2 4 3 21" xfId="30084" xr:uid="{00000000-0005-0000-0000-000089750000}"/>
    <cellStyle name="Total 2 4 3 22" xfId="30085" xr:uid="{00000000-0005-0000-0000-00008A750000}"/>
    <cellStyle name="Total 2 4 3 23" xfId="30086" xr:uid="{00000000-0005-0000-0000-00008B750000}"/>
    <cellStyle name="Total 2 4 3 24" xfId="30087" xr:uid="{00000000-0005-0000-0000-00008C750000}"/>
    <cellStyle name="Total 2 4 3 25" xfId="30088" xr:uid="{00000000-0005-0000-0000-00008D750000}"/>
    <cellStyle name="Total 2 4 3 26" xfId="30089" xr:uid="{00000000-0005-0000-0000-00008E750000}"/>
    <cellStyle name="Total 2 4 3 27" xfId="30090" xr:uid="{00000000-0005-0000-0000-00008F750000}"/>
    <cellStyle name="Total 2 4 3 28" xfId="30091" xr:uid="{00000000-0005-0000-0000-000090750000}"/>
    <cellStyle name="Total 2 4 3 29" xfId="30092" xr:uid="{00000000-0005-0000-0000-000091750000}"/>
    <cellStyle name="Total 2 4 3 3" xfId="30093" xr:uid="{00000000-0005-0000-0000-000092750000}"/>
    <cellStyle name="Total 2 4 3 30" xfId="30094" xr:uid="{00000000-0005-0000-0000-000093750000}"/>
    <cellStyle name="Total 2 4 3 31" xfId="30095" xr:uid="{00000000-0005-0000-0000-000094750000}"/>
    <cellStyle name="Total 2 4 3 32" xfId="30096" xr:uid="{00000000-0005-0000-0000-000095750000}"/>
    <cellStyle name="Total 2 4 3 33" xfId="30097" xr:uid="{00000000-0005-0000-0000-000096750000}"/>
    <cellStyle name="Total 2 4 3 34" xfId="30098" xr:uid="{00000000-0005-0000-0000-000097750000}"/>
    <cellStyle name="Total 2 4 3 4" xfId="30099" xr:uid="{00000000-0005-0000-0000-000098750000}"/>
    <cellStyle name="Total 2 4 3 5" xfId="30100" xr:uid="{00000000-0005-0000-0000-000099750000}"/>
    <cellStyle name="Total 2 4 3 6" xfId="30101" xr:uid="{00000000-0005-0000-0000-00009A750000}"/>
    <cellStyle name="Total 2 4 3 7" xfId="30102" xr:uid="{00000000-0005-0000-0000-00009B750000}"/>
    <cellStyle name="Total 2 4 3 8" xfId="30103" xr:uid="{00000000-0005-0000-0000-00009C750000}"/>
    <cellStyle name="Total 2 4 3 9" xfId="30104" xr:uid="{00000000-0005-0000-0000-00009D750000}"/>
    <cellStyle name="Total 2 4 4" xfId="30105" xr:uid="{00000000-0005-0000-0000-00009E750000}"/>
    <cellStyle name="Total 2 4 4 2" xfId="30106" xr:uid="{00000000-0005-0000-0000-00009F750000}"/>
    <cellStyle name="Total 2 4 4 3" xfId="30107" xr:uid="{00000000-0005-0000-0000-0000A0750000}"/>
    <cellStyle name="Total 2 4 5" xfId="30108" xr:uid="{00000000-0005-0000-0000-0000A1750000}"/>
    <cellStyle name="Total 2 4 6" xfId="30109" xr:uid="{00000000-0005-0000-0000-0000A2750000}"/>
    <cellStyle name="Total 2 4 7" xfId="30110" xr:uid="{00000000-0005-0000-0000-0000A3750000}"/>
    <cellStyle name="Total 2 4 8" xfId="30111" xr:uid="{00000000-0005-0000-0000-0000A4750000}"/>
    <cellStyle name="Total 2 4 9" xfId="30112" xr:uid="{00000000-0005-0000-0000-0000A5750000}"/>
    <cellStyle name="Total 2 5" xfId="30113" xr:uid="{00000000-0005-0000-0000-0000A6750000}"/>
    <cellStyle name="Total 2 5 2" xfId="30114" xr:uid="{00000000-0005-0000-0000-0000A7750000}"/>
    <cellStyle name="Total 2 6" xfId="30115" xr:uid="{00000000-0005-0000-0000-0000A8750000}"/>
    <cellStyle name="Total 2 6 2" xfId="30116" xr:uid="{00000000-0005-0000-0000-0000A9750000}"/>
    <cellStyle name="Total 2 7" xfId="30117" xr:uid="{00000000-0005-0000-0000-0000AA750000}"/>
    <cellStyle name="Total 2 7 2" xfId="30118" xr:uid="{00000000-0005-0000-0000-0000AB750000}"/>
    <cellStyle name="Total 2 8" xfId="30119" xr:uid="{00000000-0005-0000-0000-0000AC750000}"/>
    <cellStyle name="Total 2 8 2" xfId="30120" xr:uid="{00000000-0005-0000-0000-0000AD750000}"/>
    <cellStyle name="Total 2 9" xfId="30121" xr:uid="{00000000-0005-0000-0000-0000AE750000}"/>
    <cellStyle name="Total 2 9 2" xfId="30122" xr:uid="{00000000-0005-0000-0000-0000AF750000}"/>
    <cellStyle name="Total 20" xfId="30123" xr:uid="{00000000-0005-0000-0000-0000B0750000}"/>
    <cellStyle name="Total 20 2" xfId="30124" xr:uid="{00000000-0005-0000-0000-0000B1750000}"/>
    <cellStyle name="Total 21" xfId="30125" xr:uid="{00000000-0005-0000-0000-0000B2750000}"/>
    <cellStyle name="Total 21 2" xfId="30126" xr:uid="{00000000-0005-0000-0000-0000B3750000}"/>
    <cellStyle name="Total 22" xfId="30127" xr:uid="{00000000-0005-0000-0000-0000B4750000}"/>
    <cellStyle name="Total 22 2" xfId="30128" xr:uid="{00000000-0005-0000-0000-0000B5750000}"/>
    <cellStyle name="Total 23" xfId="30129" xr:uid="{00000000-0005-0000-0000-0000B6750000}"/>
    <cellStyle name="Total 23 2" xfId="30130" xr:uid="{00000000-0005-0000-0000-0000B7750000}"/>
    <cellStyle name="Total 24" xfId="30131" xr:uid="{00000000-0005-0000-0000-0000B8750000}"/>
    <cellStyle name="Total 24 2" xfId="30132" xr:uid="{00000000-0005-0000-0000-0000B9750000}"/>
    <cellStyle name="Total 25" xfId="30133" xr:uid="{00000000-0005-0000-0000-0000BA750000}"/>
    <cellStyle name="Total 25 2" xfId="30134" xr:uid="{00000000-0005-0000-0000-0000BB750000}"/>
    <cellStyle name="Total 26" xfId="30135" xr:uid="{00000000-0005-0000-0000-0000BC750000}"/>
    <cellStyle name="Total 26 2" xfId="30136" xr:uid="{00000000-0005-0000-0000-0000BD750000}"/>
    <cellStyle name="Total 27" xfId="30137" xr:uid="{00000000-0005-0000-0000-0000BE750000}"/>
    <cellStyle name="Total 27 2" xfId="30138" xr:uid="{00000000-0005-0000-0000-0000BF750000}"/>
    <cellStyle name="Total 3" xfId="30139" xr:uid="{00000000-0005-0000-0000-0000C0750000}"/>
    <cellStyle name="Total 3 10" xfId="30140" xr:uid="{00000000-0005-0000-0000-0000C1750000}"/>
    <cellStyle name="Total 3 11" xfId="30141" xr:uid="{00000000-0005-0000-0000-0000C2750000}"/>
    <cellStyle name="Total 3 12" xfId="30142" xr:uid="{00000000-0005-0000-0000-0000C3750000}"/>
    <cellStyle name="Total 3 13" xfId="30143" xr:uid="{00000000-0005-0000-0000-0000C4750000}"/>
    <cellStyle name="Total 3 14" xfId="30144" xr:uid="{00000000-0005-0000-0000-0000C5750000}"/>
    <cellStyle name="Total 3 15" xfId="30145" xr:uid="{00000000-0005-0000-0000-0000C6750000}"/>
    <cellStyle name="Total 3 16" xfId="30146" xr:uid="{00000000-0005-0000-0000-0000C7750000}"/>
    <cellStyle name="Total 3 17" xfId="30147" xr:uid="{00000000-0005-0000-0000-0000C8750000}"/>
    <cellStyle name="Total 3 18" xfId="30148" xr:uid="{00000000-0005-0000-0000-0000C9750000}"/>
    <cellStyle name="Total 3 19" xfId="30149" xr:uid="{00000000-0005-0000-0000-0000CA750000}"/>
    <cellStyle name="Total 3 2" xfId="30150" xr:uid="{00000000-0005-0000-0000-0000CB750000}"/>
    <cellStyle name="Total 3 2 10" xfId="30151" xr:uid="{00000000-0005-0000-0000-0000CC750000}"/>
    <cellStyle name="Total 3 2 11" xfId="30152" xr:uid="{00000000-0005-0000-0000-0000CD750000}"/>
    <cellStyle name="Total 3 2 12" xfId="30153" xr:uid="{00000000-0005-0000-0000-0000CE750000}"/>
    <cellStyle name="Total 3 2 13" xfId="30154" xr:uid="{00000000-0005-0000-0000-0000CF750000}"/>
    <cellStyle name="Total 3 2 14" xfId="30155" xr:uid="{00000000-0005-0000-0000-0000D0750000}"/>
    <cellStyle name="Total 3 2 15" xfId="30156" xr:uid="{00000000-0005-0000-0000-0000D1750000}"/>
    <cellStyle name="Total 3 2 16" xfId="30157" xr:uid="{00000000-0005-0000-0000-0000D2750000}"/>
    <cellStyle name="Total 3 2 17" xfId="30158" xr:uid="{00000000-0005-0000-0000-0000D3750000}"/>
    <cellStyle name="Total 3 2 18" xfId="30159" xr:uid="{00000000-0005-0000-0000-0000D4750000}"/>
    <cellStyle name="Total 3 2 19" xfId="30160" xr:uid="{00000000-0005-0000-0000-0000D5750000}"/>
    <cellStyle name="Total 3 2 2" xfId="30161" xr:uid="{00000000-0005-0000-0000-0000D6750000}"/>
    <cellStyle name="Total 3 2 2 10" xfId="30162" xr:uid="{00000000-0005-0000-0000-0000D7750000}"/>
    <cellStyle name="Total 3 2 2 11" xfId="30163" xr:uid="{00000000-0005-0000-0000-0000D8750000}"/>
    <cellStyle name="Total 3 2 2 12" xfId="30164" xr:uid="{00000000-0005-0000-0000-0000D9750000}"/>
    <cellStyle name="Total 3 2 2 13" xfId="30165" xr:uid="{00000000-0005-0000-0000-0000DA750000}"/>
    <cellStyle name="Total 3 2 2 14" xfId="30166" xr:uid="{00000000-0005-0000-0000-0000DB750000}"/>
    <cellStyle name="Total 3 2 2 15" xfId="30167" xr:uid="{00000000-0005-0000-0000-0000DC750000}"/>
    <cellStyle name="Total 3 2 2 16" xfId="30168" xr:uid="{00000000-0005-0000-0000-0000DD750000}"/>
    <cellStyle name="Total 3 2 2 17" xfId="30169" xr:uid="{00000000-0005-0000-0000-0000DE750000}"/>
    <cellStyle name="Total 3 2 2 18" xfId="30170" xr:uid="{00000000-0005-0000-0000-0000DF750000}"/>
    <cellStyle name="Total 3 2 2 19" xfId="30171" xr:uid="{00000000-0005-0000-0000-0000E0750000}"/>
    <cellStyle name="Total 3 2 2 2" xfId="30172" xr:uid="{00000000-0005-0000-0000-0000E1750000}"/>
    <cellStyle name="Total 3 2 2 2 10" xfId="30173" xr:uid="{00000000-0005-0000-0000-0000E2750000}"/>
    <cellStyle name="Total 3 2 2 2 11" xfId="30174" xr:uid="{00000000-0005-0000-0000-0000E3750000}"/>
    <cellStyle name="Total 3 2 2 2 12" xfId="30175" xr:uid="{00000000-0005-0000-0000-0000E4750000}"/>
    <cellStyle name="Total 3 2 2 2 13" xfId="30176" xr:uid="{00000000-0005-0000-0000-0000E5750000}"/>
    <cellStyle name="Total 3 2 2 2 14" xfId="30177" xr:uid="{00000000-0005-0000-0000-0000E6750000}"/>
    <cellStyle name="Total 3 2 2 2 15" xfId="30178" xr:uid="{00000000-0005-0000-0000-0000E7750000}"/>
    <cellStyle name="Total 3 2 2 2 16" xfId="30179" xr:uid="{00000000-0005-0000-0000-0000E8750000}"/>
    <cellStyle name="Total 3 2 2 2 17" xfId="30180" xr:uid="{00000000-0005-0000-0000-0000E9750000}"/>
    <cellStyle name="Total 3 2 2 2 18" xfId="30181" xr:uid="{00000000-0005-0000-0000-0000EA750000}"/>
    <cellStyle name="Total 3 2 2 2 19" xfId="30182" xr:uid="{00000000-0005-0000-0000-0000EB750000}"/>
    <cellStyle name="Total 3 2 2 2 2" xfId="30183" xr:uid="{00000000-0005-0000-0000-0000EC750000}"/>
    <cellStyle name="Total 3 2 2 2 20" xfId="30184" xr:uid="{00000000-0005-0000-0000-0000ED750000}"/>
    <cellStyle name="Total 3 2 2 2 21" xfId="30185" xr:uid="{00000000-0005-0000-0000-0000EE750000}"/>
    <cellStyle name="Total 3 2 2 2 22" xfId="30186" xr:uid="{00000000-0005-0000-0000-0000EF750000}"/>
    <cellStyle name="Total 3 2 2 2 23" xfId="30187" xr:uid="{00000000-0005-0000-0000-0000F0750000}"/>
    <cellStyle name="Total 3 2 2 2 24" xfId="30188" xr:uid="{00000000-0005-0000-0000-0000F1750000}"/>
    <cellStyle name="Total 3 2 2 2 25" xfId="30189" xr:uid="{00000000-0005-0000-0000-0000F2750000}"/>
    <cellStyle name="Total 3 2 2 2 26" xfId="30190" xr:uid="{00000000-0005-0000-0000-0000F3750000}"/>
    <cellStyle name="Total 3 2 2 2 27" xfId="30191" xr:uid="{00000000-0005-0000-0000-0000F4750000}"/>
    <cellStyle name="Total 3 2 2 2 28" xfId="30192" xr:uid="{00000000-0005-0000-0000-0000F5750000}"/>
    <cellStyle name="Total 3 2 2 2 29" xfId="30193" xr:uid="{00000000-0005-0000-0000-0000F6750000}"/>
    <cellStyle name="Total 3 2 2 2 3" xfId="30194" xr:uid="{00000000-0005-0000-0000-0000F7750000}"/>
    <cellStyle name="Total 3 2 2 2 30" xfId="30195" xr:uid="{00000000-0005-0000-0000-0000F8750000}"/>
    <cellStyle name="Total 3 2 2 2 31" xfId="30196" xr:uid="{00000000-0005-0000-0000-0000F9750000}"/>
    <cellStyle name="Total 3 2 2 2 32" xfId="30197" xr:uid="{00000000-0005-0000-0000-0000FA750000}"/>
    <cellStyle name="Total 3 2 2 2 33" xfId="30198" xr:uid="{00000000-0005-0000-0000-0000FB750000}"/>
    <cellStyle name="Total 3 2 2 2 34" xfId="30199" xr:uid="{00000000-0005-0000-0000-0000FC750000}"/>
    <cellStyle name="Total 3 2 2 2 4" xfId="30200" xr:uid="{00000000-0005-0000-0000-0000FD750000}"/>
    <cellStyle name="Total 3 2 2 2 5" xfId="30201" xr:uid="{00000000-0005-0000-0000-0000FE750000}"/>
    <cellStyle name="Total 3 2 2 2 6" xfId="30202" xr:uid="{00000000-0005-0000-0000-0000FF750000}"/>
    <cellStyle name="Total 3 2 2 2 7" xfId="30203" xr:uid="{00000000-0005-0000-0000-000000760000}"/>
    <cellStyle name="Total 3 2 2 2 8" xfId="30204" xr:uid="{00000000-0005-0000-0000-000001760000}"/>
    <cellStyle name="Total 3 2 2 2 9" xfId="30205" xr:uid="{00000000-0005-0000-0000-000002760000}"/>
    <cellStyle name="Total 3 2 2 20" xfId="30206" xr:uid="{00000000-0005-0000-0000-000003760000}"/>
    <cellStyle name="Total 3 2 2 3" xfId="30207" xr:uid="{00000000-0005-0000-0000-000004760000}"/>
    <cellStyle name="Total 3 2 2 3 2" xfId="30208" xr:uid="{00000000-0005-0000-0000-000005760000}"/>
    <cellStyle name="Total 3 2 2 3 3" xfId="30209" xr:uid="{00000000-0005-0000-0000-000006760000}"/>
    <cellStyle name="Total 3 2 2 4" xfId="30210" xr:uid="{00000000-0005-0000-0000-000007760000}"/>
    <cellStyle name="Total 3 2 2 5" xfId="30211" xr:uid="{00000000-0005-0000-0000-000008760000}"/>
    <cellStyle name="Total 3 2 2 6" xfId="30212" xr:uid="{00000000-0005-0000-0000-000009760000}"/>
    <cellStyle name="Total 3 2 2 7" xfId="30213" xr:uid="{00000000-0005-0000-0000-00000A760000}"/>
    <cellStyle name="Total 3 2 2 8" xfId="30214" xr:uid="{00000000-0005-0000-0000-00000B760000}"/>
    <cellStyle name="Total 3 2 2 9" xfId="30215" xr:uid="{00000000-0005-0000-0000-00000C760000}"/>
    <cellStyle name="Total 3 2 20" xfId="30216" xr:uid="{00000000-0005-0000-0000-00000D760000}"/>
    <cellStyle name="Total 3 2 21" xfId="30217" xr:uid="{00000000-0005-0000-0000-00000E760000}"/>
    <cellStyle name="Total 3 2 3" xfId="30218" xr:uid="{00000000-0005-0000-0000-00000F760000}"/>
    <cellStyle name="Total 3 2 3 10" xfId="30219" xr:uid="{00000000-0005-0000-0000-000010760000}"/>
    <cellStyle name="Total 3 2 3 11" xfId="30220" xr:uid="{00000000-0005-0000-0000-000011760000}"/>
    <cellStyle name="Total 3 2 3 12" xfId="30221" xr:uid="{00000000-0005-0000-0000-000012760000}"/>
    <cellStyle name="Total 3 2 3 13" xfId="30222" xr:uid="{00000000-0005-0000-0000-000013760000}"/>
    <cellStyle name="Total 3 2 3 14" xfId="30223" xr:uid="{00000000-0005-0000-0000-000014760000}"/>
    <cellStyle name="Total 3 2 3 15" xfId="30224" xr:uid="{00000000-0005-0000-0000-000015760000}"/>
    <cellStyle name="Total 3 2 3 16" xfId="30225" xr:uid="{00000000-0005-0000-0000-000016760000}"/>
    <cellStyle name="Total 3 2 3 17" xfId="30226" xr:uid="{00000000-0005-0000-0000-000017760000}"/>
    <cellStyle name="Total 3 2 3 18" xfId="30227" xr:uid="{00000000-0005-0000-0000-000018760000}"/>
    <cellStyle name="Total 3 2 3 19" xfId="30228" xr:uid="{00000000-0005-0000-0000-000019760000}"/>
    <cellStyle name="Total 3 2 3 2" xfId="30229" xr:uid="{00000000-0005-0000-0000-00001A760000}"/>
    <cellStyle name="Total 3 2 3 20" xfId="30230" xr:uid="{00000000-0005-0000-0000-00001B760000}"/>
    <cellStyle name="Total 3 2 3 21" xfId="30231" xr:uid="{00000000-0005-0000-0000-00001C760000}"/>
    <cellStyle name="Total 3 2 3 22" xfId="30232" xr:uid="{00000000-0005-0000-0000-00001D760000}"/>
    <cellStyle name="Total 3 2 3 23" xfId="30233" xr:uid="{00000000-0005-0000-0000-00001E760000}"/>
    <cellStyle name="Total 3 2 3 24" xfId="30234" xr:uid="{00000000-0005-0000-0000-00001F760000}"/>
    <cellStyle name="Total 3 2 3 25" xfId="30235" xr:uid="{00000000-0005-0000-0000-000020760000}"/>
    <cellStyle name="Total 3 2 3 26" xfId="30236" xr:uid="{00000000-0005-0000-0000-000021760000}"/>
    <cellStyle name="Total 3 2 3 27" xfId="30237" xr:uid="{00000000-0005-0000-0000-000022760000}"/>
    <cellStyle name="Total 3 2 3 28" xfId="30238" xr:uid="{00000000-0005-0000-0000-000023760000}"/>
    <cellStyle name="Total 3 2 3 29" xfId="30239" xr:uid="{00000000-0005-0000-0000-000024760000}"/>
    <cellStyle name="Total 3 2 3 3" xfId="30240" xr:uid="{00000000-0005-0000-0000-000025760000}"/>
    <cellStyle name="Total 3 2 3 30" xfId="30241" xr:uid="{00000000-0005-0000-0000-000026760000}"/>
    <cellStyle name="Total 3 2 3 31" xfId="30242" xr:uid="{00000000-0005-0000-0000-000027760000}"/>
    <cellStyle name="Total 3 2 3 32" xfId="30243" xr:uid="{00000000-0005-0000-0000-000028760000}"/>
    <cellStyle name="Total 3 2 3 33" xfId="30244" xr:uid="{00000000-0005-0000-0000-000029760000}"/>
    <cellStyle name="Total 3 2 3 34" xfId="30245" xr:uid="{00000000-0005-0000-0000-00002A760000}"/>
    <cellStyle name="Total 3 2 3 4" xfId="30246" xr:uid="{00000000-0005-0000-0000-00002B760000}"/>
    <cellStyle name="Total 3 2 3 5" xfId="30247" xr:uid="{00000000-0005-0000-0000-00002C760000}"/>
    <cellStyle name="Total 3 2 3 6" xfId="30248" xr:uid="{00000000-0005-0000-0000-00002D760000}"/>
    <cellStyle name="Total 3 2 3 7" xfId="30249" xr:uid="{00000000-0005-0000-0000-00002E760000}"/>
    <cellStyle name="Total 3 2 3 8" xfId="30250" xr:uid="{00000000-0005-0000-0000-00002F760000}"/>
    <cellStyle name="Total 3 2 3 9" xfId="30251" xr:uid="{00000000-0005-0000-0000-000030760000}"/>
    <cellStyle name="Total 3 2 4" xfId="30252" xr:uid="{00000000-0005-0000-0000-000031760000}"/>
    <cellStyle name="Total 3 2 4 2" xfId="30253" xr:uid="{00000000-0005-0000-0000-000032760000}"/>
    <cellStyle name="Total 3 2 4 3" xfId="30254" xr:uid="{00000000-0005-0000-0000-000033760000}"/>
    <cellStyle name="Total 3 2 5" xfId="30255" xr:uid="{00000000-0005-0000-0000-000034760000}"/>
    <cellStyle name="Total 3 2 6" xfId="30256" xr:uid="{00000000-0005-0000-0000-000035760000}"/>
    <cellStyle name="Total 3 2 7" xfId="30257" xr:uid="{00000000-0005-0000-0000-000036760000}"/>
    <cellStyle name="Total 3 2 8" xfId="30258" xr:uid="{00000000-0005-0000-0000-000037760000}"/>
    <cellStyle name="Total 3 2 9" xfId="30259" xr:uid="{00000000-0005-0000-0000-000038760000}"/>
    <cellStyle name="Total 3 20" xfId="30260" xr:uid="{00000000-0005-0000-0000-000039760000}"/>
    <cellStyle name="Total 3 21" xfId="30261" xr:uid="{00000000-0005-0000-0000-00003A760000}"/>
    <cellStyle name="Total 3 22" xfId="30262" xr:uid="{00000000-0005-0000-0000-00003B760000}"/>
    <cellStyle name="Total 3 3" xfId="30263" xr:uid="{00000000-0005-0000-0000-00003C760000}"/>
    <cellStyle name="Total 3 3 10" xfId="30264" xr:uid="{00000000-0005-0000-0000-00003D760000}"/>
    <cellStyle name="Total 3 3 11" xfId="30265" xr:uid="{00000000-0005-0000-0000-00003E760000}"/>
    <cellStyle name="Total 3 3 12" xfId="30266" xr:uid="{00000000-0005-0000-0000-00003F760000}"/>
    <cellStyle name="Total 3 3 13" xfId="30267" xr:uid="{00000000-0005-0000-0000-000040760000}"/>
    <cellStyle name="Total 3 3 14" xfId="30268" xr:uid="{00000000-0005-0000-0000-000041760000}"/>
    <cellStyle name="Total 3 3 15" xfId="30269" xr:uid="{00000000-0005-0000-0000-000042760000}"/>
    <cellStyle name="Total 3 3 16" xfId="30270" xr:uid="{00000000-0005-0000-0000-000043760000}"/>
    <cellStyle name="Total 3 3 17" xfId="30271" xr:uid="{00000000-0005-0000-0000-000044760000}"/>
    <cellStyle name="Total 3 3 18" xfId="30272" xr:uid="{00000000-0005-0000-0000-000045760000}"/>
    <cellStyle name="Total 3 3 19" xfId="30273" xr:uid="{00000000-0005-0000-0000-000046760000}"/>
    <cellStyle name="Total 3 3 2" xfId="30274" xr:uid="{00000000-0005-0000-0000-000047760000}"/>
    <cellStyle name="Total 3 3 2 10" xfId="30275" xr:uid="{00000000-0005-0000-0000-000048760000}"/>
    <cellStyle name="Total 3 3 2 11" xfId="30276" xr:uid="{00000000-0005-0000-0000-000049760000}"/>
    <cellStyle name="Total 3 3 2 12" xfId="30277" xr:uid="{00000000-0005-0000-0000-00004A760000}"/>
    <cellStyle name="Total 3 3 2 13" xfId="30278" xr:uid="{00000000-0005-0000-0000-00004B760000}"/>
    <cellStyle name="Total 3 3 2 14" xfId="30279" xr:uid="{00000000-0005-0000-0000-00004C760000}"/>
    <cellStyle name="Total 3 3 2 15" xfId="30280" xr:uid="{00000000-0005-0000-0000-00004D760000}"/>
    <cellStyle name="Total 3 3 2 16" xfId="30281" xr:uid="{00000000-0005-0000-0000-00004E760000}"/>
    <cellStyle name="Total 3 3 2 17" xfId="30282" xr:uid="{00000000-0005-0000-0000-00004F760000}"/>
    <cellStyle name="Total 3 3 2 18" xfId="30283" xr:uid="{00000000-0005-0000-0000-000050760000}"/>
    <cellStyle name="Total 3 3 2 19" xfId="30284" xr:uid="{00000000-0005-0000-0000-000051760000}"/>
    <cellStyle name="Total 3 3 2 2" xfId="30285" xr:uid="{00000000-0005-0000-0000-000052760000}"/>
    <cellStyle name="Total 3 3 2 20" xfId="30286" xr:uid="{00000000-0005-0000-0000-000053760000}"/>
    <cellStyle name="Total 3 3 2 21" xfId="30287" xr:uid="{00000000-0005-0000-0000-000054760000}"/>
    <cellStyle name="Total 3 3 2 22" xfId="30288" xr:uid="{00000000-0005-0000-0000-000055760000}"/>
    <cellStyle name="Total 3 3 2 23" xfId="30289" xr:uid="{00000000-0005-0000-0000-000056760000}"/>
    <cellStyle name="Total 3 3 2 24" xfId="30290" xr:uid="{00000000-0005-0000-0000-000057760000}"/>
    <cellStyle name="Total 3 3 2 25" xfId="30291" xr:uid="{00000000-0005-0000-0000-000058760000}"/>
    <cellStyle name="Total 3 3 2 26" xfId="30292" xr:uid="{00000000-0005-0000-0000-000059760000}"/>
    <cellStyle name="Total 3 3 2 27" xfId="30293" xr:uid="{00000000-0005-0000-0000-00005A760000}"/>
    <cellStyle name="Total 3 3 2 28" xfId="30294" xr:uid="{00000000-0005-0000-0000-00005B760000}"/>
    <cellStyle name="Total 3 3 2 29" xfId="30295" xr:uid="{00000000-0005-0000-0000-00005C760000}"/>
    <cellStyle name="Total 3 3 2 3" xfId="30296" xr:uid="{00000000-0005-0000-0000-00005D760000}"/>
    <cellStyle name="Total 3 3 2 30" xfId="30297" xr:uid="{00000000-0005-0000-0000-00005E760000}"/>
    <cellStyle name="Total 3 3 2 31" xfId="30298" xr:uid="{00000000-0005-0000-0000-00005F760000}"/>
    <cellStyle name="Total 3 3 2 32" xfId="30299" xr:uid="{00000000-0005-0000-0000-000060760000}"/>
    <cellStyle name="Total 3 3 2 33" xfId="30300" xr:uid="{00000000-0005-0000-0000-000061760000}"/>
    <cellStyle name="Total 3 3 2 34" xfId="30301" xr:uid="{00000000-0005-0000-0000-000062760000}"/>
    <cellStyle name="Total 3 3 2 4" xfId="30302" xr:uid="{00000000-0005-0000-0000-000063760000}"/>
    <cellStyle name="Total 3 3 2 5" xfId="30303" xr:uid="{00000000-0005-0000-0000-000064760000}"/>
    <cellStyle name="Total 3 3 2 6" xfId="30304" xr:uid="{00000000-0005-0000-0000-000065760000}"/>
    <cellStyle name="Total 3 3 2 7" xfId="30305" xr:uid="{00000000-0005-0000-0000-000066760000}"/>
    <cellStyle name="Total 3 3 2 8" xfId="30306" xr:uid="{00000000-0005-0000-0000-000067760000}"/>
    <cellStyle name="Total 3 3 2 9" xfId="30307" xr:uid="{00000000-0005-0000-0000-000068760000}"/>
    <cellStyle name="Total 3 3 20" xfId="30308" xr:uid="{00000000-0005-0000-0000-000069760000}"/>
    <cellStyle name="Total 3 3 3" xfId="30309" xr:uid="{00000000-0005-0000-0000-00006A760000}"/>
    <cellStyle name="Total 3 3 3 2" xfId="30310" xr:uid="{00000000-0005-0000-0000-00006B760000}"/>
    <cellStyle name="Total 3 3 3 3" xfId="30311" xr:uid="{00000000-0005-0000-0000-00006C760000}"/>
    <cellStyle name="Total 3 3 4" xfId="30312" xr:uid="{00000000-0005-0000-0000-00006D760000}"/>
    <cellStyle name="Total 3 3 5" xfId="30313" xr:uid="{00000000-0005-0000-0000-00006E760000}"/>
    <cellStyle name="Total 3 3 6" xfId="30314" xr:uid="{00000000-0005-0000-0000-00006F760000}"/>
    <cellStyle name="Total 3 3 7" xfId="30315" xr:uid="{00000000-0005-0000-0000-000070760000}"/>
    <cellStyle name="Total 3 3 8" xfId="30316" xr:uid="{00000000-0005-0000-0000-000071760000}"/>
    <cellStyle name="Total 3 3 9" xfId="30317" xr:uid="{00000000-0005-0000-0000-000072760000}"/>
    <cellStyle name="Total 3 4" xfId="30318" xr:uid="{00000000-0005-0000-0000-000073760000}"/>
    <cellStyle name="Total 3 4 10" xfId="30319" xr:uid="{00000000-0005-0000-0000-000074760000}"/>
    <cellStyle name="Total 3 4 11" xfId="30320" xr:uid="{00000000-0005-0000-0000-000075760000}"/>
    <cellStyle name="Total 3 4 12" xfId="30321" xr:uid="{00000000-0005-0000-0000-000076760000}"/>
    <cellStyle name="Total 3 4 13" xfId="30322" xr:uid="{00000000-0005-0000-0000-000077760000}"/>
    <cellStyle name="Total 3 4 14" xfId="30323" xr:uid="{00000000-0005-0000-0000-000078760000}"/>
    <cellStyle name="Total 3 4 15" xfId="30324" xr:uid="{00000000-0005-0000-0000-000079760000}"/>
    <cellStyle name="Total 3 4 16" xfId="30325" xr:uid="{00000000-0005-0000-0000-00007A760000}"/>
    <cellStyle name="Total 3 4 17" xfId="30326" xr:uid="{00000000-0005-0000-0000-00007B760000}"/>
    <cellStyle name="Total 3 4 18" xfId="30327" xr:uid="{00000000-0005-0000-0000-00007C760000}"/>
    <cellStyle name="Total 3 4 19" xfId="30328" xr:uid="{00000000-0005-0000-0000-00007D760000}"/>
    <cellStyle name="Total 3 4 2" xfId="30329" xr:uid="{00000000-0005-0000-0000-00007E760000}"/>
    <cellStyle name="Total 3 4 20" xfId="30330" xr:uid="{00000000-0005-0000-0000-00007F760000}"/>
    <cellStyle name="Total 3 4 21" xfId="30331" xr:uid="{00000000-0005-0000-0000-000080760000}"/>
    <cellStyle name="Total 3 4 22" xfId="30332" xr:uid="{00000000-0005-0000-0000-000081760000}"/>
    <cellStyle name="Total 3 4 23" xfId="30333" xr:uid="{00000000-0005-0000-0000-000082760000}"/>
    <cellStyle name="Total 3 4 24" xfId="30334" xr:uid="{00000000-0005-0000-0000-000083760000}"/>
    <cellStyle name="Total 3 4 25" xfId="30335" xr:uid="{00000000-0005-0000-0000-000084760000}"/>
    <cellStyle name="Total 3 4 26" xfId="30336" xr:uid="{00000000-0005-0000-0000-000085760000}"/>
    <cellStyle name="Total 3 4 27" xfId="30337" xr:uid="{00000000-0005-0000-0000-000086760000}"/>
    <cellStyle name="Total 3 4 28" xfId="30338" xr:uid="{00000000-0005-0000-0000-000087760000}"/>
    <cellStyle name="Total 3 4 29" xfId="30339" xr:uid="{00000000-0005-0000-0000-000088760000}"/>
    <cellStyle name="Total 3 4 3" xfId="30340" xr:uid="{00000000-0005-0000-0000-000089760000}"/>
    <cellStyle name="Total 3 4 30" xfId="30341" xr:uid="{00000000-0005-0000-0000-00008A760000}"/>
    <cellStyle name="Total 3 4 31" xfId="30342" xr:uid="{00000000-0005-0000-0000-00008B760000}"/>
    <cellStyle name="Total 3 4 32" xfId="30343" xr:uid="{00000000-0005-0000-0000-00008C760000}"/>
    <cellStyle name="Total 3 4 33" xfId="30344" xr:uid="{00000000-0005-0000-0000-00008D760000}"/>
    <cellStyle name="Total 3 4 34" xfId="30345" xr:uid="{00000000-0005-0000-0000-00008E760000}"/>
    <cellStyle name="Total 3 4 4" xfId="30346" xr:uid="{00000000-0005-0000-0000-00008F760000}"/>
    <cellStyle name="Total 3 4 5" xfId="30347" xr:uid="{00000000-0005-0000-0000-000090760000}"/>
    <cellStyle name="Total 3 4 6" xfId="30348" xr:uid="{00000000-0005-0000-0000-000091760000}"/>
    <cellStyle name="Total 3 4 7" xfId="30349" xr:uid="{00000000-0005-0000-0000-000092760000}"/>
    <cellStyle name="Total 3 4 8" xfId="30350" xr:uid="{00000000-0005-0000-0000-000093760000}"/>
    <cellStyle name="Total 3 4 9" xfId="30351" xr:uid="{00000000-0005-0000-0000-000094760000}"/>
    <cellStyle name="Total 3 5" xfId="30352" xr:uid="{00000000-0005-0000-0000-000095760000}"/>
    <cellStyle name="Total 3 5 2" xfId="30353" xr:uid="{00000000-0005-0000-0000-000096760000}"/>
    <cellStyle name="Total 3 5 3" xfId="30354" xr:uid="{00000000-0005-0000-0000-000097760000}"/>
    <cellStyle name="Total 3 6" xfId="30355" xr:uid="{00000000-0005-0000-0000-000098760000}"/>
    <cellStyle name="Total 3 7" xfId="30356" xr:uid="{00000000-0005-0000-0000-000099760000}"/>
    <cellStyle name="Total 3 8" xfId="30357" xr:uid="{00000000-0005-0000-0000-00009A760000}"/>
    <cellStyle name="Total 3 9" xfId="30358" xr:uid="{00000000-0005-0000-0000-00009B760000}"/>
    <cellStyle name="Total 4" xfId="30359" xr:uid="{00000000-0005-0000-0000-00009C760000}"/>
    <cellStyle name="Total 4 2" xfId="30360" xr:uid="{00000000-0005-0000-0000-00009D760000}"/>
    <cellStyle name="Total 4 2 2" xfId="30361" xr:uid="{00000000-0005-0000-0000-00009E760000}"/>
    <cellStyle name="Total 4 3" xfId="30362" xr:uid="{00000000-0005-0000-0000-00009F760000}"/>
    <cellStyle name="Total 4 3 10" xfId="30363" xr:uid="{00000000-0005-0000-0000-0000A0760000}"/>
    <cellStyle name="Total 4 3 11" xfId="30364" xr:uid="{00000000-0005-0000-0000-0000A1760000}"/>
    <cellStyle name="Total 4 3 12" xfId="30365" xr:uid="{00000000-0005-0000-0000-0000A2760000}"/>
    <cellStyle name="Total 4 3 13" xfId="30366" xr:uid="{00000000-0005-0000-0000-0000A3760000}"/>
    <cellStyle name="Total 4 3 14" xfId="30367" xr:uid="{00000000-0005-0000-0000-0000A4760000}"/>
    <cellStyle name="Total 4 3 15" xfId="30368" xr:uid="{00000000-0005-0000-0000-0000A5760000}"/>
    <cellStyle name="Total 4 3 16" xfId="30369" xr:uid="{00000000-0005-0000-0000-0000A6760000}"/>
    <cellStyle name="Total 4 3 17" xfId="30370" xr:uid="{00000000-0005-0000-0000-0000A7760000}"/>
    <cellStyle name="Total 4 3 18" xfId="30371" xr:uid="{00000000-0005-0000-0000-0000A8760000}"/>
    <cellStyle name="Total 4 3 19" xfId="30372" xr:uid="{00000000-0005-0000-0000-0000A9760000}"/>
    <cellStyle name="Total 4 3 2" xfId="30373" xr:uid="{00000000-0005-0000-0000-0000AA760000}"/>
    <cellStyle name="Total 4 3 2 10" xfId="30374" xr:uid="{00000000-0005-0000-0000-0000AB760000}"/>
    <cellStyle name="Total 4 3 2 11" xfId="30375" xr:uid="{00000000-0005-0000-0000-0000AC760000}"/>
    <cellStyle name="Total 4 3 2 12" xfId="30376" xr:uid="{00000000-0005-0000-0000-0000AD760000}"/>
    <cellStyle name="Total 4 3 2 13" xfId="30377" xr:uid="{00000000-0005-0000-0000-0000AE760000}"/>
    <cellStyle name="Total 4 3 2 14" xfId="30378" xr:uid="{00000000-0005-0000-0000-0000AF760000}"/>
    <cellStyle name="Total 4 3 2 15" xfId="30379" xr:uid="{00000000-0005-0000-0000-0000B0760000}"/>
    <cellStyle name="Total 4 3 2 16" xfId="30380" xr:uid="{00000000-0005-0000-0000-0000B1760000}"/>
    <cellStyle name="Total 4 3 2 17" xfId="30381" xr:uid="{00000000-0005-0000-0000-0000B2760000}"/>
    <cellStyle name="Total 4 3 2 18" xfId="30382" xr:uid="{00000000-0005-0000-0000-0000B3760000}"/>
    <cellStyle name="Total 4 3 2 19" xfId="30383" xr:uid="{00000000-0005-0000-0000-0000B4760000}"/>
    <cellStyle name="Total 4 3 2 2" xfId="30384" xr:uid="{00000000-0005-0000-0000-0000B5760000}"/>
    <cellStyle name="Total 4 3 2 20" xfId="30385" xr:uid="{00000000-0005-0000-0000-0000B6760000}"/>
    <cellStyle name="Total 4 3 2 21" xfId="30386" xr:uid="{00000000-0005-0000-0000-0000B7760000}"/>
    <cellStyle name="Total 4 3 2 22" xfId="30387" xr:uid="{00000000-0005-0000-0000-0000B8760000}"/>
    <cellStyle name="Total 4 3 2 23" xfId="30388" xr:uid="{00000000-0005-0000-0000-0000B9760000}"/>
    <cellStyle name="Total 4 3 2 24" xfId="30389" xr:uid="{00000000-0005-0000-0000-0000BA760000}"/>
    <cellStyle name="Total 4 3 2 25" xfId="30390" xr:uid="{00000000-0005-0000-0000-0000BB760000}"/>
    <cellStyle name="Total 4 3 2 26" xfId="30391" xr:uid="{00000000-0005-0000-0000-0000BC760000}"/>
    <cellStyle name="Total 4 3 2 27" xfId="30392" xr:uid="{00000000-0005-0000-0000-0000BD760000}"/>
    <cellStyle name="Total 4 3 2 28" xfId="30393" xr:uid="{00000000-0005-0000-0000-0000BE760000}"/>
    <cellStyle name="Total 4 3 2 29" xfId="30394" xr:uid="{00000000-0005-0000-0000-0000BF760000}"/>
    <cellStyle name="Total 4 3 2 3" xfId="30395" xr:uid="{00000000-0005-0000-0000-0000C0760000}"/>
    <cellStyle name="Total 4 3 2 30" xfId="30396" xr:uid="{00000000-0005-0000-0000-0000C1760000}"/>
    <cellStyle name="Total 4 3 2 31" xfId="30397" xr:uid="{00000000-0005-0000-0000-0000C2760000}"/>
    <cellStyle name="Total 4 3 2 32" xfId="30398" xr:uid="{00000000-0005-0000-0000-0000C3760000}"/>
    <cellStyle name="Total 4 3 2 33" xfId="30399" xr:uid="{00000000-0005-0000-0000-0000C4760000}"/>
    <cellStyle name="Total 4 3 2 34" xfId="30400" xr:uid="{00000000-0005-0000-0000-0000C5760000}"/>
    <cellStyle name="Total 4 3 2 4" xfId="30401" xr:uid="{00000000-0005-0000-0000-0000C6760000}"/>
    <cellStyle name="Total 4 3 2 5" xfId="30402" xr:uid="{00000000-0005-0000-0000-0000C7760000}"/>
    <cellStyle name="Total 4 3 2 6" xfId="30403" xr:uid="{00000000-0005-0000-0000-0000C8760000}"/>
    <cellStyle name="Total 4 3 2 7" xfId="30404" xr:uid="{00000000-0005-0000-0000-0000C9760000}"/>
    <cellStyle name="Total 4 3 2 8" xfId="30405" xr:uid="{00000000-0005-0000-0000-0000CA760000}"/>
    <cellStyle name="Total 4 3 2 9" xfId="30406" xr:uid="{00000000-0005-0000-0000-0000CB760000}"/>
    <cellStyle name="Total 4 3 20" xfId="30407" xr:uid="{00000000-0005-0000-0000-0000CC760000}"/>
    <cellStyle name="Total 4 3 3" xfId="30408" xr:uid="{00000000-0005-0000-0000-0000CD760000}"/>
    <cellStyle name="Total 4 3 3 2" xfId="30409" xr:uid="{00000000-0005-0000-0000-0000CE760000}"/>
    <cellStyle name="Total 4 3 3 3" xfId="30410" xr:uid="{00000000-0005-0000-0000-0000CF760000}"/>
    <cellStyle name="Total 4 3 4" xfId="30411" xr:uid="{00000000-0005-0000-0000-0000D0760000}"/>
    <cellStyle name="Total 4 3 5" xfId="30412" xr:uid="{00000000-0005-0000-0000-0000D1760000}"/>
    <cellStyle name="Total 4 3 6" xfId="30413" xr:uid="{00000000-0005-0000-0000-0000D2760000}"/>
    <cellStyle name="Total 4 3 7" xfId="30414" xr:uid="{00000000-0005-0000-0000-0000D3760000}"/>
    <cellStyle name="Total 4 3 8" xfId="30415" xr:uid="{00000000-0005-0000-0000-0000D4760000}"/>
    <cellStyle name="Total 4 3 9" xfId="30416" xr:uid="{00000000-0005-0000-0000-0000D5760000}"/>
    <cellStyle name="Total 5" xfId="30417" xr:uid="{00000000-0005-0000-0000-0000D6760000}"/>
    <cellStyle name="Total 5 10" xfId="30418" xr:uid="{00000000-0005-0000-0000-0000D7760000}"/>
    <cellStyle name="Total 5 11" xfId="30419" xr:uid="{00000000-0005-0000-0000-0000D8760000}"/>
    <cellStyle name="Total 5 12" xfId="30420" xr:uid="{00000000-0005-0000-0000-0000D9760000}"/>
    <cellStyle name="Total 5 13" xfId="30421" xr:uid="{00000000-0005-0000-0000-0000DA760000}"/>
    <cellStyle name="Total 5 14" xfId="30422" xr:uid="{00000000-0005-0000-0000-0000DB760000}"/>
    <cellStyle name="Total 5 15" xfId="30423" xr:uid="{00000000-0005-0000-0000-0000DC760000}"/>
    <cellStyle name="Total 5 16" xfId="30424" xr:uid="{00000000-0005-0000-0000-0000DD760000}"/>
    <cellStyle name="Total 5 17" xfId="30425" xr:uid="{00000000-0005-0000-0000-0000DE760000}"/>
    <cellStyle name="Total 5 18" xfId="30426" xr:uid="{00000000-0005-0000-0000-0000DF760000}"/>
    <cellStyle name="Total 5 19" xfId="30427" xr:uid="{00000000-0005-0000-0000-0000E0760000}"/>
    <cellStyle name="Total 5 2" xfId="30428" xr:uid="{00000000-0005-0000-0000-0000E1760000}"/>
    <cellStyle name="Total 5 2 10" xfId="30429" xr:uid="{00000000-0005-0000-0000-0000E2760000}"/>
    <cellStyle name="Total 5 2 11" xfId="30430" xr:uid="{00000000-0005-0000-0000-0000E3760000}"/>
    <cellStyle name="Total 5 2 12" xfId="30431" xr:uid="{00000000-0005-0000-0000-0000E4760000}"/>
    <cellStyle name="Total 5 2 13" xfId="30432" xr:uid="{00000000-0005-0000-0000-0000E5760000}"/>
    <cellStyle name="Total 5 2 14" xfId="30433" xr:uid="{00000000-0005-0000-0000-0000E6760000}"/>
    <cellStyle name="Total 5 2 15" xfId="30434" xr:uid="{00000000-0005-0000-0000-0000E7760000}"/>
    <cellStyle name="Total 5 2 16" xfId="30435" xr:uid="{00000000-0005-0000-0000-0000E8760000}"/>
    <cellStyle name="Total 5 2 17" xfId="30436" xr:uid="{00000000-0005-0000-0000-0000E9760000}"/>
    <cellStyle name="Total 5 2 18" xfId="30437" xr:uid="{00000000-0005-0000-0000-0000EA760000}"/>
    <cellStyle name="Total 5 2 19" xfId="30438" xr:uid="{00000000-0005-0000-0000-0000EB760000}"/>
    <cellStyle name="Total 5 2 2" xfId="30439" xr:uid="{00000000-0005-0000-0000-0000EC760000}"/>
    <cellStyle name="Total 5 2 2 10" xfId="30440" xr:uid="{00000000-0005-0000-0000-0000ED760000}"/>
    <cellStyle name="Total 5 2 2 11" xfId="30441" xr:uid="{00000000-0005-0000-0000-0000EE760000}"/>
    <cellStyle name="Total 5 2 2 12" xfId="30442" xr:uid="{00000000-0005-0000-0000-0000EF760000}"/>
    <cellStyle name="Total 5 2 2 13" xfId="30443" xr:uid="{00000000-0005-0000-0000-0000F0760000}"/>
    <cellStyle name="Total 5 2 2 14" xfId="30444" xr:uid="{00000000-0005-0000-0000-0000F1760000}"/>
    <cellStyle name="Total 5 2 2 15" xfId="30445" xr:uid="{00000000-0005-0000-0000-0000F2760000}"/>
    <cellStyle name="Total 5 2 2 16" xfId="30446" xr:uid="{00000000-0005-0000-0000-0000F3760000}"/>
    <cellStyle name="Total 5 2 2 17" xfId="30447" xr:uid="{00000000-0005-0000-0000-0000F4760000}"/>
    <cellStyle name="Total 5 2 2 18" xfId="30448" xr:uid="{00000000-0005-0000-0000-0000F5760000}"/>
    <cellStyle name="Total 5 2 2 19" xfId="30449" xr:uid="{00000000-0005-0000-0000-0000F6760000}"/>
    <cellStyle name="Total 5 2 2 2" xfId="30450" xr:uid="{00000000-0005-0000-0000-0000F7760000}"/>
    <cellStyle name="Total 5 2 2 20" xfId="30451" xr:uid="{00000000-0005-0000-0000-0000F8760000}"/>
    <cellStyle name="Total 5 2 2 21" xfId="30452" xr:uid="{00000000-0005-0000-0000-0000F9760000}"/>
    <cellStyle name="Total 5 2 2 22" xfId="30453" xr:uid="{00000000-0005-0000-0000-0000FA760000}"/>
    <cellStyle name="Total 5 2 2 23" xfId="30454" xr:uid="{00000000-0005-0000-0000-0000FB760000}"/>
    <cellStyle name="Total 5 2 2 24" xfId="30455" xr:uid="{00000000-0005-0000-0000-0000FC760000}"/>
    <cellStyle name="Total 5 2 2 25" xfId="30456" xr:uid="{00000000-0005-0000-0000-0000FD760000}"/>
    <cellStyle name="Total 5 2 2 26" xfId="30457" xr:uid="{00000000-0005-0000-0000-0000FE760000}"/>
    <cellStyle name="Total 5 2 2 27" xfId="30458" xr:uid="{00000000-0005-0000-0000-0000FF760000}"/>
    <cellStyle name="Total 5 2 2 28" xfId="30459" xr:uid="{00000000-0005-0000-0000-000000770000}"/>
    <cellStyle name="Total 5 2 2 29" xfId="30460" xr:uid="{00000000-0005-0000-0000-000001770000}"/>
    <cellStyle name="Total 5 2 2 3" xfId="30461" xr:uid="{00000000-0005-0000-0000-000002770000}"/>
    <cellStyle name="Total 5 2 2 30" xfId="30462" xr:uid="{00000000-0005-0000-0000-000003770000}"/>
    <cellStyle name="Total 5 2 2 31" xfId="30463" xr:uid="{00000000-0005-0000-0000-000004770000}"/>
    <cellStyle name="Total 5 2 2 32" xfId="30464" xr:uid="{00000000-0005-0000-0000-000005770000}"/>
    <cellStyle name="Total 5 2 2 33" xfId="30465" xr:uid="{00000000-0005-0000-0000-000006770000}"/>
    <cellStyle name="Total 5 2 2 34" xfId="30466" xr:uid="{00000000-0005-0000-0000-000007770000}"/>
    <cellStyle name="Total 5 2 2 4" xfId="30467" xr:uid="{00000000-0005-0000-0000-000008770000}"/>
    <cellStyle name="Total 5 2 2 5" xfId="30468" xr:uid="{00000000-0005-0000-0000-000009770000}"/>
    <cellStyle name="Total 5 2 2 6" xfId="30469" xr:uid="{00000000-0005-0000-0000-00000A770000}"/>
    <cellStyle name="Total 5 2 2 7" xfId="30470" xr:uid="{00000000-0005-0000-0000-00000B770000}"/>
    <cellStyle name="Total 5 2 2 8" xfId="30471" xr:uid="{00000000-0005-0000-0000-00000C770000}"/>
    <cellStyle name="Total 5 2 2 9" xfId="30472" xr:uid="{00000000-0005-0000-0000-00000D770000}"/>
    <cellStyle name="Total 5 2 20" xfId="30473" xr:uid="{00000000-0005-0000-0000-00000E770000}"/>
    <cellStyle name="Total 5 2 3" xfId="30474" xr:uid="{00000000-0005-0000-0000-00000F770000}"/>
    <cellStyle name="Total 5 2 3 2" xfId="30475" xr:uid="{00000000-0005-0000-0000-000010770000}"/>
    <cellStyle name="Total 5 2 3 3" xfId="30476" xr:uid="{00000000-0005-0000-0000-000011770000}"/>
    <cellStyle name="Total 5 2 4" xfId="30477" xr:uid="{00000000-0005-0000-0000-000012770000}"/>
    <cellStyle name="Total 5 2 5" xfId="30478" xr:uid="{00000000-0005-0000-0000-000013770000}"/>
    <cellStyle name="Total 5 2 6" xfId="30479" xr:uid="{00000000-0005-0000-0000-000014770000}"/>
    <cellStyle name="Total 5 2 7" xfId="30480" xr:uid="{00000000-0005-0000-0000-000015770000}"/>
    <cellStyle name="Total 5 2 8" xfId="30481" xr:uid="{00000000-0005-0000-0000-000016770000}"/>
    <cellStyle name="Total 5 2 9" xfId="30482" xr:uid="{00000000-0005-0000-0000-000017770000}"/>
    <cellStyle name="Total 5 20" xfId="30483" xr:uid="{00000000-0005-0000-0000-000018770000}"/>
    <cellStyle name="Total 5 21" xfId="30484" xr:uid="{00000000-0005-0000-0000-000019770000}"/>
    <cellStyle name="Total 5 3" xfId="30485" xr:uid="{00000000-0005-0000-0000-00001A770000}"/>
    <cellStyle name="Total 5 3 10" xfId="30486" xr:uid="{00000000-0005-0000-0000-00001B770000}"/>
    <cellStyle name="Total 5 3 11" xfId="30487" xr:uid="{00000000-0005-0000-0000-00001C770000}"/>
    <cellStyle name="Total 5 3 12" xfId="30488" xr:uid="{00000000-0005-0000-0000-00001D770000}"/>
    <cellStyle name="Total 5 3 13" xfId="30489" xr:uid="{00000000-0005-0000-0000-00001E770000}"/>
    <cellStyle name="Total 5 3 14" xfId="30490" xr:uid="{00000000-0005-0000-0000-00001F770000}"/>
    <cellStyle name="Total 5 3 15" xfId="30491" xr:uid="{00000000-0005-0000-0000-000020770000}"/>
    <cellStyle name="Total 5 3 16" xfId="30492" xr:uid="{00000000-0005-0000-0000-000021770000}"/>
    <cellStyle name="Total 5 3 17" xfId="30493" xr:uid="{00000000-0005-0000-0000-000022770000}"/>
    <cellStyle name="Total 5 3 18" xfId="30494" xr:uid="{00000000-0005-0000-0000-000023770000}"/>
    <cellStyle name="Total 5 3 19" xfId="30495" xr:uid="{00000000-0005-0000-0000-000024770000}"/>
    <cellStyle name="Total 5 3 2" xfId="30496" xr:uid="{00000000-0005-0000-0000-000025770000}"/>
    <cellStyle name="Total 5 3 20" xfId="30497" xr:uid="{00000000-0005-0000-0000-000026770000}"/>
    <cellStyle name="Total 5 3 21" xfId="30498" xr:uid="{00000000-0005-0000-0000-000027770000}"/>
    <cellStyle name="Total 5 3 22" xfId="30499" xr:uid="{00000000-0005-0000-0000-000028770000}"/>
    <cellStyle name="Total 5 3 23" xfId="30500" xr:uid="{00000000-0005-0000-0000-000029770000}"/>
    <cellStyle name="Total 5 3 24" xfId="30501" xr:uid="{00000000-0005-0000-0000-00002A770000}"/>
    <cellStyle name="Total 5 3 25" xfId="30502" xr:uid="{00000000-0005-0000-0000-00002B770000}"/>
    <cellStyle name="Total 5 3 26" xfId="30503" xr:uid="{00000000-0005-0000-0000-00002C770000}"/>
    <cellStyle name="Total 5 3 27" xfId="30504" xr:uid="{00000000-0005-0000-0000-00002D770000}"/>
    <cellStyle name="Total 5 3 28" xfId="30505" xr:uid="{00000000-0005-0000-0000-00002E770000}"/>
    <cellStyle name="Total 5 3 29" xfId="30506" xr:uid="{00000000-0005-0000-0000-00002F770000}"/>
    <cellStyle name="Total 5 3 3" xfId="30507" xr:uid="{00000000-0005-0000-0000-000030770000}"/>
    <cellStyle name="Total 5 3 30" xfId="30508" xr:uid="{00000000-0005-0000-0000-000031770000}"/>
    <cellStyle name="Total 5 3 31" xfId="30509" xr:uid="{00000000-0005-0000-0000-000032770000}"/>
    <cellStyle name="Total 5 3 32" xfId="30510" xr:uid="{00000000-0005-0000-0000-000033770000}"/>
    <cellStyle name="Total 5 3 33" xfId="30511" xr:uid="{00000000-0005-0000-0000-000034770000}"/>
    <cellStyle name="Total 5 3 34" xfId="30512" xr:uid="{00000000-0005-0000-0000-000035770000}"/>
    <cellStyle name="Total 5 3 4" xfId="30513" xr:uid="{00000000-0005-0000-0000-000036770000}"/>
    <cellStyle name="Total 5 3 5" xfId="30514" xr:uid="{00000000-0005-0000-0000-000037770000}"/>
    <cellStyle name="Total 5 3 6" xfId="30515" xr:uid="{00000000-0005-0000-0000-000038770000}"/>
    <cellStyle name="Total 5 3 7" xfId="30516" xr:uid="{00000000-0005-0000-0000-000039770000}"/>
    <cellStyle name="Total 5 3 8" xfId="30517" xr:uid="{00000000-0005-0000-0000-00003A770000}"/>
    <cellStyle name="Total 5 3 9" xfId="30518" xr:uid="{00000000-0005-0000-0000-00003B770000}"/>
    <cellStyle name="Total 5 4" xfId="30519" xr:uid="{00000000-0005-0000-0000-00003C770000}"/>
    <cellStyle name="Total 5 4 2" xfId="30520" xr:uid="{00000000-0005-0000-0000-00003D770000}"/>
    <cellStyle name="Total 5 4 3" xfId="30521" xr:uid="{00000000-0005-0000-0000-00003E770000}"/>
    <cellStyle name="Total 5 5" xfId="30522" xr:uid="{00000000-0005-0000-0000-00003F770000}"/>
    <cellStyle name="Total 5 6" xfId="30523" xr:uid="{00000000-0005-0000-0000-000040770000}"/>
    <cellStyle name="Total 5 7" xfId="30524" xr:uid="{00000000-0005-0000-0000-000041770000}"/>
    <cellStyle name="Total 5 8" xfId="30525" xr:uid="{00000000-0005-0000-0000-000042770000}"/>
    <cellStyle name="Total 5 9" xfId="30526" xr:uid="{00000000-0005-0000-0000-000043770000}"/>
    <cellStyle name="Total 6" xfId="30527" xr:uid="{00000000-0005-0000-0000-000044770000}"/>
    <cellStyle name="Total 6 10" xfId="30528" xr:uid="{00000000-0005-0000-0000-000045770000}"/>
    <cellStyle name="Total 6 11" xfId="30529" xr:uid="{00000000-0005-0000-0000-000046770000}"/>
    <cellStyle name="Total 6 12" xfId="30530" xr:uid="{00000000-0005-0000-0000-000047770000}"/>
    <cellStyle name="Total 6 13" xfId="30531" xr:uid="{00000000-0005-0000-0000-000048770000}"/>
    <cellStyle name="Total 6 14" xfId="30532" xr:uid="{00000000-0005-0000-0000-000049770000}"/>
    <cellStyle name="Total 6 15" xfId="30533" xr:uid="{00000000-0005-0000-0000-00004A770000}"/>
    <cellStyle name="Total 6 16" xfId="30534" xr:uid="{00000000-0005-0000-0000-00004B770000}"/>
    <cellStyle name="Total 6 17" xfId="30535" xr:uid="{00000000-0005-0000-0000-00004C770000}"/>
    <cellStyle name="Total 6 18" xfId="30536" xr:uid="{00000000-0005-0000-0000-00004D770000}"/>
    <cellStyle name="Total 6 19" xfId="30537" xr:uid="{00000000-0005-0000-0000-00004E770000}"/>
    <cellStyle name="Total 6 2" xfId="30538" xr:uid="{00000000-0005-0000-0000-00004F770000}"/>
    <cellStyle name="Total 6 2 10" xfId="30539" xr:uid="{00000000-0005-0000-0000-000050770000}"/>
    <cellStyle name="Total 6 2 11" xfId="30540" xr:uid="{00000000-0005-0000-0000-000051770000}"/>
    <cellStyle name="Total 6 2 12" xfId="30541" xr:uid="{00000000-0005-0000-0000-000052770000}"/>
    <cellStyle name="Total 6 2 13" xfId="30542" xr:uid="{00000000-0005-0000-0000-000053770000}"/>
    <cellStyle name="Total 6 2 14" xfId="30543" xr:uid="{00000000-0005-0000-0000-000054770000}"/>
    <cellStyle name="Total 6 2 15" xfId="30544" xr:uid="{00000000-0005-0000-0000-000055770000}"/>
    <cellStyle name="Total 6 2 16" xfId="30545" xr:uid="{00000000-0005-0000-0000-000056770000}"/>
    <cellStyle name="Total 6 2 17" xfId="30546" xr:uid="{00000000-0005-0000-0000-000057770000}"/>
    <cellStyle name="Total 6 2 18" xfId="30547" xr:uid="{00000000-0005-0000-0000-000058770000}"/>
    <cellStyle name="Total 6 2 19" xfId="30548" xr:uid="{00000000-0005-0000-0000-000059770000}"/>
    <cellStyle name="Total 6 2 2" xfId="30549" xr:uid="{00000000-0005-0000-0000-00005A770000}"/>
    <cellStyle name="Total 6 2 2 10" xfId="30550" xr:uid="{00000000-0005-0000-0000-00005B770000}"/>
    <cellStyle name="Total 6 2 2 11" xfId="30551" xr:uid="{00000000-0005-0000-0000-00005C770000}"/>
    <cellStyle name="Total 6 2 2 12" xfId="30552" xr:uid="{00000000-0005-0000-0000-00005D770000}"/>
    <cellStyle name="Total 6 2 2 13" xfId="30553" xr:uid="{00000000-0005-0000-0000-00005E770000}"/>
    <cellStyle name="Total 6 2 2 14" xfId="30554" xr:uid="{00000000-0005-0000-0000-00005F770000}"/>
    <cellStyle name="Total 6 2 2 15" xfId="30555" xr:uid="{00000000-0005-0000-0000-000060770000}"/>
    <cellStyle name="Total 6 2 2 16" xfId="30556" xr:uid="{00000000-0005-0000-0000-000061770000}"/>
    <cellStyle name="Total 6 2 2 17" xfId="30557" xr:uid="{00000000-0005-0000-0000-000062770000}"/>
    <cellStyle name="Total 6 2 2 18" xfId="30558" xr:uid="{00000000-0005-0000-0000-000063770000}"/>
    <cellStyle name="Total 6 2 2 19" xfId="30559" xr:uid="{00000000-0005-0000-0000-000064770000}"/>
    <cellStyle name="Total 6 2 2 2" xfId="30560" xr:uid="{00000000-0005-0000-0000-000065770000}"/>
    <cellStyle name="Total 6 2 2 20" xfId="30561" xr:uid="{00000000-0005-0000-0000-000066770000}"/>
    <cellStyle name="Total 6 2 2 21" xfId="30562" xr:uid="{00000000-0005-0000-0000-000067770000}"/>
    <cellStyle name="Total 6 2 2 22" xfId="30563" xr:uid="{00000000-0005-0000-0000-000068770000}"/>
    <cellStyle name="Total 6 2 2 23" xfId="30564" xr:uid="{00000000-0005-0000-0000-000069770000}"/>
    <cellStyle name="Total 6 2 2 24" xfId="30565" xr:uid="{00000000-0005-0000-0000-00006A770000}"/>
    <cellStyle name="Total 6 2 2 25" xfId="30566" xr:uid="{00000000-0005-0000-0000-00006B770000}"/>
    <cellStyle name="Total 6 2 2 26" xfId="30567" xr:uid="{00000000-0005-0000-0000-00006C770000}"/>
    <cellStyle name="Total 6 2 2 27" xfId="30568" xr:uid="{00000000-0005-0000-0000-00006D770000}"/>
    <cellStyle name="Total 6 2 2 28" xfId="30569" xr:uid="{00000000-0005-0000-0000-00006E770000}"/>
    <cellStyle name="Total 6 2 2 29" xfId="30570" xr:uid="{00000000-0005-0000-0000-00006F770000}"/>
    <cellStyle name="Total 6 2 2 3" xfId="30571" xr:uid="{00000000-0005-0000-0000-000070770000}"/>
    <cellStyle name="Total 6 2 2 30" xfId="30572" xr:uid="{00000000-0005-0000-0000-000071770000}"/>
    <cellStyle name="Total 6 2 2 31" xfId="30573" xr:uid="{00000000-0005-0000-0000-000072770000}"/>
    <cellStyle name="Total 6 2 2 32" xfId="30574" xr:uid="{00000000-0005-0000-0000-000073770000}"/>
    <cellStyle name="Total 6 2 2 33" xfId="30575" xr:uid="{00000000-0005-0000-0000-000074770000}"/>
    <cellStyle name="Total 6 2 2 34" xfId="30576" xr:uid="{00000000-0005-0000-0000-000075770000}"/>
    <cellStyle name="Total 6 2 2 4" xfId="30577" xr:uid="{00000000-0005-0000-0000-000076770000}"/>
    <cellStyle name="Total 6 2 2 5" xfId="30578" xr:uid="{00000000-0005-0000-0000-000077770000}"/>
    <cellStyle name="Total 6 2 2 6" xfId="30579" xr:uid="{00000000-0005-0000-0000-000078770000}"/>
    <cellStyle name="Total 6 2 2 7" xfId="30580" xr:uid="{00000000-0005-0000-0000-000079770000}"/>
    <cellStyle name="Total 6 2 2 8" xfId="30581" xr:uid="{00000000-0005-0000-0000-00007A770000}"/>
    <cellStyle name="Total 6 2 2 9" xfId="30582" xr:uid="{00000000-0005-0000-0000-00007B770000}"/>
    <cellStyle name="Total 6 2 20" xfId="30583" xr:uid="{00000000-0005-0000-0000-00007C770000}"/>
    <cellStyle name="Total 6 2 3" xfId="30584" xr:uid="{00000000-0005-0000-0000-00007D770000}"/>
    <cellStyle name="Total 6 2 3 2" xfId="30585" xr:uid="{00000000-0005-0000-0000-00007E770000}"/>
    <cellStyle name="Total 6 2 3 3" xfId="30586" xr:uid="{00000000-0005-0000-0000-00007F770000}"/>
    <cellStyle name="Total 6 2 4" xfId="30587" xr:uid="{00000000-0005-0000-0000-000080770000}"/>
    <cellStyle name="Total 6 2 5" xfId="30588" xr:uid="{00000000-0005-0000-0000-000081770000}"/>
    <cellStyle name="Total 6 2 6" xfId="30589" xr:uid="{00000000-0005-0000-0000-000082770000}"/>
    <cellStyle name="Total 6 2 7" xfId="30590" xr:uid="{00000000-0005-0000-0000-000083770000}"/>
    <cellStyle name="Total 6 2 8" xfId="30591" xr:uid="{00000000-0005-0000-0000-000084770000}"/>
    <cellStyle name="Total 6 2 9" xfId="30592" xr:uid="{00000000-0005-0000-0000-000085770000}"/>
    <cellStyle name="Total 6 20" xfId="30593" xr:uid="{00000000-0005-0000-0000-000086770000}"/>
    <cellStyle name="Total 6 21" xfId="30594" xr:uid="{00000000-0005-0000-0000-000087770000}"/>
    <cellStyle name="Total 6 3" xfId="30595" xr:uid="{00000000-0005-0000-0000-000088770000}"/>
    <cellStyle name="Total 6 3 10" xfId="30596" xr:uid="{00000000-0005-0000-0000-000089770000}"/>
    <cellStyle name="Total 6 3 11" xfId="30597" xr:uid="{00000000-0005-0000-0000-00008A770000}"/>
    <cellStyle name="Total 6 3 12" xfId="30598" xr:uid="{00000000-0005-0000-0000-00008B770000}"/>
    <cellStyle name="Total 6 3 13" xfId="30599" xr:uid="{00000000-0005-0000-0000-00008C770000}"/>
    <cellStyle name="Total 6 3 14" xfId="30600" xr:uid="{00000000-0005-0000-0000-00008D770000}"/>
    <cellStyle name="Total 6 3 15" xfId="30601" xr:uid="{00000000-0005-0000-0000-00008E770000}"/>
    <cellStyle name="Total 6 3 16" xfId="30602" xr:uid="{00000000-0005-0000-0000-00008F770000}"/>
    <cellStyle name="Total 6 3 17" xfId="30603" xr:uid="{00000000-0005-0000-0000-000090770000}"/>
    <cellStyle name="Total 6 3 18" xfId="30604" xr:uid="{00000000-0005-0000-0000-000091770000}"/>
    <cellStyle name="Total 6 3 19" xfId="30605" xr:uid="{00000000-0005-0000-0000-000092770000}"/>
    <cellStyle name="Total 6 3 2" xfId="30606" xr:uid="{00000000-0005-0000-0000-000093770000}"/>
    <cellStyle name="Total 6 3 20" xfId="30607" xr:uid="{00000000-0005-0000-0000-000094770000}"/>
    <cellStyle name="Total 6 3 21" xfId="30608" xr:uid="{00000000-0005-0000-0000-000095770000}"/>
    <cellStyle name="Total 6 3 22" xfId="30609" xr:uid="{00000000-0005-0000-0000-000096770000}"/>
    <cellStyle name="Total 6 3 23" xfId="30610" xr:uid="{00000000-0005-0000-0000-000097770000}"/>
    <cellStyle name="Total 6 3 24" xfId="30611" xr:uid="{00000000-0005-0000-0000-000098770000}"/>
    <cellStyle name="Total 6 3 25" xfId="30612" xr:uid="{00000000-0005-0000-0000-000099770000}"/>
    <cellStyle name="Total 6 3 26" xfId="30613" xr:uid="{00000000-0005-0000-0000-00009A770000}"/>
    <cellStyle name="Total 6 3 27" xfId="30614" xr:uid="{00000000-0005-0000-0000-00009B770000}"/>
    <cellStyle name="Total 6 3 28" xfId="30615" xr:uid="{00000000-0005-0000-0000-00009C770000}"/>
    <cellStyle name="Total 6 3 29" xfId="30616" xr:uid="{00000000-0005-0000-0000-00009D770000}"/>
    <cellStyle name="Total 6 3 3" xfId="30617" xr:uid="{00000000-0005-0000-0000-00009E770000}"/>
    <cellStyle name="Total 6 3 30" xfId="30618" xr:uid="{00000000-0005-0000-0000-00009F770000}"/>
    <cellStyle name="Total 6 3 31" xfId="30619" xr:uid="{00000000-0005-0000-0000-0000A0770000}"/>
    <cellStyle name="Total 6 3 32" xfId="30620" xr:uid="{00000000-0005-0000-0000-0000A1770000}"/>
    <cellStyle name="Total 6 3 33" xfId="30621" xr:uid="{00000000-0005-0000-0000-0000A2770000}"/>
    <cellStyle name="Total 6 3 34" xfId="30622" xr:uid="{00000000-0005-0000-0000-0000A3770000}"/>
    <cellStyle name="Total 6 3 4" xfId="30623" xr:uid="{00000000-0005-0000-0000-0000A4770000}"/>
    <cellStyle name="Total 6 3 5" xfId="30624" xr:uid="{00000000-0005-0000-0000-0000A5770000}"/>
    <cellStyle name="Total 6 3 6" xfId="30625" xr:uid="{00000000-0005-0000-0000-0000A6770000}"/>
    <cellStyle name="Total 6 3 7" xfId="30626" xr:uid="{00000000-0005-0000-0000-0000A7770000}"/>
    <cellStyle name="Total 6 3 8" xfId="30627" xr:uid="{00000000-0005-0000-0000-0000A8770000}"/>
    <cellStyle name="Total 6 3 9" xfId="30628" xr:uid="{00000000-0005-0000-0000-0000A9770000}"/>
    <cellStyle name="Total 6 4" xfId="30629" xr:uid="{00000000-0005-0000-0000-0000AA770000}"/>
    <cellStyle name="Total 6 4 2" xfId="30630" xr:uid="{00000000-0005-0000-0000-0000AB770000}"/>
    <cellStyle name="Total 6 4 3" xfId="30631" xr:uid="{00000000-0005-0000-0000-0000AC770000}"/>
    <cellStyle name="Total 6 5" xfId="30632" xr:uid="{00000000-0005-0000-0000-0000AD770000}"/>
    <cellStyle name="Total 6 6" xfId="30633" xr:uid="{00000000-0005-0000-0000-0000AE770000}"/>
    <cellStyle name="Total 6 7" xfId="30634" xr:uid="{00000000-0005-0000-0000-0000AF770000}"/>
    <cellStyle name="Total 6 8" xfId="30635" xr:uid="{00000000-0005-0000-0000-0000B0770000}"/>
    <cellStyle name="Total 6 9" xfId="30636" xr:uid="{00000000-0005-0000-0000-0000B1770000}"/>
    <cellStyle name="Total 7" xfId="30637" xr:uid="{00000000-0005-0000-0000-0000B2770000}"/>
    <cellStyle name="Total 7 2" xfId="30638" xr:uid="{00000000-0005-0000-0000-0000B3770000}"/>
    <cellStyle name="Total 8" xfId="30639" xr:uid="{00000000-0005-0000-0000-0000B4770000}"/>
    <cellStyle name="Total 8 2" xfId="30640" xr:uid="{00000000-0005-0000-0000-0000B5770000}"/>
    <cellStyle name="Total 9" xfId="30641" xr:uid="{00000000-0005-0000-0000-0000B6770000}"/>
    <cellStyle name="Total 9 2" xfId="30642" xr:uid="{00000000-0005-0000-0000-0000B7770000}"/>
    <cellStyle name="Total row" xfId="30643" xr:uid="{00000000-0005-0000-0000-0000B8770000}"/>
    <cellStyle name="Transfer_same_sheet" xfId="30644" xr:uid="{00000000-0005-0000-0000-0000B9770000}"/>
    <cellStyle name="Tusenskille_Ark1" xfId="30645" xr:uid="{00000000-0005-0000-0000-0000BA770000}"/>
    <cellStyle name="Tusental (0)_Technical Sheet" xfId="30646" xr:uid="{00000000-0005-0000-0000-0000BB770000}"/>
    <cellStyle name="Tusental_A-listan (fixad)" xfId="30647" xr:uid="{00000000-0005-0000-0000-0000BC770000}"/>
    <cellStyle name="Überschrift 1" xfId="30648" xr:uid="{00000000-0005-0000-0000-0000BD770000}"/>
    <cellStyle name="Überschrift 1 2" xfId="30649" xr:uid="{00000000-0005-0000-0000-0000BE770000}"/>
    <cellStyle name="Überschrift 1 2 2" xfId="30650" xr:uid="{00000000-0005-0000-0000-0000BF770000}"/>
    <cellStyle name="Überschrift 1 2 2 2" xfId="30651" xr:uid="{00000000-0005-0000-0000-0000C0770000}"/>
    <cellStyle name="Überschrift 1 2 3" xfId="30652" xr:uid="{00000000-0005-0000-0000-0000C1770000}"/>
    <cellStyle name="Überschrift 1 3" xfId="30653" xr:uid="{00000000-0005-0000-0000-0000C2770000}"/>
    <cellStyle name="Überschrift 1 3 2" xfId="30654" xr:uid="{00000000-0005-0000-0000-0000C3770000}"/>
    <cellStyle name="Überschrift 1 4" xfId="30655" xr:uid="{00000000-0005-0000-0000-0000C4770000}"/>
    <cellStyle name="Überschrift 1 4 2" xfId="30656" xr:uid="{00000000-0005-0000-0000-0000C5770000}"/>
    <cellStyle name="Überschrift 1 5" xfId="30657" xr:uid="{00000000-0005-0000-0000-0000C6770000}"/>
    <cellStyle name="Überschrift 1 5 2" xfId="30658" xr:uid="{00000000-0005-0000-0000-0000C7770000}"/>
    <cellStyle name="Überschrift 1 6" xfId="30659" xr:uid="{00000000-0005-0000-0000-0000C8770000}"/>
    <cellStyle name="Überschrift 1 6 2" xfId="30660" xr:uid="{00000000-0005-0000-0000-0000C9770000}"/>
    <cellStyle name="Überschrift 1 7" xfId="30661" xr:uid="{00000000-0005-0000-0000-0000CA770000}"/>
    <cellStyle name="Überschrift 1 7 2" xfId="30662" xr:uid="{00000000-0005-0000-0000-0000CB770000}"/>
    <cellStyle name="Überschrift 1 8" xfId="30663" xr:uid="{00000000-0005-0000-0000-0000CC770000}"/>
    <cellStyle name="Überschrift 2" xfId="30664" xr:uid="{00000000-0005-0000-0000-0000CD770000}"/>
    <cellStyle name="Überschrift 2 10" xfId="30665" xr:uid="{00000000-0005-0000-0000-0000CE770000}"/>
    <cellStyle name="Überschrift 2 10 2" xfId="30666" xr:uid="{00000000-0005-0000-0000-0000CF770000}"/>
    <cellStyle name="Überschrift 2 11" xfId="30667" xr:uid="{00000000-0005-0000-0000-0000D0770000}"/>
    <cellStyle name="Überschrift 2 2" xfId="30668" xr:uid="{00000000-0005-0000-0000-0000D1770000}"/>
    <cellStyle name="Überschrift 2 2 2" xfId="30669" xr:uid="{00000000-0005-0000-0000-0000D2770000}"/>
    <cellStyle name="Überschrift 2 3" xfId="30670" xr:uid="{00000000-0005-0000-0000-0000D3770000}"/>
    <cellStyle name="Überschrift 2 3 2" xfId="30671" xr:uid="{00000000-0005-0000-0000-0000D4770000}"/>
    <cellStyle name="Überschrift 2 4" xfId="30672" xr:uid="{00000000-0005-0000-0000-0000D5770000}"/>
    <cellStyle name="Überschrift 2 4 2" xfId="30673" xr:uid="{00000000-0005-0000-0000-0000D6770000}"/>
    <cellStyle name="Überschrift 2 5" xfId="30674" xr:uid="{00000000-0005-0000-0000-0000D7770000}"/>
    <cellStyle name="Überschrift 2 5 2" xfId="30675" xr:uid="{00000000-0005-0000-0000-0000D8770000}"/>
    <cellStyle name="Überschrift 2 5 2 2" xfId="30676" xr:uid="{00000000-0005-0000-0000-0000D9770000}"/>
    <cellStyle name="Überschrift 2 5 3" xfId="30677" xr:uid="{00000000-0005-0000-0000-0000DA770000}"/>
    <cellStyle name="Überschrift 2 6" xfId="30678" xr:uid="{00000000-0005-0000-0000-0000DB770000}"/>
    <cellStyle name="Überschrift 2 6 2" xfId="30679" xr:uid="{00000000-0005-0000-0000-0000DC770000}"/>
    <cellStyle name="Überschrift 2 7" xfId="30680" xr:uid="{00000000-0005-0000-0000-0000DD770000}"/>
    <cellStyle name="Überschrift 2 7 2" xfId="30681" xr:uid="{00000000-0005-0000-0000-0000DE770000}"/>
    <cellStyle name="Überschrift 2 8" xfId="30682" xr:uid="{00000000-0005-0000-0000-0000DF770000}"/>
    <cellStyle name="Überschrift 2 8 2" xfId="30683" xr:uid="{00000000-0005-0000-0000-0000E0770000}"/>
    <cellStyle name="Überschrift 2 9" xfId="30684" xr:uid="{00000000-0005-0000-0000-0000E1770000}"/>
    <cellStyle name="Überschrift 2 9 2" xfId="30685" xr:uid="{00000000-0005-0000-0000-0000E2770000}"/>
    <cellStyle name="Überschrift 3" xfId="30686" xr:uid="{00000000-0005-0000-0000-0000E3770000}"/>
    <cellStyle name="Überschrift 3 2" xfId="30687" xr:uid="{00000000-0005-0000-0000-0000E4770000}"/>
    <cellStyle name="Überschrift 3 2 2" xfId="30688" xr:uid="{00000000-0005-0000-0000-0000E5770000}"/>
    <cellStyle name="Überschrift 3 2 2 2" xfId="30689" xr:uid="{00000000-0005-0000-0000-0000E6770000}"/>
    <cellStyle name="Überschrift 3 2 3" xfId="30690" xr:uid="{00000000-0005-0000-0000-0000E7770000}"/>
    <cellStyle name="Überschrift 3 3" xfId="30691" xr:uid="{00000000-0005-0000-0000-0000E8770000}"/>
    <cellStyle name="Überschrift 3 3 2" xfId="30692" xr:uid="{00000000-0005-0000-0000-0000E9770000}"/>
    <cellStyle name="Überschrift 3 4" xfId="30693" xr:uid="{00000000-0005-0000-0000-0000EA770000}"/>
    <cellStyle name="Überschrift 3 4 2" xfId="30694" xr:uid="{00000000-0005-0000-0000-0000EB770000}"/>
    <cellStyle name="Überschrift 3 5" xfId="30695" xr:uid="{00000000-0005-0000-0000-0000EC770000}"/>
    <cellStyle name="Überschrift 3 5 2" xfId="30696" xr:uid="{00000000-0005-0000-0000-0000ED770000}"/>
    <cellStyle name="Überschrift 3 6" xfId="30697" xr:uid="{00000000-0005-0000-0000-0000EE770000}"/>
    <cellStyle name="Überschrift 3 6 2" xfId="30698" xr:uid="{00000000-0005-0000-0000-0000EF770000}"/>
    <cellStyle name="Überschrift 3 7" xfId="30699" xr:uid="{00000000-0005-0000-0000-0000F0770000}"/>
    <cellStyle name="Überschrift 3 7 2" xfId="30700" xr:uid="{00000000-0005-0000-0000-0000F1770000}"/>
    <cellStyle name="Überschrift 3 8" xfId="30701" xr:uid="{00000000-0005-0000-0000-0000F2770000}"/>
    <cellStyle name="Unhighlight" xfId="30702" xr:uid="{00000000-0005-0000-0000-0000F3770000}"/>
    <cellStyle name="Unit" xfId="30703" xr:uid="{00000000-0005-0000-0000-0000F4770000}"/>
    <cellStyle name="Unit 2" xfId="30704" xr:uid="{00000000-0005-0000-0000-0000F5770000}"/>
    <cellStyle name="Unit 2 2" xfId="30705" xr:uid="{00000000-0005-0000-0000-0000F6770000}"/>
    <cellStyle name="Unit 2 2 2" xfId="30706" xr:uid="{00000000-0005-0000-0000-0000F7770000}"/>
    <cellStyle name="Unit 2 3" xfId="30707" xr:uid="{00000000-0005-0000-0000-0000F8770000}"/>
    <cellStyle name="Unit 3" xfId="30708" xr:uid="{00000000-0005-0000-0000-0000F9770000}"/>
    <cellStyle name="Unit 3 2" xfId="30709" xr:uid="{00000000-0005-0000-0000-0000FA770000}"/>
    <cellStyle name="Unit 4" xfId="30710" xr:uid="{00000000-0005-0000-0000-0000FB770000}"/>
    <cellStyle name="Unit 4 2" xfId="30711" xr:uid="{00000000-0005-0000-0000-0000FC770000}"/>
    <cellStyle name="Unit 5" xfId="30712" xr:uid="{00000000-0005-0000-0000-0000FD770000}"/>
    <cellStyle name="Unit 5 2" xfId="30713" xr:uid="{00000000-0005-0000-0000-0000FE770000}"/>
    <cellStyle name="Unit 6" xfId="30714" xr:uid="{00000000-0005-0000-0000-0000FF770000}"/>
    <cellStyle name="Unit 6 2" xfId="30715" xr:uid="{00000000-0005-0000-0000-000000780000}"/>
    <cellStyle name="Unit 7" xfId="30716" xr:uid="{00000000-0005-0000-0000-000001780000}"/>
    <cellStyle name="Unit 7 2" xfId="30717" xr:uid="{00000000-0005-0000-0000-000002780000}"/>
    <cellStyle name="Unit 8" xfId="30718" xr:uid="{00000000-0005-0000-0000-000003780000}"/>
    <cellStyle name="Untotal row" xfId="30719" xr:uid="{00000000-0005-0000-0000-000004780000}"/>
    <cellStyle name="UserInputedText" xfId="30720" xr:uid="{00000000-0005-0000-0000-000005780000}"/>
    <cellStyle name="Valuta (0)_Budget 2003 vers L" xfId="30721" xr:uid="{00000000-0005-0000-0000-000006780000}"/>
    <cellStyle name="Valuta [0]_NEGS" xfId="30722" xr:uid="{00000000-0005-0000-0000-000007780000}"/>
    <cellStyle name="Valuta_Ark1" xfId="30723" xr:uid="{00000000-0005-0000-0000-000008780000}"/>
    <cellStyle name="Var" xfId="30724" xr:uid="{00000000-0005-0000-0000-000009780000}"/>
    <cellStyle name="Verdi_Normal" xfId="30725" xr:uid="{00000000-0005-0000-0000-00000A780000}"/>
    <cellStyle name="VerdiAreaName" xfId="30726" xr:uid="{00000000-0005-0000-0000-00000B780000}"/>
    <cellStyle name="VerdiColumnHeader" xfId="30727" xr:uid="{00000000-0005-0000-0000-00000C780000}"/>
    <cellStyle name="VerdiColumnHeaders" xfId="30728" xr:uid="{00000000-0005-0000-0000-00000D780000}"/>
    <cellStyle name="VerdiCost" xfId="30729" xr:uid="{00000000-0005-0000-0000-00000E780000}"/>
    <cellStyle name="VerdiDescription" xfId="30730" xr:uid="{00000000-0005-0000-0000-00000F780000}"/>
    <cellStyle name="VerdiDescription 2" xfId="30731" xr:uid="{00000000-0005-0000-0000-000010780000}"/>
    <cellStyle name="VerdiDescription 2 2" xfId="30732" xr:uid="{00000000-0005-0000-0000-000011780000}"/>
    <cellStyle name="VerdiDescription 3" xfId="30733" xr:uid="{00000000-0005-0000-0000-000012780000}"/>
    <cellStyle name="VerdiDiscount" xfId="30734" xr:uid="{00000000-0005-0000-0000-000013780000}"/>
    <cellStyle name="VerdiEricssonName" xfId="30735" xr:uid="{00000000-0005-0000-0000-000014780000}"/>
    <cellStyle name="VerdiEricssonName 2" xfId="30736" xr:uid="{00000000-0005-0000-0000-000015780000}"/>
    <cellStyle name="VerdiEricssonName 2 2" xfId="30737" xr:uid="{00000000-0005-0000-0000-000016780000}"/>
    <cellStyle name="VerdiEricssonName 3" xfId="30738" xr:uid="{00000000-0005-0000-0000-000017780000}"/>
    <cellStyle name="VerdiFireCode" xfId="30739" xr:uid="{00000000-0005-0000-0000-000018780000}"/>
    <cellStyle name="VerdiFireCode 2" xfId="30740" xr:uid="{00000000-0005-0000-0000-000019780000}"/>
    <cellStyle name="VerdiFireCode 2 2" xfId="30741" xr:uid="{00000000-0005-0000-0000-00001A780000}"/>
    <cellStyle name="VerdiFireCode 3" xfId="30742" xr:uid="{00000000-0005-0000-0000-00001B780000}"/>
    <cellStyle name="VerdiFireCodeDescription" xfId="30743" xr:uid="{00000000-0005-0000-0000-00001C780000}"/>
    <cellStyle name="VerdiFireCodeDescription 2" xfId="30744" xr:uid="{00000000-0005-0000-0000-00001D780000}"/>
    <cellStyle name="VerdiFireCodeDescription 2 2" xfId="30745" xr:uid="{00000000-0005-0000-0000-00001E780000}"/>
    <cellStyle name="VerdiFireCodeDescription 3" xfId="30746" xr:uid="{00000000-0005-0000-0000-00001F780000}"/>
    <cellStyle name="VerdiGAQuantity" xfId="30747" xr:uid="{00000000-0005-0000-0000-000020780000}"/>
    <cellStyle name="VerdiGAQuantity 2" xfId="30748" xr:uid="{00000000-0005-0000-0000-000021780000}"/>
    <cellStyle name="VerdiGAValue" xfId="30749" xr:uid="{00000000-0005-0000-0000-000022780000}"/>
    <cellStyle name="VerdiGrandTotal" xfId="30750" xr:uid="{00000000-0005-0000-0000-000023780000}"/>
    <cellStyle name="VerdiGrossMargin%" xfId="30751" xr:uid="{00000000-0005-0000-0000-000024780000}"/>
    <cellStyle name="VerdiItemNo" xfId="30752" xr:uid="{00000000-0005-0000-0000-000025780000}"/>
    <cellStyle name="VerdiLocalProduct" xfId="30753" xr:uid="{00000000-0005-0000-0000-000026780000}"/>
    <cellStyle name="VerdiLocalProduct 2" xfId="30754" xr:uid="{00000000-0005-0000-0000-000027780000}"/>
    <cellStyle name="VerdiLocalProduct 2 2" xfId="30755" xr:uid="{00000000-0005-0000-0000-000028780000}"/>
    <cellStyle name="VerdiLocalProduct 3" xfId="30756" xr:uid="{00000000-0005-0000-0000-000029780000}"/>
    <cellStyle name="VerdiNETRPF" xfId="30757" xr:uid="{00000000-0005-0000-0000-00002A780000}"/>
    <cellStyle name="VerdiNodeDescription" xfId="30758" xr:uid="{00000000-0005-0000-0000-00002B780000}"/>
    <cellStyle name="VerdiPriceErosion" xfId="30759" xr:uid="{00000000-0005-0000-0000-00002C780000}"/>
    <cellStyle name="VerdiPriceObjects" xfId="30760" xr:uid="{00000000-0005-0000-0000-00002D780000}"/>
    <cellStyle name="VerdiPriceObjects 2" xfId="30761" xr:uid="{00000000-0005-0000-0000-00002E780000}"/>
    <cellStyle name="VerdiPriceObjects 2 2" xfId="30762" xr:uid="{00000000-0005-0000-0000-00002F780000}"/>
    <cellStyle name="VerdiPriceObjects 3" xfId="30763" xr:uid="{00000000-0005-0000-0000-000030780000}"/>
    <cellStyle name="VerdiProductNo" xfId="30764" xr:uid="{00000000-0005-0000-0000-000031780000}"/>
    <cellStyle name="VerdiProductNo 2" xfId="30765" xr:uid="{00000000-0005-0000-0000-000032780000}"/>
    <cellStyle name="VerdiProductNo 2 2" xfId="30766" xr:uid="{00000000-0005-0000-0000-000033780000}"/>
    <cellStyle name="VerdiProductNo 3" xfId="30767" xr:uid="{00000000-0005-0000-0000-000034780000}"/>
    <cellStyle name="VerdiProductType" xfId="30768" xr:uid="{00000000-0005-0000-0000-000035780000}"/>
    <cellStyle name="VerdiProductUnit" xfId="30769" xr:uid="{00000000-0005-0000-0000-000036780000}"/>
    <cellStyle name="VerdiProductUnit 2" xfId="30770" xr:uid="{00000000-0005-0000-0000-000037780000}"/>
    <cellStyle name="VerdiProductUnit 2 2" xfId="30771" xr:uid="{00000000-0005-0000-0000-000038780000}"/>
    <cellStyle name="VerdiProductUnit 3" xfId="30772" xr:uid="{00000000-0005-0000-0000-000039780000}"/>
    <cellStyle name="VerdiQuantity" xfId="30773" xr:uid="{00000000-0005-0000-0000-00003A780000}"/>
    <cellStyle name="VerdiQuantity 2" xfId="30774" xr:uid="{00000000-0005-0000-0000-00003B780000}"/>
    <cellStyle name="VerdiQuantity 2 2" xfId="30775" xr:uid="{00000000-0005-0000-0000-00003C780000}"/>
    <cellStyle name="VerdiQuantity 3" xfId="30776" xr:uid="{00000000-0005-0000-0000-00003D780000}"/>
    <cellStyle name="VerdiReleaseCode" xfId="30777" xr:uid="{00000000-0005-0000-0000-00003E780000}"/>
    <cellStyle name="VerdiReleaseCode 2" xfId="30778" xr:uid="{00000000-0005-0000-0000-00003F780000}"/>
    <cellStyle name="VerdiReleaseCode 2 2" xfId="30779" xr:uid="{00000000-0005-0000-0000-000040780000}"/>
    <cellStyle name="VerdiReleaseCode 3" xfId="30780" xr:uid="{00000000-0005-0000-0000-000041780000}"/>
    <cellStyle name="VerdiReportCaption" xfId="30781" xr:uid="{00000000-0005-0000-0000-000042780000}"/>
    <cellStyle name="VerdiRestrictedCode" xfId="30782" xr:uid="{00000000-0005-0000-0000-000043780000}"/>
    <cellStyle name="VerdiRestrictedCode 2" xfId="30783" xr:uid="{00000000-0005-0000-0000-000044780000}"/>
    <cellStyle name="VerdiRestrictedCode 2 2" xfId="30784" xr:uid="{00000000-0005-0000-0000-000045780000}"/>
    <cellStyle name="VerdiRestrictedCode 3" xfId="30785" xr:uid="{00000000-0005-0000-0000-000046780000}"/>
    <cellStyle name="VerdiRPF" xfId="30786" xr:uid="{00000000-0005-0000-0000-000047780000}"/>
    <cellStyle name="VerdiRPF 2" xfId="30787" xr:uid="{00000000-0005-0000-0000-000048780000}"/>
    <cellStyle name="VerdiSBS" xfId="30788" xr:uid="{00000000-0005-0000-0000-000049780000}"/>
    <cellStyle name="VerdiScenarioDiscount" xfId="30789" xr:uid="{00000000-0005-0000-0000-00004A780000}"/>
    <cellStyle name="VerdiShortName" xfId="30790" xr:uid="{00000000-0005-0000-0000-00004B780000}"/>
    <cellStyle name="VerdiShortName 2" xfId="30791" xr:uid="{00000000-0005-0000-0000-00004C780000}"/>
    <cellStyle name="VerdiShortName 2 2" xfId="30792" xr:uid="{00000000-0005-0000-0000-00004D780000}"/>
    <cellStyle name="VerdiShortName 3" xfId="30793" xr:uid="{00000000-0005-0000-0000-00004E780000}"/>
    <cellStyle name="VerdiSubTotals" xfId="30794" xr:uid="{00000000-0005-0000-0000-00004F780000}"/>
    <cellStyle name="VerdiTotal" xfId="30795" xr:uid="{00000000-0005-0000-0000-000050780000}"/>
    <cellStyle name="VerdiTotalCost" xfId="30796" xr:uid="{00000000-0005-0000-0000-000051780000}"/>
    <cellStyle name="VerdiTotalGross" xfId="30797" xr:uid="{00000000-0005-0000-0000-000052780000}"/>
    <cellStyle name="VerdiTotalGrossMargin" xfId="30798" xr:uid="{00000000-0005-0000-0000-000053780000}"/>
    <cellStyle name="VerdiTotalNetPrice" xfId="30799" xr:uid="{00000000-0005-0000-0000-000054780000}"/>
    <cellStyle name="VerdiTotalPAPE" xfId="30800" xr:uid="{00000000-0005-0000-0000-000055780000}"/>
    <cellStyle name="VerdiTotalReference" xfId="30801" xr:uid="{00000000-0005-0000-0000-000056780000}"/>
    <cellStyle name="VerdiTotGA" xfId="30802" xr:uid="{00000000-0005-0000-0000-000057780000}"/>
    <cellStyle name="VerdiTotGrossPrice" xfId="30803" xr:uid="{00000000-0005-0000-0000-000058780000}"/>
    <cellStyle name="VerdiTotNetPrice" xfId="30804" xr:uid="{00000000-0005-0000-0000-000059780000}"/>
    <cellStyle name="VerdiTotPAPE" xfId="30805" xr:uid="{00000000-0005-0000-0000-00005A780000}"/>
    <cellStyle name="VerdiTotRefPrice" xfId="30806" xr:uid="{00000000-0005-0000-0000-00005B780000}"/>
    <cellStyle name="VerdiTypeSiteName" xfId="30807" xr:uid="{00000000-0005-0000-0000-00005C780000}"/>
    <cellStyle name="VerdiUnit" xfId="30808" xr:uid="{00000000-0005-0000-0000-00005D780000}"/>
    <cellStyle name="VerdiUnit 2" xfId="30809" xr:uid="{00000000-0005-0000-0000-00005E780000}"/>
    <cellStyle name="VerdiUnit 2 2" xfId="30810" xr:uid="{00000000-0005-0000-0000-00005F780000}"/>
    <cellStyle name="VerdiUnit 3" xfId="30811" xr:uid="{00000000-0005-0000-0000-000060780000}"/>
    <cellStyle name="VerdiUnitGrossPrice" xfId="30812" xr:uid="{00000000-0005-0000-0000-000061780000}"/>
    <cellStyle name="VerdiUnitNetPrice" xfId="30813" xr:uid="{00000000-0005-0000-0000-000062780000}"/>
    <cellStyle name="VerdiUnitPAPE" xfId="30814" xr:uid="{00000000-0005-0000-0000-000063780000}"/>
    <cellStyle name="VerdiUnitReference" xfId="30815" xr:uid="{00000000-0005-0000-0000-000064780000}"/>
    <cellStyle name="VerdiUnitRefPrice" xfId="30816" xr:uid="{00000000-0005-0000-0000-000065780000}"/>
    <cellStyle name="Vérification" xfId="30817" xr:uid="{00000000-0005-0000-0000-000066780000}"/>
    <cellStyle name="Vérification 2" xfId="30818" xr:uid="{00000000-0005-0000-0000-000067780000}"/>
    <cellStyle name="Vérification 2 2" xfId="30819" xr:uid="{00000000-0005-0000-0000-000068780000}"/>
    <cellStyle name="Vérification 2 2 2" xfId="30820" xr:uid="{00000000-0005-0000-0000-000069780000}"/>
    <cellStyle name="Vérification 2 3" xfId="30821" xr:uid="{00000000-0005-0000-0000-00006A780000}"/>
    <cellStyle name="Vérification 2 4" xfId="30822" xr:uid="{00000000-0005-0000-0000-00006B780000}"/>
    <cellStyle name="Vérification 3" xfId="30823" xr:uid="{00000000-0005-0000-0000-00006C780000}"/>
    <cellStyle name="Vérification 3 2" xfId="30824" xr:uid="{00000000-0005-0000-0000-00006D780000}"/>
    <cellStyle name="Vérification 4" xfId="30825" xr:uid="{00000000-0005-0000-0000-00006E780000}"/>
    <cellStyle name="Vérification 5" xfId="30826" xr:uid="{00000000-0005-0000-0000-00006F780000}"/>
    <cellStyle name="VERTICAL" xfId="30827" xr:uid="{00000000-0005-0000-0000-000070780000}"/>
    <cellStyle name="VERTICAL 2" xfId="30828" xr:uid="{00000000-0005-0000-0000-000071780000}"/>
    <cellStyle name="VERTICAL 2 2" xfId="30829" xr:uid="{00000000-0005-0000-0000-000072780000}"/>
    <cellStyle name="VERTICAL 2 2 2" xfId="30830" xr:uid="{00000000-0005-0000-0000-000073780000}"/>
    <cellStyle name="VERTICAL 2 2 2 2" xfId="30831" xr:uid="{00000000-0005-0000-0000-000074780000}"/>
    <cellStyle name="VERTICAL 2 2 2 3" xfId="30832" xr:uid="{00000000-0005-0000-0000-000075780000}"/>
    <cellStyle name="VERTICAL 2 2 2 4" xfId="30833" xr:uid="{00000000-0005-0000-0000-000076780000}"/>
    <cellStyle name="VERTICAL 2 2 3" xfId="30834" xr:uid="{00000000-0005-0000-0000-000077780000}"/>
    <cellStyle name="VERTICAL 2 2 3 2" xfId="30835" xr:uid="{00000000-0005-0000-0000-000078780000}"/>
    <cellStyle name="VERTICAL 2 2 3 3" xfId="30836" xr:uid="{00000000-0005-0000-0000-000079780000}"/>
    <cellStyle name="VERTICAL 2 2 3 4" xfId="30837" xr:uid="{00000000-0005-0000-0000-00007A780000}"/>
    <cellStyle name="VERTICAL 2 2 4" xfId="30838" xr:uid="{00000000-0005-0000-0000-00007B780000}"/>
    <cellStyle name="VERTICAL 2 2 5" xfId="30839" xr:uid="{00000000-0005-0000-0000-00007C780000}"/>
    <cellStyle name="VERTICAL 2 2 6" xfId="30840" xr:uid="{00000000-0005-0000-0000-00007D780000}"/>
    <cellStyle name="VERTICAL 2 3" xfId="30841" xr:uid="{00000000-0005-0000-0000-00007E780000}"/>
    <cellStyle name="VERTICAL 2 3 2" xfId="30842" xr:uid="{00000000-0005-0000-0000-00007F780000}"/>
    <cellStyle name="VERTICAL 2 3 2 2" xfId="30843" xr:uid="{00000000-0005-0000-0000-000080780000}"/>
    <cellStyle name="VERTICAL 2 3 2 3" xfId="30844" xr:uid="{00000000-0005-0000-0000-000081780000}"/>
    <cellStyle name="VERTICAL 2 3 2 4" xfId="30845" xr:uid="{00000000-0005-0000-0000-000082780000}"/>
    <cellStyle name="VERTICAL 2 3 3" xfId="30846" xr:uid="{00000000-0005-0000-0000-000083780000}"/>
    <cellStyle name="VERTICAL 2 3 3 2" xfId="30847" xr:uid="{00000000-0005-0000-0000-000084780000}"/>
    <cellStyle name="VERTICAL 2 3 3 3" xfId="30848" xr:uid="{00000000-0005-0000-0000-000085780000}"/>
    <cellStyle name="VERTICAL 2 3 3 4" xfId="30849" xr:uid="{00000000-0005-0000-0000-000086780000}"/>
    <cellStyle name="VERTICAL 2 3 4" xfId="30850" xr:uid="{00000000-0005-0000-0000-000087780000}"/>
    <cellStyle name="VERTICAL 2 3 5" xfId="30851" xr:uid="{00000000-0005-0000-0000-000088780000}"/>
    <cellStyle name="VERTICAL 2 3 6" xfId="30852" xr:uid="{00000000-0005-0000-0000-000089780000}"/>
    <cellStyle name="VERTICAL 2 4" xfId="30853" xr:uid="{00000000-0005-0000-0000-00008A780000}"/>
    <cellStyle name="VERTICAL 2 4 2" xfId="30854" xr:uid="{00000000-0005-0000-0000-00008B780000}"/>
    <cellStyle name="VERTICAL 2 4 3" xfId="30855" xr:uid="{00000000-0005-0000-0000-00008C780000}"/>
    <cellStyle name="VERTICAL 2 4 4" xfId="30856" xr:uid="{00000000-0005-0000-0000-00008D780000}"/>
    <cellStyle name="VERTICAL 2 5" xfId="30857" xr:uid="{00000000-0005-0000-0000-00008E780000}"/>
    <cellStyle name="VERTICAL 2 5 2" xfId="30858" xr:uid="{00000000-0005-0000-0000-00008F780000}"/>
    <cellStyle name="VERTICAL 2 5 3" xfId="30859" xr:uid="{00000000-0005-0000-0000-000090780000}"/>
    <cellStyle name="VERTICAL 2 5 4" xfId="30860" xr:uid="{00000000-0005-0000-0000-000091780000}"/>
    <cellStyle name="VERTICAL 2 6" xfId="30861" xr:uid="{00000000-0005-0000-0000-000092780000}"/>
    <cellStyle name="VERTICAL 2 7" xfId="30862" xr:uid="{00000000-0005-0000-0000-000093780000}"/>
    <cellStyle name="VERTICAL 2 8" xfId="30863" xr:uid="{00000000-0005-0000-0000-000094780000}"/>
    <cellStyle name="VERTICAL 3" xfId="30864" xr:uid="{00000000-0005-0000-0000-000095780000}"/>
    <cellStyle name="VERTICAL 3 2" xfId="30865" xr:uid="{00000000-0005-0000-0000-000096780000}"/>
    <cellStyle name="VERTICAL 3 2 2" xfId="30866" xr:uid="{00000000-0005-0000-0000-000097780000}"/>
    <cellStyle name="VERTICAL 3 2 3" xfId="30867" xr:uid="{00000000-0005-0000-0000-000098780000}"/>
    <cellStyle name="VERTICAL 3 2 4" xfId="30868" xr:uid="{00000000-0005-0000-0000-000099780000}"/>
    <cellStyle name="VERTICAL 3 3" xfId="30869" xr:uid="{00000000-0005-0000-0000-00009A780000}"/>
    <cellStyle name="VERTICAL 3 3 2" xfId="30870" xr:uid="{00000000-0005-0000-0000-00009B780000}"/>
    <cellStyle name="VERTICAL 3 3 3" xfId="30871" xr:uid="{00000000-0005-0000-0000-00009C780000}"/>
    <cellStyle name="VERTICAL 3 3 4" xfId="30872" xr:uid="{00000000-0005-0000-0000-00009D780000}"/>
    <cellStyle name="VERTICAL 3 4" xfId="30873" xr:uid="{00000000-0005-0000-0000-00009E780000}"/>
    <cellStyle name="VERTICAL 3 5" xfId="30874" xr:uid="{00000000-0005-0000-0000-00009F780000}"/>
    <cellStyle name="VERTICAL 3 6" xfId="30875" xr:uid="{00000000-0005-0000-0000-0000A0780000}"/>
    <cellStyle name="VERTICAL 4" xfId="30876" xr:uid="{00000000-0005-0000-0000-0000A1780000}"/>
    <cellStyle name="VERTICAL 4 2" xfId="30877" xr:uid="{00000000-0005-0000-0000-0000A2780000}"/>
    <cellStyle name="VERTICAL 4 3" xfId="30878" xr:uid="{00000000-0005-0000-0000-0000A3780000}"/>
    <cellStyle name="VERTICAL 4 4" xfId="30879" xr:uid="{00000000-0005-0000-0000-0000A4780000}"/>
    <cellStyle name="VERTICAL 5" xfId="30880" xr:uid="{00000000-0005-0000-0000-0000A5780000}"/>
    <cellStyle name="VERTICAL 5 2" xfId="30881" xr:uid="{00000000-0005-0000-0000-0000A6780000}"/>
    <cellStyle name="VERTICAL 5 3" xfId="30882" xr:uid="{00000000-0005-0000-0000-0000A7780000}"/>
    <cellStyle name="VERTICAL 5 4" xfId="30883" xr:uid="{00000000-0005-0000-0000-0000A8780000}"/>
    <cellStyle name="VERTICAL 6" xfId="30884" xr:uid="{00000000-0005-0000-0000-0000A9780000}"/>
    <cellStyle name="VERTICAL 7" xfId="30885" xr:uid="{00000000-0005-0000-0000-0000AA780000}"/>
    <cellStyle name="VERTICAL 8" xfId="30886" xr:uid="{00000000-0005-0000-0000-0000AB780000}"/>
    <cellStyle name="Vide" xfId="30887" xr:uid="{00000000-0005-0000-0000-0000AC780000}"/>
    <cellStyle name="Vide 2" xfId="30888" xr:uid="{00000000-0005-0000-0000-0000AD780000}"/>
    <cellStyle name="Vide 2 2" xfId="30889" xr:uid="{00000000-0005-0000-0000-0000AE780000}"/>
    <cellStyle name="Vide 2 3" xfId="30890" xr:uid="{00000000-0005-0000-0000-0000AF780000}"/>
    <cellStyle name="Vide 3" xfId="30891" xr:uid="{00000000-0005-0000-0000-0000B0780000}"/>
    <cellStyle name="Virgule fixe" xfId="30892" xr:uid="{00000000-0005-0000-0000-0000B1780000}"/>
    <cellStyle name="Volume" xfId="30893" xr:uid="{00000000-0005-0000-0000-0000B2780000}"/>
    <cellStyle name="Währung [0]_050317_MDRS-Config_10" xfId="30895" xr:uid="{00000000-0005-0000-0000-0000B3780000}"/>
    <cellStyle name="Währung_050317_MDRS-Config_10" xfId="30896" xr:uid="{00000000-0005-0000-0000-0000B4780000}"/>
    <cellStyle name="Walutowy [0]_12" xfId="30897" xr:uid="{00000000-0005-0000-0000-0000B5780000}"/>
    <cellStyle name="Walutowy_12" xfId="30898" xr:uid="{00000000-0005-0000-0000-0000B6780000}"/>
    <cellStyle name="Warning Text 10" xfId="30899" xr:uid="{00000000-0005-0000-0000-0000B7780000}"/>
    <cellStyle name="Warning Text 10 2" xfId="30900" xr:uid="{00000000-0005-0000-0000-0000B8780000}"/>
    <cellStyle name="Warning Text 11" xfId="30901" xr:uid="{00000000-0005-0000-0000-0000B9780000}"/>
    <cellStyle name="Warning Text 11 2" xfId="30902" xr:uid="{00000000-0005-0000-0000-0000BA780000}"/>
    <cellStyle name="Warning Text 12" xfId="30903" xr:uid="{00000000-0005-0000-0000-0000BB780000}"/>
    <cellStyle name="Warning Text 12 2" xfId="30904" xr:uid="{00000000-0005-0000-0000-0000BC780000}"/>
    <cellStyle name="Warning Text 13" xfId="30905" xr:uid="{00000000-0005-0000-0000-0000BD780000}"/>
    <cellStyle name="Warning Text 13 2" xfId="30906" xr:uid="{00000000-0005-0000-0000-0000BE780000}"/>
    <cellStyle name="Warning Text 14" xfId="30907" xr:uid="{00000000-0005-0000-0000-0000BF780000}"/>
    <cellStyle name="Warning Text 14 2" xfId="30908" xr:uid="{00000000-0005-0000-0000-0000C0780000}"/>
    <cellStyle name="Warning Text 15" xfId="30909" xr:uid="{00000000-0005-0000-0000-0000C1780000}"/>
    <cellStyle name="Warning Text 15 2" xfId="30910" xr:uid="{00000000-0005-0000-0000-0000C2780000}"/>
    <cellStyle name="Warning Text 16" xfId="30911" xr:uid="{00000000-0005-0000-0000-0000C3780000}"/>
    <cellStyle name="Warning Text 16 2" xfId="30912" xr:uid="{00000000-0005-0000-0000-0000C4780000}"/>
    <cellStyle name="Warning Text 17" xfId="30913" xr:uid="{00000000-0005-0000-0000-0000C5780000}"/>
    <cellStyle name="Warning Text 17 2" xfId="30914" xr:uid="{00000000-0005-0000-0000-0000C6780000}"/>
    <cellStyle name="Warning Text 18" xfId="30915" xr:uid="{00000000-0005-0000-0000-0000C7780000}"/>
    <cellStyle name="Warning Text 18 2" xfId="30916" xr:uid="{00000000-0005-0000-0000-0000C8780000}"/>
    <cellStyle name="Warning Text 19" xfId="30917" xr:uid="{00000000-0005-0000-0000-0000C9780000}"/>
    <cellStyle name="Warning Text 19 2" xfId="30918" xr:uid="{00000000-0005-0000-0000-0000CA780000}"/>
    <cellStyle name="Warning Text 2" xfId="30919" xr:uid="{00000000-0005-0000-0000-0000CB780000}"/>
    <cellStyle name="Warning Text 2 10" xfId="30920" xr:uid="{00000000-0005-0000-0000-0000CC780000}"/>
    <cellStyle name="Warning Text 2 10 2" xfId="30921" xr:uid="{00000000-0005-0000-0000-0000CD780000}"/>
    <cellStyle name="Warning Text 2 11" xfId="30922" xr:uid="{00000000-0005-0000-0000-0000CE780000}"/>
    <cellStyle name="Warning Text 2 11 2" xfId="30923" xr:uid="{00000000-0005-0000-0000-0000CF780000}"/>
    <cellStyle name="Warning Text 2 12" xfId="30924" xr:uid="{00000000-0005-0000-0000-0000D0780000}"/>
    <cellStyle name="Warning Text 2 12 2" xfId="30925" xr:uid="{00000000-0005-0000-0000-0000D1780000}"/>
    <cellStyle name="Warning Text 2 13" xfId="30926" xr:uid="{00000000-0005-0000-0000-0000D2780000}"/>
    <cellStyle name="Warning Text 2 13 2" xfId="30927" xr:uid="{00000000-0005-0000-0000-0000D3780000}"/>
    <cellStyle name="Warning Text 2 14" xfId="30928" xr:uid="{00000000-0005-0000-0000-0000D4780000}"/>
    <cellStyle name="Warning Text 2 14 2" xfId="30929" xr:uid="{00000000-0005-0000-0000-0000D5780000}"/>
    <cellStyle name="Warning Text 2 15" xfId="30930" xr:uid="{00000000-0005-0000-0000-0000D6780000}"/>
    <cellStyle name="Warning Text 2 15 2" xfId="30931" xr:uid="{00000000-0005-0000-0000-0000D7780000}"/>
    <cellStyle name="Warning Text 2 16" xfId="30932" xr:uid="{00000000-0005-0000-0000-0000D8780000}"/>
    <cellStyle name="Warning Text 2 16 2" xfId="30933" xr:uid="{00000000-0005-0000-0000-0000D9780000}"/>
    <cellStyle name="Warning Text 2 17" xfId="30934" xr:uid="{00000000-0005-0000-0000-0000DA780000}"/>
    <cellStyle name="Warning Text 2 17 2" xfId="30935" xr:uid="{00000000-0005-0000-0000-0000DB780000}"/>
    <cellStyle name="Warning Text 2 18" xfId="30936" xr:uid="{00000000-0005-0000-0000-0000DC780000}"/>
    <cellStyle name="Warning Text 2 18 2" xfId="30937" xr:uid="{00000000-0005-0000-0000-0000DD780000}"/>
    <cellStyle name="Warning Text 2 19" xfId="30938" xr:uid="{00000000-0005-0000-0000-0000DE780000}"/>
    <cellStyle name="Warning Text 2 19 2" xfId="30939" xr:uid="{00000000-0005-0000-0000-0000DF780000}"/>
    <cellStyle name="Warning Text 2 2" xfId="30940" xr:uid="{00000000-0005-0000-0000-0000E0780000}"/>
    <cellStyle name="Warning Text 2 2 2" xfId="30941" xr:uid="{00000000-0005-0000-0000-0000E1780000}"/>
    <cellStyle name="Warning Text 2 2 2 2" xfId="30942" xr:uid="{00000000-0005-0000-0000-0000E2780000}"/>
    <cellStyle name="Warning Text 2 2 3" xfId="30943" xr:uid="{00000000-0005-0000-0000-0000E3780000}"/>
    <cellStyle name="Warning Text 2 20" xfId="30944" xr:uid="{00000000-0005-0000-0000-0000E4780000}"/>
    <cellStyle name="Warning Text 2 3" xfId="30945" xr:uid="{00000000-0005-0000-0000-0000E5780000}"/>
    <cellStyle name="Warning Text 2 3 2" xfId="30946" xr:uid="{00000000-0005-0000-0000-0000E6780000}"/>
    <cellStyle name="Warning Text 2 4" xfId="30947" xr:uid="{00000000-0005-0000-0000-0000E7780000}"/>
    <cellStyle name="Warning Text 2 4 2" xfId="30948" xr:uid="{00000000-0005-0000-0000-0000E8780000}"/>
    <cellStyle name="Warning Text 2 5" xfId="30949" xr:uid="{00000000-0005-0000-0000-0000E9780000}"/>
    <cellStyle name="Warning Text 2 5 2" xfId="30950" xr:uid="{00000000-0005-0000-0000-0000EA780000}"/>
    <cellStyle name="Warning Text 2 6" xfId="30951" xr:uid="{00000000-0005-0000-0000-0000EB780000}"/>
    <cellStyle name="Warning Text 2 6 2" xfId="30952" xr:uid="{00000000-0005-0000-0000-0000EC780000}"/>
    <cellStyle name="Warning Text 2 7" xfId="30953" xr:uid="{00000000-0005-0000-0000-0000ED780000}"/>
    <cellStyle name="Warning Text 2 7 2" xfId="30954" xr:uid="{00000000-0005-0000-0000-0000EE780000}"/>
    <cellStyle name="Warning Text 2 8" xfId="30955" xr:uid="{00000000-0005-0000-0000-0000EF780000}"/>
    <cellStyle name="Warning Text 2 8 2" xfId="30956" xr:uid="{00000000-0005-0000-0000-0000F0780000}"/>
    <cellStyle name="Warning Text 2 9" xfId="30957" xr:uid="{00000000-0005-0000-0000-0000F1780000}"/>
    <cellStyle name="Warning Text 2 9 2" xfId="30958" xr:uid="{00000000-0005-0000-0000-0000F2780000}"/>
    <cellStyle name="Warning Text 20" xfId="30959" xr:uid="{00000000-0005-0000-0000-0000F3780000}"/>
    <cellStyle name="Warning Text 20 2" xfId="30960" xr:uid="{00000000-0005-0000-0000-0000F4780000}"/>
    <cellStyle name="Warning Text 21" xfId="30961" xr:uid="{00000000-0005-0000-0000-0000F5780000}"/>
    <cellStyle name="Warning Text 21 2" xfId="30962" xr:uid="{00000000-0005-0000-0000-0000F6780000}"/>
    <cellStyle name="Warning Text 22" xfId="30963" xr:uid="{00000000-0005-0000-0000-0000F7780000}"/>
    <cellStyle name="Warning Text 22 2" xfId="30964" xr:uid="{00000000-0005-0000-0000-0000F8780000}"/>
    <cellStyle name="Warning Text 23" xfId="30965" xr:uid="{00000000-0005-0000-0000-0000F9780000}"/>
    <cellStyle name="Warning Text 23 2" xfId="30966" xr:uid="{00000000-0005-0000-0000-0000FA780000}"/>
    <cellStyle name="Warning Text 24" xfId="30967" xr:uid="{00000000-0005-0000-0000-0000FB780000}"/>
    <cellStyle name="Warning Text 24 2" xfId="30968" xr:uid="{00000000-0005-0000-0000-0000FC780000}"/>
    <cellStyle name="Warning Text 25" xfId="30969" xr:uid="{00000000-0005-0000-0000-0000FD780000}"/>
    <cellStyle name="Warning Text 25 2" xfId="30970" xr:uid="{00000000-0005-0000-0000-0000FE780000}"/>
    <cellStyle name="Warning Text 26" xfId="30971" xr:uid="{00000000-0005-0000-0000-0000FF780000}"/>
    <cellStyle name="Warning Text 26 2" xfId="30972" xr:uid="{00000000-0005-0000-0000-000000790000}"/>
    <cellStyle name="Warning Text 27" xfId="30973" xr:uid="{00000000-0005-0000-0000-000001790000}"/>
    <cellStyle name="Warning Text 27 2" xfId="30974" xr:uid="{00000000-0005-0000-0000-000002790000}"/>
    <cellStyle name="Warning Text 3" xfId="30975" xr:uid="{00000000-0005-0000-0000-000003790000}"/>
    <cellStyle name="Warning Text 3 2" xfId="30976" xr:uid="{00000000-0005-0000-0000-000004790000}"/>
    <cellStyle name="Warning Text 3 2 2" xfId="30977" xr:uid="{00000000-0005-0000-0000-000005790000}"/>
    <cellStyle name="Warning Text 3 3" xfId="30978" xr:uid="{00000000-0005-0000-0000-000006790000}"/>
    <cellStyle name="Warning Text 4" xfId="30979" xr:uid="{00000000-0005-0000-0000-000007790000}"/>
    <cellStyle name="Warning Text 4 2" xfId="30980" xr:uid="{00000000-0005-0000-0000-000008790000}"/>
    <cellStyle name="Warning Text 4 2 2" xfId="30981" xr:uid="{00000000-0005-0000-0000-000009790000}"/>
    <cellStyle name="Warning Text 4 3" xfId="30982" xr:uid="{00000000-0005-0000-0000-00000A790000}"/>
    <cellStyle name="Warning Text 5" xfId="30983" xr:uid="{00000000-0005-0000-0000-00000B790000}"/>
    <cellStyle name="Warning Text 5 2" xfId="30984" xr:uid="{00000000-0005-0000-0000-00000C790000}"/>
    <cellStyle name="Warning Text 6" xfId="30985" xr:uid="{00000000-0005-0000-0000-00000D790000}"/>
    <cellStyle name="Warning Text 6 2" xfId="30986" xr:uid="{00000000-0005-0000-0000-00000E790000}"/>
    <cellStyle name="Warning Text 7" xfId="30987" xr:uid="{00000000-0005-0000-0000-00000F790000}"/>
    <cellStyle name="Warning Text 7 2" xfId="30988" xr:uid="{00000000-0005-0000-0000-000010790000}"/>
    <cellStyle name="Warning Text 8" xfId="30989" xr:uid="{00000000-0005-0000-0000-000011790000}"/>
    <cellStyle name="Warning Text 8 2" xfId="30990" xr:uid="{00000000-0005-0000-0000-000012790000}"/>
    <cellStyle name="Warning Text 9" xfId="30991" xr:uid="{00000000-0005-0000-0000-000013790000}"/>
    <cellStyle name="Warning Text 9 2" xfId="30992" xr:uid="{00000000-0005-0000-0000-000014790000}"/>
    <cellStyle name="WHead - Style2" xfId="30993" xr:uid="{00000000-0005-0000-0000-000015790000}"/>
    <cellStyle name="WHead - Style2 2" xfId="30994" xr:uid="{00000000-0005-0000-0000-000016790000}"/>
    <cellStyle name="White" xfId="30995" xr:uid="{00000000-0005-0000-0000-000017790000}"/>
    <cellStyle name="Yen" xfId="30996" xr:uid="{00000000-0005-0000-0000-000018790000}"/>
    <cellStyle name="Обычный_Caucas_0" xfId="31001" xr:uid="{00000000-0005-0000-0000-000019790000}"/>
    <cellStyle name="アクセント 1" xfId="31025" xr:uid="{00000000-0005-0000-0000-00001A790000}"/>
    <cellStyle name="アクセント 2" xfId="31026" xr:uid="{00000000-0005-0000-0000-00001B790000}"/>
    <cellStyle name="アクセント 3" xfId="31027" xr:uid="{00000000-0005-0000-0000-00001C790000}"/>
    <cellStyle name="アクセント 4" xfId="31028" xr:uid="{00000000-0005-0000-0000-00001D790000}"/>
    <cellStyle name="アクセント 5" xfId="31029" xr:uid="{00000000-0005-0000-0000-00001E790000}"/>
    <cellStyle name="アクセント 6" xfId="31030" xr:uid="{00000000-0005-0000-0000-00001F790000}"/>
    <cellStyle name="タイトル" xfId="31031" xr:uid="{00000000-0005-0000-0000-000020790000}"/>
    <cellStyle name="チェック セル" xfId="31032" xr:uid="{00000000-0005-0000-0000-000021790000}"/>
    <cellStyle name="チェック セル 2" xfId="31033" xr:uid="{00000000-0005-0000-0000-000022790000}"/>
    <cellStyle name="チェック セル 2 2" xfId="31034" xr:uid="{00000000-0005-0000-0000-000023790000}"/>
    <cellStyle name="チェック セル 3" xfId="31035" xr:uid="{00000000-0005-0000-0000-000024790000}"/>
    <cellStyle name="チェック セル 4" xfId="31036" xr:uid="{00000000-0005-0000-0000-000025790000}"/>
    <cellStyle name="どちらでもない" xfId="31037" xr:uid="{00000000-0005-0000-0000-000026790000}"/>
    <cellStyle name="パーセント 15" xfId="31038" xr:uid="{00000000-0005-0000-0000-000027790000}"/>
    <cellStyle name="メモ" xfId="31039" xr:uid="{00000000-0005-0000-0000-000028790000}"/>
    <cellStyle name="メモ 10" xfId="31040" xr:uid="{00000000-0005-0000-0000-000029790000}"/>
    <cellStyle name="メモ 11" xfId="31041" xr:uid="{00000000-0005-0000-0000-00002A790000}"/>
    <cellStyle name="メモ 12" xfId="31042" xr:uid="{00000000-0005-0000-0000-00002B790000}"/>
    <cellStyle name="メモ 13" xfId="31043" xr:uid="{00000000-0005-0000-0000-00002C790000}"/>
    <cellStyle name="メモ 14" xfId="31044" xr:uid="{00000000-0005-0000-0000-00002D790000}"/>
    <cellStyle name="メモ 15" xfId="31045" xr:uid="{00000000-0005-0000-0000-00002E790000}"/>
    <cellStyle name="メモ 16" xfId="31046" xr:uid="{00000000-0005-0000-0000-00002F790000}"/>
    <cellStyle name="メモ 17" xfId="31047" xr:uid="{00000000-0005-0000-0000-000030790000}"/>
    <cellStyle name="メモ 18" xfId="31048" xr:uid="{00000000-0005-0000-0000-000031790000}"/>
    <cellStyle name="メモ 19" xfId="31049" xr:uid="{00000000-0005-0000-0000-000032790000}"/>
    <cellStyle name="メモ 2" xfId="31050" xr:uid="{00000000-0005-0000-0000-000033790000}"/>
    <cellStyle name="メモ 2 10" xfId="31051" xr:uid="{00000000-0005-0000-0000-000034790000}"/>
    <cellStyle name="メモ 2 11" xfId="31052" xr:uid="{00000000-0005-0000-0000-000035790000}"/>
    <cellStyle name="メモ 2 12" xfId="31053" xr:uid="{00000000-0005-0000-0000-000036790000}"/>
    <cellStyle name="メモ 2 13" xfId="31054" xr:uid="{00000000-0005-0000-0000-000037790000}"/>
    <cellStyle name="メモ 2 14" xfId="31055" xr:uid="{00000000-0005-0000-0000-000038790000}"/>
    <cellStyle name="メモ 2 15" xfId="31056" xr:uid="{00000000-0005-0000-0000-000039790000}"/>
    <cellStyle name="メモ 2 16" xfId="31057" xr:uid="{00000000-0005-0000-0000-00003A790000}"/>
    <cellStyle name="メモ 2 17" xfId="31058" xr:uid="{00000000-0005-0000-0000-00003B790000}"/>
    <cellStyle name="メモ 2 18" xfId="31059" xr:uid="{00000000-0005-0000-0000-00003C790000}"/>
    <cellStyle name="メモ 2 19" xfId="31060" xr:uid="{00000000-0005-0000-0000-00003D790000}"/>
    <cellStyle name="メモ 2 2" xfId="31061" xr:uid="{00000000-0005-0000-0000-00003E790000}"/>
    <cellStyle name="メモ 2 2 2" xfId="31062" xr:uid="{00000000-0005-0000-0000-00003F790000}"/>
    <cellStyle name="メモ 2 2 2 2" xfId="31063" xr:uid="{00000000-0005-0000-0000-000040790000}"/>
    <cellStyle name="メモ 2 2 2 3" xfId="31064" xr:uid="{00000000-0005-0000-0000-000041790000}"/>
    <cellStyle name="メモ 2 2 3" xfId="31065" xr:uid="{00000000-0005-0000-0000-000042790000}"/>
    <cellStyle name="メモ 2 2 3 2" xfId="31066" xr:uid="{00000000-0005-0000-0000-000043790000}"/>
    <cellStyle name="メモ 2 2 3 3" xfId="31067" xr:uid="{00000000-0005-0000-0000-000044790000}"/>
    <cellStyle name="メモ 2 2 4" xfId="31068" xr:uid="{00000000-0005-0000-0000-000045790000}"/>
    <cellStyle name="メモ 2 2 5" xfId="31069" xr:uid="{00000000-0005-0000-0000-000046790000}"/>
    <cellStyle name="メモ 2 20" xfId="31070" xr:uid="{00000000-0005-0000-0000-000047790000}"/>
    <cellStyle name="メモ 2 21" xfId="31071" xr:uid="{00000000-0005-0000-0000-000048790000}"/>
    <cellStyle name="メモ 2 22" xfId="31072" xr:uid="{00000000-0005-0000-0000-000049790000}"/>
    <cellStyle name="メモ 2 23" xfId="31073" xr:uid="{00000000-0005-0000-0000-00004A790000}"/>
    <cellStyle name="メモ 2 24" xfId="31074" xr:uid="{00000000-0005-0000-0000-00004B790000}"/>
    <cellStyle name="メモ 2 25" xfId="31075" xr:uid="{00000000-0005-0000-0000-00004C790000}"/>
    <cellStyle name="メモ 2 26" xfId="31076" xr:uid="{00000000-0005-0000-0000-00004D790000}"/>
    <cellStyle name="メモ 2 27" xfId="31077" xr:uid="{00000000-0005-0000-0000-00004E790000}"/>
    <cellStyle name="メモ 2 28" xfId="31078" xr:uid="{00000000-0005-0000-0000-00004F790000}"/>
    <cellStyle name="メモ 2 29" xfId="31079" xr:uid="{00000000-0005-0000-0000-000050790000}"/>
    <cellStyle name="メモ 2 3" xfId="31080" xr:uid="{00000000-0005-0000-0000-000051790000}"/>
    <cellStyle name="メモ 2 3 2" xfId="31081" xr:uid="{00000000-0005-0000-0000-000052790000}"/>
    <cellStyle name="メモ 2 3 2 2" xfId="31082" xr:uid="{00000000-0005-0000-0000-000053790000}"/>
    <cellStyle name="メモ 2 3 2 3" xfId="31083" xr:uid="{00000000-0005-0000-0000-000054790000}"/>
    <cellStyle name="メモ 2 3 3" xfId="31084" xr:uid="{00000000-0005-0000-0000-000055790000}"/>
    <cellStyle name="メモ 2 3 3 2" xfId="31085" xr:uid="{00000000-0005-0000-0000-000056790000}"/>
    <cellStyle name="メモ 2 3 3 3" xfId="31086" xr:uid="{00000000-0005-0000-0000-000057790000}"/>
    <cellStyle name="メモ 2 3 4" xfId="31087" xr:uid="{00000000-0005-0000-0000-000058790000}"/>
    <cellStyle name="メモ 2 3 5" xfId="31088" xr:uid="{00000000-0005-0000-0000-000059790000}"/>
    <cellStyle name="メモ 2 30" xfId="31089" xr:uid="{00000000-0005-0000-0000-00005A790000}"/>
    <cellStyle name="メモ 2 31" xfId="31090" xr:uid="{00000000-0005-0000-0000-00005B790000}"/>
    <cellStyle name="メモ 2 32" xfId="31091" xr:uid="{00000000-0005-0000-0000-00005C790000}"/>
    <cellStyle name="メモ 2 33" xfId="31092" xr:uid="{00000000-0005-0000-0000-00005D790000}"/>
    <cellStyle name="メモ 2 34" xfId="31093" xr:uid="{00000000-0005-0000-0000-00005E790000}"/>
    <cellStyle name="メモ 2 35" xfId="31094" xr:uid="{00000000-0005-0000-0000-00005F790000}"/>
    <cellStyle name="メモ 2 4" xfId="31095" xr:uid="{00000000-0005-0000-0000-000060790000}"/>
    <cellStyle name="メモ 2 4 2" xfId="31096" xr:uid="{00000000-0005-0000-0000-000061790000}"/>
    <cellStyle name="メモ 2 4 3" xfId="31097" xr:uid="{00000000-0005-0000-0000-000062790000}"/>
    <cellStyle name="メモ 2 5" xfId="31098" xr:uid="{00000000-0005-0000-0000-000063790000}"/>
    <cellStyle name="メモ 2 5 2" xfId="31099" xr:uid="{00000000-0005-0000-0000-000064790000}"/>
    <cellStyle name="メモ 2 5 3" xfId="31100" xr:uid="{00000000-0005-0000-0000-000065790000}"/>
    <cellStyle name="メモ 2 6" xfId="31101" xr:uid="{00000000-0005-0000-0000-000066790000}"/>
    <cellStyle name="メモ 2 7" xfId="31102" xr:uid="{00000000-0005-0000-0000-000067790000}"/>
    <cellStyle name="メモ 2 8" xfId="31103" xr:uid="{00000000-0005-0000-0000-000068790000}"/>
    <cellStyle name="メモ 2 9" xfId="31104" xr:uid="{00000000-0005-0000-0000-000069790000}"/>
    <cellStyle name="メモ 20" xfId="31105" xr:uid="{00000000-0005-0000-0000-00006A790000}"/>
    <cellStyle name="メモ 21" xfId="31106" xr:uid="{00000000-0005-0000-0000-00006B790000}"/>
    <cellStyle name="メモ 22" xfId="31107" xr:uid="{00000000-0005-0000-0000-00006C790000}"/>
    <cellStyle name="メモ 23" xfId="31108" xr:uid="{00000000-0005-0000-0000-00006D790000}"/>
    <cellStyle name="メモ 24" xfId="31109" xr:uid="{00000000-0005-0000-0000-00006E790000}"/>
    <cellStyle name="メモ 25" xfId="31110" xr:uid="{00000000-0005-0000-0000-00006F790000}"/>
    <cellStyle name="メモ 26" xfId="31111" xr:uid="{00000000-0005-0000-0000-000070790000}"/>
    <cellStyle name="メモ 27" xfId="31112" xr:uid="{00000000-0005-0000-0000-000071790000}"/>
    <cellStyle name="メモ 28" xfId="31113" xr:uid="{00000000-0005-0000-0000-000072790000}"/>
    <cellStyle name="メモ 29" xfId="31114" xr:uid="{00000000-0005-0000-0000-000073790000}"/>
    <cellStyle name="メモ 3" xfId="31115" xr:uid="{00000000-0005-0000-0000-000074790000}"/>
    <cellStyle name="メモ 3 2" xfId="31116" xr:uid="{00000000-0005-0000-0000-000075790000}"/>
    <cellStyle name="メモ 3 3" xfId="31117" xr:uid="{00000000-0005-0000-0000-000076790000}"/>
    <cellStyle name="メモ 30" xfId="31118" xr:uid="{00000000-0005-0000-0000-000077790000}"/>
    <cellStyle name="メモ 31" xfId="31119" xr:uid="{00000000-0005-0000-0000-000078790000}"/>
    <cellStyle name="メモ 32" xfId="31120" xr:uid="{00000000-0005-0000-0000-000079790000}"/>
    <cellStyle name="メモ 33" xfId="31121" xr:uid="{00000000-0005-0000-0000-00007A790000}"/>
    <cellStyle name="メモ 34" xfId="31122" xr:uid="{00000000-0005-0000-0000-00007B790000}"/>
    <cellStyle name="メモ 4" xfId="31123" xr:uid="{00000000-0005-0000-0000-00007C790000}"/>
    <cellStyle name="メモ 4 2" xfId="31124" xr:uid="{00000000-0005-0000-0000-00007D790000}"/>
    <cellStyle name="メモ 4 3" xfId="31125" xr:uid="{00000000-0005-0000-0000-00007E790000}"/>
    <cellStyle name="メモ 5" xfId="31126" xr:uid="{00000000-0005-0000-0000-00007F790000}"/>
    <cellStyle name="メモ 6" xfId="31127" xr:uid="{00000000-0005-0000-0000-000080790000}"/>
    <cellStyle name="メモ 7" xfId="31128" xr:uid="{00000000-0005-0000-0000-000081790000}"/>
    <cellStyle name="メモ 8" xfId="31129" xr:uid="{00000000-0005-0000-0000-000082790000}"/>
    <cellStyle name="メモ 9" xfId="31130" xr:uid="{00000000-0005-0000-0000-000083790000}"/>
    <cellStyle name="リンク セル" xfId="31131" xr:uid="{00000000-0005-0000-0000-000084790000}"/>
    <cellStyle name="น้บะภฒ_95" xfId="31002" xr:uid="{00000000-0005-0000-0000-000085790000}"/>
    <cellStyle name="ปกติ_11wq42" xfId="31003" xr:uid="{00000000-0005-0000-0000-000086790000}"/>
    <cellStyle name="ม๖มคตวม๖ พสภฝ" xfId="31004" xr:uid="{00000000-0005-0000-0000-000087790000}"/>
    <cellStyle name="ม๖มคตวม๖ พสภฝ 2" xfId="31005" xr:uid="{00000000-0005-0000-0000-000088790000}"/>
    <cellStyle name="ม๖มคตวม๖ พสภฝ 2 2" xfId="31006" xr:uid="{00000000-0005-0000-0000-000089790000}"/>
    <cellStyle name="ม๖มคตวม๖ พสภฝ 3" xfId="31007" xr:uid="{00000000-0005-0000-0000-00008A790000}"/>
    <cellStyle name="ฤธถ [0]_12ฟ๙ภศญ" xfId="31008" xr:uid="{00000000-0005-0000-0000-00008B790000}"/>
    <cellStyle name="ฤธถ_12ฟ๙ภศญ" xfId="31009" xr:uid="{00000000-0005-0000-0000-00008C790000}"/>
    <cellStyle name="ล๋ศญ [0]_12ฟ๙ภศญ" xfId="31010" xr:uid="{00000000-0005-0000-0000-00008D790000}"/>
    <cellStyle name="ล๋ศญ_12ฟ๙ภศญ" xfId="31011" xr:uid="{00000000-0005-0000-0000-00008E790000}"/>
    <cellStyle name="วฅมุ_4ฟ๙ฝวภ๛" xfId="31012" xr:uid="{00000000-0005-0000-0000-00008F790000}"/>
    <cellStyle name="뒤에 오는 하이퍼링크" xfId="31013" xr:uid="{00000000-0005-0000-0000-000090790000}"/>
    <cellStyle name="뒤에 오는 하이퍼링크 2" xfId="31014" xr:uid="{00000000-0005-0000-0000-000091790000}"/>
    <cellStyle name="뒤에 오는 하이퍼링크 2 2" xfId="31015" xr:uid="{00000000-0005-0000-0000-000092790000}"/>
    <cellStyle name="뒤에 오는 하이퍼링크 3" xfId="31016" xr:uid="{00000000-0005-0000-0000-000093790000}"/>
    <cellStyle name="뷭?_BOOKSHIP" xfId="31017" xr:uid="{00000000-0005-0000-0000-000094790000}"/>
    <cellStyle name="븿뗦먛귟_PRODUCT DETAIL Q1" xfId="31018" xr:uid="{00000000-0005-0000-0000-000095790000}"/>
    <cellStyle name="쉼표 [0]_tower price and foundation price" xfId="31019" xr:uid="{00000000-0005-0000-0000-000096790000}"/>
    <cellStyle name="콤마 [0]_10월2주 " xfId="31020" xr:uid="{00000000-0005-0000-0000-000097790000}"/>
    <cellStyle name="콤마_10월2주 " xfId="31021" xr:uid="{00000000-0005-0000-0000-000098790000}"/>
    <cellStyle name="통화 [0]_BID" xfId="31022" xr:uid="{00000000-0005-0000-0000-000099790000}"/>
    <cellStyle name="통화_BID" xfId="31023" xr:uid="{00000000-0005-0000-0000-00009A790000}"/>
    <cellStyle name="표준_030331MM_JB_030424MM_1mileswitch_config_06092005_FINNET" xfId="31024" xr:uid="{00000000-0005-0000-0000-00009B790000}"/>
    <cellStyle name="入力" xfId="31132" xr:uid="{00000000-0005-0000-0000-00009C790000}"/>
    <cellStyle name="入力 10" xfId="31133" xr:uid="{00000000-0005-0000-0000-00009D790000}"/>
    <cellStyle name="入力 11" xfId="31134" xr:uid="{00000000-0005-0000-0000-00009E790000}"/>
    <cellStyle name="入力 12" xfId="31135" xr:uid="{00000000-0005-0000-0000-00009F790000}"/>
    <cellStyle name="入力 13" xfId="31136" xr:uid="{00000000-0005-0000-0000-0000A0790000}"/>
    <cellStyle name="入力 14" xfId="31137" xr:uid="{00000000-0005-0000-0000-0000A1790000}"/>
    <cellStyle name="入力 2" xfId="31138" xr:uid="{00000000-0005-0000-0000-0000A2790000}"/>
    <cellStyle name="入力 2 10" xfId="31139" xr:uid="{00000000-0005-0000-0000-0000A3790000}"/>
    <cellStyle name="入力 2 11" xfId="31140" xr:uid="{00000000-0005-0000-0000-0000A4790000}"/>
    <cellStyle name="入力 2 12" xfId="31141" xr:uid="{00000000-0005-0000-0000-0000A5790000}"/>
    <cellStyle name="入力 2 13" xfId="31142" xr:uid="{00000000-0005-0000-0000-0000A6790000}"/>
    <cellStyle name="入力 2 14" xfId="31143" xr:uid="{00000000-0005-0000-0000-0000A7790000}"/>
    <cellStyle name="入力 2 15" xfId="31144" xr:uid="{00000000-0005-0000-0000-0000A8790000}"/>
    <cellStyle name="入力 2 16" xfId="31145" xr:uid="{00000000-0005-0000-0000-0000A9790000}"/>
    <cellStyle name="入力 2 17" xfId="31146" xr:uid="{00000000-0005-0000-0000-0000AA790000}"/>
    <cellStyle name="入力 2 18" xfId="31147" xr:uid="{00000000-0005-0000-0000-0000AB790000}"/>
    <cellStyle name="入力 2 19" xfId="31148" xr:uid="{00000000-0005-0000-0000-0000AC790000}"/>
    <cellStyle name="入力 2 2" xfId="31149" xr:uid="{00000000-0005-0000-0000-0000AD790000}"/>
    <cellStyle name="入力 2 2 2" xfId="31150" xr:uid="{00000000-0005-0000-0000-0000AE790000}"/>
    <cellStyle name="入力 2 2 2 2" xfId="31151" xr:uid="{00000000-0005-0000-0000-0000AF790000}"/>
    <cellStyle name="入力 2 2 2 3" xfId="31152" xr:uid="{00000000-0005-0000-0000-0000B0790000}"/>
    <cellStyle name="入力 2 2 3" xfId="31153" xr:uid="{00000000-0005-0000-0000-0000B1790000}"/>
    <cellStyle name="入力 2 2 3 2" xfId="31154" xr:uid="{00000000-0005-0000-0000-0000B2790000}"/>
    <cellStyle name="入力 2 2 3 3" xfId="31155" xr:uid="{00000000-0005-0000-0000-0000B3790000}"/>
    <cellStyle name="入力 2 2 4" xfId="31156" xr:uid="{00000000-0005-0000-0000-0000B4790000}"/>
    <cellStyle name="入力 2 2 5" xfId="31157" xr:uid="{00000000-0005-0000-0000-0000B5790000}"/>
    <cellStyle name="入力 2 20" xfId="31158" xr:uid="{00000000-0005-0000-0000-0000B6790000}"/>
    <cellStyle name="入力 2 21" xfId="31159" xr:uid="{00000000-0005-0000-0000-0000B7790000}"/>
    <cellStyle name="入力 2 22" xfId="31160" xr:uid="{00000000-0005-0000-0000-0000B8790000}"/>
    <cellStyle name="入力 2 23" xfId="31161" xr:uid="{00000000-0005-0000-0000-0000B9790000}"/>
    <cellStyle name="入力 2 24" xfId="31162" xr:uid="{00000000-0005-0000-0000-0000BA790000}"/>
    <cellStyle name="入力 2 25" xfId="31163" xr:uid="{00000000-0005-0000-0000-0000BB790000}"/>
    <cellStyle name="入力 2 26" xfId="31164" xr:uid="{00000000-0005-0000-0000-0000BC790000}"/>
    <cellStyle name="入力 2 27" xfId="31165" xr:uid="{00000000-0005-0000-0000-0000BD790000}"/>
    <cellStyle name="入力 2 28" xfId="31166" xr:uid="{00000000-0005-0000-0000-0000BE790000}"/>
    <cellStyle name="入力 2 29" xfId="31167" xr:uid="{00000000-0005-0000-0000-0000BF790000}"/>
    <cellStyle name="入力 2 3" xfId="31168" xr:uid="{00000000-0005-0000-0000-0000C0790000}"/>
    <cellStyle name="入力 2 3 2" xfId="31169" xr:uid="{00000000-0005-0000-0000-0000C1790000}"/>
    <cellStyle name="入力 2 3 2 2" xfId="31170" xr:uid="{00000000-0005-0000-0000-0000C2790000}"/>
    <cellStyle name="入力 2 3 2 3" xfId="31171" xr:uid="{00000000-0005-0000-0000-0000C3790000}"/>
    <cellStyle name="入力 2 3 3" xfId="31172" xr:uid="{00000000-0005-0000-0000-0000C4790000}"/>
    <cellStyle name="入力 2 3 3 2" xfId="31173" xr:uid="{00000000-0005-0000-0000-0000C5790000}"/>
    <cellStyle name="入力 2 3 3 3" xfId="31174" xr:uid="{00000000-0005-0000-0000-0000C6790000}"/>
    <cellStyle name="入力 2 3 4" xfId="31175" xr:uid="{00000000-0005-0000-0000-0000C7790000}"/>
    <cellStyle name="入力 2 3 5" xfId="31176" xr:uid="{00000000-0005-0000-0000-0000C8790000}"/>
    <cellStyle name="入力 2 30" xfId="31177" xr:uid="{00000000-0005-0000-0000-0000C9790000}"/>
    <cellStyle name="入力 2 31" xfId="31178" xr:uid="{00000000-0005-0000-0000-0000CA790000}"/>
    <cellStyle name="入力 2 32" xfId="31179" xr:uid="{00000000-0005-0000-0000-0000CB790000}"/>
    <cellStyle name="入力 2 33" xfId="31180" xr:uid="{00000000-0005-0000-0000-0000CC790000}"/>
    <cellStyle name="入力 2 34" xfId="31181" xr:uid="{00000000-0005-0000-0000-0000CD790000}"/>
    <cellStyle name="入力 2 35" xfId="31182" xr:uid="{00000000-0005-0000-0000-0000CE790000}"/>
    <cellStyle name="入力 2 4" xfId="31183" xr:uid="{00000000-0005-0000-0000-0000CF790000}"/>
    <cellStyle name="入力 2 4 2" xfId="31184" xr:uid="{00000000-0005-0000-0000-0000D0790000}"/>
    <cellStyle name="入力 2 4 3" xfId="31185" xr:uid="{00000000-0005-0000-0000-0000D1790000}"/>
    <cellStyle name="入力 2 5" xfId="31186" xr:uid="{00000000-0005-0000-0000-0000D2790000}"/>
    <cellStyle name="入力 2 5 2" xfId="31187" xr:uid="{00000000-0005-0000-0000-0000D3790000}"/>
    <cellStyle name="入力 2 5 3" xfId="31188" xr:uid="{00000000-0005-0000-0000-0000D4790000}"/>
    <cellStyle name="入力 2 6" xfId="31189" xr:uid="{00000000-0005-0000-0000-0000D5790000}"/>
    <cellStyle name="入力 2 7" xfId="31190" xr:uid="{00000000-0005-0000-0000-0000D6790000}"/>
    <cellStyle name="入力 2 8" xfId="31191" xr:uid="{00000000-0005-0000-0000-0000D7790000}"/>
    <cellStyle name="入力 2 9" xfId="31192" xr:uid="{00000000-0005-0000-0000-0000D8790000}"/>
    <cellStyle name="入力 3" xfId="31193" xr:uid="{00000000-0005-0000-0000-0000D9790000}"/>
    <cellStyle name="入力 3 2" xfId="31194" xr:uid="{00000000-0005-0000-0000-0000DA790000}"/>
    <cellStyle name="入力 3 2 2" xfId="31195" xr:uid="{00000000-0005-0000-0000-0000DB790000}"/>
    <cellStyle name="入力 3 2 3" xfId="31196" xr:uid="{00000000-0005-0000-0000-0000DC790000}"/>
    <cellStyle name="入力 3 3" xfId="31197" xr:uid="{00000000-0005-0000-0000-0000DD790000}"/>
    <cellStyle name="入力 3 3 2" xfId="31198" xr:uid="{00000000-0005-0000-0000-0000DE790000}"/>
    <cellStyle name="入力 3 3 3" xfId="31199" xr:uid="{00000000-0005-0000-0000-0000DF790000}"/>
    <cellStyle name="入力 3 4" xfId="31200" xr:uid="{00000000-0005-0000-0000-0000E0790000}"/>
    <cellStyle name="入力 3 5" xfId="31201" xr:uid="{00000000-0005-0000-0000-0000E1790000}"/>
    <cellStyle name="入力 4" xfId="31202" xr:uid="{00000000-0005-0000-0000-0000E2790000}"/>
    <cellStyle name="入力 4 2" xfId="31203" xr:uid="{00000000-0005-0000-0000-0000E3790000}"/>
    <cellStyle name="入力 4 3" xfId="31204" xr:uid="{00000000-0005-0000-0000-0000E4790000}"/>
    <cellStyle name="入力 5" xfId="31205" xr:uid="{00000000-0005-0000-0000-0000E5790000}"/>
    <cellStyle name="入力 5 2" xfId="31206" xr:uid="{00000000-0005-0000-0000-0000E6790000}"/>
    <cellStyle name="入力 5 3" xfId="31207" xr:uid="{00000000-0005-0000-0000-0000E7790000}"/>
    <cellStyle name="入力 6" xfId="31208" xr:uid="{00000000-0005-0000-0000-0000E8790000}"/>
    <cellStyle name="入力 7" xfId="31209" xr:uid="{00000000-0005-0000-0000-0000E9790000}"/>
    <cellStyle name="入力 8" xfId="31210" xr:uid="{00000000-0005-0000-0000-0000EA790000}"/>
    <cellStyle name="入力 9" xfId="31211" xr:uid="{00000000-0005-0000-0000-0000EB790000}"/>
    <cellStyle name="出力" xfId="31212" xr:uid="{00000000-0005-0000-0000-0000EC790000}"/>
    <cellStyle name="出力 10" xfId="31213" xr:uid="{00000000-0005-0000-0000-0000ED790000}"/>
    <cellStyle name="出力 11" xfId="31214" xr:uid="{00000000-0005-0000-0000-0000EE790000}"/>
    <cellStyle name="出力 12" xfId="31215" xr:uid="{00000000-0005-0000-0000-0000EF790000}"/>
    <cellStyle name="出力 13" xfId="31216" xr:uid="{00000000-0005-0000-0000-0000F0790000}"/>
    <cellStyle name="出力 14" xfId="31217" xr:uid="{00000000-0005-0000-0000-0000F1790000}"/>
    <cellStyle name="出力 15" xfId="31218" xr:uid="{00000000-0005-0000-0000-0000F2790000}"/>
    <cellStyle name="出力 16" xfId="31219" xr:uid="{00000000-0005-0000-0000-0000F3790000}"/>
    <cellStyle name="出力 17" xfId="31220" xr:uid="{00000000-0005-0000-0000-0000F4790000}"/>
    <cellStyle name="出力 18" xfId="31221" xr:uid="{00000000-0005-0000-0000-0000F5790000}"/>
    <cellStyle name="出力 19" xfId="31222" xr:uid="{00000000-0005-0000-0000-0000F6790000}"/>
    <cellStyle name="出力 2" xfId="31223" xr:uid="{00000000-0005-0000-0000-0000F7790000}"/>
    <cellStyle name="出力 2 10" xfId="31224" xr:uid="{00000000-0005-0000-0000-0000F8790000}"/>
    <cellStyle name="出力 2 11" xfId="31225" xr:uid="{00000000-0005-0000-0000-0000F9790000}"/>
    <cellStyle name="出力 2 12" xfId="31226" xr:uid="{00000000-0005-0000-0000-0000FA790000}"/>
    <cellStyle name="出力 2 13" xfId="31227" xr:uid="{00000000-0005-0000-0000-0000FB790000}"/>
    <cellStyle name="出力 2 14" xfId="31228" xr:uid="{00000000-0005-0000-0000-0000FC790000}"/>
    <cellStyle name="出力 2 15" xfId="31229" xr:uid="{00000000-0005-0000-0000-0000FD790000}"/>
    <cellStyle name="出力 2 16" xfId="31230" xr:uid="{00000000-0005-0000-0000-0000FE790000}"/>
    <cellStyle name="出力 2 17" xfId="31231" xr:uid="{00000000-0005-0000-0000-0000FF790000}"/>
    <cellStyle name="出力 2 18" xfId="31232" xr:uid="{00000000-0005-0000-0000-0000007A0000}"/>
    <cellStyle name="出力 2 19" xfId="31233" xr:uid="{00000000-0005-0000-0000-0000017A0000}"/>
    <cellStyle name="出力 2 2" xfId="31234" xr:uid="{00000000-0005-0000-0000-0000027A0000}"/>
    <cellStyle name="出力 2 20" xfId="31235" xr:uid="{00000000-0005-0000-0000-0000037A0000}"/>
    <cellStyle name="出力 2 21" xfId="31236" xr:uid="{00000000-0005-0000-0000-0000047A0000}"/>
    <cellStyle name="出力 2 22" xfId="31237" xr:uid="{00000000-0005-0000-0000-0000057A0000}"/>
    <cellStyle name="出力 2 23" xfId="31238" xr:uid="{00000000-0005-0000-0000-0000067A0000}"/>
    <cellStyle name="出力 2 24" xfId="31239" xr:uid="{00000000-0005-0000-0000-0000077A0000}"/>
    <cellStyle name="出力 2 25" xfId="31240" xr:uid="{00000000-0005-0000-0000-0000087A0000}"/>
    <cellStyle name="出力 2 26" xfId="31241" xr:uid="{00000000-0005-0000-0000-0000097A0000}"/>
    <cellStyle name="出力 2 27" xfId="31242" xr:uid="{00000000-0005-0000-0000-00000A7A0000}"/>
    <cellStyle name="出力 2 28" xfId="31243" xr:uid="{00000000-0005-0000-0000-00000B7A0000}"/>
    <cellStyle name="出力 2 29" xfId="31244" xr:uid="{00000000-0005-0000-0000-00000C7A0000}"/>
    <cellStyle name="出力 2 3" xfId="31245" xr:uid="{00000000-0005-0000-0000-00000D7A0000}"/>
    <cellStyle name="出力 2 30" xfId="31246" xr:uid="{00000000-0005-0000-0000-00000E7A0000}"/>
    <cellStyle name="出力 2 31" xfId="31247" xr:uid="{00000000-0005-0000-0000-00000F7A0000}"/>
    <cellStyle name="出力 2 32" xfId="31248" xr:uid="{00000000-0005-0000-0000-0000107A0000}"/>
    <cellStyle name="出力 2 33" xfId="31249" xr:uid="{00000000-0005-0000-0000-0000117A0000}"/>
    <cellStyle name="出力 2 34" xfId="31250" xr:uid="{00000000-0005-0000-0000-0000127A0000}"/>
    <cellStyle name="出力 2 4" xfId="31251" xr:uid="{00000000-0005-0000-0000-0000137A0000}"/>
    <cellStyle name="出力 2 5" xfId="31252" xr:uid="{00000000-0005-0000-0000-0000147A0000}"/>
    <cellStyle name="出力 2 6" xfId="31253" xr:uid="{00000000-0005-0000-0000-0000157A0000}"/>
    <cellStyle name="出力 2 7" xfId="31254" xr:uid="{00000000-0005-0000-0000-0000167A0000}"/>
    <cellStyle name="出力 2 8" xfId="31255" xr:uid="{00000000-0005-0000-0000-0000177A0000}"/>
    <cellStyle name="出力 2 9" xfId="31256" xr:uid="{00000000-0005-0000-0000-0000187A0000}"/>
    <cellStyle name="出力 20" xfId="31257" xr:uid="{00000000-0005-0000-0000-0000197A0000}"/>
    <cellStyle name="出力 3" xfId="31258" xr:uid="{00000000-0005-0000-0000-00001A7A0000}"/>
    <cellStyle name="出力 3 2" xfId="31259" xr:uid="{00000000-0005-0000-0000-00001B7A0000}"/>
    <cellStyle name="出力 3 3" xfId="31260" xr:uid="{00000000-0005-0000-0000-00001C7A0000}"/>
    <cellStyle name="出力 4" xfId="31261" xr:uid="{00000000-0005-0000-0000-00001D7A0000}"/>
    <cellStyle name="出力 5" xfId="31262" xr:uid="{00000000-0005-0000-0000-00001E7A0000}"/>
    <cellStyle name="出力 6" xfId="31263" xr:uid="{00000000-0005-0000-0000-00001F7A0000}"/>
    <cellStyle name="出力 7" xfId="31264" xr:uid="{00000000-0005-0000-0000-0000207A0000}"/>
    <cellStyle name="出力 8" xfId="31265" xr:uid="{00000000-0005-0000-0000-0000217A0000}"/>
    <cellStyle name="出力 9" xfId="31266" xr:uid="{00000000-0005-0000-0000-0000227A0000}"/>
    <cellStyle name="千位[0]_laroux" xfId="31268" xr:uid="{00000000-0005-0000-0000-0000237A0000}"/>
    <cellStyle name="千位_laroux" xfId="31267" xr:uid="{00000000-0005-0000-0000-0000247A0000}"/>
    <cellStyle name="千位分隔 10" xfId="31269" xr:uid="{00000000-0005-0000-0000-0000257A0000}"/>
    <cellStyle name="千位分隔 11" xfId="31270" xr:uid="{00000000-0005-0000-0000-0000267A0000}"/>
    <cellStyle name="千位分隔 2" xfId="31271" xr:uid="{00000000-0005-0000-0000-0000277A0000}"/>
    <cellStyle name="千位分隔 2 2" xfId="31272" xr:uid="{00000000-0005-0000-0000-0000287A0000}"/>
    <cellStyle name="千位分隔 2 2 2" xfId="31273" xr:uid="{00000000-0005-0000-0000-0000297A0000}"/>
    <cellStyle name="千位分隔 2 2 3" xfId="31274" xr:uid="{00000000-0005-0000-0000-00002A7A0000}"/>
    <cellStyle name="千位分隔 2 2 4" xfId="31275" xr:uid="{00000000-0005-0000-0000-00002B7A0000}"/>
    <cellStyle name="千位分隔 2 3" xfId="31276" xr:uid="{00000000-0005-0000-0000-00002C7A0000}"/>
    <cellStyle name="千位分隔 2 4" xfId="31277" xr:uid="{00000000-0005-0000-0000-00002D7A0000}"/>
    <cellStyle name="千位分隔 2 5" xfId="31278" xr:uid="{00000000-0005-0000-0000-00002E7A0000}"/>
    <cellStyle name="千位分隔 3" xfId="31279" xr:uid="{00000000-0005-0000-0000-00002F7A0000}"/>
    <cellStyle name="千位分隔 3 2" xfId="31280" xr:uid="{00000000-0005-0000-0000-0000307A0000}"/>
    <cellStyle name="千位分隔 3 3" xfId="31281" xr:uid="{00000000-0005-0000-0000-0000317A0000}"/>
    <cellStyle name="千位分隔 4" xfId="31282" xr:uid="{00000000-0005-0000-0000-0000327A0000}"/>
    <cellStyle name="千位分隔 4 2" xfId="31283" xr:uid="{00000000-0005-0000-0000-0000337A0000}"/>
    <cellStyle name="千位分隔 4 3" xfId="31284" xr:uid="{00000000-0005-0000-0000-0000347A0000}"/>
    <cellStyle name="千位分隔 5" xfId="31285" xr:uid="{00000000-0005-0000-0000-0000357A0000}"/>
    <cellStyle name="千位分隔 5 2" xfId="31286" xr:uid="{00000000-0005-0000-0000-0000367A0000}"/>
    <cellStyle name="千位分隔 6" xfId="31287" xr:uid="{00000000-0005-0000-0000-0000377A0000}"/>
    <cellStyle name="千位分隔 6 2" xfId="31288" xr:uid="{00000000-0005-0000-0000-0000387A0000}"/>
    <cellStyle name="千位分隔 7" xfId="31289" xr:uid="{00000000-0005-0000-0000-0000397A0000}"/>
    <cellStyle name="千位分隔 8" xfId="31290" xr:uid="{00000000-0005-0000-0000-00003A7A0000}"/>
    <cellStyle name="千位分隔 9" xfId="31291" xr:uid="{00000000-0005-0000-0000-00003B7A0000}"/>
    <cellStyle name="千位分隔[0] 2" xfId="31293" xr:uid="{00000000-0005-0000-0000-00003C7A0000}"/>
    <cellStyle name="千位分隔[0] 3" xfId="31294" xr:uid="{00000000-0005-0000-0000-00003D7A0000}"/>
    <cellStyle name="千位分隔[0] 4" xfId="31295" xr:uid="{00000000-0005-0000-0000-00003E7A0000}"/>
    <cellStyle name="千位分隔[0]_2.5G报价模板" xfId="31296" xr:uid="{00000000-0005-0000-0000-00003F7A0000}"/>
    <cellStyle name="千位分隔_2.5G报价模板" xfId="31292" xr:uid="{00000000-0005-0000-0000-0000407A0000}"/>
    <cellStyle name="千分位[0]_ 白土" xfId="31298" xr:uid="{00000000-0005-0000-0000-0000417A0000}"/>
    <cellStyle name="千分位_ 白土" xfId="31297" xr:uid="{00000000-0005-0000-0000-0000427A0000}"/>
    <cellStyle name="后继超级链接_~0055202" xfId="31299" xr:uid="{00000000-0005-0000-0000-0000437A0000}"/>
    <cellStyle name="好" xfId="31300" xr:uid="{00000000-0005-0000-0000-0000447A0000}"/>
    <cellStyle name="好 2" xfId="31301" xr:uid="{00000000-0005-0000-0000-0000457A0000}"/>
    <cellStyle name="好 3" xfId="31302" xr:uid="{00000000-0005-0000-0000-0000467A0000}"/>
    <cellStyle name="好 4" xfId="31303" xr:uid="{00000000-0005-0000-0000-0000477A0000}"/>
    <cellStyle name="好 5" xfId="31304" xr:uid="{00000000-0005-0000-0000-0000487A0000}"/>
    <cellStyle name="好 6" xfId="31305" xr:uid="{00000000-0005-0000-0000-0000497A0000}"/>
    <cellStyle name="好_Annex 27 Part 2 Prices-2010.09.17-V1.0" xfId="31306" xr:uid="{00000000-0005-0000-0000-00004A7A0000}"/>
    <cellStyle name="好_BoQ-Bill of Quantity" xfId="31307" xr:uid="{00000000-0005-0000-0000-00004B7A0000}"/>
    <cellStyle name="好_Optical" xfId="31308" xr:uid="{00000000-0005-0000-0000-00004C7A0000}"/>
    <cellStyle name="好_Sheet3" xfId="31309" xr:uid="{00000000-0005-0000-0000-00004D7A0000}"/>
    <cellStyle name="好_VAS 软件单价表" xfId="31310" xr:uid="{00000000-0005-0000-0000-00004E7A0000}"/>
    <cellStyle name="好_固网单价" xfId="31311" xr:uid="{00000000-0005-0000-0000-00004F7A0000}"/>
    <cellStyle name="差" xfId="31312" xr:uid="{00000000-0005-0000-0000-0000507A0000}"/>
    <cellStyle name="差 2" xfId="31313" xr:uid="{00000000-0005-0000-0000-0000517A0000}"/>
    <cellStyle name="差 3" xfId="31314" xr:uid="{00000000-0005-0000-0000-0000527A0000}"/>
    <cellStyle name="差 4" xfId="31315" xr:uid="{00000000-0005-0000-0000-0000537A0000}"/>
    <cellStyle name="差 5" xfId="31316" xr:uid="{00000000-0005-0000-0000-0000547A0000}"/>
    <cellStyle name="差 6" xfId="31317" xr:uid="{00000000-0005-0000-0000-0000557A0000}"/>
    <cellStyle name="差_Annex 27 Part 2 Prices-2010.09.17-V1.0" xfId="31318" xr:uid="{00000000-0005-0000-0000-0000567A0000}"/>
    <cellStyle name="差_BoQ-Bill of Quantity" xfId="31319" xr:uid="{00000000-0005-0000-0000-0000577A0000}"/>
    <cellStyle name="差_Optical" xfId="31320" xr:uid="{00000000-0005-0000-0000-0000587A0000}"/>
    <cellStyle name="差_Sheet3" xfId="31321" xr:uid="{00000000-0005-0000-0000-0000597A0000}"/>
    <cellStyle name="差_VAS 软件单价表" xfId="31322" xr:uid="{00000000-0005-0000-0000-00005A7A0000}"/>
    <cellStyle name="差_固网单价" xfId="31323" xr:uid="{00000000-0005-0000-0000-00005B7A0000}"/>
    <cellStyle name="常规 10" xfId="31324" xr:uid="{00000000-0005-0000-0000-00005C7A0000}"/>
    <cellStyle name="常规 11" xfId="31325" xr:uid="{00000000-0005-0000-0000-00005D7A0000}"/>
    <cellStyle name="常规 11 2" xfId="31326" xr:uid="{00000000-0005-0000-0000-00005E7A0000}"/>
    <cellStyle name="常规 12" xfId="31327" xr:uid="{00000000-0005-0000-0000-00005F7A0000}"/>
    <cellStyle name="常规 13" xfId="31328" xr:uid="{00000000-0005-0000-0000-0000607A0000}"/>
    <cellStyle name="常规 14" xfId="31329" xr:uid="{00000000-0005-0000-0000-0000617A0000}"/>
    <cellStyle name="常规 14 2" xfId="31330" xr:uid="{00000000-0005-0000-0000-0000627A0000}"/>
    <cellStyle name="常规 14 3" xfId="31331" xr:uid="{00000000-0005-0000-0000-0000637A0000}"/>
    <cellStyle name="常规 15" xfId="31332" xr:uid="{00000000-0005-0000-0000-0000647A0000}"/>
    <cellStyle name="常规 16" xfId="31333" xr:uid="{00000000-0005-0000-0000-0000657A0000}"/>
    <cellStyle name="常规 17" xfId="31334" xr:uid="{00000000-0005-0000-0000-0000667A0000}"/>
    <cellStyle name="常规 2" xfId="31335" xr:uid="{00000000-0005-0000-0000-0000677A0000}"/>
    <cellStyle name="常规 2 2" xfId="31336" xr:uid="{00000000-0005-0000-0000-0000687A0000}"/>
    <cellStyle name="常规 2 2 2" xfId="31337" xr:uid="{00000000-0005-0000-0000-0000697A0000}"/>
    <cellStyle name="常规 2 3" xfId="31338" xr:uid="{00000000-0005-0000-0000-00006A7A0000}"/>
    <cellStyle name="常规 2_Discounts(Ran)" xfId="31339" xr:uid="{00000000-0005-0000-0000-00006B7A0000}"/>
    <cellStyle name="常规 3" xfId="31340" xr:uid="{00000000-0005-0000-0000-00006C7A0000}"/>
    <cellStyle name="常规 3 2" xfId="31341" xr:uid="{00000000-0005-0000-0000-00006D7A0000}"/>
    <cellStyle name="常规 3 3" xfId="31342" xr:uid="{00000000-0005-0000-0000-00006E7A0000}"/>
    <cellStyle name="常规 3 4" xfId="31343" xr:uid="{00000000-0005-0000-0000-00006F7A0000}"/>
    <cellStyle name="常规 3_Discounts(Core)" xfId="31344" xr:uid="{00000000-0005-0000-0000-0000707A0000}"/>
    <cellStyle name="常规 4" xfId="31345" xr:uid="{00000000-0005-0000-0000-0000717A0000}"/>
    <cellStyle name="常规 4 2" xfId="31346" xr:uid="{00000000-0005-0000-0000-0000727A0000}"/>
    <cellStyle name="常规 5" xfId="31347" xr:uid="{00000000-0005-0000-0000-0000737A0000}"/>
    <cellStyle name="常规 6" xfId="31348" xr:uid="{00000000-0005-0000-0000-0000747A0000}"/>
    <cellStyle name="常规 6 2" xfId="31349" xr:uid="{00000000-0005-0000-0000-0000757A0000}"/>
    <cellStyle name="常规 7" xfId="31350" xr:uid="{00000000-0005-0000-0000-0000767A0000}"/>
    <cellStyle name="常规 7 2" xfId="31351" xr:uid="{00000000-0005-0000-0000-0000777A0000}"/>
    <cellStyle name="常规 8" xfId="31352" xr:uid="{00000000-0005-0000-0000-0000787A0000}"/>
    <cellStyle name="常规 8 2" xfId="31353" xr:uid="{00000000-0005-0000-0000-0000797A0000}"/>
    <cellStyle name="常规 8 3" xfId="31354" xr:uid="{00000000-0005-0000-0000-00007A7A0000}"/>
    <cellStyle name="常规 9" xfId="31355" xr:uid="{00000000-0005-0000-0000-00007B7A0000}"/>
    <cellStyle name="常规_~5333370" xfId="31356" xr:uid="{00000000-0005-0000-0000-00007C7A0000}"/>
    <cellStyle name="强调文字颜色 1" xfId="31357" xr:uid="{00000000-0005-0000-0000-00007D7A0000}"/>
    <cellStyle name="强调文字颜色 1 2" xfId="31358" xr:uid="{00000000-0005-0000-0000-00007E7A0000}"/>
    <cellStyle name="强调文字颜色 1 3" xfId="31359" xr:uid="{00000000-0005-0000-0000-00007F7A0000}"/>
    <cellStyle name="强调文字颜色 1 4" xfId="31360" xr:uid="{00000000-0005-0000-0000-0000807A0000}"/>
    <cellStyle name="强调文字颜色 1 5" xfId="31361" xr:uid="{00000000-0005-0000-0000-0000817A0000}"/>
    <cellStyle name="强调文字颜色 1 6" xfId="31362" xr:uid="{00000000-0005-0000-0000-0000827A0000}"/>
    <cellStyle name="强调文字颜色 2" xfId="31363" xr:uid="{00000000-0005-0000-0000-0000837A0000}"/>
    <cellStyle name="强调文字颜色 2 2" xfId="31364" xr:uid="{00000000-0005-0000-0000-0000847A0000}"/>
    <cellStyle name="强调文字颜色 2 3" xfId="31365" xr:uid="{00000000-0005-0000-0000-0000857A0000}"/>
    <cellStyle name="强调文字颜色 2 4" xfId="31366" xr:uid="{00000000-0005-0000-0000-0000867A0000}"/>
    <cellStyle name="强调文字颜色 2 5" xfId="31367" xr:uid="{00000000-0005-0000-0000-0000877A0000}"/>
    <cellStyle name="强调文字颜色 2 6" xfId="31368" xr:uid="{00000000-0005-0000-0000-0000887A0000}"/>
    <cellStyle name="强调文字颜色 3" xfId="31369" xr:uid="{00000000-0005-0000-0000-0000897A0000}"/>
    <cellStyle name="强调文字颜色 3 2" xfId="31370" xr:uid="{00000000-0005-0000-0000-00008A7A0000}"/>
    <cellStyle name="强调文字颜色 3 3" xfId="31371" xr:uid="{00000000-0005-0000-0000-00008B7A0000}"/>
    <cellStyle name="强调文字颜色 3 4" xfId="31372" xr:uid="{00000000-0005-0000-0000-00008C7A0000}"/>
    <cellStyle name="强调文字颜色 3 5" xfId="31373" xr:uid="{00000000-0005-0000-0000-00008D7A0000}"/>
    <cellStyle name="强调文字颜色 3 6" xfId="31374" xr:uid="{00000000-0005-0000-0000-00008E7A0000}"/>
    <cellStyle name="强调文字颜色 4" xfId="31375" xr:uid="{00000000-0005-0000-0000-00008F7A0000}"/>
    <cellStyle name="强调文字颜色 4 2" xfId="31376" xr:uid="{00000000-0005-0000-0000-0000907A0000}"/>
    <cellStyle name="强调文字颜色 4 3" xfId="31377" xr:uid="{00000000-0005-0000-0000-0000917A0000}"/>
    <cellStyle name="强调文字颜色 4 4" xfId="31378" xr:uid="{00000000-0005-0000-0000-0000927A0000}"/>
    <cellStyle name="强调文字颜色 4 5" xfId="31379" xr:uid="{00000000-0005-0000-0000-0000937A0000}"/>
    <cellStyle name="强调文字颜色 4 6" xfId="31380" xr:uid="{00000000-0005-0000-0000-0000947A0000}"/>
    <cellStyle name="强调文字颜色 5" xfId="31381" xr:uid="{00000000-0005-0000-0000-0000957A0000}"/>
    <cellStyle name="强调文字颜色 5 2" xfId="31382" xr:uid="{00000000-0005-0000-0000-0000967A0000}"/>
    <cellStyle name="强调文字颜色 5 3" xfId="31383" xr:uid="{00000000-0005-0000-0000-0000977A0000}"/>
    <cellStyle name="强调文字颜色 5 4" xfId="31384" xr:uid="{00000000-0005-0000-0000-0000987A0000}"/>
    <cellStyle name="强调文字颜色 5 5" xfId="31385" xr:uid="{00000000-0005-0000-0000-0000997A0000}"/>
    <cellStyle name="强调文字颜色 5 6" xfId="31386" xr:uid="{00000000-0005-0000-0000-00009A7A0000}"/>
    <cellStyle name="强调文字颜色 6" xfId="31387" xr:uid="{00000000-0005-0000-0000-00009B7A0000}"/>
    <cellStyle name="强调文字颜色 6 2" xfId="31388" xr:uid="{00000000-0005-0000-0000-00009C7A0000}"/>
    <cellStyle name="强调文字颜色 6 3" xfId="31389" xr:uid="{00000000-0005-0000-0000-00009D7A0000}"/>
    <cellStyle name="强调文字颜色 6 4" xfId="31390" xr:uid="{00000000-0005-0000-0000-00009E7A0000}"/>
    <cellStyle name="强调文字颜色 6 5" xfId="31391" xr:uid="{00000000-0005-0000-0000-00009F7A0000}"/>
    <cellStyle name="强调文字颜色 6 6" xfId="31392" xr:uid="{00000000-0005-0000-0000-0000A07A0000}"/>
    <cellStyle name="悪い" xfId="31393" xr:uid="{00000000-0005-0000-0000-0000A17A0000}"/>
    <cellStyle name="普通_ 白土" xfId="31394" xr:uid="{00000000-0005-0000-0000-0000A27A0000}"/>
    <cellStyle name="未定義" xfId="31395" xr:uid="{00000000-0005-0000-0000-0000A37A0000}"/>
    <cellStyle name="未定義 2" xfId="31396" xr:uid="{00000000-0005-0000-0000-0000A47A0000}"/>
    <cellStyle name="未定義 2 2" xfId="31397" xr:uid="{00000000-0005-0000-0000-0000A57A0000}"/>
    <cellStyle name="未定義 3" xfId="31398" xr:uid="{00000000-0005-0000-0000-0000A67A0000}"/>
    <cellStyle name="标题" xfId="31399" xr:uid="{00000000-0005-0000-0000-0000A77A0000}"/>
    <cellStyle name="标题 1" xfId="31400" xr:uid="{00000000-0005-0000-0000-0000A87A0000}"/>
    <cellStyle name="标题 1 2" xfId="31401" xr:uid="{00000000-0005-0000-0000-0000A97A0000}"/>
    <cellStyle name="标题 1 3" xfId="31402" xr:uid="{00000000-0005-0000-0000-0000AA7A0000}"/>
    <cellStyle name="标题 1 4" xfId="31403" xr:uid="{00000000-0005-0000-0000-0000AB7A0000}"/>
    <cellStyle name="标题 1 5" xfId="31404" xr:uid="{00000000-0005-0000-0000-0000AC7A0000}"/>
    <cellStyle name="标题 1 6" xfId="31405" xr:uid="{00000000-0005-0000-0000-0000AD7A0000}"/>
    <cellStyle name="标题 2" xfId="31406" xr:uid="{00000000-0005-0000-0000-0000AE7A0000}"/>
    <cellStyle name="标题 2 2" xfId="31407" xr:uid="{00000000-0005-0000-0000-0000AF7A0000}"/>
    <cellStyle name="标题 2 3" xfId="31408" xr:uid="{00000000-0005-0000-0000-0000B07A0000}"/>
    <cellStyle name="标题 2 4" xfId="31409" xr:uid="{00000000-0005-0000-0000-0000B17A0000}"/>
    <cellStyle name="标题 2 5" xfId="31410" xr:uid="{00000000-0005-0000-0000-0000B27A0000}"/>
    <cellStyle name="标题 2 6" xfId="31411" xr:uid="{00000000-0005-0000-0000-0000B37A0000}"/>
    <cellStyle name="标题 3" xfId="31412" xr:uid="{00000000-0005-0000-0000-0000B47A0000}"/>
    <cellStyle name="标题 3 2" xfId="31413" xr:uid="{00000000-0005-0000-0000-0000B57A0000}"/>
    <cellStyle name="标题 3 3" xfId="31414" xr:uid="{00000000-0005-0000-0000-0000B67A0000}"/>
    <cellStyle name="标题 3 4" xfId="31415" xr:uid="{00000000-0005-0000-0000-0000B77A0000}"/>
    <cellStyle name="标题 3 5" xfId="31416" xr:uid="{00000000-0005-0000-0000-0000B87A0000}"/>
    <cellStyle name="标题 3 6" xfId="31417" xr:uid="{00000000-0005-0000-0000-0000B97A0000}"/>
    <cellStyle name="标题 4" xfId="31418" xr:uid="{00000000-0005-0000-0000-0000BA7A0000}"/>
    <cellStyle name="标题 4 2" xfId="31419" xr:uid="{00000000-0005-0000-0000-0000BB7A0000}"/>
    <cellStyle name="标题 4 3" xfId="31420" xr:uid="{00000000-0005-0000-0000-0000BC7A0000}"/>
    <cellStyle name="标题 4 4" xfId="31421" xr:uid="{00000000-0005-0000-0000-0000BD7A0000}"/>
    <cellStyle name="标题 4 5" xfId="31422" xr:uid="{00000000-0005-0000-0000-0000BE7A0000}"/>
    <cellStyle name="标题 4 6" xfId="31423" xr:uid="{00000000-0005-0000-0000-0000BF7A0000}"/>
    <cellStyle name="标题 5" xfId="31424" xr:uid="{00000000-0005-0000-0000-0000C07A0000}"/>
    <cellStyle name="标题 6" xfId="31425" xr:uid="{00000000-0005-0000-0000-0000C17A0000}"/>
    <cellStyle name="标题 7" xfId="31426" xr:uid="{00000000-0005-0000-0000-0000C27A0000}"/>
    <cellStyle name="标题 8" xfId="31427" xr:uid="{00000000-0005-0000-0000-0000C37A0000}"/>
    <cellStyle name="标题 9" xfId="31428" xr:uid="{00000000-0005-0000-0000-0000C47A0000}"/>
    <cellStyle name="样式 1" xfId="31429" xr:uid="{00000000-0005-0000-0000-0000C57A0000}"/>
    <cellStyle name="样式 1 2" xfId="31430" xr:uid="{00000000-0005-0000-0000-0000C67A0000}"/>
    <cellStyle name="样式 1 2 2" xfId="31431" xr:uid="{00000000-0005-0000-0000-0000C77A0000}"/>
    <cellStyle name="样式 1 3" xfId="31432" xr:uid="{00000000-0005-0000-0000-0000C87A0000}"/>
    <cellStyle name="样式 1_Discounts(Ran)" xfId="31433" xr:uid="{00000000-0005-0000-0000-0000C97A0000}"/>
    <cellStyle name="桁区切り [0.00] 2" xfId="31434" xr:uid="{00000000-0005-0000-0000-0000CA7A0000}"/>
    <cellStyle name="桁区切り [0.00] 3" xfId="31435" xr:uid="{00000000-0005-0000-0000-0000CB7A0000}"/>
    <cellStyle name="桁区切り [0.00]_laroux" xfId="31436" xr:uid="{00000000-0005-0000-0000-0000CC7A0000}"/>
    <cellStyle name="桁区切り 2" xfId="31437" xr:uid="{00000000-0005-0000-0000-0000CD7A0000}"/>
    <cellStyle name="桁区切り_20111219_1500人事⑲_社員個人別データ_3_TW_TM2" xfId="31438" xr:uid="{00000000-0005-0000-0000-0000CE7A0000}"/>
    <cellStyle name="检查单元格" xfId="31439" xr:uid="{00000000-0005-0000-0000-0000CF7A0000}"/>
    <cellStyle name="检查单元格 2" xfId="31440" xr:uid="{00000000-0005-0000-0000-0000D07A0000}"/>
    <cellStyle name="检查单元格 2 2" xfId="31441" xr:uid="{00000000-0005-0000-0000-0000D17A0000}"/>
    <cellStyle name="检查单元格 2 2 2" xfId="31442" xr:uid="{00000000-0005-0000-0000-0000D27A0000}"/>
    <cellStyle name="检查单元格 2 3" xfId="31443" xr:uid="{00000000-0005-0000-0000-0000D37A0000}"/>
    <cellStyle name="检查单元格 2 4" xfId="31444" xr:uid="{00000000-0005-0000-0000-0000D47A0000}"/>
    <cellStyle name="检查单元格 3" xfId="31445" xr:uid="{00000000-0005-0000-0000-0000D57A0000}"/>
    <cellStyle name="检查单元格 3 2" xfId="31446" xr:uid="{00000000-0005-0000-0000-0000D67A0000}"/>
    <cellStyle name="检查单元格 3 2 2" xfId="31447" xr:uid="{00000000-0005-0000-0000-0000D77A0000}"/>
    <cellStyle name="检查单元格 3 3" xfId="31448" xr:uid="{00000000-0005-0000-0000-0000D87A0000}"/>
    <cellStyle name="检查单元格 3 4" xfId="31449" xr:uid="{00000000-0005-0000-0000-0000D97A0000}"/>
    <cellStyle name="检查单元格 4" xfId="31450" xr:uid="{00000000-0005-0000-0000-0000DA7A0000}"/>
    <cellStyle name="检查单元格 4 2" xfId="31451" xr:uid="{00000000-0005-0000-0000-0000DB7A0000}"/>
    <cellStyle name="检查单元格 4 2 2" xfId="31452" xr:uid="{00000000-0005-0000-0000-0000DC7A0000}"/>
    <cellStyle name="检查单元格 4 3" xfId="31453" xr:uid="{00000000-0005-0000-0000-0000DD7A0000}"/>
    <cellStyle name="检查单元格 4 4" xfId="31454" xr:uid="{00000000-0005-0000-0000-0000DE7A0000}"/>
    <cellStyle name="检查单元格 5" xfId="31455" xr:uid="{00000000-0005-0000-0000-0000DF7A0000}"/>
    <cellStyle name="检查单元格 5 2" xfId="31456" xr:uid="{00000000-0005-0000-0000-0000E07A0000}"/>
    <cellStyle name="检查单元格 5 2 2" xfId="31457" xr:uid="{00000000-0005-0000-0000-0000E17A0000}"/>
    <cellStyle name="检查单元格 5 3" xfId="31458" xr:uid="{00000000-0005-0000-0000-0000E27A0000}"/>
    <cellStyle name="检查单元格 5 4" xfId="31459" xr:uid="{00000000-0005-0000-0000-0000E37A0000}"/>
    <cellStyle name="检查单元格 6" xfId="31460" xr:uid="{00000000-0005-0000-0000-0000E47A0000}"/>
    <cellStyle name="检查单元格 6 2" xfId="31461" xr:uid="{00000000-0005-0000-0000-0000E57A0000}"/>
    <cellStyle name="检查单元格 6 2 2" xfId="31462" xr:uid="{00000000-0005-0000-0000-0000E67A0000}"/>
    <cellStyle name="检查单元格 6 3" xfId="31463" xr:uid="{00000000-0005-0000-0000-0000E77A0000}"/>
    <cellStyle name="检查单元格 6 4" xfId="31464" xr:uid="{00000000-0005-0000-0000-0000E87A0000}"/>
    <cellStyle name="检查单元格 7" xfId="31465" xr:uid="{00000000-0005-0000-0000-0000E97A0000}"/>
    <cellStyle name="检查单元格 7 2" xfId="31466" xr:uid="{00000000-0005-0000-0000-0000EA7A0000}"/>
    <cellStyle name="检查单元格 8" xfId="31467" xr:uid="{00000000-0005-0000-0000-0000EB7A0000}"/>
    <cellStyle name="检查单元格 9" xfId="31468" xr:uid="{00000000-0005-0000-0000-0000EC7A0000}"/>
    <cellStyle name="標準 2" xfId="31469" xr:uid="{00000000-0005-0000-0000-0000ED7A0000}"/>
    <cellStyle name="標準 3" xfId="31470" xr:uid="{00000000-0005-0000-0000-0000EE7A0000}"/>
    <cellStyle name="標準 33" xfId="31471" xr:uid="{00000000-0005-0000-0000-0000EF7A0000}"/>
    <cellStyle name="標準_20111219_1500人事⑲_社員個人別データ_3_TW_TM2" xfId="31472" xr:uid="{00000000-0005-0000-0000-0000F07A0000}"/>
    <cellStyle name="汇总" xfId="31473" xr:uid="{00000000-0005-0000-0000-0000F17A0000}"/>
    <cellStyle name="汇总 10" xfId="31474" xr:uid="{00000000-0005-0000-0000-0000F27A0000}"/>
    <cellStyle name="汇总 11" xfId="31475" xr:uid="{00000000-0005-0000-0000-0000F37A0000}"/>
    <cellStyle name="汇总 12" xfId="31476" xr:uid="{00000000-0005-0000-0000-0000F47A0000}"/>
    <cellStyle name="汇总 13" xfId="31477" xr:uid="{00000000-0005-0000-0000-0000F57A0000}"/>
    <cellStyle name="汇总 14" xfId="31478" xr:uid="{00000000-0005-0000-0000-0000F67A0000}"/>
    <cellStyle name="汇总 15" xfId="31479" xr:uid="{00000000-0005-0000-0000-0000F77A0000}"/>
    <cellStyle name="汇总 16" xfId="31480" xr:uid="{00000000-0005-0000-0000-0000F87A0000}"/>
    <cellStyle name="汇总 17" xfId="31481" xr:uid="{00000000-0005-0000-0000-0000F97A0000}"/>
    <cellStyle name="汇总 18" xfId="31482" xr:uid="{00000000-0005-0000-0000-0000FA7A0000}"/>
    <cellStyle name="汇总 19" xfId="31483" xr:uid="{00000000-0005-0000-0000-0000FB7A0000}"/>
    <cellStyle name="汇总 2" xfId="31484" xr:uid="{00000000-0005-0000-0000-0000FC7A0000}"/>
    <cellStyle name="汇总 2 10" xfId="31485" xr:uid="{00000000-0005-0000-0000-0000FD7A0000}"/>
    <cellStyle name="汇总 2 11" xfId="31486" xr:uid="{00000000-0005-0000-0000-0000FE7A0000}"/>
    <cellStyle name="汇总 2 12" xfId="31487" xr:uid="{00000000-0005-0000-0000-0000FF7A0000}"/>
    <cellStyle name="汇总 2 13" xfId="31488" xr:uid="{00000000-0005-0000-0000-0000007B0000}"/>
    <cellStyle name="汇总 2 14" xfId="31489" xr:uid="{00000000-0005-0000-0000-0000017B0000}"/>
    <cellStyle name="汇总 2 15" xfId="31490" xr:uid="{00000000-0005-0000-0000-0000027B0000}"/>
    <cellStyle name="汇总 2 16" xfId="31491" xr:uid="{00000000-0005-0000-0000-0000037B0000}"/>
    <cellStyle name="汇总 2 17" xfId="31492" xr:uid="{00000000-0005-0000-0000-0000047B0000}"/>
    <cellStyle name="汇总 2 18" xfId="31493" xr:uid="{00000000-0005-0000-0000-0000057B0000}"/>
    <cellStyle name="汇总 2 19" xfId="31494" xr:uid="{00000000-0005-0000-0000-0000067B0000}"/>
    <cellStyle name="汇总 2 2" xfId="31495" xr:uid="{00000000-0005-0000-0000-0000077B0000}"/>
    <cellStyle name="汇总 2 2 10" xfId="31496" xr:uid="{00000000-0005-0000-0000-0000087B0000}"/>
    <cellStyle name="汇总 2 2 11" xfId="31497" xr:uid="{00000000-0005-0000-0000-0000097B0000}"/>
    <cellStyle name="汇总 2 2 12" xfId="31498" xr:uid="{00000000-0005-0000-0000-00000A7B0000}"/>
    <cellStyle name="汇总 2 2 13" xfId="31499" xr:uid="{00000000-0005-0000-0000-00000B7B0000}"/>
    <cellStyle name="汇总 2 2 14" xfId="31500" xr:uid="{00000000-0005-0000-0000-00000C7B0000}"/>
    <cellStyle name="汇总 2 2 15" xfId="31501" xr:uid="{00000000-0005-0000-0000-00000D7B0000}"/>
    <cellStyle name="汇总 2 2 16" xfId="31502" xr:uid="{00000000-0005-0000-0000-00000E7B0000}"/>
    <cellStyle name="汇总 2 2 17" xfId="31503" xr:uid="{00000000-0005-0000-0000-00000F7B0000}"/>
    <cellStyle name="汇总 2 2 18" xfId="31504" xr:uid="{00000000-0005-0000-0000-0000107B0000}"/>
    <cellStyle name="汇总 2 2 19" xfId="31505" xr:uid="{00000000-0005-0000-0000-0000117B0000}"/>
    <cellStyle name="汇总 2 2 2" xfId="31506" xr:uid="{00000000-0005-0000-0000-0000127B0000}"/>
    <cellStyle name="汇总 2 2 20" xfId="31507" xr:uid="{00000000-0005-0000-0000-0000137B0000}"/>
    <cellStyle name="汇总 2 2 21" xfId="31508" xr:uid="{00000000-0005-0000-0000-0000147B0000}"/>
    <cellStyle name="汇总 2 2 22" xfId="31509" xr:uid="{00000000-0005-0000-0000-0000157B0000}"/>
    <cellStyle name="汇总 2 2 23" xfId="31510" xr:uid="{00000000-0005-0000-0000-0000167B0000}"/>
    <cellStyle name="汇总 2 2 24" xfId="31511" xr:uid="{00000000-0005-0000-0000-0000177B0000}"/>
    <cellStyle name="汇总 2 2 25" xfId="31512" xr:uid="{00000000-0005-0000-0000-0000187B0000}"/>
    <cellStyle name="汇总 2 2 26" xfId="31513" xr:uid="{00000000-0005-0000-0000-0000197B0000}"/>
    <cellStyle name="汇总 2 2 27" xfId="31514" xr:uid="{00000000-0005-0000-0000-00001A7B0000}"/>
    <cellStyle name="汇总 2 2 28" xfId="31515" xr:uid="{00000000-0005-0000-0000-00001B7B0000}"/>
    <cellStyle name="汇总 2 2 29" xfId="31516" xr:uid="{00000000-0005-0000-0000-00001C7B0000}"/>
    <cellStyle name="汇总 2 2 3" xfId="31517" xr:uid="{00000000-0005-0000-0000-00001D7B0000}"/>
    <cellStyle name="汇总 2 2 30" xfId="31518" xr:uid="{00000000-0005-0000-0000-00001E7B0000}"/>
    <cellStyle name="汇总 2 2 31" xfId="31519" xr:uid="{00000000-0005-0000-0000-00001F7B0000}"/>
    <cellStyle name="汇总 2 2 32" xfId="31520" xr:uid="{00000000-0005-0000-0000-0000207B0000}"/>
    <cellStyle name="汇总 2 2 33" xfId="31521" xr:uid="{00000000-0005-0000-0000-0000217B0000}"/>
    <cellStyle name="汇总 2 2 34" xfId="31522" xr:uid="{00000000-0005-0000-0000-0000227B0000}"/>
    <cellStyle name="汇总 2 2 4" xfId="31523" xr:uid="{00000000-0005-0000-0000-0000237B0000}"/>
    <cellStyle name="汇总 2 2 5" xfId="31524" xr:uid="{00000000-0005-0000-0000-0000247B0000}"/>
    <cellStyle name="汇总 2 2 6" xfId="31525" xr:uid="{00000000-0005-0000-0000-0000257B0000}"/>
    <cellStyle name="汇总 2 2 7" xfId="31526" xr:uid="{00000000-0005-0000-0000-0000267B0000}"/>
    <cellStyle name="汇总 2 2 8" xfId="31527" xr:uid="{00000000-0005-0000-0000-0000277B0000}"/>
    <cellStyle name="汇总 2 2 9" xfId="31528" xr:uid="{00000000-0005-0000-0000-0000287B0000}"/>
    <cellStyle name="汇总 2 20" xfId="31529" xr:uid="{00000000-0005-0000-0000-0000297B0000}"/>
    <cellStyle name="汇总 2 3" xfId="31530" xr:uid="{00000000-0005-0000-0000-00002A7B0000}"/>
    <cellStyle name="汇总 2 3 2" xfId="31531" xr:uid="{00000000-0005-0000-0000-00002B7B0000}"/>
    <cellStyle name="汇总 2 3 3" xfId="31532" xr:uid="{00000000-0005-0000-0000-00002C7B0000}"/>
    <cellStyle name="汇总 2 4" xfId="31533" xr:uid="{00000000-0005-0000-0000-00002D7B0000}"/>
    <cellStyle name="汇总 2 5" xfId="31534" xr:uid="{00000000-0005-0000-0000-00002E7B0000}"/>
    <cellStyle name="汇总 2 6" xfId="31535" xr:uid="{00000000-0005-0000-0000-00002F7B0000}"/>
    <cellStyle name="汇总 2 7" xfId="31536" xr:uid="{00000000-0005-0000-0000-0000307B0000}"/>
    <cellStyle name="汇总 2 8" xfId="31537" xr:uid="{00000000-0005-0000-0000-0000317B0000}"/>
    <cellStyle name="汇总 2 9" xfId="31538" xr:uid="{00000000-0005-0000-0000-0000327B0000}"/>
    <cellStyle name="汇总 20" xfId="31539" xr:uid="{00000000-0005-0000-0000-0000337B0000}"/>
    <cellStyle name="汇总 21" xfId="31540" xr:uid="{00000000-0005-0000-0000-0000347B0000}"/>
    <cellStyle name="汇总 22" xfId="31541" xr:uid="{00000000-0005-0000-0000-0000357B0000}"/>
    <cellStyle name="汇总 23" xfId="31542" xr:uid="{00000000-0005-0000-0000-0000367B0000}"/>
    <cellStyle name="汇总 24" xfId="31543" xr:uid="{00000000-0005-0000-0000-0000377B0000}"/>
    <cellStyle name="汇总 25" xfId="31544" xr:uid="{00000000-0005-0000-0000-0000387B0000}"/>
    <cellStyle name="汇总 3" xfId="31545" xr:uid="{00000000-0005-0000-0000-0000397B0000}"/>
    <cellStyle name="汇总 3 10" xfId="31546" xr:uid="{00000000-0005-0000-0000-00003A7B0000}"/>
    <cellStyle name="汇总 3 11" xfId="31547" xr:uid="{00000000-0005-0000-0000-00003B7B0000}"/>
    <cellStyle name="汇总 3 12" xfId="31548" xr:uid="{00000000-0005-0000-0000-00003C7B0000}"/>
    <cellStyle name="汇总 3 13" xfId="31549" xr:uid="{00000000-0005-0000-0000-00003D7B0000}"/>
    <cellStyle name="汇总 3 14" xfId="31550" xr:uid="{00000000-0005-0000-0000-00003E7B0000}"/>
    <cellStyle name="汇总 3 15" xfId="31551" xr:uid="{00000000-0005-0000-0000-00003F7B0000}"/>
    <cellStyle name="汇总 3 16" xfId="31552" xr:uid="{00000000-0005-0000-0000-0000407B0000}"/>
    <cellStyle name="汇总 3 17" xfId="31553" xr:uid="{00000000-0005-0000-0000-0000417B0000}"/>
    <cellStyle name="汇总 3 18" xfId="31554" xr:uid="{00000000-0005-0000-0000-0000427B0000}"/>
    <cellStyle name="汇总 3 19" xfId="31555" xr:uid="{00000000-0005-0000-0000-0000437B0000}"/>
    <cellStyle name="汇总 3 2" xfId="31556" xr:uid="{00000000-0005-0000-0000-0000447B0000}"/>
    <cellStyle name="汇总 3 2 10" xfId="31557" xr:uid="{00000000-0005-0000-0000-0000457B0000}"/>
    <cellStyle name="汇总 3 2 11" xfId="31558" xr:uid="{00000000-0005-0000-0000-0000467B0000}"/>
    <cellStyle name="汇总 3 2 12" xfId="31559" xr:uid="{00000000-0005-0000-0000-0000477B0000}"/>
    <cellStyle name="汇总 3 2 13" xfId="31560" xr:uid="{00000000-0005-0000-0000-0000487B0000}"/>
    <cellStyle name="汇总 3 2 14" xfId="31561" xr:uid="{00000000-0005-0000-0000-0000497B0000}"/>
    <cellStyle name="汇总 3 2 15" xfId="31562" xr:uid="{00000000-0005-0000-0000-00004A7B0000}"/>
    <cellStyle name="汇总 3 2 16" xfId="31563" xr:uid="{00000000-0005-0000-0000-00004B7B0000}"/>
    <cellStyle name="汇总 3 2 17" xfId="31564" xr:uid="{00000000-0005-0000-0000-00004C7B0000}"/>
    <cellStyle name="汇总 3 2 18" xfId="31565" xr:uid="{00000000-0005-0000-0000-00004D7B0000}"/>
    <cellStyle name="汇总 3 2 19" xfId="31566" xr:uid="{00000000-0005-0000-0000-00004E7B0000}"/>
    <cellStyle name="汇总 3 2 2" xfId="31567" xr:uid="{00000000-0005-0000-0000-00004F7B0000}"/>
    <cellStyle name="汇总 3 2 20" xfId="31568" xr:uid="{00000000-0005-0000-0000-0000507B0000}"/>
    <cellStyle name="汇总 3 2 21" xfId="31569" xr:uid="{00000000-0005-0000-0000-0000517B0000}"/>
    <cellStyle name="汇总 3 2 22" xfId="31570" xr:uid="{00000000-0005-0000-0000-0000527B0000}"/>
    <cellStyle name="汇总 3 2 23" xfId="31571" xr:uid="{00000000-0005-0000-0000-0000537B0000}"/>
    <cellStyle name="汇总 3 2 24" xfId="31572" xr:uid="{00000000-0005-0000-0000-0000547B0000}"/>
    <cellStyle name="汇总 3 2 25" xfId="31573" xr:uid="{00000000-0005-0000-0000-0000557B0000}"/>
    <cellStyle name="汇总 3 2 26" xfId="31574" xr:uid="{00000000-0005-0000-0000-0000567B0000}"/>
    <cellStyle name="汇总 3 2 27" xfId="31575" xr:uid="{00000000-0005-0000-0000-0000577B0000}"/>
    <cellStyle name="汇总 3 2 28" xfId="31576" xr:uid="{00000000-0005-0000-0000-0000587B0000}"/>
    <cellStyle name="汇总 3 2 29" xfId="31577" xr:uid="{00000000-0005-0000-0000-0000597B0000}"/>
    <cellStyle name="汇总 3 2 3" xfId="31578" xr:uid="{00000000-0005-0000-0000-00005A7B0000}"/>
    <cellStyle name="汇总 3 2 30" xfId="31579" xr:uid="{00000000-0005-0000-0000-00005B7B0000}"/>
    <cellStyle name="汇总 3 2 31" xfId="31580" xr:uid="{00000000-0005-0000-0000-00005C7B0000}"/>
    <cellStyle name="汇总 3 2 32" xfId="31581" xr:uid="{00000000-0005-0000-0000-00005D7B0000}"/>
    <cellStyle name="汇总 3 2 33" xfId="31582" xr:uid="{00000000-0005-0000-0000-00005E7B0000}"/>
    <cellStyle name="汇总 3 2 34" xfId="31583" xr:uid="{00000000-0005-0000-0000-00005F7B0000}"/>
    <cellStyle name="汇总 3 2 4" xfId="31584" xr:uid="{00000000-0005-0000-0000-0000607B0000}"/>
    <cellStyle name="汇总 3 2 5" xfId="31585" xr:uid="{00000000-0005-0000-0000-0000617B0000}"/>
    <cellStyle name="汇总 3 2 6" xfId="31586" xr:uid="{00000000-0005-0000-0000-0000627B0000}"/>
    <cellStyle name="汇总 3 2 7" xfId="31587" xr:uid="{00000000-0005-0000-0000-0000637B0000}"/>
    <cellStyle name="汇总 3 2 8" xfId="31588" xr:uid="{00000000-0005-0000-0000-0000647B0000}"/>
    <cellStyle name="汇总 3 2 9" xfId="31589" xr:uid="{00000000-0005-0000-0000-0000657B0000}"/>
    <cellStyle name="汇总 3 20" xfId="31590" xr:uid="{00000000-0005-0000-0000-0000667B0000}"/>
    <cellStyle name="汇总 3 3" xfId="31591" xr:uid="{00000000-0005-0000-0000-0000677B0000}"/>
    <cellStyle name="汇总 3 3 2" xfId="31592" xr:uid="{00000000-0005-0000-0000-0000687B0000}"/>
    <cellStyle name="汇总 3 3 3" xfId="31593" xr:uid="{00000000-0005-0000-0000-0000697B0000}"/>
    <cellStyle name="汇总 3 4" xfId="31594" xr:uid="{00000000-0005-0000-0000-00006A7B0000}"/>
    <cellStyle name="汇总 3 5" xfId="31595" xr:uid="{00000000-0005-0000-0000-00006B7B0000}"/>
    <cellStyle name="汇总 3 6" xfId="31596" xr:uid="{00000000-0005-0000-0000-00006C7B0000}"/>
    <cellStyle name="汇总 3 7" xfId="31597" xr:uid="{00000000-0005-0000-0000-00006D7B0000}"/>
    <cellStyle name="汇总 3 8" xfId="31598" xr:uid="{00000000-0005-0000-0000-00006E7B0000}"/>
    <cellStyle name="汇总 3 9" xfId="31599" xr:uid="{00000000-0005-0000-0000-00006F7B0000}"/>
    <cellStyle name="汇总 4" xfId="31600" xr:uid="{00000000-0005-0000-0000-0000707B0000}"/>
    <cellStyle name="汇总 4 10" xfId="31601" xr:uid="{00000000-0005-0000-0000-0000717B0000}"/>
    <cellStyle name="汇总 4 11" xfId="31602" xr:uid="{00000000-0005-0000-0000-0000727B0000}"/>
    <cellStyle name="汇总 4 12" xfId="31603" xr:uid="{00000000-0005-0000-0000-0000737B0000}"/>
    <cellStyle name="汇总 4 13" xfId="31604" xr:uid="{00000000-0005-0000-0000-0000747B0000}"/>
    <cellStyle name="汇总 4 14" xfId="31605" xr:uid="{00000000-0005-0000-0000-0000757B0000}"/>
    <cellStyle name="汇总 4 15" xfId="31606" xr:uid="{00000000-0005-0000-0000-0000767B0000}"/>
    <cellStyle name="汇总 4 16" xfId="31607" xr:uid="{00000000-0005-0000-0000-0000777B0000}"/>
    <cellStyle name="汇总 4 17" xfId="31608" xr:uid="{00000000-0005-0000-0000-0000787B0000}"/>
    <cellStyle name="汇总 4 18" xfId="31609" xr:uid="{00000000-0005-0000-0000-0000797B0000}"/>
    <cellStyle name="汇总 4 19" xfId="31610" xr:uid="{00000000-0005-0000-0000-00007A7B0000}"/>
    <cellStyle name="汇总 4 2" xfId="31611" xr:uid="{00000000-0005-0000-0000-00007B7B0000}"/>
    <cellStyle name="汇总 4 2 10" xfId="31612" xr:uid="{00000000-0005-0000-0000-00007C7B0000}"/>
    <cellStyle name="汇总 4 2 11" xfId="31613" xr:uid="{00000000-0005-0000-0000-00007D7B0000}"/>
    <cellStyle name="汇总 4 2 12" xfId="31614" xr:uid="{00000000-0005-0000-0000-00007E7B0000}"/>
    <cellStyle name="汇总 4 2 13" xfId="31615" xr:uid="{00000000-0005-0000-0000-00007F7B0000}"/>
    <cellStyle name="汇总 4 2 14" xfId="31616" xr:uid="{00000000-0005-0000-0000-0000807B0000}"/>
    <cellStyle name="汇总 4 2 15" xfId="31617" xr:uid="{00000000-0005-0000-0000-0000817B0000}"/>
    <cellStyle name="汇总 4 2 16" xfId="31618" xr:uid="{00000000-0005-0000-0000-0000827B0000}"/>
    <cellStyle name="汇总 4 2 17" xfId="31619" xr:uid="{00000000-0005-0000-0000-0000837B0000}"/>
    <cellStyle name="汇总 4 2 18" xfId="31620" xr:uid="{00000000-0005-0000-0000-0000847B0000}"/>
    <cellStyle name="汇总 4 2 19" xfId="31621" xr:uid="{00000000-0005-0000-0000-0000857B0000}"/>
    <cellStyle name="汇总 4 2 2" xfId="31622" xr:uid="{00000000-0005-0000-0000-0000867B0000}"/>
    <cellStyle name="汇总 4 2 20" xfId="31623" xr:uid="{00000000-0005-0000-0000-0000877B0000}"/>
    <cellStyle name="汇总 4 2 21" xfId="31624" xr:uid="{00000000-0005-0000-0000-0000887B0000}"/>
    <cellStyle name="汇总 4 2 22" xfId="31625" xr:uid="{00000000-0005-0000-0000-0000897B0000}"/>
    <cellStyle name="汇总 4 2 23" xfId="31626" xr:uid="{00000000-0005-0000-0000-00008A7B0000}"/>
    <cellStyle name="汇总 4 2 24" xfId="31627" xr:uid="{00000000-0005-0000-0000-00008B7B0000}"/>
    <cellStyle name="汇总 4 2 25" xfId="31628" xr:uid="{00000000-0005-0000-0000-00008C7B0000}"/>
    <cellStyle name="汇总 4 2 26" xfId="31629" xr:uid="{00000000-0005-0000-0000-00008D7B0000}"/>
    <cellStyle name="汇总 4 2 27" xfId="31630" xr:uid="{00000000-0005-0000-0000-00008E7B0000}"/>
    <cellStyle name="汇总 4 2 28" xfId="31631" xr:uid="{00000000-0005-0000-0000-00008F7B0000}"/>
    <cellStyle name="汇总 4 2 29" xfId="31632" xr:uid="{00000000-0005-0000-0000-0000907B0000}"/>
    <cellStyle name="汇总 4 2 3" xfId="31633" xr:uid="{00000000-0005-0000-0000-0000917B0000}"/>
    <cellStyle name="汇总 4 2 30" xfId="31634" xr:uid="{00000000-0005-0000-0000-0000927B0000}"/>
    <cellStyle name="汇总 4 2 31" xfId="31635" xr:uid="{00000000-0005-0000-0000-0000937B0000}"/>
    <cellStyle name="汇总 4 2 32" xfId="31636" xr:uid="{00000000-0005-0000-0000-0000947B0000}"/>
    <cellStyle name="汇总 4 2 33" xfId="31637" xr:uid="{00000000-0005-0000-0000-0000957B0000}"/>
    <cellStyle name="汇总 4 2 34" xfId="31638" xr:uid="{00000000-0005-0000-0000-0000967B0000}"/>
    <cellStyle name="汇总 4 2 4" xfId="31639" xr:uid="{00000000-0005-0000-0000-0000977B0000}"/>
    <cellStyle name="汇总 4 2 5" xfId="31640" xr:uid="{00000000-0005-0000-0000-0000987B0000}"/>
    <cellStyle name="汇总 4 2 6" xfId="31641" xr:uid="{00000000-0005-0000-0000-0000997B0000}"/>
    <cellStyle name="汇总 4 2 7" xfId="31642" xr:uid="{00000000-0005-0000-0000-00009A7B0000}"/>
    <cellStyle name="汇总 4 2 8" xfId="31643" xr:uid="{00000000-0005-0000-0000-00009B7B0000}"/>
    <cellStyle name="汇总 4 2 9" xfId="31644" xr:uid="{00000000-0005-0000-0000-00009C7B0000}"/>
    <cellStyle name="汇总 4 20" xfId="31645" xr:uid="{00000000-0005-0000-0000-00009D7B0000}"/>
    <cellStyle name="汇总 4 3" xfId="31646" xr:uid="{00000000-0005-0000-0000-00009E7B0000}"/>
    <cellStyle name="汇总 4 3 2" xfId="31647" xr:uid="{00000000-0005-0000-0000-00009F7B0000}"/>
    <cellStyle name="汇总 4 3 3" xfId="31648" xr:uid="{00000000-0005-0000-0000-0000A07B0000}"/>
    <cellStyle name="汇总 4 4" xfId="31649" xr:uid="{00000000-0005-0000-0000-0000A17B0000}"/>
    <cellStyle name="汇总 4 5" xfId="31650" xr:uid="{00000000-0005-0000-0000-0000A27B0000}"/>
    <cellStyle name="汇总 4 6" xfId="31651" xr:uid="{00000000-0005-0000-0000-0000A37B0000}"/>
    <cellStyle name="汇总 4 7" xfId="31652" xr:uid="{00000000-0005-0000-0000-0000A47B0000}"/>
    <cellStyle name="汇总 4 8" xfId="31653" xr:uid="{00000000-0005-0000-0000-0000A57B0000}"/>
    <cellStyle name="汇总 4 9" xfId="31654" xr:uid="{00000000-0005-0000-0000-0000A67B0000}"/>
    <cellStyle name="汇总 5" xfId="31655" xr:uid="{00000000-0005-0000-0000-0000A77B0000}"/>
    <cellStyle name="汇总 5 10" xfId="31656" xr:uid="{00000000-0005-0000-0000-0000A87B0000}"/>
    <cellStyle name="汇总 5 11" xfId="31657" xr:uid="{00000000-0005-0000-0000-0000A97B0000}"/>
    <cellStyle name="汇总 5 12" xfId="31658" xr:uid="{00000000-0005-0000-0000-0000AA7B0000}"/>
    <cellStyle name="汇总 5 13" xfId="31659" xr:uid="{00000000-0005-0000-0000-0000AB7B0000}"/>
    <cellStyle name="汇总 5 14" xfId="31660" xr:uid="{00000000-0005-0000-0000-0000AC7B0000}"/>
    <cellStyle name="汇总 5 15" xfId="31661" xr:uid="{00000000-0005-0000-0000-0000AD7B0000}"/>
    <cellStyle name="汇总 5 16" xfId="31662" xr:uid="{00000000-0005-0000-0000-0000AE7B0000}"/>
    <cellStyle name="汇总 5 17" xfId="31663" xr:uid="{00000000-0005-0000-0000-0000AF7B0000}"/>
    <cellStyle name="汇总 5 18" xfId="31664" xr:uid="{00000000-0005-0000-0000-0000B07B0000}"/>
    <cellStyle name="汇总 5 19" xfId="31665" xr:uid="{00000000-0005-0000-0000-0000B17B0000}"/>
    <cellStyle name="汇总 5 2" xfId="31666" xr:uid="{00000000-0005-0000-0000-0000B27B0000}"/>
    <cellStyle name="汇总 5 2 10" xfId="31667" xr:uid="{00000000-0005-0000-0000-0000B37B0000}"/>
    <cellStyle name="汇总 5 2 11" xfId="31668" xr:uid="{00000000-0005-0000-0000-0000B47B0000}"/>
    <cellStyle name="汇总 5 2 12" xfId="31669" xr:uid="{00000000-0005-0000-0000-0000B57B0000}"/>
    <cellStyle name="汇总 5 2 13" xfId="31670" xr:uid="{00000000-0005-0000-0000-0000B67B0000}"/>
    <cellStyle name="汇总 5 2 14" xfId="31671" xr:uid="{00000000-0005-0000-0000-0000B77B0000}"/>
    <cellStyle name="汇总 5 2 15" xfId="31672" xr:uid="{00000000-0005-0000-0000-0000B87B0000}"/>
    <cellStyle name="汇总 5 2 16" xfId="31673" xr:uid="{00000000-0005-0000-0000-0000B97B0000}"/>
    <cellStyle name="汇总 5 2 17" xfId="31674" xr:uid="{00000000-0005-0000-0000-0000BA7B0000}"/>
    <cellStyle name="汇总 5 2 18" xfId="31675" xr:uid="{00000000-0005-0000-0000-0000BB7B0000}"/>
    <cellStyle name="汇总 5 2 19" xfId="31676" xr:uid="{00000000-0005-0000-0000-0000BC7B0000}"/>
    <cellStyle name="汇总 5 2 2" xfId="31677" xr:uid="{00000000-0005-0000-0000-0000BD7B0000}"/>
    <cellStyle name="汇总 5 2 20" xfId="31678" xr:uid="{00000000-0005-0000-0000-0000BE7B0000}"/>
    <cellStyle name="汇总 5 2 21" xfId="31679" xr:uid="{00000000-0005-0000-0000-0000BF7B0000}"/>
    <cellStyle name="汇总 5 2 22" xfId="31680" xr:uid="{00000000-0005-0000-0000-0000C07B0000}"/>
    <cellStyle name="汇总 5 2 23" xfId="31681" xr:uid="{00000000-0005-0000-0000-0000C17B0000}"/>
    <cellStyle name="汇总 5 2 24" xfId="31682" xr:uid="{00000000-0005-0000-0000-0000C27B0000}"/>
    <cellStyle name="汇总 5 2 25" xfId="31683" xr:uid="{00000000-0005-0000-0000-0000C37B0000}"/>
    <cellStyle name="汇总 5 2 26" xfId="31684" xr:uid="{00000000-0005-0000-0000-0000C47B0000}"/>
    <cellStyle name="汇总 5 2 27" xfId="31685" xr:uid="{00000000-0005-0000-0000-0000C57B0000}"/>
    <cellStyle name="汇总 5 2 28" xfId="31686" xr:uid="{00000000-0005-0000-0000-0000C67B0000}"/>
    <cellStyle name="汇总 5 2 29" xfId="31687" xr:uid="{00000000-0005-0000-0000-0000C77B0000}"/>
    <cellStyle name="汇总 5 2 3" xfId="31688" xr:uid="{00000000-0005-0000-0000-0000C87B0000}"/>
    <cellStyle name="汇总 5 2 30" xfId="31689" xr:uid="{00000000-0005-0000-0000-0000C97B0000}"/>
    <cellStyle name="汇总 5 2 31" xfId="31690" xr:uid="{00000000-0005-0000-0000-0000CA7B0000}"/>
    <cellStyle name="汇总 5 2 32" xfId="31691" xr:uid="{00000000-0005-0000-0000-0000CB7B0000}"/>
    <cellStyle name="汇总 5 2 33" xfId="31692" xr:uid="{00000000-0005-0000-0000-0000CC7B0000}"/>
    <cellStyle name="汇总 5 2 34" xfId="31693" xr:uid="{00000000-0005-0000-0000-0000CD7B0000}"/>
    <cellStyle name="汇总 5 2 4" xfId="31694" xr:uid="{00000000-0005-0000-0000-0000CE7B0000}"/>
    <cellStyle name="汇总 5 2 5" xfId="31695" xr:uid="{00000000-0005-0000-0000-0000CF7B0000}"/>
    <cellStyle name="汇总 5 2 6" xfId="31696" xr:uid="{00000000-0005-0000-0000-0000D07B0000}"/>
    <cellStyle name="汇总 5 2 7" xfId="31697" xr:uid="{00000000-0005-0000-0000-0000D17B0000}"/>
    <cellStyle name="汇总 5 2 8" xfId="31698" xr:uid="{00000000-0005-0000-0000-0000D27B0000}"/>
    <cellStyle name="汇总 5 2 9" xfId="31699" xr:uid="{00000000-0005-0000-0000-0000D37B0000}"/>
    <cellStyle name="汇总 5 20" xfId="31700" xr:uid="{00000000-0005-0000-0000-0000D47B0000}"/>
    <cellStyle name="汇总 5 3" xfId="31701" xr:uid="{00000000-0005-0000-0000-0000D57B0000}"/>
    <cellStyle name="汇总 5 3 2" xfId="31702" xr:uid="{00000000-0005-0000-0000-0000D67B0000}"/>
    <cellStyle name="汇总 5 3 3" xfId="31703" xr:uid="{00000000-0005-0000-0000-0000D77B0000}"/>
    <cellStyle name="汇总 5 4" xfId="31704" xr:uid="{00000000-0005-0000-0000-0000D87B0000}"/>
    <cellStyle name="汇总 5 5" xfId="31705" xr:uid="{00000000-0005-0000-0000-0000D97B0000}"/>
    <cellStyle name="汇总 5 6" xfId="31706" xr:uid="{00000000-0005-0000-0000-0000DA7B0000}"/>
    <cellStyle name="汇总 5 7" xfId="31707" xr:uid="{00000000-0005-0000-0000-0000DB7B0000}"/>
    <cellStyle name="汇总 5 8" xfId="31708" xr:uid="{00000000-0005-0000-0000-0000DC7B0000}"/>
    <cellStyle name="汇总 5 9" xfId="31709" xr:uid="{00000000-0005-0000-0000-0000DD7B0000}"/>
    <cellStyle name="汇总 6" xfId="31710" xr:uid="{00000000-0005-0000-0000-0000DE7B0000}"/>
    <cellStyle name="汇总 6 10" xfId="31711" xr:uid="{00000000-0005-0000-0000-0000DF7B0000}"/>
    <cellStyle name="汇总 6 11" xfId="31712" xr:uid="{00000000-0005-0000-0000-0000E07B0000}"/>
    <cellStyle name="汇总 6 12" xfId="31713" xr:uid="{00000000-0005-0000-0000-0000E17B0000}"/>
    <cellStyle name="汇总 6 13" xfId="31714" xr:uid="{00000000-0005-0000-0000-0000E27B0000}"/>
    <cellStyle name="汇总 6 14" xfId="31715" xr:uid="{00000000-0005-0000-0000-0000E37B0000}"/>
    <cellStyle name="汇总 6 15" xfId="31716" xr:uid="{00000000-0005-0000-0000-0000E47B0000}"/>
    <cellStyle name="汇总 6 16" xfId="31717" xr:uid="{00000000-0005-0000-0000-0000E57B0000}"/>
    <cellStyle name="汇总 6 17" xfId="31718" xr:uid="{00000000-0005-0000-0000-0000E67B0000}"/>
    <cellStyle name="汇总 6 18" xfId="31719" xr:uid="{00000000-0005-0000-0000-0000E77B0000}"/>
    <cellStyle name="汇总 6 19" xfId="31720" xr:uid="{00000000-0005-0000-0000-0000E87B0000}"/>
    <cellStyle name="汇总 6 2" xfId="31721" xr:uid="{00000000-0005-0000-0000-0000E97B0000}"/>
    <cellStyle name="汇总 6 2 10" xfId="31722" xr:uid="{00000000-0005-0000-0000-0000EA7B0000}"/>
    <cellStyle name="汇总 6 2 11" xfId="31723" xr:uid="{00000000-0005-0000-0000-0000EB7B0000}"/>
    <cellStyle name="汇总 6 2 12" xfId="31724" xr:uid="{00000000-0005-0000-0000-0000EC7B0000}"/>
    <cellStyle name="汇总 6 2 13" xfId="31725" xr:uid="{00000000-0005-0000-0000-0000ED7B0000}"/>
    <cellStyle name="汇总 6 2 14" xfId="31726" xr:uid="{00000000-0005-0000-0000-0000EE7B0000}"/>
    <cellStyle name="汇总 6 2 15" xfId="31727" xr:uid="{00000000-0005-0000-0000-0000EF7B0000}"/>
    <cellStyle name="汇总 6 2 16" xfId="31728" xr:uid="{00000000-0005-0000-0000-0000F07B0000}"/>
    <cellStyle name="汇总 6 2 17" xfId="31729" xr:uid="{00000000-0005-0000-0000-0000F17B0000}"/>
    <cellStyle name="汇总 6 2 18" xfId="31730" xr:uid="{00000000-0005-0000-0000-0000F27B0000}"/>
    <cellStyle name="汇总 6 2 19" xfId="31731" xr:uid="{00000000-0005-0000-0000-0000F37B0000}"/>
    <cellStyle name="汇总 6 2 2" xfId="31732" xr:uid="{00000000-0005-0000-0000-0000F47B0000}"/>
    <cellStyle name="汇总 6 2 20" xfId="31733" xr:uid="{00000000-0005-0000-0000-0000F57B0000}"/>
    <cellStyle name="汇总 6 2 21" xfId="31734" xr:uid="{00000000-0005-0000-0000-0000F67B0000}"/>
    <cellStyle name="汇总 6 2 22" xfId="31735" xr:uid="{00000000-0005-0000-0000-0000F77B0000}"/>
    <cellStyle name="汇总 6 2 23" xfId="31736" xr:uid="{00000000-0005-0000-0000-0000F87B0000}"/>
    <cellStyle name="汇总 6 2 24" xfId="31737" xr:uid="{00000000-0005-0000-0000-0000F97B0000}"/>
    <cellStyle name="汇总 6 2 25" xfId="31738" xr:uid="{00000000-0005-0000-0000-0000FA7B0000}"/>
    <cellStyle name="汇总 6 2 26" xfId="31739" xr:uid="{00000000-0005-0000-0000-0000FB7B0000}"/>
    <cellStyle name="汇总 6 2 27" xfId="31740" xr:uid="{00000000-0005-0000-0000-0000FC7B0000}"/>
    <cellStyle name="汇总 6 2 28" xfId="31741" xr:uid="{00000000-0005-0000-0000-0000FD7B0000}"/>
    <cellStyle name="汇总 6 2 29" xfId="31742" xr:uid="{00000000-0005-0000-0000-0000FE7B0000}"/>
    <cellStyle name="汇总 6 2 3" xfId="31743" xr:uid="{00000000-0005-0000-0000-0000FF7B0000}"/>
    <cellStyle name="汇总 6 2 30" xfId="31744" xr:uid="{00000000-0005-0000-0000-0000007C0000}"/>
    <cellStyle name="汇总 6 2 31" xfId="31745" xr:uid="{00000000-0005-0000-0000-0000017C0000}"/>
    <cellStyle name="汇总 6 2 32" xfId="31746" xr:uid="{00000000-0005-0000-0000-0000027C0000}"/>
    <cellStyle name="汇总 6 2 33" xfId="31747" xr:uid="{00000000-0005-0000-0000-0000037C0000}"/>
    <cellStyle name="汇总 6 2 34" xfId="31748" xr:uid="{00000000-0005-0000-0000-0000047C0000}"/>
    <cellStyle name="汇总 6 2 4" xfId="31749" xr:uid="{00000000-0005-0000-0000-0000057C0000}"/>
    <cellStyle name="汇总 6 2 5" xfId="31750" xr:uid="{00000000-0005-0000-0000-0000067C0000}"/>
    <cellStyle name="汇总 6 2 6" xfId="31751" xr:uid="{00000000-0005-0000-0000-0000077C0000}"/>
    <cellStyle name="汇总 6 2 7" xfId="31752" xr:uid="{00000000-0005-0000-0000-0000087C0000}"/>
    <cellStyle name="汇总 6 2 8" xfId="31753" xr:uid="{00000000-0005-0000-0000-0000097C0000}"/>
    <cellStyle name="汇总 6 2 9" xfId="31754" xr:uid="{00000000-0005-0000-0000-00000A7C0000}"/>
    <cellStyle name="汇总 6 20" xfId="31755" xr:uid="{00000000-0005-0000-0000-00000B7C0000}"/>
    <cellStyle name="汇总 6 3" xfId="31756" xr:uid="{00000000-0005-0000-0000-00000C7C0000}"/>
    <cellStyle name="汇总 6 3 2" xfId="31757" xr:uid="{00000000-0005-0000-0000-00000D7C0000}"/>
    <cellStyle name="汇总 6 3 3" xfId="31758" xr:uid="{00000000-0005-0000-0000-00000E7C0000}"/>
    <cellStyle name="汇总 6 4" xfId="31759" xr:uid="{00000000-0005-0000-0000-00000F7C0000}"/>
    <cellStyle name="汇总 6 5" xfId="31760" xr:uid="{00000000-0005-0000-0000-0000107C0000}"/>
    <cellStyle name="汇总 6 6" xfId="31761" xr:uid="{00000000-0005-0000-0000-0000117C0000}"/>
    <cellStyle name="汇总 6 7" xfId="31762" xr:uid="{00000000-0005-0000-0000-0000127C0000}"/>
    <cellStyle name="汇总 6 8" xfId="31763" xr:uid="{00000000-0005-0000-0000-0000137C0000}"/>
    <cellStyle name="汇总 6 9" xfId="31764" xr:uid="{00000000-0005-0000-0000-0000147C0000}"/>
    <cellStyle name="汇总 7" xfId="31765" xr:uid="{00000000-0005-0000-0000-0000157C0000}"/>
    <cellStyle name="汇总 7 10" xfId="31766" xr:uid="{00000000-0005-0000-0000-0000167C0000}"/>
    <cellStyle name="汇总 7 11" xfId="31767" xr:uid="{00000000-0005-0000-0000-0000177C0000}"/>
    <cellStyle name="汇总 7 12" xfId="31768" xr:uid="{00000000-0005-0000-0000-0000187C0000}"/>
    <cellStyle name="汇总 7 13" xfId="31769" xr:uid="{00000000-0005-0000-0000-0000197C0000}"/>
    <cellStyle name="汇总 7 14" xfId="31770" xr:uid="{00000000-0005-0000-0000-00001A7C0000}"/>
    <cellStyle name="汇总 7 15" xfId="31771" xr:uid="{00000000-0005-0000-0000-00001B7C0000}"/>
    <cellStyle name="汇总 7 16" xfId="31772" xr:uid="{00000000-0005-0000-0000-00001C7C0000}"/>
    <cellStyle name="汇总 7 17" xfId="31773" xr:uid="{00000000-0005-0000-0000-00001D7C0000}"/>
    <cellStyle name="汇总 7 18" xfId="31774" xr:uid="{00000000-0005-0000-0000-00001E7C0000}"/>
    <cellStyle name="汇总 7 19" xfId="31775" xr:uid="{00000000-0005-0000-0000-00001F7C0000}"/>
    <cellStyle name="汇总 7 2" xfId="31776" xr:uid="{00000000-0005-0000-0000-0000207C0000}"/>
    <cellStyle name="汇总 7 20" xfId="31777" xr:uid="{00000000-0005-0000-0000-0000217C0000}"/>
    <cellStyle name="汇总 7 21" xfId="31778" xr:uid="{00000000-0005-0000-0000-0000227C0000}"/>
    <cellStyle name="汇总 7 22" xfId="31779" xr:uid="{00000000-0005-0000-0000-0000237C0000}"/>
    <cellStyle name="汇总 7 23" xfId="31780" xr:uid="{00000000-0005-0000-0000-0000247C0000}"/>
    <cellStyle name="汇总 7 24" xfId="31781" xr:uid="{00000000-0005-0000-0000-0000257C0000}"/>
    <cellStyle name="汇总 7 25" xfId="31782" xr:uid="{00000000-0005-0000-0000-0000267C0000}"/>
    <cellStyle name="汇总 7 26" xfId="31783" xr:uid="{00000000-0005-0000-0000-0000277C0000}"/>
    <cellStyle name="汇总 7 27" xfId="31784" xr:uid="{00000000-0005-0000-0000-0000287C0000}"/>
    <cellStyle name="汇总 7 28" xfId="31785" xr:uid="{00000000-0005-0000-0000-0000297C0000}"/>
    <cellStyle name="汇总 7 29" xfId="31786" xr:uid="{00000000-0005-0000-0000-00002A7C0000}"/>
    <cellStyle name="汇总 7 3" xfId="31787" xr:uid="{00000000-0005-0000-0000-00002B7C0000}"/>
    <cellStyle name="汇总 7 30" xfId="31788" xr:uid="{00000000-0005-0000-0000-00002C7C0000}"/>
    <cellStyle name="汇总 7 31" xfId="31789" xr:uid="{00000000-0005-0000-0000-00002D7C0000}"/>
    <cellStyle name="汇总 7 32" xfId="31790" xr:uid="{00000000-0005-0000-0000-00002E7C0000}"/>
    <cellStyle name="汇总 7 33" xfId="31791" xr:uid="{00000000-0005-0000-0000-00002F7C0000}"/>
    <cellStyle name="汇总 7 34" xfId="31792" xr:uid="{00000000-0005-0000-0000-0000307C0000}"/>
    <cellStyle name="汇总 7 4" xfId="31793" xr:uid="{00000000-0005-0000-0000-0000317C0000}"/>
    <cellStyle name="汇总 7 5" xfId="31794" xr:uid="{00000000-0005-0000-0000-0000327C0000}"/>
    <cellStyle name="汇总 7 6" xfId="31795" xr:uid="{00000000-0005-0000-0000-0000337C0000}"/>
    <cellStyle name="汇总 7 7" xfId="31796" xr:uid="{00000000-0005-0000-0000-0000347C0000}"/>
    <cellStyle name="汇总 7 8" xfId="31797" xr:uid="{00000000-0005-0000-0000-0000357C0000}"/>
    <cellStyle name="汇总 7 9" xfId="31798" xr:uid="{00000000-0005-0000-0000-0000367C0000}"/>
    <cellStyle name="汇总 8" xfId="31799" xr:uid="{00000000-0005-0000-0000-0000377C0000}"/>
    <cellStyle name="汇总 8 2" xfId="31800" xr:uid="{00000000-0005-0000-0000-0000387C0000}"/>
    <cellStyle name="汇总 8 3" xfId="31801" xr:uid="{00000000-0005-0000-0000-0000397C0000}"/>
    <cellStyle name="汇总 9" xfId="31802" xr:uid="{00000000-0005-0000-0000-00003A7C0000}"/>
    <cellStyle name="注释" xfId="31803" xr:uid="{00000000-0005-0000-0000-00003B7C0000}"/>
    <cellStyle name="注释 10" xfId="31804" xr:uid="{00000000-0005-0000-0000-00003C7C0000}"/>
    <cellStyle name="注释 11" xfId="31805" xr:uid="{00000000-0005-0000-0000-00003D7C0000}"/>
    <cellStyle name="注释 12" xfId="31806" xr:uid="{00000000-0005-0000-0000-00003E7C0000}"/>
    <cellStyle name="注释 13" xfId="31807" xr:uid="{00000000-0005-0000-0000-00003F7C0000}"/>
    <cellStyle name="注释 14" xfId="31808" xr:uid="{00000000-0005-0000-0000-0000407C0000}"/>
    <cellStyle name="注释 15" xfId="31809" xr:uid="{00000000-0005-0000-0000-0000417C0000}"/>
    <cellStyle name="注释 16" xfId="31810" xr:uid="{00000000-0005-0000-0000-0000427C0000}"/>
    <cellStyle name="注释 17" xfId="31811" xr:uid="{00000000-0005-0000-0000-0000437C0000}"/>
    <cellStyle name="注释 18" xfId="31812" xr:uid="{00000000-0005-0000-0000-0000447C0000}"/>
    <cellStyle name="注释 19" xfId="31813" xr:uid="{00000000-0005-0000-0000-0000457C0000}"/>
    <cellStyle name="注释 2" xfId="31814" xr:uid="{00000000-0005-0000-0000-0000467C0000}"/>
    <cellStyle name="注释 2 10" xfId="31815" xr:uid="{00000000-0005-0000-0000-0000477C0000}"/>
    <cellStyle name="注释 2 11" xfId="31816" xr:uid="{00000000-0005-0000-0000-0000487C0000}"/>
    <cellStyle name="注释 2 12" xfId="31817" xr:uid="{00000000-0005-0000-0000-0000497C0000}"/>
    <cellStyle name="注释 2 13" xfId="31818" xr:uid="{00000000-0005-0000-0000-00004A7C0000}"/>
    <cellStyle name="注释 2 14" xfId="31819" xr:uid="{00000000-0005-0000-0000-00004B7C0000}"/>
    <cellStyle name="注释 2 15" xfId="31820" xr:uid="{00000000-0005-0000-0000-00004C7C0000}"/>
    <cellStyle name="注释 2 16" xfId="31821" xr:uid="{00000000-0005-0000-0000-00004D7C0000}"/>
    <cellStyle name="注释 2 17" xfId="31822" xr:uid="{00000000-0005-0000-0000-00004E7C0000}"/>
    <cellStyle name="注释 2 18" xfId="31823" xr:uid="{00000000-0005-0000-0000-00004F7C0000}"/>
    <cellStyle name="注释 2 19" xfId="31824" xr:uid="{00000000-0005-0000-0000-0000507C0000}"/>
    <cellStyle name="注释 2 2" xfId="31825" xr:uid="{00000000-0005-0000-0000-0000517C0000}"/>
    <cellStyle name="注释 2 2 10" xfId="31826" xr:uid="{00000000-0005-0000-0000-0000527C0000}"/>
    <cellStyle name="注释 2 2 11" xfId="31827" xr:uid="{00000000-0005-0000-0000-0000537C0000}"/>
    <cellStyle name="注释 2 2 12" xfId="31828" xr:uid="{00000000-0005-0000-0000-0000547C0000}"/>
    <cellStyle name="注释 2 2 13" xfId="31829" xr:uid="{00000000-0005-0000-0000-0000557C0000}"/>
    <cellStyle name="注释 2 2 14" xfId="31830" xr:uid="{00000000-0005-0000-0000-0000567C0000}"/>
    <cellStyle name="注释 2 2 15" xfId="31831" xr:uid="{00000000-0005-0000-0000-0000577C0000}"/>
    <cellStyle name="注释 2 2 16" xfId="31832" xr:uid="{00000000-0005-0000-0000-0000587C0000}"/>
    <cellStyle name="注释 2 2 17" xfId="31833" xr:uid="{00000000-0005-0000-0000-0000597C0000}"/>
    <cellStyle name="注释 2 2 18" xfId="31834" xr:uid="{00000000-0005-0000-0000-00005A7C0000}"/>
    <cellStyle name="注释 2 2 19" xfId="31835" xr:uid="{00000000-0005-0000-0000-00005B7C0000}"/>
    <cellStyle name="注释 2 2 2" xfId="31836" xr:uid="{00000000-0005-0000-0000-00005C7C0000}"/>
    <cellStyle name="注释 2 2 2 2" xfId="31837" xr:uid="{00000000-0005-0000-0000-00005D7C0000}"/>
    <cellStyle name="注释 2 2 2 2 2" xfId="31838" xr:uid="{00000000-0005-0000-0000-00005E7C0000}"/>
    <cellStyle name="注释 2 2 2 2 3" xfId="31839" xr:uid="{00000000-0005-0000-0000-00005F7C0000}"/>
    <cellStyle name="注释 2 2 2 3" xfId="31840" xr:uid="{00000000-0005-0000-0000-0000607C0000}"/>
    <cellStyle name="注释 2 2 2 3 2" xfId="31841" xr:uid="{00000000-0005-0000-0000-0000617C0000}"/>
    <cellStyle name="注释 2 2 2 3 3" xfId="31842" xr:uid="{00000000-0005-0000-0000-0000627C0000}"/>
    <cellStyle name="注释 2 2 2 4" xfId="31843" xr:uid="{00000000-0005-0000-0000-0000637C0000}"/>
    <cellStyle name="注释 2 2 2 5" xfId="31844" xr:uid="{00000000-0005-0000-0000-0000647C0000}"/>
    <cellStyle name="注释 2 2 20" xfId="31845" xr:uid="{00000000-0005-0000-0000-0000657C0000}"/>
    <cellStyle name="注释 2 2 21" xfId="31846" xr:uid="{00000000-0005-0000-0000-0000667C0000}"/>
    <cellStyle name="注释 2 2 22" xfId="31847" xr:uid="{00000000-0005-0000-0000-0000677C0000}"/>
    <cellStyle name="注释 2 2 23" xfId="31848" xr:uid="{00000000-0005-0000-0000-0000687C0000}"/>
    <cellStyle name="注释 2 2 24" xfId="31849" xr:uid="{00000000-0005-0000-0000-0000697C0000}"/>
    <cellStyle name="注释 2 2 25" xfId="31850" xr:uid="{00000000-0005-0000-0000-00006A7C0000}"/>
    <cellStyle name="注释 2 2 26" xfId="31851" xr:uid="{00000000-0005-0000-0000-00006B7C0000}"/>
    <cellStyle name="注释 2 2 27" xfId="31852" xr:uid="{00000000-0005-0000-0000-00006C7C0000}"/>
    <cellStyle name="注释 2 2 28" xfId="31853" xr:uid="{00000000-0005-0000-0000-00006D7C0000}"/>
    <cellStyle name="注释 2 2 29" xfId="31854" xr:uid="{00000000-0005-0000-0000-00006E7C0000}"/>
    <cellStyle name="注释 2 2 3" xfId="31855" xr:uid="{00000000-0005-0000-0000-00006F7C0000}"/>
    <cellStyle name="注释 2 2 3 2" xfId="31856" xr:uid="{00000000-0005-0000-0000-0000707C0000}"/>
    <cellStyle name="注释 2 2 3 2 2" xfId="31857" xr:uid="{00000000-0005-0000-0000-0000717C0000}"/>
    <cellStyle name="注释 2 2 3 2 3" xfId="31858" xr:uid="{00000000-0005-0000-0000-0000727C0000}"/>
    <cellStyle name="注释 2 2 3 3" xfId="31859" xr:uid="{00000000-0005-0000-0000-0000737C0000}"/>
    <cellStyle name="注释 2 2 3 3 2" xfId="31860" xr:uid="{00000000-0005-0000-0000-0000747C0000}"/>
    <cellStyle name="注释 2 2 3 3 3" xfId="31861" xr:uid="{00000000-0005-0000-0000-0000757C0000}"/>
    <cellStyle name="注释 2 2 3 4" xfId="31862" xr:uid="{00000000-0005-0000-0000-0000767C0000}"/>
    <cellStyle name="注释 2 2 3 5" xfId="31863" xr:uid="{00000000-0005-0000-0000-0000777C0000}"/>
    <cellStyle name="注释 2 2 30" xfId="31864" xr:uid="{00000000-0005-0000-0000-0000787C0000}"/>
    <cellStyle name="注释 2 2 31" xfId="31865" xr:uid="{00000000-0005-0000-0000-0000797C0000}"/>
    <cellStyle name="注释 2 2 32" xfId="31866" xr:uid="{00000000-0005-0000-0000-00007A7C0000}"/>
    <cellStyle name="注释 2 2 33" xfId="31867" xr:uid="{00000000-0005-0000-0000-00007B7C0000}"/>
    <cellStyle name="注释 2 2 34" xfId="31868" xr:uid="{00000000-0005-0000-0000-00007C7C0000}"/>
    <cellStyle name="注释 2 2 35" xfId="31869" xr:uid="{00000000-0005-0000-0000-00007D7C0000}"/>
    <cellStyle name="注释 2 2 4" xfId="31870" xr:uid="{00000000-0005-0000-0000-00007E7C0000}"/>
    <cellStyle name="注释 2 2 4 2" xfId="31871" xr:uid="{00000000-0005-0000-0000-00007F7C0000}"/>
    <cellStyle name="注释 2 2 4 3" xfId="31872" xr:uid="{00000000-0005-0000-0000-0000807C0000}"/>
    <cellStyle name="注释 2 2 5" xfId="31873" xr:uid="{00000000-0005-0000-0000-0000817C0000}"/>
    <cellStyle name="注释 2 2 5 2" xfId="31874" xr:uid="{00000000-0005-0000-0000-0000827C0000}"/>
    <cellStyle name="注释 2 2 5 3" xfId="31875" xr:uid="{00000000-0005-0000-0000-0000837C0000}"/>
    <cellStyle name="注释 2 2 6" xfId="31876" xr:uid="{00000000-0005-0000-0000-0000847C0000}"/>
    <cellStyle name="注释 2 2 7" xfId="31877" xr:uid="{00000000-0005-0000-0000-0000857C0000}"/>
    <cellStyle name="注释 2 2 8" xfId="31878" xr:uid="{00000000-0005-0000-0000-0000867C0000}"/>
    <cellStyle name="注释 2 2 9" xfId="31879" xr:uid="{00000000-0005-0000-0000-0000877C0000}"/>
    <cellStyle name="注释 2 20" xfId="31880" xr:uid="{00000000-0005-0000-0000-0000887C0000}"/>
    <cellStyle name="注释 2 21" xfId="31881" xr:uid="{00000000-0005-0000-0000-0000897C0000}"/>
    <cellStyle name="注释 2 22" xfId="31882" xr:uid="{00000000-0005-0000-0000-00008A7C0000}"/>
    <cellStyle name="注释 2 23" xfId="31883" xr:uid="{00000000-0005-0000-0000-00008B7C0000}"/>
    <cellStyle name="注释 2 24" xfId="31884" xr:uid="{00000000-0005-0000-0000-00008C7C0000}"/>
    <cellStyle name="注释 2 25" xfId="31885" xr:uid="{00000000-0005-0000-0000-00008D7C0000}"/>
    <cellStyle name="注释 2 26" xfId="31886" xr:uid="{00000000-0005-0000-0000-00008E7C0000}"/>
    <cellStyle name="注释 2 27" xfId="31887" xr:uid="{00000000-0005-0000-0000-00008F7C0000}"/>
    <cellStyle name="注释 2 28" xfId="31888" xr:uid="{00000000-0005-0000-0000-0000907C0000}"/>
    <cellStyle name="注释 2 29" xfId="31889" xr:uid="{00000000-0005-0000-0000-0000917C0000}"/>
    <cellStyle name="注释 2 3" xfId="31890" xr:uid="{00000000-0005-0000-0000-0000927C0000}"/>
    <cellStyle name="注释 2 3 2" xfId="31891" xr:uid="{00000000-0005-0000-0000-0000937C0000}"/>
    <cellStyle name="注释 2 3 3" xfId="31892" xr:uid="{00000000-0005-0000-0000-0000947C0000}"/>
    <cellStyle name="注释 2 30" xfId="31893" xr:uid="{00000000-0005-0000-0000-0000957C0000}"/>
    <cellStyle name="注释 2 31" xfId="31894" xr:uid="{00000000-0005-0000-0000-0000967C0000}"/>
    <cellStyle name="注释 2 32" xfId="31895" xr:uid="{00000000-0005-0000-0000-0000977C0000}"/>
    <cellStyle name="注释 2 33" xfId="31896" xr:uid="{00000000-0005-0000-0000-0000987C0000}"/>
    <cellStyle name="注释 2 34" xfId="31897" xr:uid="{00000000-0005-0000-0000-0000997C0000}"/>
    <cellStyle name="注释 2 4" xfId="31898" xr:uid="{00000000-0005-0000-0000-00009A7C0000}"/>
    <cellStyle name="注释 2 4 2" xfId="31899" xr:uid="{00000000-0005-0000-0000-00009B7C0000}"/>
    <cellStyle name="注释 2 4 3" xfId="31900" xr:uid="{00000000-0005-0000-0000-00009C7C0000}"/>
    <cellStyle name="注释 2 5" xfId="31901" xr:uid="{00000000-0005-0000-0000-00009D7C0000}"/>
    <cellStyle name="注释 2 6" xfId="31902" xr:uid="{00000000-0005-0000-0000-00009E7C0000}"/>
    <cellStyle name="注释 2 7" xfId="31903" xr:uid="{00000000-0005-0000-0000-00009F7C0000}"/>
    <cellStyle name="注释 2 8" xfId="31904" xr:uid="{00000000-0005-0000-0000-0000A07C0000}"/>
    <cellStyle name="注释 2 9" xfId="31905" xr:uid="{00000000-0005-0000-0000-0000A17C0000}"/>
    <cellStyle name="注释 20" xfId="31906" xr:uid="{00000000-0005-0000-0000-0000A27C0000}"/>
    <cellStyle name="注释 21" xfId="31907" xr:uid="{00000000-0005-0000-0000-0000A37C0000}"/>
    <cellStyle name="注释 22" xfId="31908" xr:uid="{00000000-0005-0000-0000-0000A47C0000}"/>
    <cellStyle name="注释 23" xfId="31909" xr:uid="{00000000-0005-0000-0000-0000A57C0000}"/>
    <cellStyle name="注释 24" xfId="31910" xr:uid="{00000000-0005-0000-0000-0000A67C0000}"/>
    <cellStyle name="注释 25" xfId="31911" xr:uid="{00000000-0005-0000-0000-0000A77C0000}"/>
    <cellStyle name="注释 26" xfId="31912" xr:uid="{00000000-0005-0000-0000-0000A87C0000}"/>
    <cellStyle name="注释 27" xfId="31913" xr:uid="{00000000-0005-0000-0000-0000A97C0000}"/>
    <cellStyle name="注释 28" xfId="31914" xr:uid="{00000000-0005-0000-0000-0000AA7C0000}"/>
    <cellStyle name="注释 29" xfId="31915" xr:uid="{00000000-0005-0000-0000-0000AB7C0000}"/>
    <cellStyle name="注释 3" xfId="31916" xr:uid="{00000000-0005-0000-0000-0000AC7C0000}"/>
    <cellStyle name="注释 3 10" xfId="31917" xr:uid="{00000000-0005-0000-0000-0000AD7C0000}"/>
    <cellStyle name="注释 3 11" xfId="31918" xr:uid="{00000000-0005-0000-0000-0000AE7C0000}"/>
    <cellStyle name="注释 3 12" xfId="31919" xr:uid="{00000000-0005-0000-0000-0000AF7C0000}"/>
    <cellStyle name="注释 3 13" xfId="31920" xr:uid="{00000000-0005-0000-0000-0000B07C0000}"/>
    <cellStyle name="注释 3 14" xfId="31921" xr:uid="{00000000-0005-0000-0000-0000B17C0000}"/>
    <cellStyle name="注释 3 15" xfId="31922" xr:uid="{00000000-0005-0000-0000-0000B27C0000}"/>
    <cellStyle name="注释 3 16" xfId="31923" xr:uid="{00000000-0005-0000-0000-0000B37C0000}"/>
    <cellStyle name="注释 3 17" xfId="31924" xr:uid="{00000000-0005-0000-0000-0000B47C0000}"/>
    <cellStyle name="注释 3 18" xfId="31925" xr:uid="{00000000-0005-0000-0000-0000B57C0000}"/>
    <cellStyle name="注释 3 19" xfId="31926" xr:uid="{00000000-0005-0000-0000-0000B67C0000}"/>
    <cellStyle name="注释 3 2" xfId="31927" xr:uid="{00000000-0005-0000-0000-0000B77C0000}"/>
    <cellStyle name="注释 3 2 10" xfId="31928" xr:uid="{00000000-0005-0000-0000-0000B87C0000}"/>
    <cellStyle name="注释 3 2 11" xfId="31929" xr:uid="{00000000-0005-0000-0000-0000B97C0000}"/>
    <cellStyle name="注释 3 2 12" xfId="31930" xr:uid="{00000000-0005-0000-0000-0000BA7C0000}"/>
    <cellStyle name="注释 3 2 13" xfId="31931" xr:uid="{00000000-0005-0000-0000-0000BB7C0000}"/>
    <cellStyle name="注释 3 2 14" xfId="31932" xr:uid="{00000000-0005-0000-0000-0000BC7C0000}"/>
    <cellStyle name="注释 3 2 15" xfId="31933" xr:uid="{00000000-0005-0000-0000-0000BD7C0000}"/>
    <cellStyle name="注释 3 2 16" xfId="31934" xr:uid="{00000000-0005-0000-0000-0000BE7C0000}"/>
    <cellStyle name="注释 3 2 17" xfId="31935" xr:uid="{00000000-0005-0000-0000-0000BF7C0000}"/>
    <cellStyle name="注释 3 2 18" xfId="31936" xr:uid="{00000000-0005-0000-0000-0000C07C0000}"/>
    <cellStyle name="注释 3 2 19" xfId="31937" xr:uid="{00000000-0005-0000-0000-0000C17C0000}"/>
    <cellStyle name="注释 3 2 2" xfId="31938" xr:uid="{00000000-0005-0000-0000-0000C27C0000}"/>
    <cellStyle name="注释 3 2 2 2" xfId="31939" xr:uid="{00000000-0005-0000-0000-0000C37C0000}"/>
    <cellStyle name="注释 3 2 2 2 2" xfId="31940" xr:uid="{00000000-0005-0000-0000-0000C47C0000}"/>
    <cellStyle name="注释 3 2 2 2 3" xfId="31941" xr:uid="{00000000-0005-0000-0000-0000C57C0000}"/>
    <cellStyle name="注释 3 2 2 3" xfId="31942" xr:uid="{00000000-0005-0000-0000-0000C67C0000}"/>
    <cellStyle name="注释 3 2 2 3 2" xfId="31943" xr:uid="{00000000-0005-0000-0000-0000C77C0000}"/>
    <cellStyle name="注释 3 2 2 3 3" xfId="31944" xr:uid="{00000000-0005-0000-0000-0000C87C0000}"/>
    <cellStyle name="注释 3 2 2 4" xfId="31945" xr:uid="{00000000-0005-0000-0000-0000C97C0000}"/>
    <cellStyle name="注释 3 2 2 5" xfId="31946" xr:uid="{00000000-0005-0000-0000-0000CA7C0000}"/>
    <cellStyle name="注释 3 2 20" xfId="31947" xr:uid="{00000000-0005-0000-0000-0000CB7C0000}"/>
    <cellStyle name="注释 3 2 21" xfId="31948" xr:uid="{00000000-0005-0000-0000-0000CC7C0000}"/>
    <cellStyle name="注释 3 2 22" xfId="31949" xr:uid="{00000000-0005-0000-0000-0000CD7C0000}"/>
    <cellStyle name="注释 3 2 23" xfId="31950" xr:uid="{00000000-0005-0000-0000-0000CE7C0000}"/>
    <cellStyle name="注释 3 2 24" xfId="31951" xr:uid="{00000000-0005-0000-0000-0000CF7C0000}"/>
    <cellStyle name="注释 3 2 25" xfId="31952" xr:uid="{00000000-0005-0000-0000-0000D07C0000}"/>
    <cellStyle name="注释 3 2 26" xfId="31953" xr:uid="{00000000-0005-0000-0000-0000D17C0000}"/>
    <cellStyle name="注释 3 2 27" xfId="31954" xr:uid="{00000000-0005-0000-0000-0000D27C0000}"/>
    <cellStyle name="注释 3 2 28" xfId="31955" xr:uid="{00000000-0005-0000-0000-0000D37C0000}"/>
    <cellStyle name="注释 3 2 29" xfId="31956" xr:uid="{00000000-0005-0000-0000-0000D47C0000}"/>
    <cellStyle name="注释 3 2 3" xfId="31957" xr:uid="{00000000-0005-0000-0000-0000D57C0000}"/>
    <cellStyle name="注释 3 2 3 2" xfId="31958" xr:uid="{00000000-0005-0000-0000-0000D67C0000}"/>
    <cellStyle name="注释 3 2 3 2 2" xfId="31959" xr:uid="{00000000-0005-0000-0000-0000D77C0000}"/>
    <cellStyle name="注释 3 2 3 2 3" xfId="31960" xr:uid="{00000000-0005-0000-0000-0000D87C0000}"/>
    <cellStyle name="注释 3 2 3 3" xfId="31961" xr:uid="{00000000-0005-0000-0000-0000D97C0000}"/>
    <cellStyle name="注释 3 2 3 3 2" xfId="31962" xr:uid="{00000000-0005-0000-0000-0000DA7C0000}"/>
    <cellStyle name="注释 3 2 3 3 3" xfId="31963" xr:uid="{00000000-0005-0000-0000-0000DB7C0000}"/>
    <cellStyle name="注释 3 2 3 4" xfId="31964" xr:uid="{00000000-0005-0000-0000-0000DC7C0000}"/>
    <cellStyle name="注释 3 2 3 5" xfId="31965" xr:uid="{00000000-0005-0000-0000-0000DD7C0000}"/>
    <cellStyle name="注释 3 2 30" xfId="31966" xr:uid="{00000000-0005-0000-0000-0000DE7C0000}"/>
    <cellStyle name="注释 3 2 31" xfId="31967" xr:uid="{00000000-0005-0000-0000-0000DF7C0000}"/>
    <cellStyle name="注释 3 2 32" xfId="31968" xr:uid="{00000000-0005-0000-0000-0000E07C0000}"/>
    <cellStyle name="注释 3 2 33" xfId="31969" xr:uid="{00000000-0005-0000-0000-0000E17C0000}"/>
    <cellStyle name="注释 3 2 34" xfId="31970" xr:uid="{00000000-0005-0000-0000-0000E27C0000}"/>
    <cellStyle name="注释 3 2 35" xfId="31971" xr:uid="{00000000-0005-0000-0000-0000E37C0000}"/>
    <cellStyle name="注释 3 2 4" xfId="31972" xr:uid="{00000000-0005-0000-0000-0000E47C0000}"/>
    <cellStyle name="注释 3 2 4 2" xfId="31973" xr:uid="{00000000-0005-0000-0000-0000E57C0000}"/>
    <cellStyle name="注释 3 2 4 3" xfId="31974" xr:uid="{00000000-0005-0000-0000-0000E67C0000}"/>
    <cellStyle name="注释 3 2 5" xfId="31975" xr:uid="{00000000-0005-0000-0000-0000E77C0000}"/>
    <cellStyle name="注释 3 2 5 2" xfId="31976" xr:uid="{00000000-0005-0000-0000-0000E87C0000}"/>
    <cellStyle name="注释 3 2 5 3" xfId="31977" xr:uid="{00000000-0005-0000-0000-0000E97C0000}"/>
    <cellStyle name="注释 3 2 6" xfId="31978" xr:uid="{00000000-0005-0000-0000-0000EA7C0000}"/>
    <cellStyle name="注释 3 2 7" xfId="31979" xr:uid="{00000000-0005-0000-0000-0000EB7C0000}"/>
    <cellStyle name="注释 3 2 8" xfId="31980" xr:uid="{00000000-0005-0000-0000-0000EC7C0000}"/>
    <cellStyle name="注释 3 2 9" xfId="31981" xr:uid="{00000000-0005-0000-0000-0000ED7C0000}"/>
    <cellStyle name="注释 3 20" xfId="31982" xr:uid="{00000000-0005-0000-0000-0000EE7C0000}"/>
    <cellStyle name="注释 3 21" xfId="31983" xr:uid="{00000000-0005-0000-0000-0000EF7C0000}"/>
    <cellStyle name="注释 3 22" xfId="31984" xr:uid="{00000000-0005-0000-0000-0000F07C0000}"/>
    <cellStyle name="注释 3 23" xfId="31985" xr:uid="{00000000-0005-0000-0000-0000F17C0000}"/>
    <cellStyle name="注释 3 24" xfId="31986" xr:uid="{00000000-0005-0000-0000-0000F27C0000}"/>
    <cellStyle name="注释 3 25" xfId="31987" xr:uid="{00000000-0005-0000-0000-0000F37C0000}"/>
    <cellStyle name="注释 3 26" xfId="31988" xr:uid="{00000000-0005-0000-0000-0000F47C0000}"/>
    <cellStyle name="注释 3 27" xfId="31989" xr:uid="{00000000-0005-0000-0000-0000F57C0000}"/>
    <cellStyle name="注释 3 28" xfId="31990" xr:uid="{00000000-0005-0000-0000-0000F67C0000}"/>
    <cellStyle name="注释 3 29" xfId="31991" xr:uid="{00000000-0005-0000-0000-0000F77C0000}"/>
    <cellStyle name="注释 3 3" xfId="31992" xr:uid="{00000000-0005-0000-0000-0000F87C0000}"/>
    <cellStyle name="注释 3 3 2" xfId="31993" xr:uid="{00000000-0005-0000-0000-0000F97C0000}"/>
    <cellStyle name="注释 3 3 3" xfId="31994" xr:uid="{00000000-0005-0000-0000-0000FA7C0000}"/>
    <cellStyle name="注释 3 30" xfId="31995" xr:uid="{00000000-0005-0000-0000-0000FB7C0000}"/>
    <cellStyle name="注释 3 31" xfId="31996" xr:uid="{00000000-0005-0000-0000-0000FC7C0000}"/>
    <cellStyle name="注释 3 32" xfId="31997" xr:uid="{00000000-0005-0000-0000-0000FD7C0000}"/>
    <cellStyle name="注释 3 33" xfId="31998" xr:uid="{00000000-0005-0000-0000-0000FE7C0000}"/>
    <cellStyle name="注释 3 34" xfId="31999" xr:uid="{00000000-0005-0000-0000-0000FF7C0000}"/>
    <cellStyle name="注释 3 4" xfId="32000" xr:uid="{00000000-0005-0000-0000-0000007D0000}"/>
    <cellStyle name="注释 3 4 2" xfId="32001" xr:uid="{00000000-0005-0000-0000-0000017D0000}"/>
    <cellStyle name="注释 3 4 3" xfId="32002" xr:uid="{00000000-0005-0000-0000-0000027D0000}"/>
    <cellStyle name="注释 3 5" xfId="32003" xr:uid="{00000000-0005-0000-0000-0000037D0000}"/>
    <cellStyle name="注释 3 6" xfId="32004" xr:uid="{00000000-0005-0000-0000-0000047D0000}"/>
    <cellStyle name="注释 3 7" xfId="32005" xr:uid="{00000000-0005-0000-0000-0000057D0000}"/>
    <cellStyle name="注释 3 8" xfId="32006" xr:uid="{00000000-0005-0000-0000-0000067D0000}"/>
    <cellStyle name="注释 3 9" xfId="32007" xr:uid="{00000000-0005-0000-0000-0000077D0000}"/>
    <cellStyle name="注释 30" xfId="32008" xr:uid="{00000000-0005-0000-0000-0000087D0000}"/>
    <cellStyle name="注释 31" xfId="32009" xr:uid="{00000000-0005-0000-0000-0000097D0000}"/>
    <cellStyle name="注释 32" xfId="32010" xr:uid="{00000000-0005-0000-0000-00000A7D0000}"/>
    <cellStyle name="注释 33" xfId="32011" xr:uid="{00000000-0005-0000-0000-00000B7D0000}"/>
    <cellStyle name="注释 34" xfId="32012" xr:uid="{00000000-0005-0000-0000-00000C7D0000}"/>
    <cellStyle name="注释 35" xfId="32013" xr:uid="{00000000-0005-0000-0000-00000D7D0000}"/>
    <cellStyle name="注释 36" xfId="32014" xr:uid="{00000000-0005-0000-0000-00000E7D0000}"/>
    <cellStyle name="注释 37" xfId="32015" xr:uid="{00000000-0005-0000-0000-00000F7D0000}"/>
    <cellStyle name="注释 38" xfId="32016" xr:uid="{00000000-0005-0000-0000-0000107D0000}"/>
    <cellStyle name="注释 39" xfId="32017" xr:uid="{00000000-0005-0000-0000-0000117D0000}"/>
    <cellStyle name="注释 4" xfId="32018" xr:uid="{00000000-0005-0000-0000-0000127D0000}"/>
    <cellStyle name="注释 4 10" xfId="32019" xr:uid="{00000000-0005-0000-0000-0000137D0000}"/>
    <cellStyle name="注释 4 11" xfId="32020" xr:uid="{00000000-0005-0000-0000-0000147D0000}"/>
    <cellStyle name="注释 4 12" xfId="32021" xr:uid="{00000000-0005-0000-0000-0000157D0000}"/>
    <cellStyle name="注释 4 13" xfId="32022" xr:uid="{00000000-0005-0000-0000-0000167D0000}"/>
    <cellStyle name="注释 4 14" xfId="32023" xr:uid="{00000000-0005-0000-0000-0000177D0000}"/>
    <cellStyle name="注释 4 15" xfId="32024" xr:uid="{00000000-0005-0000-0000-0000187D0000}"/>
    <cellStyle name="注释 4 16" xfId="32025" xr:uid="{00000000-0005-0000-0000-0000197D0000}"/>
    <cellStyle name="注释 4 17" xfId="32026" xr:uid="{00000000-0005-0000-0000-00001A7D0000}"/>
    <cellStyle name="注释 4 18" xfId="32027" xr:uid="{00000000-0005-0000-0000-00001B7D0000}"/>
    <cellStyle name="注释 4 19" xfId="32028" xr:uid="{00000000-0005-0000-0000-00001C7D0000}"/>
    <cellStyle name="注释 4 2" xfId="32029" xr:uid="{00000000-0005-0000-0000-00001D7D0000}"/>
    <cellStyle name="注释 4 2 10" xfId="32030" xr:uid="{00000000-0005-0000-0000-00001E7D0000}"/>
    <cellStyle name="注释 4 2 11" xfId="32031" xr:uid="{00000000-0005-0000-0000-00001F7D0000}"/>
    <cellStyle name="注释 4 2 12" xfId="32032" xr:uid="{00000000-0005-0000-0000-0000207D0000}"/>
    <cellStyle name="注释 4 2 13" xfId="32033" xr:uid="{00000000-0005-0000-0000-0000217D0000}"/>
    <cellStyle name="注释 4 2 14" xfId="32034" xr:uid="{00000000-0005-0000-0000-0000227D0000}"/>
    <cellStyle name="注释 4 2 15" xfId="32035" xr:uid="{00000000-0005-0000-0000-0000237D0000}"/>
    <cellStyle name="注释 4 2 16" xfId="32036" xr:uid="{00000000-0005-0000-0000-0000247D0000}"/>
    <cellStyle name="注释 4 2 17" xfId="32037" xr:uid="{00000000-0005-0000-0000-0000257D0000}"/>
    <cellStyle name="注释 4 2 18" xfId="32038" xr:uid="{00000000-0005-0000-0000-0000267D0000}"/>
    <cellStyle name="注释 4 2 19" xfId="32039" xr:uid="{00000000-0005-0000-0000-0000277D0000}"/>
    <cellStyle name="注释 4 2 2" xfId="32040" xr:uid="{00000000-0005-0000-0000-0000287D0000}"/>
    <cellStyle name="注释 4 2 2 2" xfId="32041" xr:uid="{00000000-0005-0000-0000-0000297D0000}"/>
    <cellStyle name="注释 4 2 2 2 2" xfId="32042" xr:uid="{00000000-0005-0000-0000-00002A7D0000}"/>
    <cellStyle name="注释 4 2 2 2 3" xfId="32043" xr:uid="{00000000-0005-0000-0000-00002B7D0000}"/>
    <cellStyle name="注释 4 2 2 3" xfId="32044" xr:uid="{00000000-0005-0000-0000-00002C7D0000}"/>
    <cellStyle name="注释 4 2 2 3 2" xfId="32045" xr:uid="{00000000-0005-0000-0000-00002D7D0000}"/>
    <cellStyle name="注释 4 2 2 3 3" xfId="32046" xr:uid="{00000000-0005-0000-0000-00002E7D0000}"/>
    <cellStyle name="注释 4 2 2 4" xfId="32047" xr:uid="{00000000-0005-0000-0000-00002F7D0000}"/>
    <cellStyle name="注释 4 2 2 5" xfId="32048" xr:uid="{00000000-0005-0000-0000-0000307D0000}"/>
    <cellStyle name="注释 4 2 20" xfId="32049" xr:uid="{00000000-0005-0000-0000-0000317D0000}"/>
    <cellStyle name="注释 4 2 21" xfId="32050" xr:uid="{00000000-0005-0000-0000-0000327D0000}"/>
    <cellStyle name="注释 4 2 22" xfId="32051" xr:uid="{00000000-0005-0000-0000-0000337D0000}"/>
    <cellStyle name="注释 4 2 23" xfId="32052" xr:uid="{00000000-0005-0000-0000-0000347D0000}"/>
    <cellStyle name="注释 4 2 24" xfId="32053" xr:uid="{00000000-0005-0000-0000-0000357D0000}"/>
    <cellStyle name="注释 4 2 25" xfId="32054" xr:uid="{00000000-0005-0000-0000-0000367D0000}"/>
    <cellStyle name="注释 4 2 26" xfId="32055" xr:uid="{00000000-0005-0000-0000-0000377D0000}"/>
    <cellStyle name="注释 4 2 27" xfId="32056" xr:uid="{00000000-0005-0000-0000-0000387D0000}"/>
    <cellStyle name="注释 4 2 28" xfId="32057" xr:uid="{00000000-0005-0000-0000-0000397D0000}"/>
    <cellStyle name="注释 4 2 29" xfId="32058" xr:uid="{00000000-0005-0000-0000-00003A7D0000}"/>
    <cellStyle name="注释 4 2 3" xfId="32059" xr:uid="{00000000-0005-0000-0000-00003B7D0000}"/>
    <cellStyle name="注释 4 2 3 2" xfId="32060" xr:uid="{00000000-0005-0000-0000-00003C7D0000}"/>
    <cellStyle name="注释 4 2 3 2 2" xfId="32061" xr:uid="{00000000-0005-0000-0000-00003D7D0000}"/>
    <cellStyle name="注释 4 2 3 2 3" xfId="32062" xr:uid="{00000000-0005-0000-0000-00003E7D0000}"/>
    <cellStyle name="注释 4 2 3 3" xfId="32063" xr:uid="{00000000-0005-0000-0000-00003F7D0000}"/>
    <cellStyle name="注释 4 2 3 3 2" xfId="32064" xr:uid="{00000000-0005-0000-0000-0000407D0000}"/>
    <cellStyle name="注释 4 2 3 3 3" xfId="32065" xr:uid="{00000000-0005-0000-0000-0000417D0000}"/>
    <cellStyle name="注释 4 2 3 4" xfId="32066" xr:uid="{00000000-0005-0000-0000-0000427D0000}"/>
    <cellStyle name="注释 4 2 3 5" xfId="32067" xr:uid="{00000000-0005-0000-0000-0000437D0000}"/>
    <cellStyle name="注释 4 2 30" xfId="32068" xr:uid="{00000000-0005-0000-0000-0000447D0000}"/>
    <cellStyle name="注释 4 2 31" xfId="32069" xr:uid="{00000000-0005-0000-0000-0000457D0000}"/>
    <cellStyle name="注释 4 2 32" xfId="32070" xr:uid="{00000000-0005-0000-0000-0000467D0000}"/>
    <cellStyle name="注释 4 2 33" xfId="32071" xr:uid="{00000000-0005-0000-0000-0000477D0000}"/>
    <cellStyle name="注释 4 2 34" xfId="32072" xr:uid="{00000000-0005-0000-0000-0000487D0000}"/>
    <cellStyle name="注释 4 2 35" xfId="32073" xr:uid="{00000000-0005-0000-0000-0000497D0000}"/>
    <cellStyle name="注释 4 2 4" xfId="32074" xr:uid="{00000000-0005-0000-0000-00004A7D0000}"/>
    <cellStyle name="注释 4 2 4 2" xfId="32075" xr:uid="{00000000-0005-0000-0000-00004B7D0000}"/>
    <cellStyle name="注释 4 2 4 3" xfId="32076" xr:uid="{00000000-0005-0000-0000-00004C7D0000}"/>
    <cellStyle name="注释 4 2 5" xfId="32077" xr:uid="{00000000-0005-0000-0000-00004D7D0000}"/>
    <cellStyle name="注释 4 2 5 2" xfId="32078" xr:uid="{00000000-0005-0000-0000-00004E7D0000}"/>
    <cellStyle name="注释 4 2 5 3" xfId="32079" xr:uid="{00000000-0005-0000-0000-00004F7D0000}"/>
    <cellStyle name="注释 4 2 6" xfId="32080" xr:uid="{00000000-0005-0000-0000-0000507D0000}"/>
    <cellStyle name="注释 4 2 7" xfId="32081" xr:uid="{00000000-0005-0000-0000-0000517D0000}"/>
    <cellStyle name="注释 4 2 8" xfId="32082" xr:uid="{00000000-0005-0000-0000-0000527D0000}"/>
    <cellStyle name="注释 4 2 9" xfId="32083" xr:uid="{00000000-0005-0000-0000-0000537D0000}"/>
    <cellStyle name="注释 4 20" xfId="32084" xr:uid="{00000000-0005-0000-0000-0000547D0000}"/>
    <cellStyle name="注释 4 21" xfId="32085" xr:uid="{00000000-0005-0000-0000-0000557D0000}"/>
    <cellStyle name="注释 4 22" xfId="32086" xr:uid="{00000000-0005-0000-0000-0000567D0000}"/>
    <cellStyle name="注释 4 23" xfId="32087" xr:uid="{00000000-0005-0000-0000-0000577D0000}"/>
    <cellStyle name="注释 4 24" xfId="32088" xr:uid="{00000000-0005-0000-0000-0000587D0000}"/>
    <cellStyle name="注释 4 25" xfId="32089" xr:uid="{00000000-0005-0000-0000-0000597D0000}"/>
    <cellStyle name="注释 4 26" xfId="32090" xr:uid="{00000000-0005-0000-0000-00005A7D0000}"/>
    <cellStyle name="注释 4 27" xfId="32091" xr:uid="{00000000-0005-0000-0000-00005B7D0000}"/>
    <cellStyle name="注释 4 28" xfId="32092" xr:uid="{00000000-0005-0000-0000-00005C7D0000}"/>
    <cellStyle name="注释 4 29" xfId="32093" xr:uid="{00000000-0005-0000-0000-00005D7D0000}"/>
    <cellStyle name="注释 4 3" xfId="32094" xr:uid="{00000000-0005-0000-0000-00005E7D0000}"/>
    <cellStyle name="注释 4 3 2" xfId="32095" xr:uid="{00000000-0005-0000-0000-00005F7D0000}"/>
    <cellStyle name="注释 4 3 3" xfId="32096" xr:uid="{00000000-0005-0000-0000-0000607D0000}"/>
    <cellStyle name="注释 4 30" xfId="32097" xr:uid="{00000000-0005-0000-0000-0000617D0000}"/>
    <cellStyle name="注释 4 31" xfId="32098" xr:uid="{00000000-0005-0000-0000-0000627D0000}"/>
    <cellStyle name="注释 4 32" xfId="32099" xr:uid="{00000000-0005-0000-0000-0000637D0000}"/>
    <cellStyle name="注释 4 33" xfId="32100" xr:uid="{00000000-0005-0000-0000-0000647D0000}"/>
    <cellStyle name="注释 4 34" xfId="32101" xr:uid="{00000000-0005-0000-0000-0000657D0000}"/>
    <cellStyle name="注释 4 4" xfId="32102" xr:uid="{00000000-0005-0000-0000-0000667D0000}"/>
    <cellStyle name="注释 4 4 2" xfId="32103" xr:uid="{00000000-0005-0000-0000-0000677D0000}"/>
    <cellStyle name="注释 4 4 3" xfId="32104" xr:uid="{00000000-0005-0000-0000-0000687D0000}"/>
    <cellStyle name="注释 4 5" xfId="32105" xr:uid="{00000000-0005-0000-0000-0000697D0000}"/>
    <cellStyle name="注释 4 6" xfId="32106" xr:uid="{00000000-0005-0000-0000-00006A7D0000}"/>
    <cellStyle name="注释 4 7" xfId="32107" xr:uid="{00000000-0005-0000-0000-00006B7D0000}"/>
    <cellStyle name="注释 4 8" xfId="32108" xr:uid="{00000000-0005-0000-0000-00006C7D0000}"/>
    <cellStyle name="注释 4 9" xfId="32109" xr:uid="{00000000-0005-0000-0000-00006D7D0000}"/>
    <cellStyle name="注释 5" xfId="32110" xr:uid="{00000000-0005-0000-0000-00006E7D0000}"/>
    <cellStyle name="注释 5 10" xfId="32111" xr:uid="{00000000-0005-0000-0000-00006F7D0000}"/>
    <cellStyle name="注释 5 11" xfId="32112" xr:uid="{00000000-0005-0000-0000-0000707D0000}"/>
    <cellStyle name="注释 5 12" xfId="32113" xr:uid="{00000000-0005-0000-0000-0000717D0000}"/>
    <cellStyle name="注释 5 13" xfId="32114" xr:uid="{00000000-0005-0000-0000-0000727D0000}"/>
    <cellStyle name="注释 5 14" xfId="32115" xr:uid="{00000000-0005-0000-0000-0000737D0000}"/>
    <cellStyle name="注释 5 15" xfId="32116" xr:uid="{00000000-0005-0000-0000-0000747D0000}"/>
    <cellStyle name="注释 5 16" xfId="32117" xr:uid="{00000000-0005-0000-0000-0000757D0000}"/>
    <cellStyle name="注释 5 17" xfId="32118" xr:uid="{00000000-0005-0000-0000-0000767D0000}"/>
    <cellStyle name="注释 5 18" xfId="32119" xr:uid="{00000000-0005-0000-0000-0000777D0000}"/>
    <cellStyle name="注释 5 19" xfId="32120" xr:uid="{00000000-0005-0000-0000-0000787D0000}"/>
    <cellStyle name="注释 5 2" xfId="32121" xr:uid="{00000000-0005-0000-0000-0000797D0000}"/>
    <cellStyle name="注释 5 2 10" xfId="32122" xr:uid="{00000000-0005-0000-0000-00007A7D0000}"/>
    <cellStyle name="注释 5 2 11" xfId="32123" xr:uid="{00000000-0005-0000-0000-00007B7D0000}"/>
    <cellStyle name="注释 5 2 12" xfId="32124" xr:uid="{00000000-0005-0000-0000-00007C7D0000}"/>
    <cellStyle name="注释 5 2 13" xfId="32125" xr:uid="{00000000-0005-0000-0000-00007D7D0000}"/>
    <cellStyle name="注释 5 2 14" xfId="32126" xr:uid="{00000000-0005-0000-0000-00007E7D0000}"/>
    <cellStyle name="注释 5 2 15" xfId="32127" xr:uid="{00000000-0005-0000-0000-00007F7D0000}"/>
    <cellStyle name="注释 5 2 16" xfId="32128" xr:uid="{00000000-0005-0000-0000-0000807D0000}"/>
    <cellStyle name="注释 5 2 17" xfId="32129" xr:uid="{00000000-0005-0000-0000-0000817D0000}"/>
    <cellStyle name="注释 5 2 18" xfId="32130" xr:uid="{00000000-0005-0000-0000-0000827D0000}"/>
    <cellStyle name="注释 5 2 19" xfId="32131" xr:uid="{00000000-0005-0000-0000-0000837D0000}"/>
    <cellStyle name="注释 5 2 2" xfId="32132" xr:uid="{00000000-0005-0000-0000-0000847D0000}"/>
    <cellStyle name="注释 5 2 2 2" xfId="32133" xr:uid="{00000000-0005-0000-0000-0000857D0000}"/>
    <cellStyle name="注释 5 2 2 2 2" xfId="32134" xr:uid="{00000000-0005-0000-0000-0000867D0000}"/>
    <cellStyle name="注释 5 2 2 2 3" xfId="32135" xr:uid="{00000000-0005-0000-0000-0000877D0000}"/>
    <cellStyle name="注释 5 2 2 3" xfId="32136" xr:uid="{00000000-0005-0000-0000-0000887D0000}"/>
    <cellStyle name="注释 5 2 2 3 2" xfId="32137" xr:uid="{00000000-0005-0000-0000-0000897D0000}"/>
    <cellStyle name="注释 5 2 2 3 3" xfId="32138" xr:uid="{00000000-0005-0000-0000-00008A7D0000}"/>
    <cellStyle name="注释 5 2 2 4" xfId="32139" xr:uid="{00000000-0005-0000-0000-00008B7D0000}"/>
    <cellStyle name="注释 5 2 2 5" xfId="32140" xr:uid="{00000000-0005-0000-0000-00008C7D0000}"/>
    <cellStyle name="注释 5 2 20" xfId="32141" xr:uid="{00000000-0005-0000-0000-00008D7D0000}"/>
    <cellStyle name="注释 5 2 21" xfId="32142" xr:uid="{00000000-0005-0000-0000-00008E7D0000}"/>
    <cellStyle name="注释 5 2 22" xfId="32143" xr:uid="{00000000-0005-0000-0000-00008F7D0000}"/>
    <cellStyle name="注释 5 2 23" xfId="32144" xr:uid="{00000000-0005-0000-0000-0000907D0000}"/>
    <cellStyle name="注释 5 2 24" xfId="32145" xr:uid="{00000000-0005-0000-0000-0000917D0000}"/>
    <cellStyle name="注释 5 2 25" xfId="32146" xr:uid="{00000000-0005-0000-0000-0000927D0000}"/>
    <cellStyle name="注释 5 2 26" xfId="32147" xr:uid="{00000000-0005-0000-0000-0000937D0000}"/>
    <cellStyle name="注释 5 2 27" xfId="32148" xr:uid="{00000000-0005-0000-0000-0000947D0000}"/>
    <cellStyle name="注释 5 2 28" xfId="32149" xr:uid="{00000000-0005-0000-0000-0000957D0000}"/>
    <cellStyle name="注释 5 2 29" xfId="32150" xr:uid="{00000000-0005-0000-0000-0000967D0000}"/>
    <cellStyle name="注释 5 2 3" xfId="32151" xr:uid="{00000000-0005-0000-0000-0000977D0000}"/>
    <cellStyle name="注释 5 2 3 2" xfId="32152" xr:uid="{00000000-0005-0000-0000-0000987D0000}"/>
    <cellStyle name="注释 5 2 3 2 2" xfId="32153" xr:uid="{00000000-0005-0000-0000-0000997D0000}"/>
    <cellStyle name="注释 5 2 3 2 3" xfId="32154" xr:uid="{00000000-0005-0000-0000-00009A7D0000}"/>
    <cellStyle name="注释 5 2 3 3" xfId="32155" xr:uid="{00000000-0005-0000-0000-00009B7D0000}"/>
    <cellStyle name="注释 5 2 3 3 2" xfId="32156" xr:uid="{00000000-0005-0000-0000-00009C7D0000}"/>
    <cellStyle name="注释 5 2 3 3 3" xfId="32157" xr:uid="{00000000-0005-0000-0000-00009D7D0000}"/>
    <cellStyle name="注释 5 2 3 4" xfId="32158" xr:uid="{00000000-0005-0000-0000-00009E7D0000}"/>
    <cellStyle name="注释 5 2 3 5" xfId="32159" xr:uid="{00000000-0005-0000-0000-00009F7D0000}"/>
    <cellStyle name="注释 5 2 30" xfId="32160" xr:uid="{00000000-0005-0000-0000-0000A07D0000}"/>
    <cellStyle name="注释 5 2 31" xfId="32161" xr:uid="{00000000-0005-0000-0000-0000A17D0000}"/>
    <cellStyle name="注释 5 2 32" xfId="32162" xr:uid="{00000000-0005-0000-0000-0000A27D0000}"/>
    <cellStyle name="注释 5 2 33" xfId="32163" xr:uid="{00000000-0005-0000-0000-0000A37D0000}"/>
    <cellStyle name="注释 5 2 34" xfId="32164" xr:uid="{00000000-0005-0000-0000-0000A47D0000}"/>
    <cellStyle name="注释 5 2 35" xfId="32165" xr:uid="{00000000-0005-0000-0000-0000A57D0000}"/>
    <cellStyle name="注释 5 2 4" xfId="32166" xr:uid="{00000000-0005-0000-0000-0000A67D0000}"/>
    <cellStyle name="注释 5 2 4 2" xfId="32167" xr:uid="{00000000-0005-0000-0000-0000A77D0000}"/>
    <cellStyle name="注释 5 2 4 3" xfId="32168" xr:uid="{00000000-0005-0000-0000-0000A87D0000}"/>
    <cellStyle name="注释 5 2 5" xfId="32169" xr:uid="{00000000-0005-0000-0000-0000A97D0000}"/>
    <cellStyle name="注释 5 2 5 2" xfId="32170" xr:uid="{00000000-0005-0000-0000-0000AA7D0000}"/>
    <cellStyle name="注释 5 2 5 3" xfId="32171" xr:uid="{00000000-0005-0000-0000-0000AB7D0000}"/>
    <cellStyle name="注释 5 2 6" xfId="32172" xr:uid="{00000000-0005-0000-0000-0000AC7D0000}"/>
    <cellStyle name="注释 5 2 7" xfId="32173" xr:uid="{00000000-0005-0000-0000-0000AD7D0000}"/>
    <cellStyle name="注释 5 2 8" xfId="32174" xr:uid="{00000000-0005-0000-0000-0000AE7D0000}"/>
    <cellStyle name="注释 5 2 9" xfId="32175" xr:uid="{00000000-0005-0000-0000-0000AF7D0000}"/>
    <cellStyle name="注释 5 20" xfId="32176" xr:uid="{00000000-0005-0000-0000-0000B07D0000}"/>
    <cellStyle name="注释 5 21" xfId="32177" xr:uid="{00000000-0005-0000-0000-0000B17D0000}"/>
    <cellStyle name="注释 5 22" xfId="32178" xr:uid="{00000000-0005-0000-0000-0000B27D0000}"/>
    <cellStyle name="注释 5 23" xfId="32179" xr:uid="{00000000-0005-0000-0000-0000B37D0000}"/>
    <cellStyle name="注释 5 24" xfId="32180" xr:uid="{00000000-0005-0000-0000-0000B47D0000}"/>
    <cellStyle name="注释 5 25" xfId="32181" xr:uid="{00000000-0005-0000-0000-0000B57D0000}"/>
    <cellStyle name="注释 5 26" xfId="32182" xr:uid="{00000000-0005-0000-0000-0000B67D0000}"/>
    <cellStyle name="注释 5 27" xfId="32183" xr:uid="{00000000-0005-0000-0000-0000B77D0000}"/>
    <cellStyle name="注释 5 28" xfId="32184" xr:uid="{00000000-0005-0000-0000-0000B87D0000}"/>
    <cellStyle name="注释 5 29" xfId="32185" xr:uid="{00000000-0005-0000-0000-0000B97D0000}"/>
    <cellStyle name="注释 5 3" xfId="32186" xr:uid="{00000000-0005-0000-0000-0000BA7D0000}"/>
    <cellStyle name="注释 5 3 2" xfId="32187" xr:uid="{00000000-0005-0000-0000-0000BB7D0000}"/>
    <cellStyle name="注释 5 3 3" xfId="32188" xr:uid="{00000000-0005-0000-0000-0000BC7D0000}"/>
    <cellStyle name="注释 5 30" xfId="32189" xr:uid="{00000000-0005-0000-0000-0000BD7D0000}"/>
    <cellStyle name="注释 5 31" xfId="32190" xr:uid="{00000000-0005-0000-0000-0000BE7D0000}"/>
    <cellStyle name="注释 5 32" xfId="32191" xr:uid="{00000000-0005-0000-0000-0000BF7D0000}"/>
    <cellStyle name="注释 5 33" xfId="32192" xr:uid="{00000000-0005-0000-0000-0000C07D0000}"/>
    <cellStyle name="注释 5 34" xfId="32193" xr:uid="{00000000-0005-0000-0000-0000C17D0000}"/>
    <cellStyle name="注释 5 4" xfId="32194" xr:uid="{00000000-0005-0000-0000-0000C27D0000}"/>
    <cellStyle name="注释 5 4 2" xfId="32195" xr:uid="{00000000-0005-0000-0000-0000C37D0000}"/>
    <cellStyle name="注释 5 4 3" xfId="32196" xr:uid="{00000000-0005-0000-0000-0000C47D0000}"/>
    <cellStyle name="注释 5 5" xfId="32197" xr:uid="{00000000-0005-0000-0000-0000C57D0000}"/>
    <cellStyle name="注释 5 6" xfId="32198" xr:uid="{00000000-0005-0000-0000-0000C67D0000}"/>
    <cellStyle name="注释 5 7" xfId="32199" xr:uid="{00000000-0005-0000-0000-0000C77D0000}"/>
    <cellStyle name="注释 5 8" xfId="32200" xr:uid="{00000000-0005-0000-0000-0000C87D0000}"/>
    <cellStyle name="注释 5 9" xfId="32201" xr:uid="{00000000-0005-0000-0000-0000C97D0000}"/>
    <cellStyle name="注释 6" xfId="32202" xr:uid="{00000000-0005-0000-0000-0000CA7D0000}"/>
    <cellStyle name="注释 6 10" xfId="32203" xr:uid="{00000000-0005-0000-0000-0000CB7D0000}"/>
    <cellStyle name="注释 6 11" xfId="32204" xr:uid="{00000000-0005-0000-0000-0000CC7D0000}"/>
    <cellStyle name="注释 6 12" xfId="32205" xr:uid="{00000000-0005-0000-0000-0000CD7D0000}"/>
    <cellStyle name="注释 6 13" xfId="32206" xr:uid="{00000000-0005-0000-0000-0000CE7D0000}"/>
    <cellStyle name="注释 6 14" xfId="32207" xr:uid="{00000000-0005-0000-0000-0000CF7D0000}"/>
    <cellStyle name="注释 6 15" xfId="32208" xr:uid="{00000000-0005-0000-0000-0000D07D0000}"/>
    <cellStyle name="注释 6 16" xfId="32209" xr:uid="{00000000-0005-0000-0000-0000D17D0000}"/>
    <cellStyle name="注释 6 17" xfId="32210" xr:uid="{00000000-0005-0000-0000-0000D27D0000}"/>
    <cellStyle name="注释 6 18" xfId="32211" xr:uid="{00000000-0005-0000-0000-0000D37D0000}"/>
    <cellStyle name="注释 6 19" xfId="32212" xr:uid="{00000000-0005-0000-0000-0000D47D0000}"/>
    <cellStyle name="注释 6 2" xfId="32213" xr:uid="{00000000-0005-0000-0000-0000D57D0000}"/>
    <cellStyle name="注释 6 2 10" xfId="32214" xr:uid="{00000000-0005-0000-0000-0000D67D0000}"/>
    <cellStyle name="注释 6 2 11" xfId="32215" xr:uid="{00000000-0005-0000-0000-0000D77D0000}"/>
    <cellStyle name="注释 6 2 12" xfId="32216" xr:uid="{00000000-0005-0000-0000-0000D87D0000}"/>
    <cellStyle name="注释 6 2 13" xfId="32217" xr:uid="{00000000-0005-0000-0000-0000D97D0000}"/>
    <cellStyle name="注释 6 2 14" xfId="32218" xr:uid="{00000000-0005-0000-0000-0000DA7D0000}"/>
    <cellStyle name="注释 6 2 15" xfId="32219" xr:uid="{00000000-0005-0000-0000-0000DB7D0000}"/>
    <cellStyle name="注释 6 2 16" xfId="32220" xr:uid="{00000000-0005-0000-0000-0000DC7D0000}"/>
    <cellStyle name="注释 6 2 17" xfId="32221" xr:uid="{00000000-0005-0000-0000-0000DD7D0000}"/>
    <cellStyle name="注释 6 2 18" xfId="32222" xr:uid="{00000000-0005-0000-0000-0000DE7D0000}"/>
    <cellStyle name="注释 6 2 19" xfId="32223" xr:uid="{00000000-0005-0000-0000-0000DF7D0000}"/>
    <cellStyle name="注释 6 2 2" xfId="32224" xr:uid="{00000000-0005-0000-0000-0000E07D0000}"/>
    <cellStyle name="注释 6 2 2 2" xfId="32225" xr:uid="{00000000-0005-0000-0000-0000E17D0000}"/>
    <cellStyle name="注释 6 2 2 2 2" xfId="32226" xr:uid="{00000000-0005-0000-0000-0000E27D0000}"/>
    <cellStyle name="注释 6 2 2 2 3" xfId="32227" xr:uid="{00000000-0005-0000-0000-0000E37D0000}"/>
    <cellStyle name="注释 6 2 2 3" xfId="32228" xr:uid="{00000000-0005-0000-0000-0000E47D0000}"/>
    <cellStyle name="注释 6 2 2 3 2" xfId="32229" xr:uid="{00000000-0005-0000-0000-0000E57D0000}"/>
    <cellStyle name="注释 6 2 2 3 3" xfId="32230" xr:uid="{00000000-0005-0000-0000-0000E67D0000}"/>
    <cellStyle name="注释 6 2 2 4" xfId="32231" xr:uid="{00000000-0005-0000-0000-0000E77D0000}"/>
    <cellStyle name="注释 6 2 2 5" xfId="32232" xr:uid="{00000000-0005-0000-0000-0000E87D0000}"/>
    <cellStyle name="注释 6 2 20" xfId="32233" xr:uid="{00000000-0005-0000-0000-0000E97D0000}"/>
    <cellStyle name="注释 6 2 21" xfId="32234" xr:uid="{00000000-0005-0000-0000-0000EA7D0000}"/>
    <cellStyle name="注释 6 2 22" xfId="32235" xr:uid="{00000000-0005-0000-0000-0000EB7D0000}"/>
    <cellStyle name="注释 6 2 23" xfId="32236" xr:uid="{00000000-0005-0000-0000-0000EC7D0000}"/>
    <cellStyle name="注释 6 2 24" xfId="32237" xr:uid="{00000000-0005-0000-0000-0000ED7D0000}"/>
    <cellStyle name="注释 6 2 25" xfId="32238" xr:uid="{00000000-0005-0000-0000-0000EE7D0000}"/>
    <cellStyle name="注释 6 2 26" xfId="32239" xr:uid="{00000000-0005-0000-0000-0000EF7D0000}"/>
    <cellStyle name="注释 6 2 27" xfId="32240" xr:uid="{00000000-0005-0000-0000-0000F07D0000}"/>
    <cellStyle name="注释 6 2 28" xfId="32241" xr:uid="{00000000-0005-0000-0000-0000F17D0000}"/>
    <cellStyle name="注释 6 2 29" xfId="32242" xr:uid="{00000000-0005-0000-0000-0000F27D0000}"/>
    <cellStyle name="注释 6 2 3" xfId="32243" xr:uid="{00000000-0005-0000-0000-0000F37D0000}"/>
    <cellStyle name="注释 6 2 3 2" xfId="32244" xr:uid="{00000000-0005-0000-0000-0000F47D0000}"/>
    <cellStyle name="注释 6 2 3 2 2" xfId="32245" xr:uid="{00000000-0005-0000-0000-0000F57D0000}"/>
    <cellStyle name="注释 6 2 3 2 3" xfId="32246" xr:uid="{00000000-0005-0000-0000-0000F67D0000}"/>
    <cellStyle name="注释 6 2 3 3" xfId="32247" xr:uid="{00000000-0005-0000-0000-0000F77D0000}"/>
    <cellStyle name="注释 6 2 3 3 2" xfId="32248" xr:uid="{00000000-0005-0000-0000-0000F87D0000}"/>
    <cellStyle name="注释 6 2 3 3 3" xfId="32249" xr:uid="{00000000-0005-0000-0000-0000F97D0000}"/>
    <cellStyle name="注释 6 2 3 4" xfId="32250" xr:uid="{00000000-0005-0000-0000-0000FA7D0000}"/>
    <cellStyle name="注释 6 2 3 5" xfId="32251" xr:uid="{00000000-0005-0000-0000-0000FB7D0000}"/>
    <cellStyle name="注释 6 2 30" xfId="32252" xr:uid="{00000000-0005-0000-0000-0000FC7D0000}"/>
    <cellStyle name="注释 6 2 31" xfId="32253" xr:uid="{00000000-0005-0000-0000-0000FD7D0000}"/>
    <cellStyle name="注释 6 2 32" xfId="32254" xr:uid="{00000000-0005-0000-0000-0000FE7D0000}"/>
    <cellStyle name="注释 6 2 33" xfId="32255" xr:uid="{00000000-0005-0000-0000-0000FF7D0000}"/>
    <cellStyle name="注释 6 2 34" xfId="32256" xr:uid="{00000000-0005-0000-0000-0000007E0000}"/>
    <cellStyle name="注释 6 2 35" xfId="32257" xr:uid="{00000000-0005-0000-0000-0000017E0000}"/>
    <cellStyle name="注释 6 2 4" xfId="32258" xr:uid="{00000000-0005-0000-0000-0000027E0000}"/>
    <cellStyle name="注释 6 2 4 2" xfId="32259" xr:uid="{00000000-0005-0000-0000-0000037E0000}"/>
    <cellStyle name="注释 6 2 4 3" xfId="32260" xr:uid="{00000000-0005-0000-0000-0000047E0000}"/>
    <cellStyle name="注释 6 2 5" xfId="32261" xr:uid="{00000000-0005-0000-0000-0000057E0000}"/>
    <cellStyle name="注释 6 2 5 2" xfId="32262" xr:uid="{00000000-0005-0000-0000-0000067E0000}"/>
    <cellStyle name="注释 6 2 5 3" xfId="32263" xr:uid="{00000000-0005-0000-0000-0000077E0000}"/>
    <cellStyle name="注释 6 2 6" xfId="32264" xr:uid="{00000000-0005-0000-0000-0000087E0000}"/>
    <cellStyle name="注释 6 2 7" xfId="32265" xr:uid="{00000000-0005-0000-0000-0000097E0000}"/>
    <cellStyle name="注释 6 2 8" xfId="32266" xr:uid="{00000000-0005-0000-0000-00000A7E0000}"/>
    <cellStyle name="注释 6 2 9" xfId="32267" xr:uid="{00000000-0005-0000-0000-00000B7E0000}"/>
    <cellStyle name="注释 6 20" xfId="32268" xr:uid="{00000000-0005-0000-0000-00000C7E0000}"/>
    <cellStyle name="注释 6 21" xfId="32269" xr:uid="{00000000-0005-0000-0000-00000D7E0000}"/>
    <cellStyle name="注释 6 22" xfId="32270" xr:uid="{00000000-0005-0000-0000-00000E7E0000}"/>
    <cellStyle name="注释 6 23" xfId="32271" xr:uid="{00000000-0005-0000-0000-00000F7E0000}"/>
    <cellStyle name="注释 6 24" xfId="32272" xr:uid="{00000000-0005-0000-0000-0000107E0000}"/>
    <cellStyle name="注释 6 25" xfId="32273" xr:uid="{00000000-0005-0000-0000-0000117E0000}"/>
    <cellStyle name="注释 6 26" xfId="32274" xr:uid="{00000000-0005-0000-0000-0000127E0000}"/>
    <cellStyle name="注释 6 27" xfId="32275" xr:uid="{00000000-0005-0000-0000-0000137E0000}"/>
    <cellStyle name="注释 6 28" xfId="32276" xr:uid="{00000000-0005-0000-0000-0000147E0000}"/>
    <cellStyle name="注释 6 29" xfId="32277" xr:uid="{00000000-0005-0000-0000-0000157E0000}"/>
    <cellStyle name="注释 6 3" xfId="32278" xr:uid="{00000000-0005-0000-0000-0000167E0000}"/>
    <cellStyle name="注释 6 3 2" xfId="32279" xr:uid="{00000000-0005-0000-0000-0000177E0000}"/>
    <cellStyle name="注释 6 3 3" xfId="32280" xr:uid="{00000000-0005-0000-0000-0000187E0000}"/>
    <cellStyle name="注释 6 30" xfId="32281" xr:uid="{00000000-0005-0000-0000-0000197E0000}"/>
    <cellStyle name="注释 6 31" xfId="32282" xr:uid="{00000000-0005-0000-0000-00001A7E0000}"/>
    <cellStyle name="注释 6 32" xfId="32283" xr:uid="{00000000-0005-0000-0000-00001B7E0000}"/>
    <cellStyle name="注释 6 33" xfId="32284" xr:uid="{00000000-0005-0000-0000-00001C7E0000}"/>
    <cellStyle name="注释 6 34" xfId="32285" xr:uid="{00000000-0005-0000-0000-00001D7E0000}"/>
    <cellStyle name="注释 6 4" xfId="32286" xr:uid="{00000000-0005-0000-0000-00001E7E0000}"/>
    <cellStyle name="注释 6 4 2" xfId="32287" xr:uid="{00000000-0005-0000-0000-00001F7E0000}"/>
    <cellStyle name="注释 6 4 3" xfId="32288" xr:uid="{00000000-0005-0000-0000-0000207E0000}"/>
    <cellStyle name="注释 6 5" xfId="32289" xr:uid="{00000000-0005-0000-0000-0000217E0000}"/>
    <cellStyle name="注释 6 6" xfId="32290" xr:uid="{00000000-0005-0000-0000-0000227E0000}"/>
    <cellStyle name="注释 6 7" xfId="32291" xr:uid="{00000000-0005-0000-0000-0000237E0000}"/>
    <cellStyle name="注释 6 8" xfId="32292" xr:uid="{00000000-0005-0000-0000-0000247E0000}"/>
    <cellStyle name="注释 6 9" xfId="32293" xr:uid="{00000000-0005-0000-0000-0000257E0000}"/>
    <cellStyle name="注释 7" xfId="32294" xr:uid="{00000000-0005-0000-0000-0000267E0000}"/>
    <cellStyle name="注释 7 10" xfId="32295" xr:uid="{00000000-0005-0000-0000-0000277E0000}"/>
    <cellStyle name="注释 7 11" xfId="32296" xr:uid="{00000000-0005-0000-0000-0000287E0000}"/>
    <cellStyle name="注释 7 12" xfId="32297" xr:uid="{00000000-0005-0000-0000-0000297E0000}"/>
    <cellStyle name="注释 7 13" xfId="32298" xr:uid="{00000000-0005-0000-0000-00002A7E0000}"/>
    <cellStyle name="注释 7 14" xfId="32299" xr:uid="{00000000-0005-0000-0000-00002B7E0000}"/>
    <cellStyle name="注释 7 15" xfId="32300" xr:uid="{00000000-0005-0000-0000-00002C7E0000}"/>
    <cellStyle name="注释 7 16" xfId="32301" xr:uid="{00000000-0005-0000-0000-00002D7E0000}"/>
    <cellStyle name="注释 7 17" xfId="32302" xr:uid="{00000000-0005-0000-0000-00002E7E0000}"/>
    <cellStyle name="注释 7 18" xfId="32303" xr:uid="{00000000-0005-0000-0000-00002F7E0000}"/>
    <cellStyle name="注释 7 19" xfId="32304" xr:uid="{00000000-0005-0000-0000-0000307E0000}"/>
    <cellStyle name="注释 7 2" xfId="32305" xr:uid="{00000000-0005-0000-0000-0000317E0000}"/>
    <cellStyle name="注释 7 2 2" xfId="32306" xr:uid="{00000000-0005-0000-0000-0000327E0000}"/>
    <cellStyle name="注释 7 2 2 2" xfId="32307" xr:uid="{00000000-0005-0000-0000-0000337E0000}"/>
    <cellStyle name="注释 7 2 2 3" xfId="32308" xr:uid="{00000000-0005-0000-0000-0000347E0000}"/>
    <cellStyle name="注释 7 2 3" xfId="32309" xr:uid="{00000000-0005-0000-0000-0000357E0000}"/>
    <cellStyle name="注释 7 2 3 2" xfId="32310" xr:uid="{00000000-0005-0000-0000-0000367E0000}"/>
    <cellStyle name="注释 7 2 3 3" xfId="32311" xr:uid="{00000000-0005-0000-0000-0000377E0000}"/>
    <cellStyle name="注释 7 2 4" xfId="32312" xr:uid="{00000000-0005-0000-0000-0000387E0000}"/>
    <cellStyle name="注释 7 2 5" xfId="32313" xr:uid="{00000000-0005-0000-0000-0000397E0000}"/>
    <cellStyle name="注释 7 20" xfId="32314" xr:uid="{00000000-0005-0000-0000-00003A7E0000}"/>
    <cellStyle name="注释 7 21" xfId="32315" xr:uid="{00000000-0005-0000-0000-00003B7E0000}"/>
    <cellStyle name="注释 7 22" xfId="32316" xr:uid="{00000000-0005-0000-0000-00003C7E0000}"/>
    <cellStyle name="注释 7 23" xfId="32317" xr:uid="{00000000-0005-0000-0000-00003D7E0000}"/>
    <cellStyle name="注释 7 24" xfId="32318" xr:uid="{00000000-0005-0000-0000-00003E7E0000}"/>
    <cellStyle name="注释 7 25" xfId="32319" xr:uid="{00000000-0005-0000-0000-00003F7E0000}"/>
    <cellStyle name="注释 7 26" xfId="32320" xr:uid="{00000000-0005-0000-0000-0000407E0000}"/>
    <cellStyle name="注释 7 27" xfId="32321" xr:uid="{00000000-0005-0000-0000-0000417E0000}"/>
    <cellStyle name="注释 7 28" xfId="32322" xr:uid="{00000000-0005-0000-0000-0000427E0000}"/>
    <cellStyle name="注释 7 29" xfId="32323" xr:uid="{00000000-0005-0000-0000-0000437E0000}"/>
    <cellStyle name="注释 7 3" xfId="32324" xr:uid="{00000000-0005-0000-0000-0000447E0000}"/>
    <cellStyle name="注释 7 3 2" xfId="32325" xr:uid="{00000000-0005-0000-0000-0000457E0000}"/>
    <cellStyle name="注释 7 3 2 2" xfId="32326" xr:uid="{00000000-0005-0000-0000-0000467E0000}"/>
    <cellStyle name="注释 7 3 2 3" xfId="32327" xr:uid="{00000000-0005-0000-0000-0000477E0000}"/>
    <cellStyle name="注释 7 3 3" xfId="32328" xr:uid="{00000000-0005-0000-0000-0000487E0000}"/>
    <cellStyle name="注释 7 3 3 2" xfId="32329" xr:uid="{00000000-0005-0000-0000-0000497E0000}"/>
    <cellStyle name="注释 7 3 3 3" xfId="32330" xr:uid="{00000000-0005-0000-0000-00004A7E0000}"/>
    <cellStyle name="注释 7 3 4" xfId="32331" xr:uid="{00000000-0005-0000-0000-00004B7E0000}"/>
    <cellStyle name="注释 7 3 5" xfId="32332" xr:uid="{00000000-0005-0000-0000-00004C7E0000}"/>
    <cellStyle name="注释 7 30" xfId="32333" xr:uid="{00000000-0005-0000-0000-00004D7E0000}"/>
    <cellStyle name="注释 7 31" xfId="32334" xr:uid="{00000000-0005-0000-0000-00004E7E0000}"/>
    <cellStyle name="注释 7 32" xfId="32335" xr:uid="{00000000-0005-0000-0000-00004F7E0000}"/>
    <cellStyle name="注释 7 33" xfId="32336" xr:uid="{00000000-0005-0000-0000-0000507E0000}"/>
    <cellStyle name="注释 7 34" xfId="32337" xr:uid="{00000000-0005-0000-0000-0000517E0000}"/>
    <cellStyle name="注释 7 35" xfId="32338" xr:uid="{00000000-0005-0000-0000-0000527E0000}"/>
    <cellStyle name="注释 7 4" xfId="32339" xr:uid="{00000000-0005-0000-0000-0000537E0000}"/>
    <cellStyle name="注释 7 4 2" xfId="32340" xr:uid="{00000000-0005-0000-0000-0000547E0000}"/>
    <cellStyle name="注释 7 4 3" xfId="32341" xr:uid="{00000000-0005-0000-0000-0000557E0000}"/>
    <cellStyle name="注释 7 5" xfId="32342" xr:uid="{00000000-0005-0000-0000-0000567E0000}"/>
    <cellStyle name="注释 7 5 2" xfId="32343" xr:uid="{00000000-0005-0000-0000-0000577E0000}"/>
    <cellStyle name="注释 7 5 3" xfId="32344" xr:uid="{00000000-0005-0000-0000-0000587E0000}"/>
    <cellStyle name="注释 7 6" xfId="32345" xr:uid="{00000000-0005-0000-0000-0000597E0000}"/>
    <cellStyle name="注释 7 7" xfId="32346" xr:uid="{00000000-0005-0000-0000-00005A7E0000}"/>
    <cellStyle name="注释 7 8" xfId="32347" xr:uid="{00000000-0005-0000-0000-00005B7E0000}"/>
    <cellStyle name="注释 7 9" xfId="32348" xr:uid="{00000000-0005-0000-0000-00005C7E0000}"/>
    <cellStyle name="注释 8" xfId="32349" xr:uid="{00000000-0005-0000-0000-00005D7E0000}"/>
    <cellStyle name="注释 8 2" xfId="32350" xr:uid="{00000000-0005-0000-0000-00005E7E0000}"/>
    <cellStyle name="注释 8 3" xfId="32351" xr:uid="{00000000-0005-0000-0000-00005F7E0000}"/>
    <cellStyle name="注释 9" xfId="32352" xr:uid="{00000000-0005-0000-0000-0000607E0000}"/>
    <cellStyle name="注释 9 2" xfId="32353" xr:uid="{00000000-0005-0000-0000-0000617E0000}"/>
    <cellStyle name="注释 9 3" xfId="32354" xr:uid="{00000000-0005-0000-0000-0000627E0000}"/>
    <cellStyle name="烹拳 [0]_97MBO" xfId="32355" xr:uid="{00000000-0005-0000-0000-0000637E0000}"/>
    <cellStyle name="烹拳_97MBO" xfId="32356" xr:uid="{00000000-0005-0000-0000-0000647E0000}"/>
    <cellStyle name="百分比 2" xfId="32357" xr:uid="{00000000-0005-0000-0000-0000657E0000}"/>
    <cellStyle name="百分比 2 2" xfId="32358" xr:uid="{00000000-0005-0000-0000-0000667E0000}"/>
    <cellStyle name="百分比 3" xfId="32359" xr:uid="{00000000-0005-0000-0000-0000677E0000}"/>
    <cellStyle name="百分比 3 2" xfId="32360" xr:uid="{00000000-0005-0000-0000-0000687E0000}"/>
    <cellStyle name="百分比 4" xfId="32361" xr:uid="{00000000-0005-0000-0000-0000697E0000}"/>
    <cellStyle name="百分比 4 2" xfId="32362" xr:uid="{00000000-0005-0000-0000-00006A7E0000}"/>
    <cellStyle name="百分比 5" xfId="32363" xr:uid="{00000000-0005-0000-0000-00006B7E0000}"/>
    <cellStyle name="百分比 5 2" xfId="32364" xr:uid="{00000000-0005-0000-0000-00006C7E0000}"/>
    <cellStyle name="百分比 6" xfId="32365" xr:uid="{00000000-0005-0000-0000-00006D7E0000}"/>
    <cellStyle name="百分比 7" xfId="32366" xr:uid="{00000000-0005-0000-0000-00006E7E0000}"/>
    <cellStyle name="百分比 7 2" xfId="32367" xr:uid="{00000000-0005-0000-0000-00006F7E0000}"/>
    <cellStyle name="百分比 8" xfId="32368" xr:uid="{00000000-0005-0000-0000-0000707E0000}"/>
    <cellStyle name="良い" xfId="32369" xr:uid="{00000000-0005-0000-0000-0000717E0000}"/>
    <cellStyle name="見出し 1" xfId="32370" xr:uid="{00000000-0005-0000-0000-0000727E0000}"/>
    <cellStyle name="見出し 2" xfId="32371" xr:uid="{00000000-0005-0000-0000-0000737E0000}"/>
    <cellStyle name="見出し 3" xfId="32372" xr:uid="{00000000-0005-0000-0000-0000747E0000}"/>
    <cellStyle name="見出し 4" xfId="32373" xr:uid="{00000000-0005-0000-0000-0000757E0000}"/>
    <cellStyle name="解释性文本" xfId="32374" xr:uid="{00000000-0005-0000-0000-0000767E0000}"/>
    <cellStyle name="解释性文本 2" xfId="32375" xr:uid="{00000000-0005-0000-0000-0000777E0000}"/>
    <cellStyle name="解释性文本 3" xfId="32376" xr:uid="{00000000-0005-0000-0000-0000787E0000}"/>
    <cellStyle name="解释性文本 4" xfId="32377" xr:uid="{00000000-0005-0000-0000-0000797E0000}"/>
    <cellStyle name="解释性文本 5" xfId="32378" xr:uid="{00000000-0005-0000-0000-00007A7E0000}"/>
    <cellStyle name="解释性文本 6" xfId="32379" xr:uid="{00000000-0005-0000-0000-00007B7E0000}"/>
    <cellStyle name="計算" xfId="32380" xr:uid="{00000000-0005-0000-0000-00007C7E0000}"/>
    <cellStyle name="計算 10" xfId="32381" xr:uid="{00000000-0005-0000-0000-00007D7E0000}"/>
    <cellStyle name="計算 11" xfId="32382" xr:uid="{00000000-0005-0000-0000-00007E7E0000}"/>
    <cellStyle name="計算 12" xfId="32383" xr:uid="{00000000-0005-0000-0000-00007F7E0000}"/>
    <cellStyle name="計算 13" xfId="32384" xr:uid="{00000000-0005-0000-0000-0000807E0000}"/>
    <cellStyle name="計算 14" xfId="32385" xr:uid="{00000000-0005-0000-0000-0000817E0000}"/>
    <cellStyle name="計算 2" xfId="32386" xr:uid="{00000000-0005-0000-0000-0000827E0000}"/>
    <cellStyle name="計算 2 10" xfId="32387" xr:uid="{00000000-0005-0000-0000-0000837E0000}"/>
    <cellStyle name="計算 2 11" xfId="32388" xr:uid="{00000000-0005-0000-0000-0000847E0000}"/>
    <cellStyle name="計算 2 12" xfId="32389" xr:uid="{00000000-0005-0000-0000-0000857E0000}"/>
    <cellStyle name="計算 2 13" xfId="32390" xr:uid="{00000000-0005-0000-0000-0000867E0000}"/>
    <cellStyle name="計算 2 14" xfId="32391" xr:uid="{00000000-0005-0000-0000-0000877E0000}"/>
    <cellStyle name="計算 2 15" xfId="32392" xr:uid="{00000000-0005-0000-0000-0000887E0000}"/>
    <cellStyle name="計算 2 16" xfId="32393" xr:uid="{00000000-0005-0000-0000-0000897E0000}"/>
    <cellStyle name="計算 2 17" xfId="32394" xr:uid="{00000000-0005-0000-0000-00008A7E0000}"/>
    <cellStyle name="計算 2 18" xfId="32395" xr:uid="{00000000-0005-0000-0000-00008B7E0000}"/>
    <cellStyle name="計算 2 19" xfId="32396" xr:uid="{00000000-0005-0000-0000-00008C7E0000}"/>
    <cellStyle name="計算 2 2" xfId="32397" xr:uid="{00000000-0005-0000-0000-00008D7E0000}"/>
    <cellStyle name="計算 2 2 2" xfId="32398" xr:uid="{00000000-0005-0000-0000-00008E7E0000}"/>
    <cellStyle name="計算 2 2 2 2" xfId="32399" xr:uid="{00000000-0005-0000-0000-00008F7E0000}"/>
    <cellStyle name="計算 2 2 2 3" xfId="32400" xr:uid="{00000000-0005-0000-0000-0000907E0000}"/>
    <cellStyle name="計算 2 2 3" xfId="32401" xr:uid="{00000000-0005-0000-0000-0000917E0000}"/>
    <cellStyle name="計算 2 2 3 2" xfId="32402" xr:uid="{00000000-0005-0000-0000-0000927E0000}"/>
    <cellStyle name="計算 2 2 3 3" xfId="32403" xr:uid="{00000000-0005-0000-0000-0000937E0000}"/>
    <cellStyle name="計算 2 2 4" xfId="32404" xr:uid="{00000000-0005-0000-0000-0000947E0000}"/>
    <cellStyle name="計算 2 2 5" xfId="32405" xr:uid="{00000000-0005-0000-0000-0000957E0000}"/>
    <cellStyle name="計算 2 20" xfId="32406" xr:uid="{00000000-0005-0000-0000-0000967E0000}"/>
    <cellStyle name="計算 2 21" xfId="32407" xr:uid="{00000000-0005-0000-0000-0000977E0000}"/>
    <cellStyle name="計算 2 22" xfId="32408" xr:uid="{00000000-0005-0000-0000-0000987E0000}"/>
    <cellStyle name="計算 2 23" xfId="32409" xr:uid="{00000000-0005-0000-0000-0000997E0000}"/>
    <cellStyle name="計算 2 24" xfId="32410" xr:uid="{00000000-0005-0000-0000-00009A7E0000}"/>
    <cellStyle name="計算 2 25" xfId="32411" xr:uid="{00000000-0005-0000-0000-00009B7E0000}"/>
    <cellStyle name="計算 2 26" xfId="32412" xr:uid="{00000000-0005-0000-0000-00009C7E0000}"/>
    <cellStyle name="計算 2 27" xfId="32413" xr:uid="{00000000-0005-0000-0000-00009D7E0000}"/>
    <cellStyle name="計算 2 28" xfId="32414" xr:uid="{00000000-0005-0000-0000-00009E7E0000}"/>
    <cellStyle name="計算 2 29" xfId="32415" xr:uid="{00000000-0005-0000-0000-00009F7E0000}"/>
    <cellStyle name="計算 2 3" xfId="32416" xr:uid="{00000000-0005-0000-0000-0000A07E0000}"/>
    <cellStyle name="計算 2 3 2" xfId="32417" xr:uid="{00000000-0005-0000-0000-0000A17E0000}"/>
    <cellStyle name="計算 2 3 2 2" xfId="32418" xr:uid="{00000000-0005-0000-0000-0000A27E0000}"/>
    <cellStyle name="計算 2 3 2 3" xfId="32419" xr:uid="{00000000-0005-0000-0000-0000A37E0000}"/>
    <cellStyle name="計算 2 3 3" xfId="32420" xr:uid="{00000000-0005-0000-0000-0000A47E0000}"/>
    <cellStyle name="計算 2 3 3 2" xfId="32421" xr:uid="{00000000-0005-0000-0000-0000A57E0000}"/>
    <cellStyle name="計算 2 3 3 3" xfId="32422" xr:uid="{00000000-0005-0000-0000-0000A67E0000}"/>
    <cellStyle name="計算 2 3 4" xfId="32423" xr:uid="{00000000-0005-0000-0000-0000A77E0000}"/>
    <cellStyle name="計算 2 3 5" xfId="32424" xr:uid="{00000000-0005-0000-0000-0000A87E0000}"/>
    <cellStyle name="計算 2 30" xfId="32425" xr:uid="{00000000-0005-0000-0000-0000A97E0000}"/>
    <cellStyle name="計算 2 31" xfId="32426" xr:uid="{00000000-0005-0000-0000-0000AA7E0000}"/>
    <cellStyle name="計算 2 32" xfId="32427" xr:uid="{00000000-0005-0000-0000-0000AB7E0000}"/>
    <cellStyle name="計算 2 33" xfId="32428" xr:uid="{00000000-0005-0000-0000-0000AC7E0000}"/>
    <cellStyle name="計算 2 34" xfId="32429" xr:uid="{00000000-0005-0000-0000-0000AD7E0000}"/>
    <cellStyle name="計算 2 35" xfId="32430" xr:uid="{00000000-0005-0000-0000-0000AE7E0000}"/>
    <cellStyle name="計算 2 4" xfId="32431" xr:uid="{00000000-0005-0000-0000-0000AF7E0000}"/>
    <cellStyle name="計算 2 4 2" xfId="32432" xr:uid="{00000000-0005-0000-0000-0000B07E0000}"/>
    <cellStyle name="計算 2 4 3" xfId="32433" xr:uid="{00000000-0005-0000-0000-0000B17E0000}"/>
    <cellStyle name="計算 2 5" xfId="32434" xr:uid="{00000000-0005-0000-0000-0000B27E0000}"/>
    <cellStyle name="計算 2 5 2" xfId="32435" xr:uid="{00000000-0005-0000-0000-0000B37E0000}"/>
    <cellStyle name="計算 2 5 3" xfId="32436" xr:uid="{00000000-0005-0000-0000-0000B47E0000}"/>
    <cellStyle name="計算 2 6" xfId="32437" xr:uid="{00000000-0005-0000-0000-0000B57E0000}"/>
    <cellStyle name="計算 2 7" xfId="32438" xr:uid="{00000000-0005-0000-0000-0000B67E0000}"/>
    <cellStyle name="計算 2 8" xfId="32439" xr:uid="{00000000-0005-0000-0000-0000B77E0000}"/>
    <cellStyle name="計算 2 9" xfId="32440" xr:uid="{00000000-0005-0000-0000-0000B87E0000}"/>
    <cellStyle name="計算 3" xfId="32441" xr:uid="{00000000-0005-0000-0000-0000B97E0000}"/>
    <cellStyle name="計算 3 2" xfId="32442" xr:uid="{00000000-0005-0000-0000-0000BA7E0000}"/>
    <cellStyle name="計算 3 2 2" xfId="32443" xr:uid="{00000000-0005-0000-0000-0000BB7E0000}"/>
    <cellStyle name="計算 3 2 3" xfId="32444" xr:uid="{00000000-0005-0000-0000-0000BC7E0000}"/>
    <cellStyle name="計算 3 3" xfId="32445" xr:uid="{00000000-0005-0000-0000-0000BD7E0000}"/>
    <cellStyle name="計算 3 3 2" xfId="32446" xr:uid="{00000000-0005-0000-0000-0000BE7E0000}"/>
    <cellStyle name="計算 3 3 3" xfId="32447" xr:uid="{00000000-0005-0000-0000-0000BF7E0000}"/>
    <cellStyle name="計算 3 4" xfId="32448" xr:uid="{00000000-0005-0000-0000-0000C07E0000}"/>
    <cellStyle name="計算 3 5" xfId="32449" xr:uid="{00000000-0005-0000-0000-0000C17E0000}"/>
    <cellStyle name="計算 4" xfId="32450" xr:uid="{00000000-0005-0000-0000-0000C27E0000}"/>
    <cellStyle name="計算 4 2" xfId="32451" xr:uid="{00000000-0005-0000-0000-0000C37E0000}"/>
    <cellStyle name="計算 4 3" xfId="32452" xr:uid="{00000000-0005-0000-0000-0000C47E0000}"/>
    <cellStyle name="計算 5" xfId="32453" xr:uid="{00000000-0005-0000-0000-0000C57E0000}"/>
    <cellStyle name="計算 5 2" xfId="32454" xr:uid="{00000000-0005-0000-0000-0000C67E0000}"/>
    <cellStyle name="計算 5 3" xfId="32455" xr:uid="{00000000-0005-0000-0000-0000C77E0000}"/>
    <cellStyle name="計算 6" xfId="32456" xr:uid="{00000000-0005-0000-0000-0000C87E0000}"/>
    <cellStyle name="計算 7" xfId="32457" xr:uid="{00000000-0005-0000-0000-0000C97E0000}"/>
    <cellStyle name="計算 8" xfId="32458" xr:uid="{00000000-0005-0000-0000-0000CA7E0000}"/>
    <cellStyle name="計算 9" xfId="32459" xr:uid="{00000000-0005-0000-0000-0000CB7E0000}"/>
    <cellStyle name="説明文" xfId="32460" xr:uid="{00000000-0005-0000-0000-0000CC7E0000}"/>
    <cellStyle name="警告文" xfId="32461" xr:uid="{00000000-0005-0000-0000-0000CD7E0000}"/>
    <cellStyle name="警告文本" xfId="32462" xr:uid="{00000000-0005-0000-0000-0000CE7E0000}"/>
    <cellStyle name="警告文本 2" xfId="32463" xr:uid="{00000000-0005-0000-0000-0000CF7E0000}"/>
    <cellStyle name="警告文本 3" xfId="32464" xr:uid="{00000000-0005-0000-0000-0000D07E0000}"/>
    <cellStyle name="警告文本 4" xfId="32465" xr:uid="{00000000-0005-0000-0000-0000D17E0000}"/>
    <cellStyle name="警告文本 5" xfId="32466" xr:uid="{00000000-0005-0000-0000-0000D27E0000}"/>
    <cellStyle name="警告文本 6" xfId="32467" xr:uid="{00000000-0005-0000-0000-0000D37E0000}"/>
    <cellStyle name="计算" xfId="32468" xr:uid="{00000000-0005-0000-0000-0000D47E0000}"/>
    <cellStyle name="计算 10" xfId="32469" xr:uid="{00000000-0005-0000-0000-0000D57E0000}"/>
    <cellStyle name="计算 10 2" xfId="32470" xr:uid="{00000000-0005-0000-0000-0000D67E0000}"/>
    <cellStyle name="计算 10 3" xfId="32471" xr:uid="{00000000-0005-0000-0000-0000D77E0000}"/>
    <cellStyle name="计算 11" xfId="32472" xr:uid="{00000000-0005-0000-0000-0000D87E0000}"/>
    <cellStyle name="计算 12" xfId="32473" xr:uid="{00000000-0005-0000-0000-0000D97E0000}"/>
    <cellStyle name="计算 13" xfId="32474" xr:uid="{00000000-0005-0000-0000-0000DA7E0000}"/>
    <cellStyle name="计算 14" xfId="32475" xr:uid="{00000000-0005-0000-0000-0000DB7E0000}"/>
    <cellStyle name="计算 15" xfId="32476" xr:uid="{00000000-0005-0000-0000-0000DC7E0000}"/>
    <cellStyle name="计算 16" xfId="32477" xr:uid="{00000000-0005-0000-0000-0000DD7E0000}"/>
    <cellStyle name="计算 17" xfId="32478" xr:uid="{00000000-0005-0000-0000-0000DE7E0000}"/>
    <cellStyle name="计算 18" xfId="32479" xr:uid="{00000000-0005-0000-0000-0000DF7E0000}"/>
    <cellStyle name="计算 19" xfId="32480" xr:uid="{00000000-0005-0000-0000-0000E07E0000}"/>
    <cellStyle name="计算 2" xfId="32481" xr:uid="{00000000-0005-0000-0000-0000E17E0000}"/>
    <cellStyle name="计算 2 10" xfId="32482" xr:uid="{00000000-0005-0000-0000-0000E27E0000}"/>
    <cellStyle name="计算 2 11" xfId="32483" xr:uid="{00000000-0005-0000-0000-0000E37E0000}"/>
    <cellStyle name="计算 2 12" xfId="32484" xr:uid="{00000000-0005-0000-0000-0000E47E0000}"/>
    <cellStyle name="计算 2 13" xfId="32485" xr:uid="{00000000-0005-0000-0000-0000E57E0000}"/>
    <cellStyle name="计算 2 14" xfId="32486" xr:uid="{00000000-0005-0000-0000-0000E67E0000}"/>
    <cellStyle name="计算 2 2" xfId="32487" xr:uid="{00000000-0005-0000-0000-0000E77E0000}"/>
    <cellStyle name="计算 2 2 10" xfId="32488" xr:uid="{00000000-0005-0000-0000-0000E87E0000}"/>
    <cellStyle name="计算 2 2 11" xfId="32489" xr:uid="{00000000-0005-0000-0000-0000E97E0000}"/>
    <cellStyle name="计算 2 2 12" xfId="32490" xr:uid="{00000000-0005-0000-0000-0000EA7E0000}"/>
    <cellStyle name="计算 2 2 13" xfId="32491" xr:uid="{00000000-0005-0000-0000-0000EB7E0000}"/>
    <cellStyle name="计算 2 2 14" xfId="32492" xr:uid="{00000000-0005-0000-0000-0000EC7E0000}"/>
    <cellStyle name="计算 2 2 15" xfId="32493" xr:uid="{00000000-0005-0000-0000-0000ED7E0000}"/>
    <cellStyle name="计算 2 2 16" xfId="32494" xr:uid="{00000000-0005-0000-0000-0000EE7E0000}"/>
    <cellStyle name="计算 2 2 17" xfId="32495" xr:uid="{00000000-0005-0000-0000-0000EF7E0000}"/>
    <cellStyle name="计算 2 2 18" xfId="32496" xr:uid="{00000000-0005-0000-0000-0000F07E0000}"/>
    <cellStyle name="计算 2 2 19" xfId="32497" xr:uid="{00000000-0005-0000-0000-0000F17E0000}"/>
    <cellStyle name="计算 2 2 2" xfId="32498" xr:uid="{00000000-0005-0000-0000-0000F27E0000}"/>
    <cellStyle name="计算 2 2 2 2" xfId="32499" xr:uid="{00000000-0005-0000-0000-0000F37E0000}"/>
    <cellStyle name="计算 2 2 2 2 2" xfId="32500" xr:uid="{00000000-0005-0000-0000-0000F47E0000}"/>
    <cellStyle name="计算 2 2 2 2 3" xfId="32501" xr:uid="{00000000-0005-0000-0000-0000F57E0000}"/>
    <cellStyle name="计算 2 2 2 3" xfId="32502" xr:uid="{00000000-0005-0000-0000-0000F67E0000}"/>
    <cellStyle name="计算 2 2 2 3 2" xfId="32503" xr:uid="{00000000-0005-0000-0000-0000F77E0000}"/>
    <cellStyle name="计算 2 2 2 3 3" xfId="32504" xr:uid="{00000000-0005-0000-0000-0000F87E0000}"/>
    <cellStyle name="计算 2 2 2 4" xfId="32505" xr:uid="{00000000-0005-0000-0000-0000F97E0000}"/>
    <cellStyle name="计算 2 2 2 5" xfId="32506" xr:uid="{00000000-0005-0000-0000-0000FA7E0000}"/>
    <cellStyle name="计算 2 2 20" xfId="32507" xr:uid="{00000000-0005-0000-0000-0000FB7E0000}"/>
    <cellStyle name="计算 2 2 21" xfId="32508" xr:uid="{00000000-0005-0000-0000-0000FC7E0000}"/>
    <cellStyle name="计算 2 2 22" xfId="32509" xr:uid="{00000000-0005-0000-0000-0000FD7E0000}"/>
    <cellStyle name="计算 2 2 23" xfId="32510" xr:uid="{00000000-0005-0000-0000-0000FE7E0000}"/>
    <cellStyle name="计算 2 2 24" xfId="32511" xr:uid="{00000000-0005-0000-0000-0000FF7E0000}"/>
    <cellStyle name="计算 2 2 25" xfId="32512" xr:uid="{00000000-0005-0000-0000-0000007F0000}"/>
    <cellStyle name="计算 2 2 26" xfId="32513" xr:uid="{00000000-0005-0000-0000-0000017F0000}"/>
    <cellStyle name="计算 2 2 27" xfId="32514" xr:uid="{00000000-0005-0000-0000-0000027F0000}"/>
    <cellStyle name="计算 2 2 28" xfId="32515" xr:uid="{00000000-0005-0000-0000-0000037F0000}"/>
    <cellStyle name="计算 2 2 29" xfId="32516" xr:uid="{00000000-0005-0000-0000-0000047F0000}"/>
    <cellStyle name="计算 2 2 3" xfId="32517" xr:uid="{00000000-0005-0000-0000-0000057F0000}"/>
    <cellStyle name="计算 2 2 3 2" xfId="32518" xr:uid="{00000000-0005-0000-0000-0000067F0000}"/>
    <cellStyle name="计算 2 2 3 2 2" xfId="32519" xr:uid="{00000000-0005-0000-0000-0000077F0000}"/>
    <cellStyle name="计算 2 2 3 2 3" xfId="32520" xr:uid="{00000000-0005-0000-0000-0000087F0000}"/>
    <cellStyle name="计算 2 2 3 3" xfId="32521" xr:uid="{00000000-0005-0000-0000-0000097F0000}"/>
    <cellStyle name="计算 2 2 3 3 2" xfId="32522" xr:uid="{00000000-0005-0000-0000-00000A7F0000}"/>
    <cellStyle name="计算 2 2 3 3 3" xfId="32523" xr:uid="{00000000-0005-0000-0000-00000B7F0000}"/>
    <cellStyle name="计算 2 2 3 4" xfId="32524" xr:uid="{00000000-0005-0000-0000-00000C7F0000}"/>
    <cellStyle name="计算 2 2 3 5" xfId="32525" xr:uid="{00000000-0005-0000-0000-00000D7F0000}"/>
    <cellStyle name="计算 2 2 30" xfId="32526" xr:uid="{00000000-0005-0000-0000-00000E7F0000}"/>
    <cellStyle name="计算 2 2 31" xfId="32527" xr:uid="{00000000-0005-0000-0000-00000F7F0000}"/>
    <cellStyle name="计算 2 2 32" xfId="32528" xr:uid="{00000000-0005-0000-0000-0000107F0000}"/>
    <cellStyle name="计算 2 2 33" xfId="32529" xr:uid="{00000000-0005-0000-0000-0000117F0000}"/>
    <cellStyle name="计算 2 2 34" xfId="32530" xr:uid="{00000000-0005-0000-0000-0000127F0000}"/>
    <cellStyle name="计算 2 2 35" xfId="32531" xr:uid="{00000000-0005-0000-0000-0000137F0000}"/>
    <cellStyle name="计算 2 2 4" xfId="32532" xr:uid="{00000000-0005-0000-0000-0000147F0000}"/>
    <cellStyle name="计算 2 2 4 2" xfId="32533" xr:uid="{00000000-0005-0000-0000-0000157F0000}"/>
    <cellStyle name="计算 2 2 4 3" xfId="32534" xr:uid="{00000000-0005-0000-0000-0000167F0000}"/>
    <cellStyle name="计算 2 2 5" xfId="32535" xr:uid="{00000000-0005-0000-0000-0000177F0000}"/>
    <cellStyle name="计算 2 2 5 2" xfId="32536" xr:uid="{00000000-0005-0000-0000-0000187F0000}"/>
    <cellStyle name="计算 2 2 5 3" xfId="32537" xr:uid="{00000000-0005-0000-0000-0000197F0000}"/>
    <cellStyle name="计算 2 2 6" xfId="32538" xr:uid="{00000000-0005-0000-0000-00001A7F0000}"/>
    <cellStyle name="计算 2 2 7" xfId="32539" xr:uid="{00000000-0005-0000-0000-00001B7F0000}"/>
    <cellStyle name="计算 2 2 8" xfId="32540" xr:uid="{00000000-0005-0000-0000-00001C7F0000}"/>
    <cellStyle name="计算 2 2 9" xfId="32541" xr:uid="{00000000-0005-0000-0000-00001D7F0000}"/>
    <cellStyle name="计算 2 3" xfId="32542" xr:uid="{00000000-0005-0000-0000-00001E7F0000}"/>
    <cellStyle name="计算 2 3 2" xfId="32543" xr:uid="{00000000-0005-0000-0000-00001F7F0000}"/>
    <cellStyle name="计算 2 3 2 2" xfId="32544" xr:uid="{00000000-0005-0000-0000-0000207F0000}"/>
    <cellStyle name="计算 2 3 2 3" xfId="32545" xr:uid="{00000000-0005-0000-0000-0000217F0000}"/>
    <cellStyle name="计算 2 3 3" xfId="32546" xr:uid="{00000000-0005-0000-0000-0000227F0000}"/>
    <cellStyle name="计算 2 3 3 2" xfId="32547" xr:uid="{00000000-0005-0000-0000-0000237F0000}"/>
    <cellStyle name="计算 2 3 3 3" xfId="32548" xr:uid="{00000000-0005-0000-0000-0000247F0000}"/>
    <cellStyle name="计算 2 3 4" xfId="32549" xr:uid="{00000000-0005-0000-0000-0000257F0000}"/>
    <cellStyle name="计算 2 3 5" xfId="32550" xr:uid="{00000000-0005-0000-0000-0000267F0000}"/>
    <cellStyle name="计算 2 4" xfId="32551" xr:uid="{00000000-0005-0000-0000-0000277F0000}"/>
    <cellStyle name="计算 2 4 2" xfId="32552" xr:uid="{00000000-0005-0000-0000-0000287F0000}"/>
    <cellStyle name="计算 2 4 3" xfId="32553" xr:uid="{00000000-0005-0000-0000-0000297F0000}"/>
    <cellStyle name="计算 2 5" xfId="32554" xr:uid="{00000000-0005-0000-0000-00002A7F0000}"/>
    <cellStyle name="计算 2 5 2" xfId="32555" xr:uid="{00000000-0005-0000-0000-00002B7F0000}"/>
    <cellStyle name="计算 2 5 3" xfId="32556" xr:uid="{00000000-0005-0000-0000-00002C7F0000}"/>
    <cellStyle name="计算 2 6" xfId="32557" xr:uid="{00000000-0005-0000-0000-00002D7F0000}"/>
    <cellStyle name="计算 2 7" xfId="32558" xr:uid="{00000000-0005-0000-0000-00002E7F0000}"/>
    <cellStyle name="计算 2 8" xfId="32559" xr:uid="{00000000-0005-0000-0000-00002F7F0000}"/>
    <cellStyle name="计算 2 9" xfId="32560" xr:uid="{00000000-0005-0000-0000-0000307F0000}"/>
    <cellStyle name="计算 3" xfId="32561" xr:uid="{00000000-0005-0000-0000-0000317F0000}"/>
    <cellStyle name="计算 3 10" xfId="32562" xr:uid="{00000000-0005-0000-0000-0000327F0000}"/>
    <cellStyle name="计算 3 11" xfId="32563" xr:uid="{00000000-0005-0000-0000-0000337F0000}"/>
    <cellStyle name="计算 3 12" xfId="32564" xr:uid="{00000000-0005-0000-0000-0000347F0000}"/>
    <cellStyle name="计算 3 13" xfId="32565" xr:uid="{00000000-0005-0000-0000-0000357F0000}"/>
    <cellStyle name="计算 3 14" xfId="32566" xr:uid="{00000000-0005-0000-0000-0000367F0000}"/>
    <cellStyle name="计算 3 2" xfId="32567" xr:uid="{00000000-0005-0000-0000-0000377F0000}"/>
    <cellStyle name="计算 3 2 10" xfId="32568" xr:uid="{00000000-0005-0000-0000-0000387F0000}"/>
    <cellStyle name="计算 3 2 11" xfId="32569" xr:uid="{00000000-0005-0000-0000-0000397F0000}"/>
    <cellStyle name="计算 3 2 12" xfId="32570" xr:uid="{00000000-0005-0000-0000-00003A7F0000}"/>
    <cellStyle name="计算 3 2 13" xfId="32571" xr:uid="{00000000-0005-0000-0000-00003B7F0000}"/>
    <cellStyle name="计算 3 2 14" xfId="32572" xr:uid="{00000000-0005-0000-0000-00003C7F0000}"/>
    <cellStyle name="计算 3 2 15" xfId="32573" xr:uid="{00000000-0005-0000-0000-00003D7F0000}"/>
    <cellStyle name="计算 3 2 16" xfId="32574" xr:uid="{00000000-0005-0000-0000-00003E7F0000}"/>
    <cellStyle name="计算 3 2 17" xfId="32575" xr:uid="{00000000-0005-0000-0000-00003F7F0000}"/>
    <cellStyle name="计算 3 2 18" xfId="32576" xr:uid="{00000000-0005-0000-0000-0000407F0000}"/>
    <cellStyle name="计算 3 2 19" xfId="32577" xr:uid="{00000000-0005-0000-0000-0000417F0000}"/>
    <cellStyle name="计算 3 2 2" xfId="32578" xr:uid="{00000000-0005-0000-0000-0000427F0000}"/>
    <cellStyle name="计算 3 2 2 2" xfId="32579" xr:uid="{00000000-0005-0000-0000-0000437F0000}"/>
    <cellStyle name="计算 3 2 2 2 2" xfId="32580" xr:uid="{00000000-0005-0000-0000-0000447F0000}"/>
    <cellStyle name="计算 3 2 2 2 3" xfId="32581" xr:uid="{00000000-0005-0000-0000-0000457F0000}"/>
    <cellStyle name="计算 3 2 2 3" xfId="32582" xr:uid="{00000000-0005-0000-0000-0000467F0000}"/>
    <cellStyle name="计算 3 2 2 3 2" xfId="32583" xr:uid="{00000000-0005-0000-0000-0000477F0000}"/>
    <cellStyle name="计算 3 2 2 3 3" xfId="32584" xr:uid="{00000000-0005-0000-0000-0000487F0000}"/>
    <cellStyle name="计算 3 2 2 4" xfId="32585" xr:uid="{00000000-0005-0000-0000-0000497F0000}"/>
    <cellStyle name="计算 3 2 2 5" xfId="32586" xr:uid="{00000000-0005-0000-0000-00004A7F0000}"/>
    <cellStyle name="计算 3 2 20" xfId="32587" xr:uid="{00000000-0005-0000-0000-00004B7F0000}"/>
    <cellStyle name="计算 3 2 21" xfId="32588" xr:uid="{00000000-0005-0000-0000-00004C7F0000}"/>
    <cellStyle name="计算 3 2 22" xfId="32589" xr:uid="{00000000-0005-0000-0000-00004D7F0000}"/>
    <cellStyle name="计算 3 2 23" xfId="32590" xr:uid="{00000000-0005-0000-0000-00004E7F0000}"/>
    <cellStyle name="计算 3 2 24" xfId="32591" xr:uid="{00000000-0005-0000-0000-00004F7F0000}"/>
    <cellStyle name="计算 3 2 25" xfId="32592" xr:uid="{00000000-0005-0000-0000-0000507F0000}"/>
    <cellStyle name="计算 3 2 26" xfId="32593" xr:uid="{00000000-0005-0000-0000-0000517F0000}"/>
    <cellStyle name="计算 3 2 27" xfId="32594" xr:uid="{00000000-0005-0000-0000-0000527F0000}"/>
    <cellStyle name="计算 3 2 28" xfId="32595" xr:uid="{00000000-0005-0000-0000-0000537F0000}"/>
    <cellStyle name="计算 3 2 29" xfId="32596" xr:uid="{00000000-0005-0000-0000-0000547F0000}"/>
    <cellStyle name="计算 3 2 3" xfId="32597" xr:uid="{00000000-0005-0000-0000-0000557F0000}"/>
    <cellStyle name="计算 3 2 3 2" xfId="32598" xr:uid="{00000000-0005-0000-0000-0000567F0000}"/>
    <cellStyle name="计算 3 2 3 2 2" xfId="32599" xr:uid="{00000000-0005-0000-0000-0000577F0000}"/>
    <cellStyle name="计算 3 2 3 2 3" xfId="32600" xr:uid="{00000000-0005-0000-0000-0000587F0000}"/>
    <cellStyle name="计算 3 2 3 3" xfId="32601" xr:uid="{00000000-0005-0000-0000-0000597F0000}"/>
    <cellStyle name="计算 3 2 3 3 2" xfId="32602" xr:uid="{00000000-0005-0000-0000-00005A7F0000}"/>
    <cellStyle name="计算 3 2 3 3 3" xfId="32603" xr:uid="{00000000-0005-0000-0000-00005B7F0000}"/>
    <cellStyle name="计算 3 2 3 4" xfId="32604" xr:uid="{00000000-0005-0000-0000-00005C7F0000}"/>
    <cellStyle name="计算 3 2 3 5" xfId="32605" xr:uid="{00000000-0005-0000-0000-00005D7F0000}"/>
    <cellStyle name="计算 3 2 30" xfId="32606" xr:uid="{00000000-0005-0000-0000-00005E7F0000}"/>
    <cellStyle name="计算 3 2 31" xfId="32607" xr:uid="{00000000-0005-0000-0000-00005F7F0000}"/>
    <cellStyle name="计算 3 2 32" xfId="32608" xr:uid="{00000000-0005-0000-0000-0000607F0000}"/>
    <cellStyle name="计算 3 2 33" xfId="32609" xr:uid="{00000000-0005-0000-0000-0000617F0000}"/>
    <cellStyle name="计算 3 2 34" xfId="32610" xr:uid="{00000000-0005-0000-0000-0000627F0000}"/>
    <cellStyle name="计算 3 2 35" xfId="32611" xr:uid="{00000000-0005-0000-0000-0000637F0000}"/>
    <cellStyle name="计算 3 2 4" xfId="32612" xr:uid="{00000000-0005-0000-0000-0000647F0000}"/>
    <cellStyle name="计算 3 2 4 2" xfId="32613" xr:uid="{00000000-0005-0000-0000-0000657F0000}"/>
    <cellStyle name="计算 3 2 4 3" xfId="32614" xr:uid="{00000000-0005-0000-0000-0000667F0000}"/>
    <cellStyle name="计算 3 2 5" xfId="32615" xr:uid="{00000000-0005-0000-0000-0000677F0000}"/>
    <cellStyle name="计算 3 2 5 2" xfId="32616" xr:uid="{00000000-0005-0000-0000-0000687F0000}"/>
    <cellStyle name="计算 3 2 5 3" xfId="32617" xr:uid="{00000000-0005-0000-0000-0000697F0000}"/>
    <cellStyle name="计算 3 2 6" xfId="32618" xr:uid="{00000000-0005-0000-0000-00006A7F0000}"/>
    <cellStyle name="计算 3 2 7" xfId="32619" xr:uid="{00000000-0005-0000-0000-00006B7F0000}"/>
    <cellStyle name="计算 3 2 8" xfId="32620" xr:uid="{00000000-0005-0000-0000-00006C7F0000}"/>
    <cellStyle name="计算 3 2 9" xfId="32621" xr:uid="{00000000-0005-0000-0000-00006D7F0000}"/>
    <cellStyle name="计算 3 3" xfId="32622" xr:uid="{00000000-0005-0000-0000-00006E7F0000}"/>
    <cellStyle name="计算 3 3 2" xfId="32623" xr:uid="{00000000-0005-0000-0000-00006F7F0000}"/>
    <cellStyle name="计算 3 3 2 2" xfId="32624" xr:uid="{00000000-0005-0000-0000-0000707F0000}"/>
    <cellStyle name="计算 3 3 2 3" xfId="32625" xr:uid="{00000000-0005-0000-0000-0000717F0000}"/>
    <cellStyle name="计算 3 3 3" xfId="32626" xr:uid="{00000000-0005-0000-0000-0000727F0000}"/>
    <cellStyle name="计算 3 3 3 2" xfId="32627" xr:uid="{00000000-0005-0000-0000-0000737F0000}"/>
    <cellStyle name="计算 3 3 3 3" xfId="32628" xr:uid="{00000000-0005-0000-0000-0000747F0000}"/>
    <cellStyle name="计算 3 3 4" xfId="32629" xr:uid="{00000000-0005-0000-0000-0000757F0000}"/>
    <cellStyle name="计算 3 3 5" xfId="32630" xr:uid="{00000000-0005-0000-0000-0000767F0000}"/>
    <cellStyle name="计算 3 4" xfId="32631" xr:uid="{00000000-0005-0000-0000-0000777F0000}"/>
    <cellStyle name="计算 3 4 2" xfId="32632" xr:uid="{00000000-0005-0000-0000-0000787F0000}"/>
    <cellStyle name="计算 3 4 3" xfId="32633" xr:uid="{00000000-0005-0000-0000-0000797F0000}"/>
    <cellStyle name="计算 3 5" xfId="32634" xr:uid="{00000000-0005-0000-0000-00007A7F0000}"/>
    <cellStyle name="计算 3 5 2" xfId="32635" xr:uid="{00000000-0005-0000-0000-00007B7F0000}"/>
    <cellStyle name="计算 3 5 3" xfId="32636" xr:uid="{00000000-0005-0000-0000-00007C7F0000}"/>
    <cellStyle name="计算 3 6" xfId="32637" xr:uid="{00000000-0005-0000-0000-00007D7F0000}"/>
    <cellStyle name="计算 3 7" xfId="32638" xr:uid="{00000000-0005-0000-0000-00007E7F0000}"/>
    <cellStyle name="计算 3 8" xfId="32639" xr:uid="{00000000-0005-0000-0000-00007F7F0000}"/>
    <cellStyle name="计算 3 9" xfId="32640" xr:uid="{00000000-0005-0000-0000-0000807F0000}"/>
    <cellStyle name="计算 4" xfId="32641" xr:uid="{00000000-0005-0000-0000-0000817F0000}"/>
    <cellStyle name="计算 4 10" xfId="32642" xr:uid="{00000000-0005-0000-0000-0000827F0000}"/>
    <cellStyle name="计算 4 11" xfId="32643" xr:uid="{00000000-0005-0000-0000-0000837F0000}"/>
    <cellStyle name="计算 4 12" xfId="32644" xr:uid="{00000000-0005-0000-0000-0000847F0000}"/>
    <cellStyle name="计算 4 13" xfId="32645" xr:uid="{00000000-0005-0000-0000-0000857F0000}"/>
    <cellStyle name="计算 4 14" xfId="32646" xr:uid="{00000000-0005-0000-0000-0000867F0000}"/>
    <cellStyle name="计算 4 2" xfId="32647" xr:uid="{00000000-0005-0000-0000-0000877F0000}"/>
    <cellStyle name="计算 4 2 10" xfId="32648" xr:uid="{00000000-0005-0000-0000-0000887F0000}"/>
    <cellStyle name="计算 4 2 11" xfId="32649" xr:uid="{00000000-0005-0000-0000-0000897F0000}"/>
    <cellStyle name="计算 4 2 12" xfId="32650" xr:uid="{00000000-0005-0000-0000-00008A7F0000}"/>
    <cellStyle name="计算 4 2 13" xfId="32651" xr:uid="{00000000-0005-0000-0000-00008B7F0000}"/>
    <cellStyle name="计算 4 2 14" xfId="32652" xr:uid="{00000000-0005-0000-0000-00008C7F0000}"/>
    <cellStyle name="计算 4 2 15" xfId="32653" xr:uid="{00000000-0005-0000-0000-00008D7F0000}"/>
    <cellStyle name="计算 4 2 16" xfId="32654" xr:uid="{00000000-0005-0000-0000-00008E7F0000}"/>
    <cellStyle name="计算 4 2 17" xfId="32655" xr:uid="{00000000-0005-0000-0000-00008F7F0000}"/>
    <cellStyle name="计算 4 2 18" xfId="32656" xr:uid="{00000000-0005-0000-0000-0000907F0000}"/>
    <cellStyle name="计算 4 2 19" xfId="32657" xr:uid="{00000000-0005-0000-0000-0000917F0000}"/>
    <cellStyle name="计算 4 2 2" xfId="32658" xr:uid="{00000000-0005-0000-0000-0000927F0000}"/>
    <cellStyle name="计算 4 2 2 2" xfId="32659" xr:uid="{00000000-0005-0000-0000-0000937F0000}"/>
    <cellStyle name="计算 4 2 2 2 2" xfId="32660" xr:uid="{00000000-0005-0000-0000-0000947F0000}"/>
    <cellStyle name="计算 4 2 2 2 3" xfId="32661" xr:uid="{00000000-0005-0000-0000-0000957F0000}"/>
    <cellStyle name="计算 4 2 2 3" xfId="32662" xr:uid="{00000000-0005-0000-0000-0000967F0000}"/>
    <cellStyle name="计算 4 2 2 3 2" xfId="32663" xr:uid="{00000000-0005-0000-0000-0000977F0000}"/>
    <cellStyle name="计算 4 2 2 3 3" xfId="32664" xr:uid="{00000000-0005-0000-0000-0000987F0000}"/>
    <cellStyle name="计算 4 2 2 4" xfId="32665" xr:uid="{00000000-0005-0000-0000-0000997F0000}"/>
    <cellStyle name="计算 4 2 2 5" xfId="32666" xr:uid="{00000000-0005-0000-0000-00009A7F0000}"/>
    <cellStyle name="计算 4 2 20" xfId="32667" xr:uid="{00000000-0005-0000-0000-00009B7F0000}"/>
    <cellStyle name="计算 4 2 21" xfId="32668" xr:uid="{00000000-0005-0000-0000-00009C7F0000}"/>
    <cellStyle name="计算 4 2 22" xfId="32669" xr:uid="{00000000-0005-0000-0000-00009D7F0000}"/>
    <cellStyle name="计算 4 2 23" xfId="32670" xr:uid="{00000000-0005-0000-0000-00009E7F0000}"/>
    <cellStyle name="计算 4 2 24" xfId="32671" xr:uid="{00000000-0005-0000-0000-00009F7F0000}"/>
    <cellStyle name="计算 4 2 25" xfId="32672" xr:uid="{00000000-0005-0000-0000-0000A07F0000}"/>
    <cellStyle name="计算 4 2 26" xfId="32673" xr:uid="{00000000-0005-0000-0000-0000A17F0000}"/>
    <cellStyle name="计算 4 2 27" xfId="32674" xr:uid="{00000000-0005-0000-0000-0000A27F0000}"/>
    <cellStyle name="计算 4 2 28" xfId="32675" xr:uid="{00000000-0005-0000-0000-0000A37F0000}"/>
    <cellStyle name="计算 4 2 29" xfId="32676" xr:uid="{00000000-0005-0000-0000-0000A47F0000}"/>
    <cellStyle name="计算 4 2 3" xfId="32677" xr:uid="{00000000-0005-0000-0000-0000A57F0000}"/>
    <cellStyle name="计算 4 2 3 2" xfId="32678" xr:uid="{00000000-0005-0000-0000-0000A67F0000}"/>
    <cellStyle name="计算 4 2 3 2 2" xfId="32679" xr:uid="{00000000-0005-0000-0000-0000A77F0000}"/>
    <cellStyle name="计算 4 2 3 2 3" xfId="32680" xr:uid="{00000000-0005-0000-0000-0000A87F0000}"/>
    <cellStyle name="计算 4 2 3 3" xfId="32681" xr:uid="{00000000-0005-0000-0000-0000A97F0000}"/>
    <cellStyle name="计算 4 2 3 3 2" xfId="32682" xr:uid="{00000000-0005-0000-0000-0000AA7F0000}"/>
    <cellStyle name="计算 4 2 3 3 3" xfId="32683" xr:uid="{00000000-0005-0000-0000-0000AB7F0000}"/>
    <cellStyle name="计算 4 2 3 4" xfId="32684" xr:uid="{00000000-0005-0000-0000-0000AC7F0000}"/>
    <cellStyle name="计算 4 2 3 5" xfId="32685" xr:uid="{00000000-0005-0000-0000-0000AD7F0000}"/>
    <cellStyle name="计算 4 2 30" xfId="32686" xr:uid="{00000000-0005-0000-0000-0000AE7F0000}"/>
    <cellStyle name="计算 4 2 31" xfId="32687" xr:uid="{00000000-0005-0000-0000-0000AF7F0000}"/>
    <cellStyle name="计算 4 2 32" xfId="32688" xr:uid="{00000000-0005-0000-0000-0000B07F0000}"/>
    <cellStyle name="计算 4 2 33" xfId="32689" xr:uid="{00000000-0005-0000-0000-0000B17F0000}"/>
    <cellStyle name="计算 4 2 34" xfId="32690" xr:uid="{00000000-0005-0000-0000-0000B27F0000}"/>
    <cellStyle name="计算 4 2 35" xfId="32691" xr:uid="{00000000-0005-0000-0000-0000B37F0000}"/>
    <cellStyle name="计算 4 2 4" xfId="32692" xr:uid="{00000000-0005-0000-0000-0000B47F0000}"/>
    <cellStyle name="计算 4 2 4 2" xfId="32693" xr:uid="{00000000-0005-0000-0000-0000B57F0000}"/>
    <cellStyle name="计算 4 2 4 3" xfId="32694" xr:uid="{00000000-0005-0000-0000-0000B67F0000}"/>
    <cellStyle name="计算 4 2 5" xfId="32695" xr:uid="{00000000-0005-0000-0000-0000B77F0000}"/>
    <cellStyle name="计算 4 2 5 2" xfId="32696" xr:uid="{00000000-0005-0000-0000-0000B87F0000}"/>
    <cellStyle name="计算 4 2 5 3" xfId="32697" xr:uid="{00000000-0005-0000-0000-0000B97F0000}"/>
    <cellStyle name="计算 4 2 6" xfId="32698" xr:uid="{00000000-0005-0000-0000-0000BA7F0000}"/>
    <cellStyle name="计算 4 2 7" xfId="32699" xr:uid="{00000000-0005-0000-0000-0000BB7F0000}"/>
    <cellStyle name="计算 4 2 8" xfId="32700" xr:uid="{00000000-0005-0000-0000-0000BC7F0000}"/>
    <cellStyle name="计算 4 2 9" xfId="32701" xr:uid="{00000000-0005-0000-0000-0000BD7F0000}"/>
    <cellStyle name="计算 4 3" xfId="32702" xr:uid="{00000000-0005-0000-0000-0000BE7F0000}"/>
    <cellStyle name="计算 4 3 2" xfId="32703" xr:uid="{00000000-0005-0000-0000-0000BF7F0000}"/>
    <cellStyle name="计算 4 3 2 2" xfId="32704" xr:uid="{00000000-0005-0000-0000-0000C07F0000}"/>
    <cellStyle name="计算 4 3 2 3" xfId="32705" xr:uid="{00000000-0005-0000-0000-0000C17F0000}"/>
    <cellStyle name="计算 4 3 3" xfId="32706" xr:uid="{00000000-0005-0000-0000-0000C27F0000}"/>
    <cellStyle name="计算 4 3 3 2" xfId="32707" xr:uid="{00000000-0005-0000-0000-0000C37F0000}"/>
    <cellStyle name="计算 4 3 3 3" xfId="32708" xr:uid="{00000000-0005-0000-0000-0000C47F0000}"/>
    <cellStyle name="计算 4 3 4" xfId="32709" xr:uid="{00000000-0005-0000-0000-0000C57F0000}"/>
    <cellStyle name="计算 4 3 5" xfId="32710" xr:uid="{00000000-0005-0000-0000-0000C67F0000}"/>
    <cellStyle name="计算 4 4" xfId="32711" xr:uid="{00000000-0005-0000-0000-0000C77F0000}"/>
    <cellStyle name="计算 4 4 2" xfId="32712" xr:uid="{00000000-0005-0000-0000-0000C87F0000}"/>
    <cellStyle name="计算 4 4 3" xfId="32713" xr:uid="{00000000-0005-0000-0000-0000C97F0000}"/>
    <cellStyle name="计算 4 5" xfId="32714" xr:uid="{00000000-0005-0000-0000-0000CA7F0000}"/>
    <cellStyle name="计算 4 5 2" xfId="32715" xr:uid="{00000000-0005-0000-0000-0000CB7F0000}"/>
    <cellStyle name="计算 4 5 3" xfId="32716" xr:uid="{00000000-0005-0000-0000-0000CC7F0000}"/>
    <cellStyle name="计算 4 6" xfId="32717" xr:uid="{00000000-0005-0000-0000-0000CD7F0000}"/>
    <cellStyle name="计算 4 7" xfId="32718" xr:uid="{00000000-0005-0000-0000-0000CE7F0000}"/>
    <cellStyle name="计算 4 8" xfId="32719" xr:uid="{00000000-0005-0000-0000-0000CF7F0000}"/>
    <cellStyle name="计算 4 9" xfId="32720" xr:uid="{00000000-0005-0000-0000-0000D07F0000}"/>
    <cellStyle name="计算 5" xfId="32721" xr:uid="{00000000-0005-0000-0000-0000D17F0000}"/>
    <cellStyle name="计算 5 10" xfId="32722" xr:uid="{00000000-0005-0000-0000-0000D27F0000}"/>
    <cellStyle name="计算 5 11" xfId="32723" xr:uid="{00000000-0005-0000-0000-0000D37F0000}"/>
    <cellStyle name="计算 5 12" xfId="32724" xr:uid="{00000000-0005-0000-0000-0000D47F0000}"/>
    <cellStyle name="计算 5 13" xfId="32725" xr:uid="{00000000-0005-0000-0000-0000D57F0000}"/>
    <cellStyle name="计算 5 14" xfId="32726" xr:uid="{00000000-0005-0000-0000-0000D67F0000}"/>
    <cellStyle name="计算 5 2" xfId="32727" xr:uid="{00000000-0005-0000-0000-0000D77F0000}"/>
    <cellStyle name="计算 5 2 10" xfId="32728" xr:uid="{00000000-0005-0000-0000-0000D87F0000}"/>
    <cellStyle name="计算 5 2 11" xfId="32729" xr:uid="{00000000-0005-0000-0000-0000D97F0000}"/>
    <cellStyle name="计算 5 2 12" xfId="32730" xr:uid="{00000000-0005-0000-0000-0000DA7F0000}"/>
    <cellStyle name="计算 5 2 13" xfId="32731" xr:uid="{00000000-0005-0000-0000-0000DB7F0000}"/>
    <cellStyle name="计算 5 2 14" xfId="32732" xr:uid="{00000000-0005-0000-0000-0000DC7F0000}"/>
    <cellStyle name="计算 5 2 15" xfId="32733" xr:uid="{00000000-0005-0000-0000-0000DD7F0000}"/>
    <cellStyle name="计算 5 2 16" xfId="32734" xr:uid="{00000000-0005-0000-0000-0000DE7F0000}"/>
    <cellStyle name="计算 5 2 17" xfId="32735" xr:uid="{00000000-0005-0000-0000-0000DF7F0000}"/>
    <cellStyle name="计算 5 2 18" xfId="32736" xr:uid="{00000000-0005-0000-0000-0000E07F0000}"/>
    <cellStyle name="计算 5 2 19" xfId="32737" xr:uid="{00000000-0005-0000-0000-0000E17F0000}"/>
    <cellStyle name="计算 5 2 2" xfId="32738" xr:uid="{00000000-0005-0000-0000-0000E27F0000}"/>
    <cellStyle name="计算 5 2 2 2" xfId="32739" xr:uid="{00000000-0005-0000-0000-0000E37F0000}"/>
    <cellStyle name="计算 5 2 2 2 2" xfId="32740" xr:uid="{00000000-0005-0000-0000-0000E47F0000}"/>
    <cellStyle name="计算 5 2 2 2 3" xfId="32741" xr:uid="{00000000-0005-0000-0000-0000E57F0000}"/>
    <cellStyle name="计算 5 2 2 3" xfId="32742" xr:uid="{00000000-0005-0000-0000-0000E67F0000}"/>
    <cellStyle name="计算 5 2 2 3 2" xfId="32743" xr:uid="{00000000-0005-0000-0000-0000E77F0000}"/>
    <cellStyle name="计算 5 2 2 3 3" xfId="32744" xr:uid="{00000000-0005-0000-0000-0000E87F0000}"/>
    <cellStyle name="计算 5 2 2 4" xfId="32745" xr:uid="{00000000-0005-0000-0000-0000E97F0000}"/>
    <cellStyle name="计算 5 2 2 5" xfId="32746" xr:uid="{00000000-0005-0000-0000-0000EA7F0000}"/>
    <cellStyle name="计算 5 2 20" xfId="32747" xr:uid="{00000000-0005-0000-0000-0000EB7F0000}"/>
    <cellStyle name="计算 5 2 21" xfId="32748" xr:uid="{00000000-0005-0000-0000-0000EC7F0000}"/>
    <cellStyle name="计算 5 2 22" xfId="32749" xr:uid="{00000000-0005-0000-0000-0000ED7F0000}"/>
    <cellStyle name="计算 5 2 23" xfId="32750" xr:uid="{00000000-0005-0000-0000-0000EE7F0000}"/>
    <cellStyle name="计算 5 2 24" xfId="32751" xr:uid="{00000000-0005-0000-0000-0000EF7F0000}"/>
    <cellStyle name="计算 5 2 25" xfId="32752" xr:uid="{00000000-0005-0000-0000-0000F07F0000}"/>
    <cellStyle name="计算 5 2 26" xfId="32753" xr:uid="{00000000-0005-0000-0000-0000F17F0000}"/>
    <cellStyle name="计算 5 2 27" xfId="32754" xr:uid="{00000000-0005-0000-0000-0000F27F0000}"/>
    <cellStyle name="计算 5 2 28" xfId="32755" xr:uid="{00000000-0005-0000-0000-0000F37F0000}"/>
    <cellStyle name="计算 5 2 29" xfId="32756" xr:uid="{00000000-0005-0000-0000-0000F47F0000}"/>
    <cellStyle name="计算 5 2 3" xfId="32757" xr:uid="{00000000-0005-0000-0000-0000F57F0000}"/>
    <cellStyle name="计算 5 2 3 2" xfId="32758" xr:uid="{00000000-0005-0000-0000-0000F67F0000}"/>
    <cellStyle name="计算 5 2 3 2 2" xfId="32759" xr:uid="{00000000-0005-0000-0000-0000F77F0000}"/>
    <cellStyle name="计算 5 2 3 2 3" xfId="32760" xr:uid="{00000000-0005-0000-0000-0000F87F0000}"/>
    <cellStyle name="计算 5 2 3 3" xfId="32761" xr:uid="{00000000-0005-0000-0000-0000F97F0000}"/>
    <cellStyle name="计算 5 2 3 3 2" xfId="32762" xr:uid="{00000000-0005-0000-0000-0000FA7F0000}"/>
    <cellStyle name="计算 5 2 3 3 3" xfId="32763" xr:uid="{00000000-0005-0000-0000-0000FB7F0000}"/>
    <cellStyle name="计算 5 2 3 4" xfId="32764" xr:uid="{00000000-0005-0000-0000-0000FC7F0000}"/>
    <cellStyle name="计算 5 2 3 5" xfId="32765" xr:uid="{00000000-0005-0000-0000-0000FD7F0000}"/>
    <cellStyle name="计算 5 2 30" xfId="32766" xr:uid="{00000000-0005-0000-0000-0000FE7F0000}"/>
    <cellStyle name="计算 5 2 31" xfId="32767" xr:uid="{00000000-0005-0000-0000-0000FF7F0000}"/>
    <cellStyle name="计算 5 2 32" xfId="32768" xr:uid="{00000000-0005-0000-0000-000000800000}"/>
    <cellStyle name="计算 5 2 33" xfId="32769" xr:uid="{00000000-0005-0000-0000-000001800000}"/>
    <cellStyle name="计算 5 2 34" xfId="32770" xr:uid="{00000000-0005-0000-0000-000002800000}"/>
    <cellStyle name="计算 5 2 35" xfId="32771" xr:uid="{00000000-0005-0000-0000-000003800000}"/>
    <cellStyle name="计算 5 2 4" xfId="32772" xr:uid="{00000000-0005-0000-0000-000004800000}"/>
    <cellStyle name="计算 5 2 4 2" xfId="32773" xr:uid="{00000000-0005-0000-0000-000005800000}"/>
    <cellStyle name="计算 5 2 4 3" xfId="32774" xr:uid="{00000000-0005-0000-0000-000006800000}"/>
    <cellStyle name="计算 5 2 5" xfId="32775" xr:uid="{00000000-0005-0000-0000-000007800000}"/>
    <cellStyle name="计算 5 2 5 2" xfId="32776" xr:uid="{00000000-0005-0000-0000-000008800000}"/>
    <cellStyle name="计算 5 2 5 3" xfId="32777" xr:uid="{00000000-0005-0000-0000-000009800000}"/>
    <cellStyle name="计算 5 2 6" xfId="32778" xr:uid="{00000000-0005-0000-0000-00000A800000}"/>
    <cellStyle name="计算 5 2 7" xfId="32779" xr:uid="{00000000-0005-0000-0000-00000B800000}"/>
    <cellStyle name="计算 5 2 8" xfId="32780" xr:uid="{00000000-0005-0000-0000-00000C800000}"/>
    <cellStyle name="计算 5 2 9" xfId="32781" xr:uid="{00000000-0005-0000-0000-00000D800000}"/>
    <cellStyle name="计算 5 3" xfId="32782" xr:uid="{00000000-0005-0000-0000-00000E800000}"/>
    <cellStyle name="计算 5 3 2" xfId="32783" xr:uid="{00000000-0005-0000-0000-00000F800000}"/>
    <cellStyle name="计算 5 3 2 2" xfId="32784" xr:uid="{00000000-0005-0000-0000-000010800000}"/>
    <cellStyle name="计算 5 3 2 3" xfId="32785" xr:uid="{00000000-0005-0000-0000-000011800000}"/>
    <cellStyle name="计算 5 3 3" xfId="32786" xr:uid="{00000000-0005-0000-0000-000012800000}"/>
    <cellStyle name="计算 5 3 3 2" xfId="32787" xr:uid="{00000000-0005-0000-0000-000013800000}"/>
    <cellStyle name="计算 5 3 3 3" xfId="32788" xr:uid="{00000000-0005-0000-0000-000014800000}"/>
    <cellStyle name="计算 5 3 4" xfId="32789" xr:uid="{00000000-0005-0000-0000-000015800000}"/>
    <cellStyle name="计算 5 3 5" xfId="32790" xr:uid="{00000000-0005-0000-0000-000016800000}"/>
    <cellStyle name="计算 5 4" xfId="32791" xr:uid="{00000000-0005-0000-0000-000017800000}"/>
    <cellStyle name="计算 5 4 2" xfId="32792" xr:uid="{00000000-0005-0000-0000-000018800000}"/>
    <cellStyle name="计算 5 4 3" xfId="32793" xr:uid="{00000000-0005-0000-0000-000019800000}"/>
    <cellStyle name="计算 5 5" xfId="32794" xr:uid="{00000000-0005-0000-0000-00001A800000}"/>
    <cellStyle name="计算 5 5 2" xfId="32795" xr:uid="{00000000-0005-0000-0000-00001B800000}"/>
    <cellStyle name="计算 5 5 3" xfId="32796" xr:uid="{00000000-0005-0000-0000-00001C800000}"/>
    <cellStyle name="计算 5 6" xfId="32797" xr:uid="{00000000-0005-0000-0000-00001D800000}"/>
    <cellStyle name="计算 5 7" xfId="32798" xr:uid="{00000000-0005-0000-0000-00001E800000}"/>
    <cellStyle name="计算 5 8" xfId="32799" xr:uid="{00000000-0005-0000-0000-00001F800000}"/>
    <cellStyle name="计算 5 9" xfId="32800" xr:uid="{00000000-0005-0000-0000-000020800000}"/>
    <cellStyle name="计算 6" xfId="32801" xr:uid="{00000000-0005-0000-0000-000021800000}"/>
    <cellStyle name="计算 6 10" xfId="32802" xr:uid="{00000000-0005-0000-0000-000022800000}"/>
    <cellStyle name="计算 6 11" xfId="32803" xr:uid="{00000000-0005-0000-0000-000023800000}"/>
    <cellStyle name="计算 6 12" xfId="32804" xr:uid="{00000000-0005-0000-0000-000024800000}"/>
    <cellStyle name="计算 6 13" xfId="32805" xr:uid="{00000000-0005-0000-0000-000025800000}"/>
    <cellStyle name="计算 6 14" xfId="32806" xr:uid="{00000000-0005-0000-0000-000026800000}"/>
    <cellStyle name="计算 6 2" xfId="32807" xr:uid="{00000000-0005-0000-0000-000027800000}"/>
    <cellStyle name="计算 6 2 10" xfId="32808" xr:uid="{00000000-0005-0000-0000-000028800000}"/>
    <cellStyle name="计算 6 2 11" xfId="32809" xr:uid="{00000000-0005-0000-0000-000029800000}"/>
    <cellStyle name="计算 6 2 12" xfId="32810" xr:uid="{00000000-0005-0000-0000-00002A800000}"/>
    <cellStyle name="计算 6 2 13" xfId="32811" xr:uid="{00000000-0005-0000-0000-00002B800000}"/>
    <cellStyle name="计算 6 2 14" xfId="32812" xr:uid="{00000000-0005-0000-0000-00002C800000}"/>
    <cellStyle name="计算 6 2 15" xfId="32813" xr:uid="{00000000-0005-0000-0000-00002D800000}"/>
    <cellStyle name="计算 6 2 16" xfId="32814" xr:uid="{00000000-0005-0000-0000-00002E800000}"/>
    <cellStyle name="计算 6 2 17" xfId="32815" xr:uid="{00000000-0005-0000-0000-00002F800000}"/>
    <cellStyle name="计算 6 2 18" xfId="32816" xr:uid="{00000000-0005-0000-0000-000030800000}"/>
    <cellStyle name="计算 6 2 19" xfId="32817" xr:uid="{00000000-0005-0000-0000-000031800000}"/>
    <cellStyle name="计算 6 2 2" xfId="32818" xr:uid="{00000000-0005-0000-0000-000032800000}"/>
    <cellStyle name="计算 6 2 2 2" xfId="32819" xr:uid="{00000000-0005-0000-0000-000033800000}"/>
    <cellStyle name="计算 6 2 2 2 2" xfId="32820" xr:uid="{00000000-0005-0000-0000-000034800000}"/>
    <cellStyle name="计算 6 2 2 2 3" xfId="32821" xr:uid="{00000000-0005-0000-0000-000035800000}"/>
    <cellStyle name="计算 6 2 2 3" xfId="32822" xr:uid="{00000000-0005-0000-0000-000036800000}"/>
    <cellStyle name="计算 6 2 2 3 2" xfId="32823" xr:uid="{00000000-0005-0000-0000-000037800000}"/>
    <cellStyle name="计算 6 2 2 3 3" xfId="32824" xr:uid="{00000000-0005-0000-0000-000038800000}"/>
    <cellStyle name="计算 6 2 2 4" xfId="32825" xr:uid="{00000000-0005-0000-0000-000039800000}"/>
    <cellStyle name="计算 6 2 2 5" xfId="32826" xr:uid="{00000000-0005-0000-0000-00003A800000}"/>
    <cellStyle name="计算 6 2 20" xfId="32827" xr:uid="{00000000-0005-0000-0000-00003B800000}"/>
    <cellStyle name="计算 6 2 21" xfId="32828" xr:uid="{00000000-0005-0000-0000-00003C800000}"/>
    <cellStyle name="计算 6 2 22" xfId="32829" xr:uid="{00000000-0005-0000-0000-00003D800000}"/>
    <cellStyle name="计算 6 2 23" xfId="32830" xr:uid="{00000000-0005-0000-0000-00003E800000}"/>
    <cellStyle name="计算 6 2 24" xfId="32831" xr:uid="{00000000-0005-0000-0000-00003F800000}"/>
    <cellStyle name="计算 6 2 25" xfId="32832" xr:uid="{00000000-0005-0000-0000-000040800000}"/>
    <cellStyle name="计算 6 2 26" xfId="32833" xr:uid="{00000000-0005-0000-0000-000041800000}"/>
    <cellStyle name="计算 6 2 27" xfId="32834" xr:uid="{00000000-0005-0000-0000-000042800000}"/>
    <cellStyle name="计算 6 2 28" xfId="32835" xr:uid="{00000000-0005-0000-0000-000043800000}"/>
    <cellStyle name="计算 6 2 29" xfId="32836" xr:uid="{00000000-0005-0000-0000-000044800000}"/>
    <cellStyle name="计算 6 2 3" xfId="32837" xr:uid="{00000000-0005-0000-0000-000045800000}"/>
    <cellStyle name="计算 6 2 3 2" xfId="32838" xr:uid="{00000000-0005-0000-0000-000046800000}"/>
    <cellStyle name="计算 6 2 3 2 2" xfId="32839" xr:uid="{00000000-0005-0000-0000-000047800000}"/>
    <cellStyle name="计算 6 2 3 2 3" xfId="32840" xr:uid="{00000000-0005-0000-0000-000048800000}"/>
    <cellStyle name="计算 6 2 3 3" xfId="32841" xr:uid="{00000000-0005-0000-0000-000049800000}"/>
    <cellStyle name="计算 6 2 3 3 2" xfId="32842" xr:uid="{00000000-0005-0000-0000-00004A800000}"/>
    <cellStyle name="计算 6 2 3 3 3" xfId="32843" xr:uid="{00000000-0005-0000-0000-00004B800000}"/>
    <cellStyle name="计算 6 2 3 4" xfId="32844" xr:uid="{00000000-0005-0000-0000-00004C800000}"/>
    <cellStyle name="计算 6 2 3 5" xfId="32845" xr:uid="{00000000-0005-0000-0000-00004D800000}"/>
    <cellStyle name="计算 6 2 30" xfId="32846" xr:uid="{00000000-0005-0000-0000-00004E800000}"/>
    <cellStyle name="计算 6 2 31" xfId="32847" xr:uid="{00000000-0005-0000-0000-00004F800000}"/>
    <cellStyle name="计算 6 2 32" xfId="32848" xr:uid="{00000000-0005-0000-0000-000050800000}"/>
    <cellStyle name="计算 6 2 33" xfId="32849" xr:uid="{00000000-0005-0000-0000-000051800000}"/>
    <cellStyle name="计算 6 2 34" xfId="32850" xr:uid="{00000000-0005-0000-0000-000052800000}"/>
    <cellStyle name="计算 6 2 35" xfId="32851" xr:uid="{00000000-0005-0000-0000-000053800000}"/>
    <cellStyle name="计算 6 2 4" xfId="32852" xr:uid="{00000000-0005-0000-0000-000054800000}"/>
    <cellStyle name="计算 6 2 4 2" xfId="32853" xr:uid="{00000000-0005-0000-0000-000055800000}"/>
    <cellStyle name="计算 6 2 4 3" xfId="32854" xr:uid="{00000000-0005-0000-0000-000056800000}"/>
    <cellStyle name="计算 6 2 5" xfId="32855" xr:uid="{00000000-0005-0000-0000-000057800000}"/>
    <cellStyle name="计算 6 2 5 2" xfId="32856" xr:uid="{00000000-0005-0000-0000-000058800000}"/>
    <cellStyle name="计算 6 2 5 3" xfId="32857" xr:uid="{00000000-0005-0000-0000-000059800000}"/>
    <cellStyle name="计算 6 2 6" xfId="32858" xr:uid="{00000000-0005-0000-0000-00005A800000}"/>
    <cellStyle name="计算 6 2 7" xfId="32859" xr:uid="{00000000-0005-0000-0000-00005B800000}"/>
    <cellStyle name="计算 6 2 8" xfId="32860" xr:uid="{00000000-0005-0000-0000-00005C800000}"/>
    <cellStyle name="计算 6 2 9" xfId="32861" xr:uid="{00000000-0005-0000-0000-00005D800000}"/>
    <cellStyle name="计算 6 3" xfId="32862" xr:uid="{00000000-0005-0000-0000-00005E800000}"/>
    <cellStyle name="计算 6 3 2" xfId="32863" xr:uid="{00000000-0005-0000-0000-00005F800000}"/>
    <cellStyle name="计算 6 3 2 2" xfId="32864" xr:uid="{00000000-0005-0000-0000-000060800000}"/>
    <cellStyle name="计算 6 3 2 3" xfId="32865" xr:uid="{00000000-0005-0000-0000-000061800000}"/>
    <cellStyle name="计算 6 3 3" xfId="32866" xr:uid="{00000000-0005-0000-0000-000062800000}"/>
    <cellStyle name="计算 6 3 3 2" xfId="32867" xr:uid="{00000000-0005-0000-0000-000063800000}"/>
    <cellStyle name="计算 6 3 3 3" xfId="32868" xr:uid="{00000000-0005-0000-0000-000064800000}"/>
    <cellStyle name="计算 6 3 4" xfId="32869" xr:uid="{00000000-0005-0000-0000-000065800000}"/>
    <cellStyle name="计算 6 3 5" xfId="32870" xr:uid="{00000000-0005-0000-0000-000066800000}"/>
    <cellStyle name="计算 6 4" xfId="32871" xr:uid="{00000000-0005-0000-0000-000067800000}"/>
    <cellStyle name="计算 6 4 2" xfId="32872" xr:uid="{00000000-0005-0000-0000-000068800000}"/>
    <cellStyle name="计算 6 4 3" xfId="32873" xr:uid="{00000000-0005-0000-0000-000069800000}"/>
    <cellStyle name="计算 6 5" xfId="32874" xr:uid="{00000000-0005-0000-0000-00006A800000}"/>
    <cellStyle name="计算 6 5 2" xfId="32875" xr:uid="{00000000-0005-0000-0000-00006B800000}"/>
    <cellStyle name="计算 6 5 3" xfId="32876" xr:uid="{00000000-0005-0000-0000-00006C800000}"/>
    <cellStyle name="计算 6 6" xfId="32877" xr:uid="{00000000-0005-0000-0000-00006D800000}"/>
    <cellStyle name="计算 6 7" xfId="32878" xr:uid="{00000000-0005-0000-0000-00006E800000}"/>
    <cellStyle name="计算 6 8" xfId="32879" xr:uid="{00000000-0005-0000-0000-00006F800000}"/>
    <cellStyle name="计算 6 9" xfId="32880" xr:uid="{00000000-0005-0000-0000-000070800000}"/>
    <cellStyle name="计算 7" xfId="32881" xr:uid="{00000000-0005-0000-0000-000071800000}"/>
    <cellStyle name="计算 7 10" xfId="32882" xr:uid="{00000000-0005-0000-0000-000072800000}"/>
    <cellStyle name="计算 7 11" xfId="32883" xr:uid="{00000000-0005-0000-0000-000073800000}"/>
    <cellStyle name="计算 7 12" xfId="32884" xr:uid="{00000000-0005-0000-0000-000074800000}"/>
    <cellStyle name="计算 7 13" xfId="32885" xr:uid="{00000000-0005-0000-0000-000075800000}"/>
    <cellStyle name="计算 7 14" xfId="32886" xr:uid="{00000000-0005-0000-0000-000076800000}"/>
    <cellStyle name="计算 7 15" xfId="32887" xr:uid="{00000000-0005-0000-0000-000077800000}"/>
    <cellStyle name="计算 7 16" xfId="32888" xr:uid="{00000000-0005-0000-0000-000078800000}"/>
    <cellStyle name="计算 7 17" xfId="32889" xr:uid="{00000000-0005-0000-0000-000079800000}"/>
    <cellStyle name="计算 7 18" xfId="32890" xr:uid="{00000000-0005-0000-0000-00007A800000}"/>
    <cellStyle name="计算 7 19" xfId="32891" xr:uid="{00000000-0005-0000-0000-00007B800000}"/>
    <cellStyle name="计算 7 2" xfId="32892" xr:uid="{00000000-0005-0000-0000-00007C800000}"/>
    <cellStyle name="计算 7 2 2" xfId="32893" xr:uid="{00000000-0005-0000-0000-00007D800000}"/>
    <cellStyle name="计算 7 2 2 2" xfId="32894" xr:uid="{00000000-0005-0000-0000-00007E800000}"/>
    <cellStyle name="计算 7 2 2 3" xfId="32895" xr:uid="{00000000-0005-0000-0000-00007F800000}"/>
    <cellStyle name="计算 7 2 3" xfId="32896" xr:uid="{00000000-0005-0000-0000-000080800000}"/>
    <cellStyle name="计算 7 2 3 2" xfId="32897" xr:uid="{00000000-0005-0000-0000-000081800000}"/>
    <cellStyle name="计算 7 2 3 3" xfId="32898" xr:uid="{00000000-0005-0000-0000-000082800000}"/>
    <cellStyle name="计算 7 2 4" xfId="32899" xr:uid="{00000000-0005-0000-0000-000083800000}"/>
    <cellStyle name="计算 7 2 5" xfId="32900" xr:uid="{00000000-0005-0000-0000-000084800000}"/>
    <cellStyle name="计算 7 20" xfId="32901" xr:uid="{00000000-0005-0000-0000-000085800000}"/>
    <cellStyle name="计算 7 21" xfId="32902" xr:uid="{00000000-0005-0000-0000-000086800000}"/>
    <cellStyle name="计算 7 22" xfId="32903" xr:uid="{00000000-0005-0000-0000-000087800000}"/>
    <cellStyle name="计算 7 23" xfId="32904" xr:uid="{00000000-0005-0000-0000-000088800000}"/>
    <cellStyle name="计算 7 24" xfId="32905" xr:uid="{00000000-0005-0000-0000-000089800000}"/>
    <cellStyle name="计算 7 25" xfId="32906" xr:uid="{00000000-0005-0000-0000-00008A800000}"/>
    <cellStyle name="计算 7 26" xfId="32907" xr:uid="{00000000-0005-0000-0000-00008B800000}"/>
    <cellStyle name="计算 7 27" xfId="32908" xr:uid="{00000000-0005-0000-0000-00008C800000}"/>
    <cellStyle name="计算 7 28" xfId="32909" xr:uid="{00000000-0005-0000-0000-00008D800000}"/>
    <cellStyle name="计算 7 29" xfId="32910" xr:uid="{00000000-0005-0000-0000-00008E800000}"/>
    <cellStyle name="计算 7 3" xfId="32911" xr:uid="{00000000-0005-0000-0000-00008F800000}"/>
    <cellStyle name="计算 7 3 2" xfId="32912" xr:uid="{00000000-0005-0000-0000-000090800000}"/>
    <cellStyle name="计算 7 3 2 2" xfId="32913" xr:uid="{00000000-0005-0000-0000-000091800000}"/>
    <cellStyle name="计算 7 3 2 3" xfId="32914" xr:uid="{00000000-0005-0000-0000-000092800000}"/>
    <cellStyle name="计算 7 3 3" xfId="32915" xr:uid="{00000000-0005-0000-0000-000093800000}"/>
    <cellStyle name="计算 7 3 3 2" xfId="32916" xr:uid="{00000000-0005-0000-0000-000094800000}"/>
    <cellStyle name="计算 7 3 3 3" xfId="32917" xr:uid="{00000000-0005-0000-0000-000095800000}"/>
    <cellStyle name="计算 7 3 4" xfId="32918" xr:uid="{00000000-0005-0000-0000-000096800000}"/>
    <cellStyle name="计算 7 3 5" xfId="32919" xr:uid="{00000000-0005-0000-0000-000097800000}"/>
    <cellStyle name="计算 7 30" xfId="32920" xr:uid="{00000000-0005-0000-0000-000098800000}"/>
    <cellStyle name="计算 7 31" xfId="32921" xr:uid="{00000000-0005-0000-0000-000099800000}"/>
    <cellStyle name="计算 7 32" xfId="32922" xr:uid="{00000000-0005-0000-0000-00009A800000}"/>
    <cellStyle name="计算 7 33" xfId="32923" xr:uid="{00000000-0005-0000-0000-00009B800000}"/>
    <cellStyle name="计算 7 34" xfId="32924" xr:uid="{00000000-0005-0000-0000-00009C800000}"/>
    <cellStyle name="计算 7 35" xfId="32925" xr:uid="{00000000-0005-0000-0000-00009D800000}"/>
    <cellStyle name="计算 7 4" xfId="32926" xr:uid="{00000000-0005-0000-0000-00009E800000}"/>
    <cellStyle name="计算 7 4 2" xfId="32927" xr:uid="{00000000-0005-0000-0000-00009F800000}"/>
    <cellStyle name="计算 7 4 3" xfId="32928" xr:uid="{00000000-0005-0000-0000-0000A0800000}"/>
    <cellStyle name="计算 7 5" xfId="32929" xr:uid="{00000000-0005-0000-0000-0000A1800000}"/>
    <cellStyle name="计算 7 5 2" xfId="32930" xr:uid="{00000000-0005-0000-0000-0000A2800000}"/>
    <cellStyle name="计算 7 5 3" xfId="32931" xr:uid="{00000000-0005-0000-0000-0000A3800000}"/>
    <cellStyle name="计算 7 6" xfId="32932" xr:uid="{00000000-0005-0000-0000-0000A4800000}"/>
    <cellStyle name="计算 7 7" xfId="32933" xr:uid="{00000000-0005-0000-0000-0000A5800000}"/>
    <cellStyle name="计算 7 8" xfId="32934" xr:uid="{00000000-0005-0000-0000-0000A6800000}"/>
    <cellStyle name="计算 7 9" xfId="32935" xr:uid="{00000000-0005-0000-0000-0000A7800000}"/>
    <cellStyle name="计算 8" xfId="32936" xr:uid="{00000000-0005-0000-0000-0000A8800000}"/>
    <cellStyle name="计算 8 2" xfId="32937" xr:uid="{00000000-0005-0000-0000-0000A9800000}"/>
    <cellStyle name="计算 8 2 2" xfId="32938" xr:uid="{00000000-0005-0000-0000-0000AA800000}"/>
    <cellStyle name="计算 8 2 3" xfId="32939" xr:uid="{00000000-0005-0000-0000-0000AB800000}"/>
    <cellStyle name="计算 8 3" xfId="32940" xr:uid="{00000000-0005-0000-0000-0000AC800000}"/>
    <cellStyle name="计算 8 3 2" xfId="32941" xr:uid="{00000000-0005-0000-0000-0000AD800000}"/>
    <cellStyle name="计算 8 3 3" xfId="32942" xr:uid="{00000000-0005-0000-0000-0000AE800000}"/>
    <cellStyle name="计算 8 4" xfId="32943" xr:uid="{00000000-0005-0000-0000-0000AF800000}"/>
    <cellStyle name="计算 8 5" xfId="32944" xr:uid="{00000000-0005-0000-0000-0000B0800000}"/>
    <cellStyle name="计算 9" xfId="32945" xr:uid="{00000000-0005-0000-0000-0000B1800000}"/>
    <cellStyle name="计算 9 2" xfId="32946" xr:uid="{00000000-0005-0000-0000-0000B2800000}"/>
    <cellStyle name="计算 9 3" xfId="32947" xr:uid="{00000000-0005-0000-0000-0000B3800000}"/>
    <cellStyle name="超级链接_~0055202" xfId="32948" xr:uid="{00000000-0005-0000-0000-0000B4800000}"/>
    <cellStyle name="超链接 2" xfId="32949" xr:uid="{00000000-0005-0000-0000-0000B5800000}"/>
    <cellStyle name="输入" xfId="32950" xr:uid="{00000000-0005-0000-0000-0000B6800000}"/>
    <cellStyle name="输入 10" xfId="32951" xr:uid="{00000000-0005-0000-0000-0000B7800000}"/>
    <cellStyle name="输入 10 2" xfId="32952" xr:uid="{00000000-0005-0000-0000-0000B8800000}"/>
    <cellStyle name="输入 10 3" xfId="32953" xr:uid="{00000000-0005-0000-0000-0000B9800000}"/>
    <cellStyle name="输入 11" xfId="32954" xr:uid="{00000000-0005-0000-0000-0000BA800000}"/>
    <cellStyle name="输入 12" xfId="32955" xr:uid="{00000000-0005-0000-0000-0000BB800000}"/>
    <cellStyle name="输入 13" xfId="32956" xr:uid="{00000000-0005-0000-0000-0000BC800000}"/>
    <cellStyle name="输入 14" xfId="32957" xr:uid="{00000000-0005-0000-0000-0000BD800000}"/>
    <cellStyle name="输入 15" xfId="32958" xr:uid="{00000000-0005-0000-0000-0000BE800000}"/>
    <cellStyle name="输入 16" xfId="32959" xr:uid="{00000000-0005-0000-0000-0000BF800000}"/>
    <cellStyle name="输入 17" xfId="32960" xr:uid="{00000000-0005-0000-0000-0000C0800000}"/>
    <cellStyle name="输入 18" xfId="32961" xr:uid="{00000000-0005-0000-0000-0000C1800000}"/>
    <cellStyle name="输入 19" xfId="32962" xr:uid="{00000000-0005-0000-0000-0000C2800000}"/>
    <cellStyle name="输入 2" xfId="32963" xr:uid="{00000000-0005-0000-0000-0000C3800000}"/>
    <cellStyle name="输入 2 10" xfId="32964" xr:uid="{00000000-0005-0000-0000-0000C4800000}"/>
    <cellStyle name="输入 2 11" xfId="32965" xr:uid="{00000000-0005-0000-0000-0000C5800000}"/>
    <cellStyle name="输入 2 12" xfId="32966" xr:uid="{00000000-0005-0000-0000-0000C6800000}"/>
    <cellStyle name="输入 2 13" xfId="32967" xr:uid="{00000000-0005-0000-0000-0000C7800000}"/>
    <cellStyle name="输入 2 14" xfId="32968" xr:uid="{00000000-0005-0000-0000-0000C8800000}"/>
    <cellStyle name="输入 2 2" xfId="32969" xr:uid="{00000000-0005-0000-0000-0000C9800000}"/>
    <cellStyle name="输入 2 2 10" xfId="32970" xr:uid="{00000000-0005-0000-0000-0000CA800000}"/>
    <cellStyle name="输入 2 2 11" xfId="32971" xr:uid="{00000000-0005-0000-0000-0000CB800000}"/>
    <cellStyle name="输入 2 2 12" xfId="32972" xr:uid="{00000000-0005-0000-0000-0000CC800000}"/>
    <cellStyle name="输入 2 2 13" xfId="32973" xr:uid="{00000000-0005-0000-0000-0000CD800000}"/>
    <cellStyle name="输入 2 2 14" xfId="32974" xr:uid="{00000000-0005-0000-0000-0000CE800000}"/>
    <cellStyle name="输入 2 2 15" xfId="32975" xr:uid="{00000000-0005-0000-0000-0000CF800000}"/>
    <cellStyle name="输入 2 2 16" xfId="32976" xr:uid="{00000000-0005-0000-0000-0000D0800000}"/>
    <cellStyle name="输入 2 2 17" xfId="32977" xr:uid="{00000000-0005-0000-0000-0000D1800000}"/>
    <cellStyle name="输入 2 2 18" xfId="32978" xr:uid="{00000000-0005-0000-0000-0000D2800000}"/>
    <cellStyle name="输入 2 2 19" xfId="32979" xr:uid="{00000000-0005-0000-0000-0000D3800000}"/>
    <cellStyle name="输入 2 2 2" xfId="32980" xr:uid="{00000000-0005-0000-0000-0000D4800000}"/>
    <cellStyle name="输入 2 2 2 2" xfId="32981" xr:uid="{00000000-0005-0000-0000-0000D5800000}"/>
    <cellStyle name="输入 2 2 2 2 2" xfId="32982" xr:uid="{00000000-0005-0000-0000-0000D6800000}"/>
    <cellStyle name="输入 2 2 2 2 3" xfId="32983" xr:uid="{00000000-0005-0000-0000-0000D7800000}"/>
    <cellStyle name="输入 2 2 2 3" xfId="32984" xr:uid="{00000000-0005-0000-0000-0000D8800000}"/>
    <cellStyle name="输入 2 2 2 3 2" xfId="32985" xr:uid="{00000000-0005-0000-0000-0000D9800000}"/>
    <cellStyle name="输入 2 2 2 3 3" xfId="32986" xr:uid="{00000000-0005-0000-0000-0000DA800000}"/>
    <cellStyle name="输入 2 2 2 4" xfId="32987" xr:uid="{00000000-0005-0000-0000-0000DB800000}"/>
    <cellStyle name="输入 2 2 2 5" xfId="32988" xr:uid="{00000000-0005-0000-0000-0000DC800000}"/>
    <cellStyle name="输入 2 2 20" xfId="32989" xr:uid="{00000000-0005-0000-0000-0000DD800000}"/>
    <cellStyle name="输入 2 2 21" xfId="32990" xr:uid="{00000000-0005-0000-0000-0000DE800000}"/>
    <cellStyle name="输入 2 2 22" xfId="32991" xr:uid="{00000000-0005-0000-0000-0000DF800000}"/>
    <cellStyle name="输入 2 2 23" xfId="32992" xr:uid="{00000000-0005-0000-0000-0000E0800000}"/>
    <cellStyle name="输入 2 2 24" xfId="32993" xr:uid="{00000000-0005-0000-0000-0000E1800000}"/>
    <cellStyle name="输入 2 2 25" xfId="32994" xr:uid="{00000000-0005-0000-0000-0000E2800000}"/>
    <cellStyle name="输入 2 2 26" xfId="32995" xr:uid="{00000000-0005-0000-0000-0000E3800000}"/>
    <cellStyle name="输入 2 2 27" xfId="32996" xr:uid="{00000000-0005-0000-0000-0000E4800000}"/>
    <cellStyle name="输入 2 2 28" xfId="32997" xr:uid="{00000000-0005-0000-0000-0000E5800000}"/>
    <cellStyle name="输入 2 2 29" xfId="32998" xr:uid="{00000000-0005-0000-0000-0000E6800000}"/>
    <cellStyle name="输入 2 2 3" xfId="32999" xr:uid="{00000000-0005-0000-0000-0000E7800000}"/>
    <cellStyle name="输入 2 2 3 2" xfId="33000" xr:uid="{00000000-0005-0000-0000-0000E8800000}"/>
    <cellStyle name="输入 2 2 3 2 2" xfId="33001" xr:uid="{00000000-0005-0000-0000-0000E9800000}"/>
    <cellStyle name="输入 2 2 3 2 3" xfId="33002" xr:uid="{00000000-0005-0000-0000-0000EA800000}"/>
    <cellStyle name="输入 2 2 3 3" xfId="33003" xr:uid="{00000000-0005-0000-0000-0000EB800000}"/>
    <cellStyle name="输入 2 2 3 3 2" xfId="33004" xr:uid="{00000000-0005-0000-0000-0000EC800000}"/>
    <cellStyle name="输入 2 2 3 3 3" xfId="33005" xr:uid="{00000000-0005-0000-0000-0000ED800000}"/>
    <cellStyle name="输入 2 2 3 4" xfId="33006" xr:uid="{00000000-0005-0000-0000-0000EE800000}"/>
    <cellStyle name="输入 2 2 3 5" xfId="33007" xr:uid="{00000000-0005-0000-0000-0000EF800000}"/>
    <cellStyle name="输入 2 2 30" xfId="33008" xr:uid="{00000000-0005-0000-0000-0000F0800000}"/>
    <cellStyle name="输入 2 2 31" xfId="33009" xr:uid="{00000000-0005-0000-0000-0000F1800000}"/>
    <cellStyle name="输入 2 2 32" xfId="33010" xr:uid="{00000000-0005-0000-0000-0000F2800000}"/>
    <cellStyle name="输入 2 2 33" xfId="33011" xr:uid="{00000000-0005-0000-0000-0000F3800000}"/>
    <cellStyle name="输入 2 2 34" xfId="33012" xr:uid="{00000000-0005-0000-0000-0000F4800000}"/>
    <cellStyle name="输入 2 2 35" xfId="33013" xr:uid="{00000000-0005-0000-0000-0000F5800000}"/>
    <cellStyle name="输入 2 2 4" xfId="33014" xr:uid="{00000000-0005-0000-0000-0000F6800000}"/>
    <cellStyle name="输入 2 2 4 2" xfId="33015" xr:uid="{00000000-0005-0000-0000-0000F7800000}"/>
    <cellStyle name="输入 2 2 4 3" xfId="33016" xr:uid="{00000000-0005-0000-0000-0000F8800000}"/>
    <cellStyle name="输入 2 2 5" xfId="33017" xr:uid="{00000000-0005-0000-0000-0000F9800000}"/>
    <cellStyle name="输入 2 2 5 2" xfId="33018" xr:uid="{00000000-0005-0000-0000-0000FA800000}"/>
    <cellStyle name="输入 2 2 5 3" xfId="33019" xr:uid="{00000000-0005-0000-0000-0000FB800000}"/>
    <cellStyle name="输入 2 2 6" xfId="33020" xr:uid="{00000000-0005-0000-0000-0000FC800000}"/>
    <cellStyle name="输入 2 2 7" xfId="33021" xr:uid="{00000000-0005-0000-0000-0000FD800000}"/>
    <cellStyle name="输入 2 2 8" xfId="33022" xr:uid="{00000000-0005-0000-0000-0000FE800000}"/>
    <cellStyle name="输入 2 2 9" xfId="33023" xr:uid="{00000000-0005-0000-0000-0000FF800000}"/>
    <cellStyle name="输入 2 3" xfId="33024" xr:uid="{00000000-0005-0000-0000-000000810000}"/>
    <cellStyle name="输入 2 3 2" xfId="33025" xr:uid="{00000000-0005-0000-0000-000001810000}"/>
    <cellStyle name="输入 2 3 2 2" xfId="33026" xr:uid="{00000000-0005-0000-0000-000002810000}"/>
    <cellStyle name="输入 2 3 2 3" xfId="33027" xr:uid="{00000000-0005-0000-0000-000003810000}"/>
    <cellStyle name="输入 2 3 3" xfId="33028" xr:uid="{00000000-0005-0000-0000-000004810000}"/>
    <cellStyle name="输入 2 3 3 2" xfId="33029" xr:uid="{00000000-0005-0000-0000-000005810000}"/>
    <cellStyle name="输入 2 3 3 3" xfId="33030" xr:uid="{00000000-0005-0000-0000-000006810000}"/>
    <cellStyle name="输入 2 3 4" xfId="33031" xr:uid="{00000000-0005-0000-0000-000007810000}"/>
    <cellStyle name="输入 2 3 5" xfId="33032" xr:uid="{00000000-0005-0000-0000-000008810000}"/>
    <cellStyle name="输入 2 4" xfId="33033" xr:uid="{00000000-0005-0000-0000-000009810000}"/>
    <cellStyle name="输入 2 4 2" xfId="33034" xr:uid="{00000000-0005-0000-0000-00000A810000}"/>
    <cellStyle name="输入 2 4 3" xfId="33035" xr:uid="{00000000-0005-0000-0000-00000B810000}"/>
    <cellStyle name="输入 2 5" xfId="33036" xr:uid="{00000000-0005-0000-0000-00000C810000}"/>
    <cellStyle name="输入 2 5 2" xfId="33037" xr:uid="{00000000-0005-0000-0000-00000D810000}"/>
    <cellStyle name="输入 2 5 3" xfId="33038" xr:uid="{00000000-0005-0000-0000-00000E810000}"/>
    <cellStyle name="输入 2 6" xfId="33039" xr:uid="{00000000-0005-0000-0000-00000F810000}"/>
    <cellStyle name="输入 2 7" xfId="33040" xr:uid="{00000000-0005-0000-0000-000010810000}"/>
    <cellStyle name="输入 2 8" xfId="33041" xr:uid="{00000000-0005-0000-0000-000011810000}"/>
    <cellStyle name="输入 2 9" xfId="33042" xr:uid="{00000000-0005-0000-0000-000012810000}"/>
    <cellStyle name="输入 3" xfId="33043" xr:uid="{00000000-0005-0000-0000-000013810000}"/>
    <cellStyle name="输入 3 10" xfId="33044" xr:uid="{00000000-0005-0000-0000-000014810000}"/>
    <cellStyle name="输入 3 11" xfId="33045" xr:uid="{00000000-0005-0000-0000-000015810000}"/>
    <cellStyle name="输入 3 12" xfId="33046" xr:uid="{00000000-0005-0000-0000-000016810000}"/>
    <cellStyle name="输入 3 13" xfId="33047" xr:uid="{00000000-0005-0000-0000-000017810000}"/>
    <cellStyle name="输入 3 14" xfId="33048" xr:uid="{00000000-0005-0000-0000-000018810000}"/>
    <cellStyle name="输入 3 2" xfId="33049" xr:uid="{00000000-0005-0000-0000-000019810000}"/>
    <cellStyle name="输入 3 2 10" xfId="33050" xr:uid="{00000000-0005-0000-0000-00001A810000}"/>
    <cellStyle name="输入 3 2 11" xfId="33051" xr:uid="{00000000-0005-0000-0000-00001B810000}"/>
    <cellStyle name="输入 3 2 12" xfId="33052" xr:uid="{00000000-0005-0000-0000-00001C810000}"/>
    <cellStyle name="输入 3 2 13" xfId="33053" xr:uid="{00000000-0005-0000-0000-00001D810000}"/>
    <cellStyle name="输入 3 2 14" xfId="33054" xr:uid="{00000000-0005-0000-0000-00001E810000}"/>
    <cellStyle name="输入 3 2 15" xfId="33055" xr:uid="{00000000-0005-0000-0000-00001F810000}"/>
    <cellStyle name="输入 3 2 16" xfId="33056" xr:uid="{00000000-0005-0000-0000-000020810000}"/>
    <cellStyle name="输入 3 2 17" xfId="33057" xr:uid="{00000000-0005-0000-0000-000021810000}"/>
    <cellStyle name="输入 3 2 18" xfId="33058" xr:uid="{00000000-0005-0000-0000-000022810000}"/>
    <cellStyle name="输入 3 2 19" xfId="33059" xr:uid="{00000000-0005-0000-0000-000023810000}"/>
    <cellStyle name="输入 3 2 2" xfId="33060" xr:uid="{00000000-0005-0000-0000-000024810000}"/>
    <cellStyle name="输入 3 2 2 2" xfId="33061" xr:uid="{00000000-0005-0000-0000-000025810000}"/>
    <cellStyle name="输入 3 2 2 2 2" xfId="33062" xr:uid="{00000000-0005-0000-0000-000026810000}"/>
    <cellStyle name="输入 3 2 2 2 3" xfId="33063" xr:uid="{00000000-0005-0000-0000-000027810000}"/>
    <cellStyle name="输入 3 2 2 3" xfId="33064" xr:uid="{00000000-0005-0000-0000-000028810000}"/>
    <cellStyle name="输入 3 2 2 3 2" xfId="33065" xr:uid="{00000000-0005-0000-0000-000029810000}"/>
    <cellStyle name="输入 3 2 2 3 3" xfId="33066" xr:uid="{00000000-0005-0000-0000-00002A810000}"/>
    <cellStyle name="输入 3 2 2 4" xfId="33067" xr:uid="{00000000-0005-0000-0000-00002B810000}"/>
    <cellStyle name="输入 3 2 2 5" xfId="33068" xr:uid="{00000000-0005-0000-0000-00002C810000}"/>
    <cellStyle name="输入 3 2 20" xfId="33069" xr:uid="{00000000-0005-0000-0000-00002D810000}"/>
    <cellStyle name="输入 3 2 21" xfId="33070" xr:uid="{00000000-0005-0000-0000-00002E810000}"/>
    <cellStyle name="输入 3 2 22" xfId="33071" xr:uid="{00000000-0005-0000-0000-00002F810000}"/>
    <cellStyle name="输入 3 2 23" xfId="33072" xr:uid="{00000000-0005-0000-0000-000030810000}"/>
    <cellStyle name="输入 3 2 24" xfId="33073" xr:uid="{00000000-0005-0000-0000-000031810000}"/>
    <cellStyle name="输入 3 2 25" xfId="33074" xr:uid="{00000000-0005-0000-0000-000032810000}"/>
    <cellStyle name="输入 3 2 26" xfId="33075" xr:uid="{00000000-0005-0000-0000-000033810000}"/>
    <cellStyle name="输入 3 2 27" xfId="33076" xr:uid="{00000000-0005-0000-0000-000034810000}"/>
    <cellStyle name="输入 3 2 28" xfId="33077" xr:uid="{00000000-0005-0000-0000-000035810000}"/>
    <cellStyle name="输入 3 2 29" xfId="33078" xr:uid="{00000000-0005-0000-0000-000036810000}"/>
    <cellStyle name="输入 3 2 3" xfId="33079" xr:uid="{00000000-0005-0000-0000-000037810000}"/>
    <cellStyle name="输入 3 2 3 2" xfId="33080" xr:uid="{00000000-0005-0000-0000-000038810000}"/>
    <cellStyle name="输入 3 2 3 2 2" xfId="33081" xr:uid="{00000000-0005-0000-0000-000039810000}"/>
    <cellStyle name="输入 3 2 3 2 3" xfId="33082" xr:uid="{00000000-0005-0000-0000-00003A810000}"/>
    <cellStyle name="输入 3 2 3 3" xfId="33083" xr:uid="{00000000-0005-0000-0000-00003B810000}"/>
    <cellStyle name="输入 3 2 3 3 2" xfId="33084" xr:uid="{00000000-0005-0000-0000-00003C810000}"/>
    <cellStyle name="输入 3 2 3 3 3" xfId="33085" xr:uid="{00000000-0005-0000-0000-00003D810000}"/>
    <cellStyle name="输入 3 2 3 4" xfId="33086" xr:uid="{00000000-0005-0000-0000-00003E810000}"/>
    <cellStyle name="输入 3 2 3 5" xfId="33087" xr:uid="{00000000-0005-0000-0000-00003F810000}"/>
    <cellStyle name="输入 3 2 30" xfId="33088" xr:uid="{00000000-0005-0000-0000-000040810000}"/>
    <cellStyle name="输入 3 2 31" xfId="33089" xr:uid="{00000000-0005-0000-0000-000041810000}"/>
    <cellStyle name="输入 3 2 32" xfId="33090" xr:uid="{00000000-0005-0000-0000-000042810000}"/>
    <cellStyle name="输入 3 2 33" xfId="33091" xr:uid="{00000000-0005-0000-0000-000043810000}"/>
    <cellStyle name="输入 3 2 34" xfId="33092" xr:uid="{00000000-0005-0000-0000-000044810000}"/>
    <cellStyle name="输入 3 2 35" xfId="33093" xr:uid="{00000000-0005-0000-0000-000045810000}"/>
    <cellStyle name="输入 3 2 4" xfId="33094" xr:uid="{00000000-0005-0000-0000-000046810000}"/>
    <cellStyle name="输入 3 2 4 2" xfId="33095" xr:uid="{00000000-0005-0000-0000-000047810000}"/>
    <cellStyle name="输入 3 2 4 3" xfId="33096" xr:uid="{00000000-0005-0000-0000-000048810000}"/>
    <cellStyle name="输入 3 2 5" xfId="33097" xr:uid="{00000000-0005-0000-0000-000049810000}"/>
    <cellStyle name="输入 3 2 5 2" xfId="33098" xr:uid="{00000000-0005-0000-0000-00004A810000}"/>
    <cellStyle name="输入 3 2 5 3" xfId="33099" xr:uid="{00000000-0005-0000-0000-00004B810000}"/>
    <cellStyle name="输入 3 2 6" xfId="33100" xr:uid="{00000000-0005-0000-0000-00004C810000}"/>
    <cellStyle name="输入 3 2 7" xfId="33101" xr:uid="{00000000-0005-0000-0000-00004D810000}"/>
    <cellStyle name="输入 3 2 8" xfId="33102" xr:uid="{00000000-0005-0000-0000-00004E810000}"/>
    <cellStyle name="输入 3 2 9" xfId="33103" xr:uid="{00000000-0005-0000-0000-00004F810000}"/>
    <cellStyle name="输入 3 3" xfId="33104" xr:uid="{00000000-0005-0000-0000-000050810000}"/>
    <cellStyle name="输入 3 3 2" xfId="33105" xr:uid="{00000000-0005-0000-0000-000051810000}"/>
    <cellStyle name="输入 3 3 2 2" xfId="33106" xr:uid="{00000000-0005-0000-0000-000052810000}"/>
    <cellStyle name="输入 3 3 2 3" xfId="33107" xr:uid="{00000000-0005-0000-0000-000053810000}"/>
    <cellStyle name="输入 3 3 3" xfId="33108" xr:uid="{00000000-0005-0000-0000-000054810000}"/>
    <cellStyle name="输入 3 3 3 2" xfId="33109" xr:uid="{00000000-0005-0000-0000-000055810000}"/>
    <cellStyle name="输入 3 3 3 3" xfId="33110" xr:uid="{00000000-0005-0000-0000-000056810000}"/>
    <cellStyle name="输入 3 3 4" xfId="33111" xr:uid="{00000000-0005-0000-0000-000057810000}"/>
    <cellStyle name="输入 3 3 5" xfId="33112" xr:uid="{00000000-0005-0000-0000-000058810000}"/>
    <cellStyle name="输入 3 4" xfId="33113" xr:uid="{00000000-0005-0000-0000-000059810000}"/>
    <cellStyle name="输入 3 4 2" xfId="33114" xr:uid="{00000000-0005-0000-0000-00005A810000}"/>
    <cellStyle name="输入 3 4 3" xfId="33115" xr:uid="{00000000-0005-0000-0000-00005B810000}"/>
    <cellStyle name="输入 3 5" xfId="33116" xr:uid="{00000000-0005-0000-0000-00005C810000}"/>
    <cellStyle name="输入 3 5 2" xfId="33117" xr:uid="{00000000-0005-0000-0000-00005D810000}"/>
    <cellStyle name="输入 3 5 3" xfId="33118" xr:uid="{00000000-0005-0000-0000-00005E810000}"/>
    <cellStyle name="输入 3 6" xfId="33119" xr:uid="{00000000-0005-0000-0000-00005F810000}"/>
    <cellStyle name="输入 3 7" xfId="33120" xr:uid="{00000000-0005-0000-0000-000060810000}"/>
    <cellStyle name="输入 3 8" xfId="33121" xr:uid="{00000000-0005-0000-0000-000061810000}"/>
    <cellStyle name="输入 3 9" xfId="33122" xr:uid="{00000000-0005-0000-0000-000062810000}"/>
    <cellStyle name="输入 4" xfId="33123" xr:uid="{00000000-0005-0000-0000-000063810000}"/>
    <cellStyle name="输入 4 10" xfId="33124" xr:uid="{00000000-0005-0000-0000-000064810000}"/>
    <cellStyle name="输入 4 11" xfId="33125" xr:uid="{00000000-0005-0000-0000-000065810000}"/>
    <cellStyle name="输入 4 12" xfId="33126" xr:uid="{00000000-0005-0000-0000-000066810000}"/>
    <cellStyle name="输入 4 13" xfId="33127" xr:uid="{00000000-0005-0000-0000-000067810000}"/>
    <cellStyle name="输入 4 14" xfId="33128" xr:uid="{00000000-0005-0000-0000-000068810000}"/>
    <cellStyle name="输入 4 2" xfId="33129" xr:uid="{00000000-0005-0000-0000-000069810000}"/>
    <cellStyle name="输入 4 2 10" xfId="33130" xr:uid="{00000000-0005-0000-0000-00006A810000}"/>
    <cellStyle name="输入 4 2 11" xfId="33131" xr:uid="{00000000-0005-0000-0000-00006B810000}"/>
    <cellStyle name="输入 4 2 12" xfId="33132" xr:uid="{00000000-0005-0000-0000-00006C810000}"/>
    <cellStyle name="输入 4 2 13" xfId="33133" xr:uid="{00000000-0005-0000-0000-00006D810000}"/>
    <cellStyle name="输入 4 2 14" xfId="33134" xr:uid="{00000000-0005-0000-0000-00006E810000}"/>
    <cellStyle name="输入 4 2 15" xfId="33135" xr:uid="{00000000-0005-0000-0000-00006F810000}"/>
    <cellStyle name="输入 4 2 16" xfId="33136" xr:uid="{00000000-0005-0000-0000-000070810000}"/>
    <cellStyle name="输入 4 2 17" xfId="33137" xr:uid="{00000000-0005-0000-0000-000071810000}"/>
    <cellStyle name="输入 4 2 18" xfId="33138" xr:uid="{00000000-0005-0000-0000-000072810000}"/>
    <cellStyle name="输入 4 2 19" xfId="33139" xr:uid="{00000000-0005-0000-0000-000073810000}"/>
    <cellStyle name="输入 4 2 2" xfId="33140" xr:uid="{00000000-0005-0000-0000-000074810000}"/>
    <cellStyle name="输入 4 2 2 2" xfId="33141" xr:uid="{00000000-0005-0000-0000-000075810000}"/>
    <cellStyle name="输入 4 2 2 2 2" xfId="33142" xr:uid="{00000000-0005-0000-0000-000076810000}"/>
    <cellStyle name="输入 4 2 2 2 3" xfId="33143" xr:uid="{00000000-0005-0000-0000-000077810000}"/>
    <cellStyle name="输入 4 2 2 3" xfId="33144" xr:uid="{00000000-0005-0000-0000-000078810000}"/>
    <cellStyle name="输入 4 2 2 3 2" xfId="33145" xr:uid="{00000000-0005-0000-0000-000079810000}"/>
    <cellStyle name="输入 4 2 2 3 3" xfId="33146" xr:uid="{00000000-0005-0000-0000-00007A810000}"/>
    <cellStyle name="输入 4 2 2 4" xfId="33147" xr:uid="{00000000-0005-0000-0000-00007B810000}"/>
    <cellStyle name="输入 4 2 2 5" xfId="33148" xr:uid="{00000000-0005-0000-0000-00007C810000}"/>
    <cellStyle name="输入 4 2 20" xfId="33149" xr:uid="{00000000-0005-0000-0000-00007D810000}"/>
    <cellStyle name="输入 4 2 21" xfId="33150" xr:uid="{00000000-0005-0000-0000-00007E810000}"/>
    <cellStyle name="输入 4 2 22" xfId="33151" xr:uid="{00000000-0005-0000-0000-00007F810000}"/>
    <cellStyle name="输入 4 2 23" xfId="33152" xr:uid="{00000000-0005-0000-0000-000080810000}"/>
    <cellStyle name="输入 4 2 24" xfId="33153" xr:uid="{00000000-0005-0000-0000-000081810000}"/>
    <cellStyle name="输入 4 2 25" xfId="33154" xr:uid="{00000000-0005-0000-0000-000082810000}"/>
    <cellStyle name="输入 4 2 26" xfId="33155" xr:uid="{00000000-0005-0000-0000-000083810000}"/>
    <cellStyle name="输入 4 2 27" xfId="33156" xr:uid="{00000000-0005-0000-0000-000084810000}"/>
    <cellStyle name="输入 4 2 28" xfId="33157" xr:uid="{00000000-0005-0000-0000-000085810000}"/>
    <cellStyle name="输入 4 2 29" xfId="33158" xr:uid="{00000000-0005-0000-0000-000086810000}"/>
    <cellStyle name="输入 4 2 3" xfId="33159" xr:uid="{00000000-0005-0000-0000-000087810000}"/>
    <cellStyle name="输入 4 2 3 2" xfId="33160" xr:uid="{00000000-0005-0000-0000-000088810000}"/>
    <cellStyle name="输入 4 2 3 2 2" xfId="33161" xr:uid="{00000000-0005-0000-0000-000089810000}"/>
    <cellStyle name="输入 4 2 3 2 3" xfId="33162" xr:uid="{00000000-0005-0000-0000-00008A810000}"/>
    <cellStyle name="输入 4 2 3 3" xfId="33163" xr:uid="{00000000-0005-0000-0000-00008B810000}"/>
    <cellStyle name="输入 4 2 3 3 2" xfId="33164" xr:uid="{00000000-0005-0000-0000-00008C810000}"/>
    <cellStyle name="输入 4 2 3 3 3" xfId="33165" xr:uid="{00000000-0005-0000-0000-00008D810000}"/>
    <cellStyle name="输入 4 2 3 4" xfId="33166" xr:uid="{00000000-0005-0000-0000-00008E810000}"/>
    <cellStyle name="输入 4 2 3 5" xfId="33167" xr:uid="{00000000-0005-0000-0000-00008F810000}"/>
    <cellStyle name="输入 4 2 30" xfId="33168" xr:uid="{00000000-0005-0000-0000-000090810000}"/>
    <cellStyle name="输入 4 2 31" xfId="33169" xr:uid="{00000000-0005-0000-0000-000091810000}"/>
    <cellStyle name="输入 4 2 32" xfId="33170" xr:uid="{00000000-0005-0000-0000-000092810000}"/>
    <cellStyle name="输入 4 2 33" xfId="33171" xr:uid="{00000000-0005-0000-0000-000093810000}"/>
    <cellStyle name="输入 4 2 34" xfId="33172" xr:uid="{00000000-0005-0000-0000-000094810000}"/>
    <cellStyle name="输入 4 2 35" xfId="33173" xr:uid="{00000000-0005-0000-0000-000095810000}"/>
    <cellStyle name="输入 4 2 4" xfId="33174" xr:uid="{00000000-0005-0000-0000-000096810000}"/>
    <cellStyle name="输入 4 2 4 2" xfId="33175" xr:uid="{00000000-0005-0000-0000-000097810000}"/>
    <cellStyle name="输入 4 2 4 3" xfId="33176" xr:uid="{00000000-0005-0000-0000-000098810000}"/>
    <cellStyle name="输入 4 2 5" xfId="33177" xr:uid="{00000000-0005-0000-0000-000099810000}"/>
    <cellStyle name="输入 4 2 5 2" xfId="33178" xr:uid="{00000000-0005-0000-0000-00009A810000}"/>
    <cellStyle name="输入 4 2 5 3" xfId="33179" xr:uid="{00000000-0005-0000-0000-00009B810000}"/>
    <cellStyle name="输入 4 2 6" xfId="33180" xr:uid="{00000000-0005-0000-0000-00009C810000}"/>
    <cellStyle name="输入 4 2 7" xfId="33181" xr:uid="{00000000-0005-0000-0000-00009D810000}"/>
    <cellStyle name="输入 4 2 8" xfId="33182" xr:uid="{00000000-0005-0000-0000-00009E810000}"/>
    <cellStyle name="输入 4 2 9" xfId="33183" xr:uid="{00000000-0005-0000-0000-00009F810000}"/>
    <cellStyle name="输入 4 3" xfId="33184" xr:uid="{00000000-0005-0000-0000-0000A0810000}"/>
    <cellStyle name="输入 4 3 2" xfId="33185" xr:uid="{00000000-0005-0000-0000-0000A1810000}"/>
    <cellStyle name="输入 4 3 2 2" xfId="33186" xr:uid="{00000000-0005-0000-0000-0000A2810000}"/>
    <cellStyle name="输入 4 3 2 3" xfId="33187" xr:uid="{00000000-0005-0000-0000-0000A3810000}"/>
    <cellStyle name="输入 4 3 3" xfId="33188" xr:uid="{00000000-0005-0000-0000-0000A4810000}"/>
    <cellStyle name="输入 4 3 3 2" xfId="33189" xr:uid="{00000000-0005-0000-0000-0000A5810000}"/>
    <cellStyle name="输入 4 3 3 3" xfId="33190" xr:uid="{00000000-0005-0000-0000-0000A6810000}"/>
    <cellStyle name="输入 4 3 4" xfId="33191" xr:uid="{00000000-0005-0000-0000-0000A7810000}"/>
    <cellStyle name="输入 4 3 5" xfId="33192" xr:uid="{00000000-0005-0000-0000-0000A8810000}"/>
    <cellStyle name="输入 4 4" xfId="33193" xr:uid="{00000000-0005-0000-0000-0000A9810000}"/>
    <cellStyle name="输入 4 4 2" xfId="33194" xr:uid="{00000000-0005-0000-0000-0000AA810000}"/>
    <cellStyle name="输入 4 4 3" xfId="33195" xr:uid="{00000000-0005-0000-0000-0000AB810000}"/>
    <cellStyle name="输入 4 5" xfId="33196" xr:uid="{00000000-0005-0000-0000-0000AC810000}"/>
    <cellStyle name="输入 4 5 2" xfId="33197" xr:uid="{00000000-0005-0000-0000-0000AD810000}"/>
    <cellStyle name="输入 4 5 3" xfId="33198" xr:uid="{00000000-0005-0000-0000-0000AE810000}"/>
    <cellStyle name="输入 4 6" xfId="33199" xr:uid="{00000000-0005-0000-0000-0000AF810000}"/>
    <cellStyle name="输入 4 7" xfId="33200" xr:uid="{00000000-0005-0000-0000-0000B0810000}"/>
    <cellStyle name="输入 4 8" xfId="33201" xr:uid="{00000000-0005-0000-0000-0000B1810000}"/>
    <cellStyle name="输入 4 9" xfId="33202" xr:uid="{00000000-0005-0000-0000-0000B2810000}"/>
    <cellStyle name="输入 5" xfId="33203" xr:uid="{00000000-0005-0000-0000-0000B3810000}"/>
    <cellStyle name="输入 5 10" xfId="33204" xr:uid="{00000000-0005-0000-0000-0000B4810000}"/>
    <cellStyle name="输入 5 11" xfId="33205" xr:uid="{00000000-0005-0000-0000-0000B5810000}"/>
    <cellStyle name="输入 5 12" xfId="33206" xr:uid="{00000000-0005-0000-0000-0000B6810000}"/>
    <cellStyle name="输入 5 13" xfId="33207" xr:uid="{00000000-0005-0000-0000-0000B7810000}"/>
    <cellStyle name="输入 5 14" xfId="33208" xr:uid="{00000000-0005-0000-0000-0000B8810000}"/>
    <cellStyle name="输入 5 2" xfId="33209" xr:uid="{00000000-0005-0000-0000-0000B9810000}"/>
    <cellStyle name="输入 5 2 10" xfId="33210" xr:uid="{00000000-0005-0000-0000-0000BA810000}"/>
    <cellStyle name="输入 5 2 11" xfId="33211" xr:uid="{00000000-0005-0000-0000-0000BB810000}"/>
    <cellStyle name="输入 5 2 12" xfId="33212" xr:uid="{00000000-0005-0000-0000-0000BC810000}"/>
    <cellStyle name="输入 5 2 13" xfId="33213" xr:uid="{00000000-0005-0000-0000-0000BD810000}"/>
    <cellStyle name="输入 5 2 14" xfId="33214" xr:uid="{00000000-0005-0000-0000-0000BE810000}"/>
    <cellStyle name="输入 5 2 15" xfId="33215" xr:uid="{00000000-0005-0000-0000-0000BF810000}"/>
    <cellStyle name="输入 5 2 16" xfId="33216" xr:uid="{00000000-0005-0000-0000-0000C0810000}"/>
    <cellStyle name="输入 5 2 17" xfId="33217" xr:uid="{00000000-0005-0000-0000-0000C1810000}"/>
    <cellStyle name="输入 5 2 18" xfId="33218" xr:uid="{00000000-0005-0000-0000-0000C2810000}"/>
    <cellStyle name="输入 5 2 19" xfId="33219" xr:uid="{00000000-0005-0000-0000-0000C3810000}"/>
    <cellStyle name="输入 5 2 2" xfId="33220" xr:uid="{00000000-0005-0000-0000-0000C4810000}"/>
    <cellStyle name="输入 5 2 2 2" xfId="33221" xr:uid="{00000000-0005-0000-0000-0000C5810000}"/>
    <cellStyle name="输入 5 2 2 2 2" xfId="33222" xr:uid="{00000000-0005-0000-0000-0000C6810000}"/>
    <cellStyle name="输入 5 2 2 2 3" xfId="33223" xr:uid="{00000000-0005-0000-0000-0000C7810000}"/>
    <cellStyle name="输入 5 2 2 3" xfId="33224" xr:uid="{00000000-0005-0000-0000-0000C8810000}"/>
    <cellStyle name="输入 5 2 2 3 2" xfId="33225" xr:uid="{00000000-0005-0000-0000-0000C9810000}"/>
    <cellStyle name="输入 5 2 2 3 3" xfId="33226" xr:uid="{00000000-0005-0000-0000-0000CA810000}"/>
    <cellStyle name="输入 5 2 2 4" xfId="33227" xr:uid="{00000000-0005-0000-0000-0000CB810000}"/>
    <cellStyle name="输入 5 2 2 5" xfId="33228" xr:uid="{00000000-0005-0000-0000-0000CC810000}"/>
    <cellStyle name="输入 5 2 20" xfId="33229" xr:uid="{00000000-0005-0000-0000-0000CD810000}"/>
    <cellStyle name="输入 5 2 21" xfId="33230" xr:uid="{00000000-0005-0000-0000-0000CE810000}"/>
    <cellStyle name="输入 5 2 22" xfId="33231" xr:uid="{00000000-0005-0000-0000-0000CF810000}"/>
    <cellStyle name="输入 5 2 23" xfId="33232" xr:uid="{00000000-0005-0000-0000-0000D0810000}"/>
    <cellStyle name="输入 5 2 24" xfId="33233" xr:uid="{00000000-0005-0000-0000-0000D1810000}"/>
    <cellStyle name="输入 5 2 25" xfId="33234" xr:uid="{00000000-0005-0000-0000-0000D2810000}"/>
    <cellStyle name="输入 5 2 26" xfId="33235" xr:uid="{00000000-0005-0000-0000-0000D3810000}"/>
    <cellStyle name="输入 5 2 27" xfId="33236" xr:uid="{00000000-0005-0000-0000-0000D4810000}"/>
    <cellStyle name="输入 5 2 28" xfId="33237" xr:uid="{00000000-0005-0000-0000-0000D5810000}"/>
    <cellStyle name="输入 5 2 29" xfId="33238" xr:uid="{00000000-0005-0000-0000-0000D6810000}"/>
    <cellStyle name="输入 5 2 3" xfId="33239" xr:uid="{00000000-0005-0000-0000-0000D7810000}"/>
    <cellStyle name="输入 5 2 3 2" xfId="33240" xr:uid="{00000000-0005-0000-0000-0000D8810000}"/>
    <cellStyle name="输入 5 2 3 2 2" xfId="33241" xr:uid="{00000000-0005-0000-0000-0000D9810000}"/>
    <cellStyle name="输入 5 2 3 2 3" xfId="33242" xr:uid="{00000000-0005-0000-0000-0000DA810000}"/>
    <cellStyle name="输入 5 2 3 3" xfId="33243" xr:uid="{00000000-0005-0000-0000-0000DB810000}"/>
    <cellStyle name="输入 5 2 3 3 2" xfId="33244" xr:uid="{00000000-0005-0000-0000-0000DC810000}"/>
    <cellStyle name="输入 5 2 3 3 3" xfId="33245" xr:uid="{00000000-0005-0000-0000-0000DD810000}"/>
    <cellStyle name="输入 5 2 3 4" xfId="33246" xr:uid="{00000000-0005-0000-0000-0000DE810000}"/>
    <cellStyle name="输入 5 2 3 5" xfId="33247" xr:uid="{00000000-0005-0000-0000-0000DF810000}"/>
    <cellStyle name="输入 5 2 30" xfId="33248" xr:uid="{00000000-0005-0000-0000-0000E0810000}"/>
    <cellStyle name="输入 5 2 31" xfId="33249" xr:uid="{00000000-0005-0000-0000-0000E1810000}"/>
    <cellStyle name="输入 5 2 32" xfId="33250" xr:uid="{00000000-0005-0000-0000-0000E2810000}"/>
    <cellStyle name="输入 5 2 33" xfId="33251" xr:uid="{00000000-0005-0000-0000-0000E3810000}"/>
    <cellStyle name="输入 5 2 34" xfId="33252" xr:uid="{00000000-0005-0000-0000-0000E4810000}"/>
    <cellStyle name="输入 5 2 35" xfId="33253" xr:uid="{00000000-0005-0000-0000-0000E5810000}"/>
    <cellStyle name="输入 5 2 4" xfId="33254" xr:uid="{00000000-0005-0000-0000-0000E6810000}"/>
    <cellStyle name="输入 5 2 4 2" xfId="33255" xr:uid="{00000000-0005-0000-0000-0000E7810000}"/>
    <cellStyle name="输入 5 2 4 3" xfId="33256" xr:uid="{00000000-0005-0000-0000-0000E8810000}"/>
    <cellStyle name="输入 5 2 5" xfId="33257" xr:uid="{00000000-0005-0000-0000-0000E9810000}"/>
    <cellStyle name="输入 5 2 5 2" xfId="33258" xr:uid="{00000000-0005-0000-0000-0000EA810000}"/>
    <cellStyle name="输入 5 2 5 3" xfId="33259" xr:uid="{00000000-0005-0000-0000-0000EB810000}"/>
    <cellStyle name="输入 5 2 6" xfId="33260" xr:uid="{00000000-0005-0000-0000-0000EC810000}"/>
    <cellStyle name="输入 5 2 7" xfId="33261" xr:uid="{00000000-0005-0000-0000-0000ED810000}"/>
    <cellStyle name="输入 5 2 8" xfId="33262" xr:uid="{00000000-0005-0000-0000-0000EE810000}"/>
    <cellStyle name="输入 5 2 9" xfId="33263" xr:uid="{00000000-0005-0000-0000-0000EF810000}"/>
    <cellStyle name="输入 5 3" xfId="33264" xr:uid="{00000000-0005-0000-0000-0000F0810000}"/>
    <cellStyle name="输入 5 3 2" xfId="33265" xr:uid="{00000000-0005-0000-0000-0000F1810000}"/>
    <cellStyle name="输入 5 3 2 2" xfId="33266" xr:uid="{00000000-0005-0000-0000-0000F2810000}"/>
    <cellStyle name="输入 5 3 2 3" xfId="33267" xr:uid="{00000000-0005-0000-0000-0000F3810000}"/>
    <cellStyle name="输入 5 3 3" xfId="33268" xr:uid="{00000000-0005-0000-0000-0000F4810000}"/>
    <cellStyle name="输入 5 3 3 2" xfId="33269" xr:uid="{00000000-0005-0000-0000-0000F5810000}"/>
    <cellStyle name="输入 5 3 3 3" xfId="33270" xr:uid="{00000000-0005-0000-0000-0000F6810000}"/>
    <cellStyle name="输入 5 3 4" xfId="33271" xr:uid="{00000000-0005-0000-0000-0000F7810000}"/>
    <cellStyle name="输入 5 3 5" xfId="33272" xr:uid="{00000000-0005-0000-0000-0000F8810000}"/>
    <cellStyle name="输入 5 4" xfId="33273" xr:uid="{00000000-0005-0000-0000-0000F9810000}"/>
    <cellStyle name="输入 5 4 2" xfId="33274" xr:uid="{00000000-0005-0000-0000-0000FA810000}"/>
    <cellStyle name="输入 5 4 3" xfId="33275" xr:uid="{00000000-0005-0000-0000-0000FB810000}"/>
    <cellStyle name="输入 5 5" xfId="33276" xr:uid="{00000000-0005-0000-0000-0000FC810000}"/>
    <cellStyle name="输入 5 5 2" xfId="33277" xr:uid="{00000000-0005-0000-0000-0000FD810000}"/>
    <cellStyle name="输入 5 5 3" xfId="33278" xr:uid="{00000000-0005-0000-0000-0000FE810000}"/>
    <cellStyle name="输入 5 6" xfId="33279" xr:uid="{00000000-0005-0000-0000-0000FF810000}"/>
    <cellStyle name="输入 5 7" xfId="33280" xr:uid="{00000000-0005-0000-0000-000000820000}"/>
    <cellStyle name="输入 5 8" xfId="33281" xr:uid="{00000000-0005-0000-0000-000001820000}"/>
    <cellStyle name="输入 5 9" xfId="33282" xr:uid="{00000000-0005-0000-0000-000002820000}"/>
    <cellStyle name="输入 6" xfId="33283" xr:uid="{00000000-0005-0000-0000-000003820000}"/>
    <cellStyle name="输入 6 10" xfId="33284" xr:uid="{00000000-0005-0000-0000-000004820000}"/>
    <cellStyle name="输入 6 11" xfId="33285" xr:uid="{00000000-0005-0000-0000-000005820000}"/>
    <cellStyle name="输入 6 12" xfId="33286" xr:uid="{00000000-0005-0000-0000-000006820000}"/>
    <cellStyle name="输入 6 13" xfId="33287" xr:uid="{00000000-0005-0000-0000-000007820000}"/>
    <cellStyle name="输入 6 14" xfId="33288" xr:uid="{00000000-0005-0000-0000-000008820000}"/>
    <cellStyle name="输入 6 2" xfId="33289" xr:uid="{00000000-0005-0000-0000-000009820000}"/>
    <cellStyle name="输入 6 2 10" xfId="33290" xr:uid="{00000000-0005-0000-0000-00000A820000}"/>
    <cellStyle name="输入 6 2 11" xfId="33291" xr:uid="{00000000-0005-0000-0000-00000B820000}"/>
    <cellStyle name="输入 6 2 12" xfId="33292" xr:uid="{00000000-0005-0000-0000-00000C820000}"/>
    <cellStyle name="输入 6 2 13" xfId="33293" xr:uid="{00000000-0005-0000-0000-00000D820000}"/>
    <cellStyle name="输入 6 2 14" xfId="33294" xr:uid="{00000000-0005-0000-0000-00000E820000}"/>
    <cellStyle name="输入 6 2 15" xfId="33295" xr:uid="{00000000-0005-0000-0000-00000F820000}"/>
    <cellStyle name="输入 6 2 16" xfId="33296" xr:uid="{00000000-0005-0000-0000-000010820000}"/>
    <cellStyle name="输入 6 2 17" xfId="33297" xr:uid="{00000000-0005-0000-0000-000011820000}"/>
    <cellStyle name="输入 6 2 18" xfId="33298" xr:uid="{00000000-0005-0000-0000-000012820000}"/>
    <cellStyle name="输入 6 2 19" xfId="33299" xr:uid="{00000000-0005-0000-0000-000013820000}"/>
    <cellStyle name="输入 6 2 2" xfId="33300" xr:uid="{00000000-0005-0000-0000-000014820000}"/>
    <cellStyle name="输入 6 2 2 2" xfId="33301" xr:uid="{00000000-0005-0000-0000-000015820000}"/>
    <cellStyle name="输入 6 2 2 2 2" xfId="33302" xr:uid="{00000000-0005-0000-0000-000016820000}"/>
    <cellStyle name="输入 6 2 2 2 3" xfId="33303" xr:uid="{00000000-0005-0000-0000-000017820000}"/>
    <cellStyle name="输入 6 2 2 3" xfId="33304" xr:uid="{00000000-0005-0000-0000-000018820000}"/>
    <cellStyle name="输入 6 2 2 3 2" xfId="33305" xr:uid="{00000000-0005-0000-0000-000019820000}"/>
    <cellStyle name="输入 6 2 2 3 3" xfId="33306" xr:uid="{00000000-0005-0000-0000-00001A820000}"/>
    <cellStyle name="输入 6 2 2 4" xfId="33307" xr:uid="{00000000-0005-0000-0000-00001B820000}"/>
    <cellStyle name="输入 6 2 2 5" xfId="33308" xr:uid="{00000000-0005-0000-0000-00001C820000}"/>
    <cellStyle name="输入 6 2 20" xfId="33309" xr:uid="{00000000-0005-0000-0000-00001D820000}"/>
    <cellStyle name="输入 6 2 21" xfId="33310" xr:uid="{00000000-0005-0000-0000-00001E820000}"/>
    <cellStyle name="输入 6 2 22" xfId="33311" xr:uid="{00000000-0005-0000-0000-00001F820000}"/>
    <cellStyle name="输入 6 2 23" xfId="33312" xr:uid="{00000000-0005-0000-0000-000020820000}"/>
    <cellStyle name="输入 6 2 24" xfId="33313" xr:uid="{00000000-0005-0000-0000-000021820000}"/>
    <cellStyle name="输入 6 2 25" xfId="33314" xr:uid="{00000000-0005-0000-0000-000022820000}"/>
    <cellStyle name="输入 6 2 26" xfId="33315" xr:uid="{00000000-0005-0000-0000-000023820000}"/>
    <cellStyle name="输入 6 2 27" xfId="33316" xr:uid="{00000000-0005-0000-0000-000024820000}"/>
    <cellStyle name="输入 6 2 28" xfId="33317" xr:uid="{00000000-0005-0000-0000-000025820000}"/>
    <cellStyle name="输入 6 2 29" xfId="33318" xr:uid="{00000000-0005-0000-0000-000026820000}"/>
    <cellStyle name="输入 6 2 3" xfId="33319" xr:uid="{00000000-0005-0000-0000-000027820000}"/>
    <cellStyle name="输入 6 2 3 2" xfId="33320" xr:uid="{00000000-0005-0000-0000-000028820000}"/>
    <cellStyle name="输入 6 2 3 2 2" xfId="33321" xr:uid="{00000000-0005-0000-0000-000029820000}"/>
    <cellStyle name="输入 6 2 3 2 3" xfId="33322" xr:uid="{00000000-0005-0000-0000-00002A820000}"/>
    <cellStyle name="输入 6 2 3 3" xfId="33323" xr:uid="{00000000-0005-0000-0000-00002B820000}"/>
    <cellStyle name="输入 6 2 3 3 2" xfId="33324" xr:uid="{00000000-0005-0000-0000-00002C820000}"/>
    <cellStyle name="输入 6 2 3 3 3" xfId="33325" xr:uid="{00000000-0005-0000-0000-00002D820000}"/>
    <cellStyle name="输入 6 2 3 4" xfId="33326" xr:uid="{00000000-0005-0000-0000-00002E820000}"/>
    <cellStyle name="输入 6 2 3 5" xfId="33327" xr:uid="{00000000-0005-0000-0000-00002F820000}"/>
    <cellStyle name="输入 6 2 30" xfId="33328" xr:uid="{00000000-0005-0000-0000-000030820000}"/>
    <cellStyle name="输入 6 2 31" xfId="33329" xr:uid="{00000000-0005-0000-0000-000031820000}"/>
    <cellStyle name="输入 6 2 32" xfId="33330" xr:uid="{00000000-0005-0000-0000-000032820000}"/>
    <cellStyle name="输入 6 2 33" xfId="33331" xr:uid="{00000000-0005-0000-0000-000033820000}"/>
    <cellStyle name="输入 6 2 34" xfId="33332" xr:uid="{00000000-0005-0000-0000-000034820000}"/>
    <cellStyle name="输入 6 2 35" xfId="33333" xr:uid="{00000000-0005-0000-0000-000035820000}"/>
    <cellStyle name="输入 6 2 4" xfId="33334" xr:uid="{00000000-0005-0000-0000-000036820000}"/>
    <cellStyle name="输入 6 2 4 2" xfId="33335" xr:uid="{00000000-0005-0000-0000-000037820000}"/>
    <cellStyle name="输入 6 2 4 3" xfId="33336" xr:uid="{00000000-0005-0000-0000-000038820000}"/>
    <cellStyle name="输入 6 2 5" xfId="33337" xr:uid="{00000000-0005-0000-0000-000039820000}"/>
    <cellStyle name="输入 6 2 5 2" xfId="33338" xr:uid="{00000000-0005-0000-0000-00003A820000}"/>
    <cellStyle name="输入 6 2 5 3" xfId="33339" xr:uid="{00000000-0005-0000-0000-00003B820000}"/>
    <cellStyle name="输入 6 2 6" xfId="33340" xr:uid="{00000000-0005-0000-0000-00003C820000}"/>
    <cellStyle name="输入 6 2 7" xfId="33341" xr:uid="{00000000-0005-0000-0000-00003D820000}"/>
    <cellStyle name="输入 6 2 8" xfId="33342" xr:uid="{00000000-0005-0000-0000-00003E820000}"/>
    <cellStyle name="输入 6 2 9" xfId="33343" xr:uid="{00000000-0005-0000-0000-00003F820000}"/>
    <cellStyle name="输入 6 3" xfId="33344" xr:uid="{00000000-0005-0000-0000-000040820000}"/>
    <cellStyle name="输入 6 3 2" xfId="33345" xr:uid="{00000000-0005-0000-0000-000041820000}"/>
    <cellStyle name="输入 6 3 2 2" xfId="33346" xr:uid="{00000000-0005-0000-0000-000042820000}"/>
    <cellStyle name="输入 6 3 2 3" xfId="33347" xr:uid="{00000000-0005-0000-0000-000043820000}"/>
    <cellStyle name="输入 6 3 3" xfId="33348" xr:uid="{00000000-0005-0000-0000-000044820000}"/>
    <cellStyle name="输入 6 3 3 2" xfId="33349" xr:uid="{00000000-0005-0000-0000-000045820000}"/>
    <cellStyle name="输入 6 3 3 3" xfId="33350" xr:uid="{00000000-0005-0000-0000-000046820000}"/>
    <cellStyle name="输入 6 3 4" xfId="33351" xr:uid="{00000000-0005-0000-0000-000047820000}"/>
    <cellStyle name="输入 6 3 5" xfId="33352" xr:uid="{00000000-0005-0000-0000-000048820000}"/>
    <cellStyle name="输入 6 4" xfId="33353" xr:uid="{00000000-0005-0000-0000-000049820000}"/>
    <cellStyle name="输入 6 4 2" xfId="33354" xr:uid="{00000000-0005-0000-0000-00004A820000}"/>
    <cellStyle name="输入 6 4 3" xfId="33355" xr:uid="{00000000-0005-0000-0000-00004B820000}"/>
    <cellStyle name="输入 6 5" xfId="33356" xr:uid="{00000000-0005-0000-0000-00004C820000}"/>
    <cellStyle name="输入 6 5 2" xfId="33357" xr:uid="{00000000-0005-0000-0000-00004D820000}"/>
    <cellStyle name="输入 6 5 3" xfId="33358" xr:uid="{00000000-0005-0000-0000-00004E820000}"/>
    <cellStyle name="输入 6 6" xfId="33359" xr:uid="{00000000-0005-0000-0000-00004F820000}"/>
    <cellStyle name="输入 6 7" xfId="33360" xr:uid="{00000000-0005-0000-0000-000050820000}"/>
    <cellStyle name="输入 6 8" xfId="33361" xr:uid="{00000000-0005-0000-0000-000051820000}"/>
    <cellStyle name="输入 6 9" xfId="33362" xr:uid="{00000000-0005-0000-0000-000052820000}"/>
    <cellStyle name="输入 7" xfId="33363" xr:uid="{00000000-0005-0000-0000-000053820000}"/>
    <cellStyle name="输入 7 10" xfId="33364" xr:uid="{00000000-0005-0000-0000-000054820000}"/>
    <cellStyle name="输入 7 11" xfId="33365" xr:uid="{00000000-0005-0000-0000-000055820000}"/>
    <cellStyle name="输入 7 12" xfId="33366" xr:uid="{00000000-0005-0000-0000-000056820000}"/>
    <cellStyle name="输入 7 13" xfId="33367" xr:uid="{00000000-0005-0000-0000-000057820000}"/>
    <cellStyle name="输入 7 14" xfId="33368" xr:uid="{00000000-0005-0000-0000-000058820000}"/>
    <cellStyle name="输入 7 15" xfId="33369" xr:uid="{00000000-0005-0000-0000-000059820000}"/>
    <cellStyle name="输入 7 16" xfId="33370" xr:uid="{00000000-0005-0000-0000-00005A820000}"/>
    <cellStyle name="输入 7 17" xfId="33371" xr:uid="{00000000-0005-0000-0000-00005B820000}"/>
    <cellStyle name="输入 7 18" xfId="33372" xr:uid="{00000000-0005-0000-0000-00005C820000}"/>
    <cellStyle name="输入 7 19" xfId="33373" xr:uid="{00000000-0005-0000-0000-00005D820000}"/>
    <cellStyle name="输入 7 2" xfId="33374" xr:uid="{00000000-0005-0000-0000-00005E820000}"/>
    <cellStyle name="输入 7 2 2" xfId="33375" xr:uid="{00000000-0005-0000-0000-00005F820000}"/>
    <cellStyle name="输入 7 2 2 2" xfId="33376" xr:uid="{00000000-0005-0000-0000-000060820000}"/>
    <cellStyle name="输入 7 2 2 3" xfId="33377" xr:uid="{00000000-0005-0000-0000-000061820000}"/>
    <cellStyle name="输入 7 2 3" xfId="33378" xr:uid="{00000000-0005-0000-0000-000062820000}"/>
    <cellStyle name="输入 7 2 3 2" xfId="33379" xr:uid="{00000000-0005-0000-0000-000063820000}"/>
    <cellStyle name="输入 7 2 3 3" xfId="33380" xr:uid="{00000000-0005-0000-0000-000064820000}"/>
    <cellStyle name="输入 7 2 4" xfId="33381" xr:uid="{00000000-0005-0000-0000-000065820000}"/>
    <cellStyle name="输入 7 2 5" xfId="33382" xr:uid="{00000000-0005-0000-0000-000066820000}"/>
    <cellStyle name="输入 7 20" xfId="33383" xr:uid="{00000000-0005-0000-0000-000067820000}"/>
    <cellStyle name="输入 7 21" xfId="33384" xr:uid="{00000000-0005-0000-0000-000068820000}"/>
    <cellStyle name="输入 7 22" xfId="33385" xr:uid="{00000000-0005-0000-0000-000069820000}"/>
    <cellStyle name="输入 7 23" xfId="33386" xr:uid="{00000000-0005-0000-0000-00006A820000}"/>
    <cellStyle name="输入 7 24" xfId="33387" xr:uid="{00000000-0005-0000-0000-00006B820000}"/>
    <cellStyle name="输入 7 25" xfId="33388" xr:uid="{00000000-0005-0000-0000-00006C820000}"/>
    <cellStyle name="输入 7 26" xfId="33389" xr:uid="{00000000-0005-0000-0000-00006D820000}"/>
    <cellStyle name="输入 7 27" xfId="33390" xr:uid="{00000000-0005-0000-0000-00006E820000}"/>
    <cellStyle name="输入 7 28" xfId="33391" xr:uid="{00000000-0005-0000-0000-00006F820000}"/>
    <cellStyle name="输入 7 29" xfId="33392" xr:uid="{00000000-0005-0000-0000-000070820000}"/>
    <cellStyle name="输入 7 3" xfId="33393" xr:uid="{00000000-0005-0000-0000-000071820000}"/>
    <cellStyle name="输入 7 3 2" xfId="33394" xr:uid="{00000000-0005-0000-0000-000072820000}"/>
    <cellStyle name="输入 7 3 2 2" xfId="33395" xr:uid="{00000000-0005-0000-0000-000073820000}"/>
    <cellStyle name="输入 7 3 2 3" xfId="33396" xr:uid="{00000000-0005-0000-0000-000074820000}"/>
    <cellStyle name="输入 7 3 3" xfId="33397" xr:uid="{00000000-0005-0000-0000-000075820000}"/>
    <cellStyle name="输入 7 3 3 2" xfId="33398" xr:uid="{00000000-0005-0000-0000-000076820000}"/>
    <cellStyle name="输入 7 3 3 3" xfId="33399" xr:uid="{00000000-0005-0000-0000-000077820000}"/>
    <cellStyle name="输入 7 3 4" xfId="33400" xr:uid="{00000000-0005-0000-0000-000078820000}"/>
    <cellStyle name="输入 7 3 5" xfId="33401" xr:uid="{00000000-0005-0000-0000-000079820000}"/>
    <cellStyle name="输入 7 30" xfId="33402" xr:uid="{00000000-0005-0000-0000-00007A820000}"/>
    <cellStyle name="输入 7 31" xfId="33403" xr:uid="{00000000-0005-0000-0000-00007B820000}"/>
    <cellStyle name="输入 7 32" xfId="33404" xr:uid="{00000000-0005-0000-0000-00007C820000}"/>
    <cellStyle name="输入 7 33" xfId="33405" xr:uid="{00000000-0005-0000-0000-00007D820000}"/>
    <cellStyle name="输入 7 34" xfId="33406" xr:uid="{00000000-0005-0000-0000-00007E820000}"/>
    <cellStyle name="输入 7 35" xfId="33407" xr:uid="{00000000-0005-0000-0000-00007F820000}"/>
    <cellStyle name="输入 7 4" xfId="33408" xr:uid="{00000000-0005-0000-0000-000080820000}"/>
    <cellStyle name="输入 7 4 2" xfId="33409" xr:uid="{00000000-0005-0000-0000-000081820000}"/>
    <cellStyle name="输入 7 4 3" xfId="33410" xr:uid="{00000000-0005-0000-0000-000082820000}"/>
    <cellStyle name="输入 7 5" xfId="33411" xr:uid="{00000000-0005-0000-0000-000083820000}"/>
    <cellStyle name="输入 7 5 2" xfId="33412" xr:uid="{00000000-0005-0000-0000-000084820000}"/>
    <cellStyle name="输入 7 5 3" xfId="33413" xr:uid="{00000000-0005-0000-0000-000085820000}"/>
    <cellStyle name="输入 7 6" xfId="33414" xr:uid="{00000000-0005-0000-0000-000086820000}"/>
    <cellStyle name="输入 7 7" xfId="33415" xr:uid="{00000000-0005-0000-0000-000087820000}"/>
    <cellStyle name="输入 7 8" xfId="33416" xr:uid="{00000000-0005-0000-0000-000088820000}"/>
    <cellStyle name="输入 7 9" xfId="33417" xr:uid="{00000000-0005-0000-0000-000089820000}"/>
    <cellStyle name="输入 8" xfId="33418" xr:uid="{00000000-0005-0000-0000-00008A820000}"/>
    <cellStyle name="输入 8 2" xfId="33419" xr:uid="{00000000-0005-0000-0000-00008B820000}"/>
    <cellStyle name="输入 8 2 2" xfId="33420" xr:uid="{00000000-0005-0000-0000-00008C820000}"/>
    <cellStyle name="输入 8 2 3" xfId="33421" xr:uid="{00000000-0005-0000-0000-00008D820000}"/>
    <cellStyle name="输入 8 3" xfId="33422" xr:uid="{00000000-0005-0000-0000-00008E820000}"/>
    <cellStyle name="输入 8 3 2" xfId="33423" xr:uid="{00000000-0005-0000-0000-00008F820000}"/>
    <cellStyle name="输入 8 3 3" xfId="33424" xr:uid="{00000000-0005-0000-0000-000090820000}"/>
    <cellStyle name="输入 8 4" xfId="33425" xr:uid="{00000000-0005-0000-0000-000091820000}"/>
    <cellStyle name="输入 8 5" xfId="33426" xr:uid="{00000000-0005-0000-0000-000092820000}"/>
    <cellStyle name="输入 9" xfId="33427" xr:uid="{00000000-0005-0000-0000-000093820000}"/>
    <cellStyle name="输入 9 2" xfId="33428" xr:uid="{00000000-0005-0000-0000-000094820000}"/>
    <cellStyle name="输入 9 3" xfId="33429" xr:uid="{00000000-0005-0000-0000-000095820000}"/>
    <cellStyle name="输出" xfId="33430" xr:uid="{00000000-0005-0000-0000-000096820000}"/>
    <cellStyle name="输出 10" xfId="33431" xr:uid="{00000000-0005-0000-0000-000097820000}"/>
    <cellStyle name="输出 11" xfId="33432" xr:uid="{00000000-0005-0000-0000-000098820000}"/>
    <cellStyle name="输出 12" xfId="33433" xr:uid="{00000000-0005-0000-0000-000099820000}"/>
    <cellStyle name="输出 13" xfId="33434" xr:uid="{00000000-0005-0000-0000-00009A820000}"/>
    <cellStyle name="输出 14" xfId="33435" xr:uid="{00000000-0005-0000-0000-00009B820000}"/>
    <cellStyle name="输出 15" xfId="33436" xr:uid="{00000000-0005-0000-0000-00009C820000}"/>
    <cellStyle name="输出 16" xfId="33437" xr:uid="{00000000-0005-0000-0000-00009D820000}"/>
    <cellStyle name="输出 17" xfId="33438" xr:uid="{00000000-0005-0000-0000-00009E820000}"/>
    <cellStyle name="输出 18" xfId="33439" xr:uid="{00000000-0005-0000-0000-00009F820000}"/>
    <cellStyle name="输出 19" xfId="33440" xr:uid="{00000000-0005-0000-0000-0000A0820000}"/>
    <cellStyle name="输出 2" xfId="33441" xr:uid="{00000000-0005-0000-0000-0000A1820000}"/>
    <cellStyle name="输出 2 10" xfId="33442" xr:uid="{00000000-0005-0000-0000-0000A2820000}"/>
    <cellStyle name="输出 2 11" xfId="33443" xr:uid="{00000000-0005-0000-0000-0000A3820000}"/>
    <cellStyle name="输出 2 12" xfId="33444" xr:uid="{00000000-0005-0000-0000-0000A4820000}"/>
    <cellStyle name="输出 2 13" xfId="33445" xr:uid="{00000000-0005-0000-0000-0000A5820000}"/>
    <cellStyle name="输出 2 14" xfId="33446" xr:uid="{00000000-0005-0000-0000-0000A6820000}"/>
    <cellStyle name="输出 2 15" xfId="33447" xr:uid="{00000000-0005-0000-0000-0000A7820000}"/>
    <cellStyle name="输出 2 16" xfId="33448" xr:uid="{00000000-0005-0000-0000-0000A8820000}"/>
    <cellStyle name="输出 2 17" xfId="33449" xr:uid="{00000000-0005-0000-0000-0000A9820000}"/>
    <cellStyle name="输出 2 18" xfId="33450" xr:uid="{00000000-0005-0000-0000-0000AA820000}"/>
    <cellStyle name="输出 2 19" xfId="33451" xr:uid="{00000000-0005-0000-0000-0000AB820000}"/>
    <cellStyle name="输出 2 2" xfId="33452" xr:uid="{00000000-0005-0000-0000-0000AC820000}"/>
    <cellStyle name="输出 2 2 10" xfId="33453" xr:uid="{00000000-0005-0000-0000-0000AD820000}"/>
    <cellStyle name="输出 2 2 11" xfId="33454" xr:uid="{00000000-0005-0000-0000-0000AE820000}"/>
    <cellStyle name="输出 2 2 12" xfId="33455" xr:uid="{00000000-0005-0000-0000-0000AF820000}"/>
    <cellStyle name="输出 2 2 13" xfId="33456" xr:uid="{00000000-0005-0000-0000-0000B0820000}"/>
    <cellStyle name="输出 2 2 14" xfId="33457" xr:uid="{00000000-0005-0000-0000-0000B1820000}"/>
    <cellStyle name="输出 2 2 15" xfId="33458" xr:uid="{00000000-0005-0000-0000-0000B2820000}"/>
    <cellStyle name="输出 2 2 16" xfId="33459" xr:uid="{00000000-0005-0000-0000-0000B3820000}"/>
    <cellStyle name="输出 2 2 17" xfId="33460" xr:uid="{00000000-0005-0000-0000-0000B4820000}"/>
    <cellStyle name="输出 2 2 18" xfId="33461" xr:uid="{00000000-0005-0000-0000-0000B5820000}"/>
    <cellStyle name="输出 2 2 19" xfId="33462" xr:uid="{00000000-0005-0000-0000-0000B6820000}"/>
    <cellStyle name="输出 2 2 2" xfId="33463" xr:uid="{00000000-0005-0000-0000-0000B7820000}"/>
    <cellStyle name="输出 2 2 20" xfId="33464" xr:uid="{00000000-0005-0000-0000-0000B8820000}"/>
    <cellStyle name="输出 2 2 21" xfId="33465" xr:uid="{00000000-0005-0000-0000-0000B9820000}"/>
    <cellStyle name="输出 2 2 22" xfId="33466" xr:uid="{00000000-0005-0000-0000-0000BA820000}"/>
    <cellStyle name="输出 2 2 23" xfId="33467" xr:uid="{00000000-0005-0000-0000-0000BB820000}"/>
    <cellStyle name="输出 2 2 24" xfId="33468" xr:uid="{00000000-0005-0000-0000-0000BC820000}"/>
    <cellStyle name="输出 2 2 25" xfId="33469" xr:uid="{00000000-0005-0000-0000-0000BD820000}"/>
    <cellStyle name="输出 2 2 26" xfId="33470" xr:uid="{00000000-0005-0000-0000-0000BE820000}"/>
    <cellStyle name="输出 2 2 27" xfId="33471" xr:uid="{00000000-0005-0000-0000-0000BF820000}"/>
    <cellStyle name="输出 2 2 28" xfId="33472" xr:uid="{00000000-0005-0000-0000-0000C0820000}"/>
    <cellStyle name="输出 2 2 29" xfId="33473" xr:uid="{00000000-0005-0000-0000-0000C1820000}"/>
    <cellStyle name="输出 2 2 3" xfId="33474" xr:uid="{00000000-0005-0000-0000-0000C2820000}"/>
    <cellStyle name="输出 2 2 30" xfId="33475" xr:uid="{00000000-0005-0000-0000-0000C3820000}"/>
    <cellStyle name="输出 2 2 31" xfId="33476" xr:uid="{00000000-0005-0000-0000-0000C4820000}"/>
    <cellStyle name="输出 2 2 32" xfId="33477" xr:uid="{00000000-0005-0000-0000-0000C5820000}"/>
    <cellStyle name="输出 2 2 33" xfId="33478" xr:uid="{00000000-0005-0000-0000-0000C6820000}"/>
    <cellStyle name="输出 2 2 34" xfId="33479" xr:uid="{00000000-0005-0000-0000-0000C7820000}"/>
    <cellStyle name="输出 2 2 4" xfId="33480" xr:uid="{00000000-0005-0000-0000-0000C8820000}"/>
    <cellStyle name="输出 2 2 5" xfId="33481" xr:uid="{00000000-0005-0000-0000-0000C9820000}"/>
    <cellStyle name="输出 2 2 6" xfId="33482" xr:uid="{00000000-0005-0000-0000-0000CA820000}"/>
    <cellStyle name="输出 2 2 7" xfId="33483" xr:uid="{00000000-0005-0000-0000-0000CB820000}"/>
    <cellStyle name="输出 2 2 8" xfId="33484" xr:uid="{00000000-0005-0000-0000-0000CC820000}"/>
    <cellStyle name="输出 2 2 9" xfId="33485" xr:uid="{00000000-0005-0000-0000-0000CD820000}"/>
    <cellStyle name="输出 2 20" xfId="33486" xr:uid="{00000000-0005-0000-0000-0000CE820000}"/>
    <cellStyle name="输出 2 3" xfId="33487" xr:uid="{00000000-0005-0000-0000-0000CF820000}"/>
    <cellStyle name="输出 2 3 2" xfId="33488" xr:uid="{00000000-0005-0000-0000-0000D0820000}"/>
    <cellStyle name="输出 2 3 3" xfId="33489" xr:uid="{00000000-0005-0000-0000-0000D1820000}"/>
    <cellStyle name="输出 2 4" xfId="33490" xr:uid="{00000000-0005-0000-0000-0000D2820000}"/>
    <cellStyle name="输出 2 5" xfId="33491" xr:uid="{00000000-0005-0000-0000-0000D3820000}"/>
    <cellStyle name="输出 2 6" xfId="33492" xr:uid="{00000000-0005-0000-0000-0000D4820000}"/>
    <cellStyle name="输出 2 7" xfId="33493" xr:uid="{00000000-0005-0000-0000-0000D5820000}"/>
    <cellStyle name="输出 2 8" xfId="33494" xr:uid="{00000000-0005-0000-0000-0000D6820000}"/>
    <cellStyle name="输出 2 9" xfId="33495" xr:uid="{00000000-0005-0000-0000-0000D7820000}"/>
    <cellStyle name="输出 20" xfId="33496" xr:uid="{00000000-0005-0000-0000-0000D8820000}"/>
    <cellStyle name="输出 21" xfId="33497" xr:uid="{00000000-0005-0000-0000-0000D9820000}"/>
    <cellStyle name="输出 22" xfId="33498" xr:uid="{00000000-0005-0000-0000-0000DA820000}"/>
    <cellStyle name="输出 23" xfId="33499" xr:uid="{00000000-0005-0000-0000-0000DB820000}"/>
    <cellStyle name="输出 24" xfId="33500" xr:uid="{00000000-0005-0000-0000-0000DC820000}"/>
    <cellStyle name="输出 25" xfId="33501" xr:uid="{00000000-0005-0000-0000-0000DD820000}"/>
    <cellStyle name="输出 3" xfId="33502" xr:uid="{00000000-0005-0000-0000-0000DE820000}"/>
    <cellStyle name="输出 3 10" xfId="33503" xr:uid="{00000000-0005-0000-0000-0000DF820000}"/>
    <cellStyle name="输出 3 11" xfId="33504" xr:uid="{00000000-0005-0000-0000-0000E0820000}"/>
    <cellStyle name="输出 3 12" xfId="33505" xr:uid="{00000000-0005-0000-0000-0000E1820000}"/>
    <cellStyle name="输出 3 13" xfId="33506" xr:uid="{00000000-0005-0000-0000-0000E2820000}"/>
    <cellStyle name="输出 3 14" xfId="33507" xr:uid="{00000000-0005-0000-0000-0000E3820000}"/>
    <cellStyle name="输出 3 15" xfId="33508" xr:uid="{00000000-0005-0000-0000-0000E4820000}"/>
    <cellStyle name="输出 3 16" xfId="33509" xr:uid="{00000000-0005-0000-0000-0000E5820000}"/>
    <cellStyle name="输出 3 17" xfId="33510" xr:uid="{00000000-0005-0000-0000-0000E6820000}"/>
    <cellStyle name="输出 3 18" xfId="33511" xr:uid="{00000000-0005-0000-0000-0000E7820000}"/>
    <cellStyle name="输出 3 19" xfId="33512" xr:uid="{00000000-0005-0000-0000-0000E8820000}"/>
    <cellStyle name="输出 3 2" xfId="33513" xr:uid="{00000000-0005-0000-0000-0000E9820000}"/>
    <cellStyle name="输出 3 2 10" xfId="33514" xr:uid="{00000000-0005-0000-0000-0000EA820000}"/>
    <cellStyle name="输出 3 2 11" xfId="33515" xr:uid="{00000000-0005-0000-0000-0000EB820000}"/>
    <cellStyle name="输出 3 2 12" xfId="33516" xr:uid="{00000000-0005-0000-0000-0000EC820000}"/>
    <cellStyle name="输出 3 2 13" xfId="33517" xr:uid="{00000000-0005-0000-0000-0000ED820000}"/>
    <cellStyle name="输出 3 2 14" xfId="33518" xr:uid="{00000000-0005-0000-0000-0000EE820000}"/>
    <cellStyle name="输出 3 2 15" xfId="33519" xr:uid="{00000000-0005-0000-0000-0000EF820000}"/>
    <cellStyle name="输出 3 2 16" xfId="33520" xr:uid="{00000000-0005-0000-0000-0000F0820000}"/>
    <cellStyle name="输出 3 2 17" xfId="33521" xr:uid="{00000000-0005-0000-0000-0000F1820000}"/>
    <cellStyle name="输出 3 2 18" xfId="33522" xr:uid="{00000000-0005-0000-0000-0000F2820000}"/>
    <cellStyle name="输出 3 2 19" xfId="33523" xr:uid="{00000000-0005-0000-0000-0000F3820000}"/>
    <cellStyle name="输出 3 2 2" xfId="33524" xr:uid="{00000000-0005-0000-0000-0000F4820000}"/>
    <cellStyle name="输出 3 2 20" xfId="33525" xr:uid="{00000000-0005-0000-0000-0000F5820000}"/>
    <cellStyle name="输出 3 2 21" xfId="33526" xr:uid="{00000000-0005-0000-0000-0000F6820000}"/>
    <cellStyle name="输出 3 2 22" xfId="33527" xr:uid="{00000000-0005-0000-0000-0000F7820000}"/>
    <cellStyle name="输出 3 2 23" xfId="33528" xr:uid="{00000000-0005-0000-0000-0000F8820000}"/>
    <cellStyle name="输出 3 2 24" xfId="33529" xr:uid="{00000000-0005-0000-0000-0000F9820000}"/>
    <cellStyle name="输出 3 2 25" xfId="33530" xr:uid="{00000000-0005-0000-0000-0000FA820000}"/>
    <cellStyle name="输出 3 2 26" xfId="33531" xr:uid="{00000000-0005-0000-0000-0000FB820000}"/>
    <cellStyle name="输出 3 2 27" xfId="33532" xr:uid="{00000000-0005-0000-0000-0000FC820000}"/>
    <cellStyle name="输出 3 2 28" xfId="33533" xr:uid="{00000000-0005-0000-0000-0000FD820000}"/>
    <cellStyle name="输出 3 2 29" xfId="33534" xr:uid="{00000000-0005-0000-0000-0000FE820000}"/>
    <cellStyle name="输出 3 2 3" xfId="33535" xr:uid="{00000000-0005-0000-0000-0000FF820000}"/>
    <cellStyle name="输出 3 2 30" xfId="33536" xr:uid="{00000000-0005-0000-0000-000000830000}"/>
    <cellStyle name="输出 3 2 31" xfId="33537" xr:uid="{00000000-0005-0000-0000-000001830000}"/>
    <cellStyle name="输出 3 2 32" xfId="33538" xr:uid="{00000000-0005-0000-0000-000002830000}"/>
    <cellStyle name="输出 3 2 33" xfId="33539" xr:uid="{00000000-0005-0000-0000-000003830000}"/>
    <cellStyle name="输出 3 2 34" xfId="33540" xr:uid="{00000000-0005-0000-0000-000004830000}"/>
    <cellStyle name="输出 3 2 4" xfId="33541" xr:uid="{00000000-0005-0000-0000-000005830000}"/>
    <cellStyle name="输出 3 2 5" xfId="33542" xr:uid="{00000000-0005-0000-0000-000006830000}"/>
    <cellStyle name="输出 3 2 6" xfId="33543" xr:uid="{00000000-0005-0000-0000-000007830000}"/>
    <cellStyle name="输出 3 2 7" xfId="33544" xr:uid="{00000000-0005-0000-0000-000008830000}"/>
    <cellStyle name="输出 3 2 8" xfId="33545" xr:uid="{00000000-0005-0000-0000-000009830000}"/>
    <cellStyle name="输出 3 2 9" xfId="33546" xr:uid="{00000000-0005-0000-0000-00000A830000}"/>
    <cellStyle name="输出 3 20" xfId="33547" xr:uid="{00000000-0005-0000-0000-00000B830000}"/>
    <cellStyle name="输出 3 3" xfId="33548" xr:uid="{00000000-0005-0000-0000-00000C830000}"/>
    <cellStyle name="输出 3 3 2" xfId="33549" xr:uid="{00000000-0005-0000-0000-00000D830000}"/>
    <cellStyle name="输出 3 3 3" xfId="33550" xr:uid="{00000000-0005-0000-0000-00000E830000}"/>
    <cellStyle name="输出 3 4" xfId="33551" xr:uid="{00000000-0005-0000-0000-00000F830000}"/>
    <cellStyle name="输出 3 5" xfId="33552" xr:uid="{00000000-0005-0000-0000-000010830000}"/>
    <cellStyle name="输出 3 6" xfId="33553" xr:uid="{00000000-0005-0000-0000-000011830000}"/>
    <cellStyle name="输出 3 7" xfId="33554" xr:uid="{00000000-0005-0000-0000-000012830000}"/>
    <cellStyle name="输出 3 8" xfId="33555" xr:uid="{00000000-0005-0000-0000-000013830000}"/>
    <cellStyle name="输出 3 9" xfId="33556" xr:uid="{00000000-0005-0000-0000-000014830000}"/>
    <cellStyle name="输出 4" xfId="33557" xr:uid="{00000000-0005-0000-0000-000015830000}"/>
    <cellStyle name="输出 4 10" xfId="33558" xr:uid="{00000000-0005-0000-0000-000016830000}"/>
    <cellStyle name="输出 4 11" xfId="33559" xr:uid="{00000000-0005-0000-0000-000017830000}"/>
    <cellStyle name="输出 4 12" xfId="33560" xr:uid="{00000000-0005-0000-0000-000018830000}"/>
    <cellStyle name="输出 4 13" xfId="33561" xr:uid="{00000000-0005-0000-0000-000019830000}"/>
    <cellStyle name="输出 4 14" xfId="33562" xr:uid="{00000000-0005-0000-0000-00001A830000}"/>
    <cellStyle name="输出 4 15" xfId="33563" xr:uid="{00000000-0005-0000-0000-00001B830000}"/>
    <cellStyle name="输出 4 16" xfId="33564" xr:uid="{00000000-0005-0000-0000-00001C830000}"/>
    <cellStyle name="输出 4 17" xfId="33565" xr:uid="{00000000-0005-0000-0000-00001D830000}"/>
    <cellStyle name="输出 4 18" xfId="33566" xr:uid="{00000000-0005-0000-0000-00001E830000}"/>
    <cellStyle name="输出 4 19" xfId="33567" xr:uid="{00000000-0005-0000-0000-00001F830000}"/>
    <cellStyle name="输出 4 2" xfId="33568" xr:uid="{00000000-0005-0000-0000-000020830000}"/>
    <cellStyle name="输出 4 2 10" xfId="33569" xr:uid="{00000000-0005-0000-0000-000021830000}"/>
    <cellStyle name="输出 4 2 11" xfId="33570" xr:uid="{00000000-0005-0000-0000-000022830000}"/>
    <cellStyle name="输出 4 2 12" xfId="33571" xr:uid="{00000000-0005-0000-0000-000023830000}"/>
    <cellStyle name="输出 4 2 13" xfId="33572" xr:uid="{00000000-0005-0000-0000-000024830000}"/>
    <cellStyle name="输出 4 2 14" xfId="33573" xr:uid="{00000000-0005-0000-0000-000025830000}"/>
    <cellStyle name="输出 4 2 15" xfId="33574" xr:uid="{00000000-0005-0000-0000-000026830000}"/>
    <cellStyle name="输出 4 2 16" xfId="33575" xr:uid="{00000000-0005-0000-0000-000027830000}"/>
    <cellStyle name="输出 4 2 17" xfId="33576" xr:uid="{00000000-0005-0000-0000-000028830000}"/>
    <cellStyle name="输出 4 2 18" xfId="33577" xr:uid="{00000000-0005-0000-0000-000029830000}"/>
    <cellStyle name="输出 4 2 19" xfId="33578" xr:uid="{00000000-0005-0000-0000-00002A830000}"/>
    <cellStyle name="输出 4 2 2" xfId="33579" xr:uid="{00000000-0005-0000-0000-00002B830000}"/>
    <cellStyle name="输出 4 2 20" xfId="33580" xr:uid="{00000000-0005-0000-0000-00002C830000}"/>
    <cellStyle name="输出 4 2 21" xfId="33581" xr:uid="{00000000-0005-0000-0000-00002D830000}"/>
    <cellStyle name="输出 4 2 22" xfId="33582" xr:uid="{00000000-0005-0000-0000-00002E830000}"/>
    <cellStyle name="输出 4 2 23" xfId="33583" xr:uid="{00000000-0005-0000-0000-00002F830000}"/>
    <cellStyle name="输出 4 2 24" xfId="33584" xr:uid="{00000000-0005-0000-0000-000030830000}"/>
    <cellStyle name="输出 4 2 25" xfId="33585" xr:uid="{00000000-0005-0000-0000-000031830000}"/>
    <cellStyle name="输出 4 2 26" xfId="33586" xr:uid="{00000000-0005-0000-0000-000032830000}"/>
    <cellStyle name="输出 4 2 27" xfId="33587" xr:uid="{00000000-0005-0000-0000-000033830000}"/>
    <cellStyle name="输出 4 2 28" xfId="33588" xr:uid="{00000000-0005-0000-0000-000034830000}"/>
    <cellStyle name="输出 4 2 29" xfId="33589" xr:uid="{00000000-0005-0000-0000-000035830000}"/>
    <cellStyle name="输出 4 2 3" xfId="33590" xr:uid="{00000000-0005-0000-0000-000036830000}"/>
    <cellStyle name="输出 4 2 30" xfId="33591" xr:uid="{00000000-0005-0000-0000-000037830000}"/>
    <cellStyle name="输出 4 2 31" xfId="33592" xr:uid="{00000000-0005-0000-0000-000038830000}"/>
    <cellStyle name="输出 4 2 32" xfId="33593" xr:uid="{00000000-0005-0000-0000-000039830000}"/>
    <cellStyle name="输出 4 2 33" xfId="33594" xr:uid="{00000000-0005-0000-0000-00003A830000}"/>
    <cellStyle name="输出 4 2 34" xfId="33595" xr:uid="{00000000-0005-0000-0000-00003B830000}"/>
    <cellStyle name="输出 4 2 4" xfId="33596" xr:uid="{00000000-0005-0000-0000-00003C830000}"/>
    <cellStyle name="输出 4 2 5" xfId="33597" xr:uid="{00000000-0005-0000-0000-00003D830000}"/>
    <cellStyle name="输出 4 2 6" xfId="33598" xr:uid="{00000000-0005-0000-0000-00003E830000}"/>
    <cellStyle name="输出 4 2 7" xfId="33599" xr:uid="{00000000-0005-0000-0000-00003F830000}"/>
    <cellStyle name="输出 4 2 8" xfId="33600" xr:uid="{00000000-0005-0000-0000-000040830000}"/>
    <cellStyle name="输出 4 2 9" xfId="33601" xr:uid="{00000000-0005-0000-0000-000041830000}"/>
    <cellStyle name="输出 4 20" xfId="33602" xr:uid="{00000000-0005-0000-0000-000042830000}"/>
    <cellStyle name="输出 4 3" xfId="33603" xr:uid="{00000000-0005-0000-0000-000043830000}"/>
    <cellStyle name="输出 4 3 2" xfId="33604" xr:uid="{00000000-0005-0000-0000-000044830000}"/>
    <cellStyle name="输出 4 3 3" xfId="33605" xr:uid="{00000000-0005-0000-0000-000045830000}"/>
    <cellStyle name="输出 4 4" xfId="33606" xr:uid="{00000000-0005-0000-0000-000046830000}"/>
    <cellStyle name="输出 4 5" xfId="33607" xr:uid="{00000000-0005-0000-0000-000047830000}"/>
    <cellStyle name="输出 4 6" xfId="33608" xr:uid="{00000000-0005-0000-0000-000048830000}"/>
    <cellStyle name="输出 4 7" xfId="33609" xr:uid="{00000000-0005-0000-0000-000049830000}"/>
    <cellStyle name="输出 4 8" xfId="33610" xr:uid="{00000000-0005-0000-0000-00004A830000}"/>
    <cellStyle name="输出 4 9" xfId="33611" xr:uid="{00000000-0005-0000-0000-00004B830000}"/>
    <cellStyle name="输出 5" xfId="33612" xr:uid="{00000000-0005-0000-0000-00004C830000}"/>
    <cellStyle name="输出 5 10" xfId="33613" xr:uid="{00000000-0005-0000-0000-00004D830000}"/>
    <cellStyle name="输出 5 11" xfId="33614" xr:uid="{00000000-0005-0000-0000-00004E830000}"/>
    <cellStyle name="输出 5 12" xfId="33615" xr:uid="{00000000-0005-0000-0000-00004F830000}"/>
    <cellStyle name="输出 5 13" xfId="33616" xr:uid="{00000000-0005-0000-0000-000050830000}"/>
    <cellStyle name="输出 5 14" xfId="33617" xr:uid="{00000000-0005-0000-0000-000051830000}"/>
    <cellStyle name="输出 5 15" xfId="33618" xr:uid="{00000000-0005-0000-0000-000052830000}"/>
    <cellStyle name="输出 5 16" xfId="33619" xr:uid="{00000000-0005-0000-0000-000053830000}"/>
    <cellStyle name="输出 5 17" xfId="33620" xr:uid="{00000000-0005-0000-0000-000054830000}"/>
    <cellStyle name="输出 5 18" xfId="33621" xr:uid="{00000000-0005-0000-0000-000055830000}"/>
    <cellStyle name="输出 5 19" xfId="33622" xr:uid="{00000000-0005-0000-0000-000056830000}"/>
    <cellStyle name="输出 5 2" xfId="33623" xr:uid="{00000000-0005-0000-0000-000057830000}"/>
    <cellStyle name="输出 5 2 10" xfId="33624" xr:uid="{00000000-0005-0000-0000-000058830000}"/>
    <cellStyle name="输出 5 2 11" xfId="33625" xr:uid="{00000000-0005-0000-0000-000059830000}"/>
    <cellStyle name="输出 5 2 12" xfId="33626" xr:uid="{00000000-0005-0000-0000-00005A830000}"/>
    <cellStyle name="输出 5 2 13" xfId="33627" xr:uid="{00000000-0005-0000-0000-00005B830000}"/>
    <cellStyle name="输出 5 2 14" xfId="33628" xr:uid="{00000000-0005-0000-0000-00005C830000}"/>
    <cellStyle name="输出 5 2 15" xfId="33629" xr:uid="{00000000-0005-0000-0000-00005D830000}"/>
    <cellStyle name="输出 5 2 16" xfId="33630" xr:uid="{00000000-0005-0000-0000-00005E830000}"/>
    <cellStyle name="输出 5 2 17" xfId="33631" xr:uid="{00000000-0005-0000-0000-00005F830000}"/>
    <cellStyle name="输出 5 2 18" xfId="33632" xr:uid="{00000000-0005-0000-0000-000060830000}"/>
    <cellStyle name="输出 5 2 19" xfId="33633" xr:uid="{00000000-0005-0000-0000-000061830000}"/>
    <cellStyle name="输出 5 2 2" xfId="33634" xr:uid="{00000000-0005-0000-0000-000062830000}"/>
    <cellStyle name="输出 5 2 20" xfId="33635" xr:uid="{00000000-0005-0000-0000-000063830000}"/>
    <cellStyle name="输出 5 2 21" xfId="33636" xr:uid="{00000000-0005-0000-0000-000064830000}"/>
    <cellStyle name="输出 5 2 22" xfId="33637" xr:uid="{00000000-0005-0000-0000-000065830000}"/>
    <cellStyle name="输出 5 2 23" xfId="33638" xr:uid="{00000000-0005-0000-0000-000066830000}"/>
    <cellStyle name="输出 5 2 24" xfId="33639" xr:uid="{00000000-0005-0000-0000-000067830000}"/>
    <cellStyle name="输出 5 2 25" xfId="33640" xr:uid="{00000000-0005-0000-0000-000068830000}"/>
    <cellStyle name="输出 5 2 26" xfId="33641" xr:uid="{00000000-0005-0000-0000-000069830000}"/>
    <cellStyle name="输出 5 2 27" xfId="33642" xr:uid="{00000000-0005-0000-0000-00006A830000}"/>
    <cellStyle name="输出 5 2 28" xfId="33643" xr:uid="{00000000-0005-0000-0000-00006B830000}"/>
    <cellStyle name="输出 5 2 29" xfId="33644" xr:uid="{00000000-0005-0000-0000-00006C830000}"/>
    <cellStyle name="输出 5 2 3" xfId="33645" xr:uid="{00000000-0005-0000-0000-00006D830000}"/>
    <cellStyle name="输出 5 2 30" xfId="33646" xr:uid="{00000000-0005-0000-0000-00006E830000}"/>
    <cellStyle name="输出 5 2 31" xfId="33647" xr:uid="{00000000-0005-0000-0000-00006F830000}"/>
    <cellStyle name="输出 5 2 32" xfId="33648" xr:uid="{00000000-0005-0000-0000-000070830000}"/>
    <cellStyle name="输出 5 2 33" xfId="33649" xr:uid="{00000000-0005-0000-0000-000071830000}"/>
    <cellStyle name="输出 5 2 34" xfId="33650" xr:uid="{00000000-0005-0000-0000-000072830000}"/>
    <cellStyle name="输出 5 2 4" xfId="33651" xr:uid="{00000000-0005-0000-0000-000073830000}"/>
    <cellStyle name="输出 5 2 5" xfId="33652" xr:uid="{00000000-0005-0000-0000-000074830000}"/>
    <cellStyle name="输出 5 2 6" xfId="33653" xr:uid="{00000000-0005-0000-0000-000075830000}"/>
    <cellStyle name="输出 5 2 7" xfId="33654" xr:uid="{00000000-0005-0000-0000-000076830000}"/>
    <cellStyle name="输出 5 2 8" xfId="33655" xr:uid="{00000000-0005-0000-0000-000077830000}"/>
    <cellStyle name="输出 5 2 9" xfId="33656" xr:uid="{00000000-0005-0000-0000-000078830000}"/>
    <cellStyle name="输出 5 20" xfId="33657" xr:uid="{00000000-0005-0000-0000-000079830000}"/>
    <cellStyle name="输出 5 3" xfId="33658" xr:uid="{00000000-0005-0000-0000-00007A830000}"/>
    <cellStyle name="输出 5 3 2" xfId="33659" xr:uid="{00000000-0005-0000-0000-00007B830000}"/>
    <cellStyle name="输出 5 3 3" xfId="33660" xr:uid="{00000000-0005-0000-0000-00007C830000}"/>
    <cellStyle name="输出 5 4" xfId="33661" xr:uid="{00000000-0005-0000-0000-00007D830000}"/>
    <cellStyle name="输出 5 5" xfId="33662" xr:uid="{00000000-0005-0000-0000-00007E830000}"/>
    <cellStyle name="输出 5 6" xfId="33663" xr:uid="{00000000-0005-0000-0000-00007F830000}"/>
    <cellStyle name="输出 5 7" xfId="33664" xr:uid="{00000000-0005-0000-0000-000080830000}"/>
    <cellStyle name="输出 5 8" xfId="33665" xr:uid="{00000000-0005-0000-0000-000081830000}"/>
    <cellStyle name="输出 5 9" xfId="33666" xr:uid="{00000000-0005-0000-0000-000082830000}"/>
    <cellStyle name="输出 6" xfId="33667" xr:uid="{00000000-0005-0000-0000-000083830000}"/>
    <cellStyle name="输出 6 10" xfId="33668" xr:uid="{00000000-0005-0000-0000-000084830000}"/>
    <cellStyle name="输出 6 11" xfId="33669" xr:uid="{00000000-0005-0000-0000-000085830000}"/>
    <cellStyle name="输出 6 12" xfId="33670" xr:uid="{00000000-0005-0000-0000-000086830000}"/>
    <cellStyle name="输出 6 13" xfId="33671" xr:uid="{00000000-0005-0000-0000-000087830000}"/>
    <cellStyle name="输出 6 14" xfId="33672" xr:uid="{00000000-0005-0000-0000-000088830000}"/>
    <cellStyle name="输出 6 15" xfId="33673" xr:uid="{00000000-0005-0000-0000-000089830000}"/>
    <cellStyle name="输出 6 16" xfId="33674" xr:uid="{00000000-0005-0000-0000-00008A830000}"/>
    <cellStyle name="输出 6 17" xfId="33675" xr:uid="{00000000-0005-0000-0000-00008B830000}"/>
    <cellStyle name="输出 6 18" xfId="33676" xr:uid="{00000000-0005-0000-0000-00008C830000}"/>
    <cellStyle name="输出 6 19" xfId="33677" xr:uid="{00000000-0005-0000-0000-00008D830000}"/>
    <cellStyle name="输出 6 2" xfId="33678" xr:uid="{00000000-0005-0000-0000-00008E830000}"/>
    <cellStyle name="输出 6 2 10" xfId="33679" xr:uid="{00000000-0005-0000-0000-00008F830000}"/>
    <cellStyle name="输出 6 2 11" xfId="33680" xr:uid="{00000000-0005-0000-0000-000090830000}"/>
    <cellStyle name="输出 6 2 12" xfId="33681" xr:uid="{00000000-0005-0000-0000-000091830000}"/>
    <cellStyle name="输出 6 2 13" xfId="33682" xr:uid="{00000000-0005-0000-0000-000092830000}"/>
    <cellStyle name="输出 6 2 14" xfId="33683" xr:uid="{00000000-0005-0000-0000-000093830000}"/>
    <cellStyle name="输出 6 2 15" xfId="33684" xr:uid="{00000000-0005-0000-0000-000094830000}"/>
    <cellStyle name="输出 6 2 16" xfId="33685" xr:uid="{00000000-0005-0000-0000-000095830000}"/>
    <cellStyle name="输出 6 2 17" xfId="33686" xr:uid="{00000000-0005-0000-0000-000096830000}"/>
    <cellStyle name="输出 6 2 18" xfId="33687" xr:uid="{00000000-0005-0000-0000-000097830000}"/>
    <cellStyle name="输出 6 2 19" xfId="33688" xr:uid="{00000000-0005-0000-0000-000098830000}"/>
    <cellStyle name="输出 6 2 2" xfId="33689" xr:uid="{00000000-0005-0000-0000-000099830000}"/>
    <cellStyle name="输出 6 2 20" xfId="33690" xr:uid="{00000000-0005-0000-0000-00009A830000}"/>
    <cellStyle name="输出 6 2 21" xfId="33691" xr:uid="{00000000-0005-0000-0000-00009B830000}"/>
    <cellStyle name="输出 6 2 22" xfId="33692" xr:uid="{00000000-0005-0000-0000-00009C830000}"/>
    <cellStyle name="输出 6 2 23" xfId="33693" xr:uid="{00000000-0005-0000-0000-00009D830000}"/>
    <cellStyle name="输出 6 2 24" xfId="33694" xr:uid="{00000000-0005-0000-0000-00009E830000}"/>
    <cellStyle name="输出 6 2 25" xfId="33695" xr:uid="{00000000-0005-0000-0000-00009F830000}"/>
    <cellStyle name="输出 6 2 26" xfId="33696" xr:uid="{00000000-0005-0000-0000-0000A0830000}"/>
    <cellStyle name="输出 6 2 27" xfId="33697" xr:uid="{00000000-0005-0000-0000-0000A1830000}"/>
    <cellStyle name="输出 6 2 28" xfId="33698" xr:uid="{00000000-0005-0000-0000-0000A2830000}"/>
    <cellStyle name="输出 6 2 29" xfId="33699" xr:uid="{00000000-0005-0000-0000-0000A3830000}"/>
    <cellStyle name="输出 6 2 3" xfId="33700" xr:uid="{00000000-0005-0000-0000-0000A4830000}"/>
    <cellStyle name="输出 6 2 30" xfId="33701" xr:uid="{00000000-0005-0000-0000-0000A5830000}"/>
    <cellStyle name="输出 6 2 31" xfId="33702" xr:uid="{00000000-0005-0000-0000-0000A6830000}"/>
    <cellStyle name="输出 6 2 32" xfId="33703" xr:uid="{00000000-0005-0000-0000-0000A7830000}"/>
    <cellStyle name="输出 6 2 33" xfId="33704" xr:uid="{00000000-0005-0000-0000-0000A8830000}"/>
    <cellStyle name="输出 6 2 34" xfId="33705" xr:uid="{00000000-0005-0000-0000-0000A9830000}"/>
    <cellStyle name="输出 6 2 4" xfId="33706" xr:uid="{00000000-0005-0000-0000-0000AA830000}"/>
    <cellStyle name="输出 6 2 5" xfId="33707" xr:uid="{00000000-0005-0000-0000-0000AB830000}"/>
    <cellStyle name="输出 6 2 6" xfId="33708" xr:uid="{00000000-0005-0000-0000-0000AC830000}"/>
    <cellStyle name="输出 6 2 7" xfId="33709" xr:uid="{00000000-0005-0000-0000-0000AD830000}"/>
    <cellStyle name="输出 6 2 8" xfId="33710" xr:uid="{00000000-0005-0000-0000-0000AE830000}"/>
    <cellStyle name="输出 6 2 9" xfId="33711" xr:uid="{00000000-0005-0000-0000-0000AF830000}"/>
    <cellStyle name="输出 6 20" xfId="33712" xr:uid="{00000000-0005-0000-0000-0000B0830000}"/>
    <cellStyle name="输出 6 3" xfId="33713" xr:uid="{00000000-0005-0000-0000-0000B1830000}"/>
    <cellStyle name="输出 6 3 2" xfId="33714" xr:uid="{00000000-0005-0000-0000-0000B2830000}"/>
    <cellStyle name="输出 6 3 3" xfId="33715" xr:uid="{00000000-0005-0000-0000-0000B3830000}"/>
    <cellStyle name="输出 6 4" xfId="33716" xr:uid="{00000000-0005-0000-0000-0000B4830000}"/>
    <cellStyle name="输出 6 5" xfId="33717" xr:uid="{00000000-0005-0000-0000-0000B5830000}"/>
    <cellStyle name="输出 6 6" xfId="33718" xr:uid="{00000000-0005-0000-0000-0000B6830000}"/>
    <cellStyle name="输出 6 7" xfId="33719" xr:uid="{00000000-0005-0000-0000-0000B7830000}"/>
    <cellStyle name="输出 6 8" xfId="33720" xr:uid="{00000000-0005-0000-0000-0000B8830000}"/>
    <cellStyle name="输出 6 9" xfId="33721" xr:uid="{00000000-0005-0000-0000-0000B9830000}"/>
    <cellStyle name="输出 7" xfId="33722" xr:uid="{00000000-0005-0000-0000-0000BA830000}"/>
    <cellStyle name="输出 7 10" xfId="33723" xr:uid="{00000000-0005-0000-0000-0000BB830000}"/>
    <cellStyle name="输出 7 11" xfId="33724" xr:uid="{00000000-0005-0000-0000-0000BC830000}"/>
    <cellStyle name="输出 7 12" xfId="33725" xr:uid="{00000000-0005-0000-0000-0000BD830000}"/>
    <cellStyle name="输出 7 13" xfId="33726" xr:uid="{00000000-0005-0000-0000-0000BE830000}"/>
    <cellStyle name="输出 7 14" xfId="33727" xr:uid="{00000000-0005-0000-0000-0000BF830000}"/>
    <cellStyle name="输出 7 15" xfId="33728" xr:uid="{00000000-0005-0000-0000-0000C0830000}"/>
    <cellStyle name="输出 7 16" xfId="33729" xr:uid="{00000000-0005-0000-0000-0000C1830000}"/>
    <cellStyle name="输出 7 17" xfId="33730" xr:uid="{00000000-0005-0000-0000-0000C2830000}"/>
    <cellStyle name="输出 7 18" xfId="33731" xr:uid="{00000000-0005-0000-0000-0000C3830000}"/>
    <cellStyle name="输出 7 19" xfId="33732" xr:uid="{00000000-0005-0000-0000-0000C4830000}"/>
    <cellStyle name="输出 7 2" xfId="33733" xr:uid="{00000000-0005-0000-0000-0000C5830000}"/>
    <cellStyle name="输出 7 20" xfId="33734" xr:uid="{00000000-0005-0000-0000-0000C6830000}"/>
    <cellStyle name="输出 7 21" xfId="33735" xr:uid="{00000000-0005-0000-0000-0000C7830000}"/>
    <cellStyle name="输出 7 22" xfId="33736" xr:uid="{00000000-0005-0000-0000-0000C8830000}"/>
    <cellStyle name="输出 7 23" xfId="33737" xr:uid="{00000000-0005-0000-0000-0000C9830000}"/>
    <cellStyle name="输出 7 24" xfId="33738" xr:uid="{00000000-0005-0000-0000-0000CA830000}"/>
    <cellStyle name="输出 7 25" xfId="33739" xr:uid="{00000000-0005-0000-0000-0000CB830000}"/>
    <cellStyle name="输出 7 26" xfId="33740" xr:uid="{00000000-0005-0000-0000-0000CC830000}"/>
    <cellStyle name="输出 7 27" xfId="33741" xr:uid="{00000000-0005-0000-0000-0000CD830000}"/>
    <cellStyle name="输出 7 28" xfId="33742" xr:uid="{00000000-0005-0000-0000-0000CE830000}"/>
    <cellStyle name="输出 7 29" xfId="33743" xr:uid="{00000000-0005-0000-0000-0000CF830000}"/>
    <cellStyle name="输出 7 3" xfId="33744" xr:uid="{00000000-0005-0000-0000-0000D0830000}"/>
    <cellStyle name="输出 7 30" xfId="33745" xr:uid="{00000000-0005-0000-0000-0000D1830000}"/>
    <cellStyle name="输出 7 31" xfId="33746" xr:uid="{00000000-0005-0000-0000-0000D2830000}"/>
    <cellStyle name="输出 7 32" xfId="33747" xr:uid="{00000000-0005-0000-0000-0000D3830000}"/>
    <cellStyle name="输出 7 33" xfId="33748" xr:uid="{00000000-0005-0000-0000-0000D4830000}"/>
    <cellStyle name="输出 7 34" xfId="33749" xr:uid="{00000000-0005-0000-0000-0000D5830000}"/>
    <cellStyle name="输出 7 4" xfId="33750" xr:uid="{00000000-0005-0000-0000-0000D6830000}"/>
    <cellStyle name="输出 7 5" xfId="33751" xr:uid="{00000000-0005-0000-0000-0000D7830000}"/>
    <cellStyle name="输出 7 6" xfId="33752" xr:uid="{00000000-0005-0000-0000-0000D8830000}"/>
    <cellStyle name="输出 7 7" xfId="33753" xr:uid="{00000000-0005-0000-0000-0000D9830000}"/>
    <cellStyle name="输出 7 8" xfId="33754" xr:uid="{00000000-0005-0000-0000-0000DA830000}"/>
    <cellStyle name="输出 7 9" xfId="33755" xr:uid="{00000000-0005-0000-0000-0000DB830000}"/>
    <cellStyle name="输出 8" xfId="33756" xr:uid="{00000000-0005-0000-0000-0000DC830000}"/>
    <cellStyle name="输出 8 2" xfId="33757" xr:uid="{00000000-0005-0000-0000-0000DD830000}"/>
    <cellStyle name="输出 8 3" xfId="33758" xr:uid="{00000000-0005-0000-0000-0000DE830000}"/>
    <cellStyle name="输出 9" xfId="33759" xr:uid="{00000000-0005-0000-0000-0000DF830000}"/>
    <cellStyle name="适中" xfId="33760" xr:uid="{00000000-0005-0000-0000-0000E0830000}"/>
    <cellStyle name="适中 2" xfId="33761" xr:uid="{00000000-0005-0000-0000-0000E1830000}"/>
    <cellStyle name="适中 3" xfId="33762" xr:uid="{00000000-0005-0000-0000-0000E2830000}"/>
    <cellStyle name="适中 4" xfId="33763" xr:uid="{00000000-0005-0000-0000-0000E3830000}"/>
    <cellStyle name="适中 5" xfId="33764" xr:uid="{00000000-0005-0000-0000-0000E4830000}"/>
    <cellStyle name="适中 6" xfId="33765" xr:uid="{00000000-0005-0000-0000-0000E5830000}"/>
    <cellStyle name="通貨 [0.00]_laroux" xfId="33766" xr:uid="{00000000-0005-0000-0000-0000E6830000}"/>
    <cellStyle name="通貨_laroux" xfId="33767" xr:uid="{00000000-0005-0000-0000-0000E7830000}"/>
    <cellStyle name="钎霖_laroux" xfId="33768" xr:uid="{00000000-0005-0000-0000-0000E8830000}"/>
    <cellStyle name="链接单元格" xfId="33769" xr:uid="{00000000-0005-0000-0000-0000E9830000}"/>
    <cellStyle name="链接单元格 2" xfId="33770" xr:uid="{00000000-0005-0000-0000-0000EA830000}"/>
    <cellStyle name="链接单元格 3" xfId="33771" xr:uid="{00000000-0005-0000-0000-0000EB830000}"/>
    <cellStyle name="链接单元格 4" xfId="33772" xr:uid="{00000000-0005-0000-0000-0000EC830000}"/>
    <cellStyle name="链接单元格 5" xfId="33773" xr:uid="{00000000-0005-0000-0000-0000ED830000}"/>
    <cellStyle name="链接单元格 6" xfId="33774" xr:uid="{00000000-0005-0000-0000-0000EE830000}"/>
    <cellStyle name="集計" xfId="33775" xr:uid="{00000000-0005-0000-0000-0000EF830000}"/>
    <cellStyle name="集計 10" xfId="33776" xr:uid="{00000000-0005-0000-0000-0000F0830000}"/>
    <cellStyle name="集計 11" xfId="33777" xr:uid="{00000000-0005-0000-0000-0000F1830000}"/>
    <cellStyle name="集計 12" xfId="33778" xr:uid="{00000000-0005-0000-0000-0000F2830000}"/>
    <cellStyle name="集計 13" xfId="33779" xr:uid="{00000000-0005-0000-0000-0000F3830000}"/>
    <cellStyle name="集計 14" xfId="33780" xr:uid="{00000000-0005-0000-0000-0000F4830000}"/>
    <cellStyle name="集計 15" xfId="33781" xr:uid="{00000000-0005-0000-0000-0000F5830000}"/>
    <cellStyle name="集計 16" xfId="33782" xr:uid="{00000000-0005-0000-0000-0000F6830000}"/>
    <cellStyle name="集計 17" xfId="33783" xr:uid="{00000000-0005-0000-0000-0000F7830000}"/>
    <cellStyle name="集計 18" xfId="33784" xr:uid="{00000000-0005-0000-0000-0000F8830000}"/>
    <cellStyle name="集計 19" xfId="33785" xr:uid="{00000000-0005-0000-0000-0000F9830000}"/>
    <cellStyle name="集計 2" xfId="33786" xr:uid="{00000000-0005-0000-0000-0000FA830000}"/>
    <cellStyle name="集計 2 10" xfId="33787" xr:uid="{00000000-0005-0000-0000-0000FB830000}"/>
    <cellStyle name="集計 2 11" xfId="33788" xr:uid="{00000000-0005-0000-0000-0000FC830000}"/>
    <cellStyle name="集計 2 12" xfId="33789" xr:uid="{00000000-0005-0000-0000-0000FD830000}"/>
    <cellStyle name="集計 2 13" xfId="33790" xr:uid="{00000000-0005-0000-0000-0000FE830000}"/>
    <cellStyle name="集計 2 14" xfId="33791" xr:uid="{00000000-0005-0000-0000-0000FF830000}"/>
    <cellStyle name="集計 2 15" xfId="33792" xr:uid="{00000000-0005-0000-0000-000000840000}"/>
    <cellStyle name="集計 2 16" xfId="33793" xr:uid="{00000000-0005-0000-0000-000001840000}"/>
    <cellStyle name="集計 2 17" xfId="33794" xr:uid="{00000000-0005-0000-0000-000002840000}"/>
    <cellStyle name="集計 2 18" xfId="33795" xr:uid="{00000000-0005-0000-0000-000003840000}"/>
    <cellStyle name="集計 2 19" xfId="33796" xr:uid="{00000000-0005-0000-0000-000004840000}"/>
    <cellStyle name="集計 2 2" xfId="33797" xr:uid="{00000000-0005-0000-0000-000005840000}"/>
    <cellStyle name="集計 2 20" xfId="33798" xr:uid="{00000000-0005-0000-0000-000006840000}"/>
    <cellStyle name="集計 2 21" xfId="33799" xr:uid="{00000000-0005-0000-0000-000007840000}"/>
    <cellStyle name="集計 2 22" xfId="33800" xr:uid="{00000000-0005-0000-0000-000008840000}"/>
    <cellStyle name="集計 2 23" xfId="33801" xr:uid="{00000000-0005-0000-0000-000009840000}"/>
    <cellStyle name="集計 2 24" xfId="33802" xr:uid="{00000000-0005-0000-0000-00000A840000}"/>
    <cellStyle name="集計 2 25" xfId="33803" xr:uid="{00000000-0005-0000-0000-00000B840000}"/>
    <cellStyle name="集計 2 26" xfId="33804" xr:uid="{00000000-0005-0000-0000-00000C840000}"/>
    <cellStyle name="集計 2 27" xfId="33805" xr:uid="{00000000-0005-0000-0000-00000D840000}"/>
    <cellStyle name="集計 2 28" xfId="33806" xr:uid="{00000000-0005-0000-0000-00000E840000}"/>
    <cellStyle name="集計 2 29" xfId="33807" xr:uid="{00000000-0005-0000-0000-00000F840000}"/>
    <cellStyle name="集計 2 3" xfId="33808" xr:uid="{00000000-0005-0000-0000-000010840000}"/>
    <cellStyle name="集計 2 30" xfId="33809" xr:uid="{00000000-0005-0000-0000-000011840000}"/>
    <cellStyle name="集計 2 31" xfId="33810" xr:uid="{00000000-0005-0000-0000-000012840000}"/>
    <cellStyle name="集計 2 32" xfId="33811" xr:uid="{00000000-0005-0000-0000-000013840000}"/>
    <cellStyle name="集計 2 33" xfId="33812" xr:uid="{00000000-0005-0000-0000-000014840000}"/>
    <cellStyle name="集計 2 34" xfId="33813" xr:uid="{00000000-0005-0000-0000-000015840000}"/>
    <cellStyle name="集計 2 4" xfId="33814" xr:uid="{00000000-0005-0000-0000-000016840000}"/>
    <cellStyle name="集計 2 5" xfId="33815" xr:uid="{00000000-0005-0000-0000-000017840000}"/>
    <cellStyle name="集計 2 6" xfId="33816" xr:uid="{00000000-0005-0000-0000-000018840000}"/>
    <cellStyle name="集計 2 7" xfId="33817" xr:uid="{00000000-0005-0000-0000-000019840000}"/>
    <cellStyle name="集計 2 8" xfId="33818" xr:uid="{00000000-0005-0000-0000-00001A840000}"/>
    <cellStyle name="集計 2 9" xfId="33819" xr:uid="{00000000-0005-0000-0000-00001B840000}"/>
    <cellStyle name="集計 20" xfId="33820" xr:uid="{00000000-0005-0000-0000-00001C840000}"/>
    <cellStyle name="集計 3" xfId="33821" xr:uid="{00000000-0005-0000-0000-00001D840000}"/>
    <cellStyle name="集計 3 2" xfId="33822" xr:uid="{00000000-0005-0000-0000-00001E840000}"/>
    <cellStyle name="集計 3 3" xfId="33823" xr:uid="{00000000-0005-0000-0000-00001F840000}"/>
    <cellStyle name="集計 4" xfId="33824" xr:uid="{00000000-0005-0000-0000-000020840000}"/>
    <cellStyle name="集計 5" xfId="33825" xr:uid="{00000000-0005-0000-0000-000021840000}"/>
    <cellStyle name="集計 6" xfId="33826" xr:uid="{00000000-0005-0000-0000-000022840000}"/>
    <cellStyle name="集計 7" xfId="33827" xr:uid="{00000000-0005-0000-0000-000023840000}"/>
    <cellStyle name="集計 8" xfId="33828" xr:uid="{00000000-0005-0000-0000-000024840000}"/>
    <cellStyle name="集計 9" xfId="33829" xr:uid="{00000000-0005-0000-0000-000025840000}"/>
    <cellStyle name="霓付 [0]_97MBO" xfId="33830" xr:uid="{00000000-0005-0000-0000-000026840000}"/>
    <cellStyle name="霓付_97MBO" xfId="33831" xr:uid="{00000000-0005-0000-0000-000027840000}"/>
  </cellStyles>
  <dxfs count="345"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0" formatCode="0.0\ &quot;kW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0" formatCode="0.0\ &quot;kW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rgb="FF000000"/>
          <bgColor auto="1"/>
        </patternFill>
      </fill>
    </dxf>
    <dxf>
      <border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rgb="FF000000"/>
          <bgColor auto="1"/>
        </patternFill>
      </fill>
      <protection locked="0" hidden="0"/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1" formatCode="0.0\ &quot;EPA&quot;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301" formatCode="0.0\ &quot;EPA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rgb="FF000000"/>
          <bgColor auto="1"/>
        </patternFill>
      </fill>
      <protection locked="0" hidden="0"/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3" formatCode="0\ &quot;Weeks after colo Approval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0" formatCode="0.0\ &quot;kW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0" formatCode="0.0\ &quot;kW&quot;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300" formatCode="0.0\ &quot;kW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rgb="FF000000"/>
          <bgColor auto="1"/>
        </patternFill>
      </fill>
      <protection locked="0" hidden="0"/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302" formatCode="0.0\ &quot;m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rgb="FF000000"/>
          <bgColor auto="1"/>
        </patternFill>
      </fill>
      <protection locked="0" hidden="0"/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color auto="1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0" formatCode="0.0\ &quot;kW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0" formatCode="0.0\ &quot;kW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0" formatCode="0.0\ &quot;kW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0" formatCode="0.0\ &quot;kW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0" formatCode="0.0\ &quot;kW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44"/>
      <tableStyleElement type="headerRow" dxfId="34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1</xdr:row>
          <xdr:rowOff>142875</xdr:rowOff>
        </xdr:from>
        <xdr:to>
          <xdr:col>4</xdr:col>
          <xdr:colOff>352425</xdr:colOff>
          <xdr:row>4</xdr:row>
          <xdr:rowOff>104775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0</xdr:rowOff>
        </xdr:from>
        <xdr:to>
          <xdr:col>9</xdr:col>
          <xdr:colOff>0</xdr:colOff>
          <xdr:row>22</xdr:row>
          <xdr:rowOff>171450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Request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533400</xdr:colOff>
          <xdr:row>13</xdr:row>
          <xdr:rowOff>28575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02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11</xdr:row>
          <xdr:rowOff>142875</xdr:rowOff>
        </xdr:from>
        <xdr:to>
          <xdr:col>9</xdr:col>
          <xdr:colOff>19050</xdr:colOff>
          <xdr:row>13</xdr:row>
          <xdr:rowOff>28575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02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533400</xdr:colOff>
          <xdr:row>13</xdr:row>
          <xdr:rowOff>28575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3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11</xdr:row>
          <xdr:rowOff>142875</xdr:rowOff>
        </xdr:from>
        <xdr:to>
          <xdr:col>9</xdr:col>
          <xdr:colOff>19050</xdr:colOff>
          <xdr:row>13</xdr:row>
          <xdr:rowOff>28575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03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533400</xdr:colOff>
          <xdr:row>13</xdr:row>
          <xdr:rowOff>28575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4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11</xdr:row>
          <xdr:rowOff>142875</xdr:rowOff>
        </xdr:from>
        <xdr:to>
          <xdr:col>9</xdr:col>
          <xdr:colOff>19050</xdr:colOff>
          <xdr:row>13</xdr:row>
          <xdr:rowOff>28575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4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533400</xdr:colOff>
          <xdr:row>13</xdr:row>
          <xdr:rowOff>28575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5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11</xdr:row>
          <xdr:rowOff>142875</xdr:rowOff>
        </xdr:from>
        <xdr:to>
          <xdr:col>9</xdr:col>
          <xdr:colOff>19050</xdr:colOff>
          <xdr:row>13</xdr:row>
          <xdr:rowOff>28575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5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533400</xdr:colOff>
          <xdr:row>13</xdr:row>
          <xdr:rowOff>28575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6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11</xdr:row>
          <xdr:rowOff>142875</xdr:rowOff>
        </xdr:from>
        <xdr:to>
          <xdr:col>9</xdr:col>
          <xdr:colOff>19050</xdr:colOff>
          <xdr:row>13</xdr:row>
          <xdr:rowOff>28575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06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561975</xdr:colOff>
          <xdr:row>13</xdr:row>
          <xdr:rowOff>28575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7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19050</xdr:colOff>
          <xdr:row>11</xdr:row>
          <xdr:rowOff>142875</xdr:rowOff>
        </xdr:from>
        <xdr:to>
          <xdr:col>7</xdr:col>
          <xdr:colOff>1352550</xdr:colOff>
          <xdr:row>13</xdr:row>
          <xdr:rowOff>28575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7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552450</xdr:colOff>
          <xdr:row>13</xdr:row>
          <xdr:rowOff>28575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8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11</xdr:row>
          <xdr:rowOff>142875</xdr:rowOff>
        </xdr:from>
        <xdr:to>
          <xdr:col>8</xdr:col>
          <xdr:colOff>571500</xdr:colOff>
          <xdr:row>13</xdr:row>
          <xdr:rowOff>28575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552450</xdr:colOff>
          <xdr:row>13</xdr:row>
          <xdr:rowOff>28575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9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11</xdr:row>
          <xdr:rowOff>142875</xdr:rowOff>
        </xdr:from>
        <xdr:to>
          <xdr:col>8</xdr:col>
          <xdr:colOff>571500</xdr:colOff>
          <xdr:row>13</xdr:row>
          <xdr:rowOff>28575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9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304800</xdr:colOff>
          <xdr:row>13</xdr:row>
          <xdr:rowOff>28575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A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514350</xdr:colOff>
          <xdr:row>11</xdr:row>
          <xdr:rowOff>142875</xdr:rowOff>
        </xdr:from>
        <xdr:to>
          <xdr:col>7</xdr:col>
          <xdr:colOff>838200</xdr:colOff>
          <xdr:row>13</xdr:row>
          <xdr:rowOff>28575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A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304800</xdr:colOff>
          <xdr:row>13</xdr:row>
          <xdr:rowOff>28575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B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514350</xdr:colOff>
          <xdr:row>11</xdr:row>
          <xdr:rowOff>142875</xdr:rowOff>
        </xdr:from>
        <xdr:to>
          <xdr:col>8</xdr:col>
          <xdr:colOff>104775</xdr:colOff>
          <xdr:row>13</xdr:row>
          <xdr:rowOff>28575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B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304800</xdr:colOff>
          <xdr:row>13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514350</xdr:colOff>
          <xdr:row>11</xdr:row>
          <xdr:rowOff>142875</xdr:rowOff>
        </xdr:from>
        <xdr:to>
          <xdr:col>7</xdr:col>
          <xdr:colOff>1095375</xdr:colOff>
          <xdr:row>13</xdr:row>
          <xdr:rowOff>28575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C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533400</xdr:colOff>
          <xdr:row>13</xdr:row>
          <xdr:rowOff>28575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D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11</xdr:row>
          <xdr:rowOff>142875</xdr:rowOff>
        </xdr:from>
        <xdr:to>
          <xdr:col>9</xdr:col>
          <xdr:colOff>19050</xdr:colOff>
          <xdr:row>13</xdr:row>
          <xdr:rowOff>28575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D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533400</xdr:colOff>
          <xdr:row>13</xdr:row>
          <xdr:rowOff>28575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E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CEDAA5A-1683-42ED-B747-A45ACB0A6A52}" name="Table3521014" displayName="Table3521014" ref="A15:AA16" insertRow="1" totalsRowShown="0" headerRowDxfId="332" dataDxfId="331">
  <autoFilter ref="A15:AA16" xr:uid="{00000000-0009-0000-0100-000004000000}"/>
  <sortState ref="A16:F16">
    <sortCondition descending="1" ref="A15:A16"/>
  </sortState>
  <tableColumns count="27">
    <tableColumn id="1" xr3:uid="{29CE3E99-EE59-4394-8849-CF5D04B32EB2}" name="Request ID" dataDxfId="330"/>
    <tableColumn id="2" xr3:uid="{65E86077-B560-445F-8D0C-188FE13F8AC4}" name="AT Site ID" dataDxfId="329"/>
    <tableColumn id="3" xr3:uid="{0C6F2572-BEAC-4D80-982D-F27D06FF529D}" name="New Colo ID" dataDxfId="328"/>
    <tableColumn id="4" xr3:uid="{2AE50242-C2FA-4C5B-B3F3-22D527C013F4}" name="Operator" dataDxfId="327"/>
    <tableColumn id="5" xr3:uid="{96A34A14-F274-44C3-9AD9-077F4F266DF7}" name="Request Date" dataDxfId="326"/>
    <tableColumn id="6" xr3:uid="{AA68B514-96BC-4BBA-BBB5-6518227D158B}" name="Power Requested" dataDxfId="325"/>
    <tableColumn id="7" xr3:uid="{0D9622D4-28CD-4ECD-8FE5-0071532D9965}" name="Lower Space" dataDxfId="324"/>
    <tableColumn id="8" xr3:uid="{A1CE8E76-EA32-4824-BA36-004A6B5925A1}" name="Upper Space" dataDxfId="323"/>
    <tableColumn id="27" xr3:uid="{A50E759B-B930-4190-8D8F-AAC047E04ABE}" name="Status" dataDxfId="322"/>
    <tableColumn id="9" xr3:uid="{532E915B-1E66-4A04-BE62-E0AA4732A35A}" name="SAQ" dataDxfId="321"/>
    <tableColumn id="14" xr3:uid="{CA7B6419-F973-40F6-8BB4-B150BCFDA911}" name="SAQ Remarks" dataDxfId="320"/>
    <tableColumn id="10" xr3:uid="{7A9B9750-8D29-4D1A-9B4B-75186BBFCED3}" name="RF" dataDxfId="319"/>
    <tableColumn id="15" xr3:uid="{62D236AA-692F-45BE-8750-2E16554AC4DF}" name="Lower Suggested" dataDxfId="318"/>
    <tableColumn id="16" xr3:uid="{EFE99FF4-C02E-44B1-8964-B01D22B1B19A}" name="Upper Suggested" dataDxfId="317"/>
    <tableColumn id="17" xr3:uid="{F25E6069-1C3F-4EFC-A6F0-97DF67F14341}" name="RF Remarks" dataDxfId="316"/>
    <tableColumn id="12" xr3:uid="{F88C2E33-46AE-4BE9-94E7-5D1BB62B87DC}" name="Power" dataDxfId="315"/>
    <tableColumn id="20" xr3:uid="{F2C2C921-ABC3-451F-8625-ED6F30C9D150}" name="Power Suggested" dataDxfId="314"/>
    <tableColumn id="21" xr3:uid="{4533301A-68A1-4C04-A3C1-66CA3A24E3C1}" name="Power Forecast after Colo Approval" dataDxfId="313"/>
    <tableColumn id="22" xr3:uid="{891E3B06-794C-4FF3-9025-BA5077087F33}" name="Power Remarks" dataDxfId="312"/>
    <tableColumn id="11" xr3:uid="{5E58F312-8257-42B1-9135-7A135B1284CD}" name="Structural" dataDxfId="311"/>
    <tableColumn id="18" xr3:uid="{89883202-9512-4A47-8AEC-19843989C8BF}" name="Structural EPA" dataDxfId="310"/>
    <tableColumn id="19" xr3:uid="{940113F8-EB54-4020-B7F5-43A6E1207A48}" name="Structural Remarks" dataDxfId="309"/>
    <tableColumn id="13" xr3:uid="{5465C4D7-5397-410A-9036-DB2A3EC86F76}" name="CW" dataDxfId="308"/>
    <tableColumn id="23" xr3:uid="{F862775D-FD39-4686-813A-A7A8592DCE9D}" name="Extension Needed" dataDxfId="307"/>
    <tableColumn id="24" xr3:uid="{7DF5722A-2F52-4381-854A-C9EA6808D642}" name="CW Remarks" dataDxfId="306"/>
    <tableColumn id="25" xr3:uid="{8EBFBDBA-E72E-4D71-BD6C-7D86E3E5B5E4}" name="Community" dataDxfId="305"/>
    <tableColumn id="26" xr3:uid="{72384AF4-0D40-455D-9CA8-C92E584CE3F4}" name="Community Remarks" dataDxfId="304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97CF172-E3E7-48DC-812E-C10BBEDF2E96}" name="Table352101415" displayName="Table352101415" ref="A15:AA16" insertRow="1" totalsRowShown="0" headerRowDxfId="298" dataDxfId="297">
  <autoFilter ref="A15:AA16" xr:uid="{00000000-0009-0000-0100-000004000000}"/>
  <sortState ref="A16:F16">
    <sortCondition descending="1" ref="A15:A16"/>
  </sortState>
  <tableColumns count="27">
    <tableColumn id="1" xr3:uid="{37B2EBDD-A433-49CC-839F-E0417D62AB44}" name="Request ID" dataDxfId="296"/>
    <tableColumn id="2" xr3:uid="{CC5774BC-5747-4C7D-80E2-1261F6FDA403}" name="AT Site ID" dataDxfId="295"/>
    <tableColumn id="3" xr3:uid="{1EAC4255-CB42-47E8-BEFF-9F01EC771CC2}" name="New Colo ID" dataDxfId="294"/>
    <tableColumn id="4" xr3:uid="{93FF0021-00C4-4EE9-AA1E-33CDC2526E2A}" name="Operator" dataDxfId="293"/>
    <tableColumn id="5" xr3:uid="{D0EE554E-6867-46CA-AF62-61012356A31C}" name="Request Date" dataDxfId="292"/>
    <tableColumn id="6" xr3:uid="{B12C9C21-3A10-4E39-863D-91CB5D69E7A1}" name="Power Requested" dataDxfId="291"/>
    <tableColumn id="7" xr3:uid="{E2D10AD5-3F1C-4BA1-8E5E-FFDE7A89B797}" name="Lower Space" dataDxfId="290"/>
    <tableColumn id="8" xr3:uid="{6D33543D-C922-4151-B162-21ED505BCB0F}" name="Upper Space" dataDxfId="289"/>
    <tableColumn id="27" xr3:uid="{A78631DD-21C7-4F2F-996E-F7B2AEBEAB06}" name="Status" dataDxfId="288"/>
    <tableColumn id="9" xr3:uid="{340C8020-A4AB-4F59-9FAB-C224A5DFDEFC}" name="SAQ" dataDxfId="287"/>
    <tableColumn id="14" xr3:uid="{4EAE4827-C402-4164-B98A-AB3020D54195}" name="SAQ Remarks" dataDxfId="286"/>
    <tableColumn id="10" xr3:uid="{2D42B7A6-2ED9-45B9-8616-55265C4421A1}" name="RF" dataDxfId="285"/>
    <tableColumn id="15" xr3:uid="{8686A9B2-94B9-400B-BAE9-4E91360C9E68}" name="Lower Suggested" dataDxfId="284"/>
    <tableColumn id="16" xr3:uid="{BB23BE3A-2888-421F-9C06-63EF41F86995}" name="Upper Suggested" dataDxfId="283"/>
    <tableColumn id="17" xr3:uid="{177055C8-A679-4AC8-8DF0-671B32480A7B}" name="RF Remarks" dataDxfId="282"/>
    <tableColumn id="12" xr3:uid="{224A71E0-51A0-4044-A8C1-45E2D3F5E0CE}" name="Power" dataDxfId="281"/>
    <tableColumn id="20" xr3:uid="{40442676-17D3-4575-94FE-53DE97E2395B}" name="Power Suggested" dataDxfId="280"/>
    <tableColumn id="21" xr3:uid="{167EF223-554C-4F38-B906-926889B86D92}" name="Power Forecast after Colo Approval" dataDxfId="279"/>
    <tableColumn id="22" xr3:uid="{DCD87466-421D-42FA-B16D-3E130DFEE3E2}" name="Power Remarks" dataDxfId="278"/>
    <tableColumn id="11" xr3:uid="{522BE8AF-9ACD-4420-A4A6-02E6166F5372}" name="Structural" dataDxfId="277"/>
    <tableColumn id="18" xr3:uid="{59E8D6CD-5816-4A54-8580-37BA5AE3986A}" name="Structural EPA" dataDxfId="276"/>
    <tableColumn id="19" xr3:uid="{12F44BCA-C0B6-45FB-84FB-64A8AA3F9CBA}" name="Structural Remarks" dataDxfId="275"/>
    <tableColumn id="13" xr3:uid="{B7558516-EF92-4BF0-A7A8-5DD362B9BF33}" name="CW" dataDxfId="274"/>
    <tableColumn id="23" xr3:uid="{5E699F07-EE54-4C96-BCC5-0212C1D285E4}" name="Extension Needed" dataDxfId="273"/>
    <tableColumn id="24" xr3:uid="{E3AB8D0B-96D6-4E5E-A44F-3A9F2CC1A785}" name="CW Remarks" dataDxfId="272"/>
    <tableColumn id="25" xr3:uid="{7C902E59-44AA-450F-B66A-C57E90F11863}" name="Community" dataDxfId="271"/>
    <tableColumn id="26" xr3:uid="{B8013A8D-0292-4A15-BC5D-20C28B2A3A86}" name="Community Remarks" dataDxfId="270"/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EA4AD00-EA7B-44B7-8807-BBA2E54E6413}" name="Table3521014151617" displayName="Table3521014151617" ref="A15:AA16" insertRow="1" totalsRowShown="0" headerRowDxfId="264" dataDxfId="263">
  <autoFilter ref="A15:AA16" xr:uid="{00000000-0009-0000-0100-000004000000}"/>
  <sortState ref="A16:F16">
    <sortCondition descending="1" ref="A15:A16"/>
  </sortState>
  <tableColumns count="27">
    <tableColumn id="1" xr3:uid="{6EE9F78A-2C45-46A0-8E94-9466C1EC1C33}" name="Request ID" dataDxfId="262"/>
    <tableColumn id="2" xr3:uid="{1D288FFD-2E09-4795-B752-151B482DDE9F}" name="AT Site ID" dataDxfId="261"/>
    <tableColumn id="3" xr3:uid="{795F6FFF-2719-46A5-A07D-D70E19B8111D}" name="New Colo ID" dataDxfId="260"/>
    <tableColumn id="4" xr3:uid="{D1E1A0FA-6ACA-45BB-A215-89C2F6C5907B}" name="Operator" dataDxfId="259"/>
    <tableColumn id="5" xr3:uid="{85B16501-79E6-44C0-9A74-C39E34FD3740}" name="Request Date" dataDxfId="258"/>
    <tableColumn id="6" xr3:uid="{7AA146A0-31BA-431D-A9B1-7DC9E9515274}" name="Power Requested" dataDxfId="257"/>
    <tableColumn id="7" xr3:uid="{B525C1F6-4D8A-4EB5-A4EE-73F0312CEAB6}" name="Lower Space" dataDxfId="256"/>
    <tableColumn id="8" xr3:uid="{CDCF70E6-BDC6-46AE-AAF0-FC4033182476}" name="Upper Space" dataDxfId="255"/>
    <tableColumn id="27" xr3:uid="{0D0E357A-DCB5-43A6-9A1D-B78745BA9C2A}" name="Status" dataDxfId="254"/>
    <tableColumn id="9" xr3:uid="{873499BD-E843-4FC2-B59C-3EE1511FF287}" name="SAQ" dataDxfId="253"/>
    <tableColumn id="14" xr3:uid="{AF3667BC-B406-4AB3-9E5D-0F29C37D2899}" name="SAQ Remarks" dataDxfId="252"/>
    <tableColumn id="10" xr3:uid="{6F34881A-1B9D-49D3-AE32-7678BBC38F36}" name="RF" dataDxfId="251"/>
    <tableColumn id="15" xr3:uid="{3125FDF5-7B6A-4E82-8613-3525E9508FCE}" name="Lower Suggested" dataDxfId="250"/>
    <tableColumn id="16" xr3:uid="{742AB526-C454-4F9A-84B9-8B5737E09F97}" name="Upper Suggested" dataDxfId="249"/>
    <tableColumn id="17" xr3:uid="{66FE885E-AE2D-4B4A-8F0F-BCD514E4213C}" name="RF Remarks" dataDxfId="248"/>
    <tableColumn id="12" xr3:uid="{41D39FAC-1FC8-424C-8181-52069ED10A12}" name="Power" dataDxfId="247"/>
    <tableColumn id="20" xr3:uid="{32445A40-EDC2-4100-9213-B1B8230CEDEB}" name="Power Suggested" dataDxfId="246"/>
    <tableColumn id="21" xr3:uid="{B6E83510-EF50-4F67-A1FD-91E1BE4EC4EE}" name="Power Forecast after Colo Approval" dataDxfId="245"/>
    <tableColumn id="22" xr3:uid="{D8932028-B474-489A-A72F-22D53E081299}" name="Power Remarks" dataDxfId="244"/>
    <tableColumn id="11" xr3:uid="{AC930A72-5569-4721-8D9A-C73566375775}" name="Structural" dataDxfId="243"/>
    <tableColumn id="18" xr3:uid="{7854F766-674D-4EB2-B6AE-5C6072386CCA}" name="Structural EPA" dataDxfId="242"/>
    <tableColumn id="19" xr3:uid="{3F22A442-0616-4685-AD13-F1CF34537BF8}" name="Structural Remarks" dataDxfId="241"/>
    <tableColumn id="13" xr3:uid="{7BCC689B-AD76-42B6-9E44-16F30DC55AD3}" name="CW" dataDxfId="240"/>
    <tableColumn id="23" xr3:uid="{78FB935A-28D0-441F-A6E9-56EF38FB8BA5}" name="Extension Needed" dataDxfId="239"/>
    <tableColumn id="24" xr3:uid="{7A43766E-E019-4306-9A2B-F1BC191E2FE1}" name="CW Remarks" dataDxfId="238"/>
    <tableColumn id="25" xr3:uid="{B7D4BD39-9633-47A3-8586-69DC6DF254CE}" name="Community" dataDxfId="237"/>
    <tableColumn id="26" xr3:uid="{0B4970F6-1105-49C7-80E2-D54DB55C741D}" name="Community Remarks" dataDxfId="236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D9A8F9A-3F89-4AAA-AEAD-EECEE0ABCFEE}" name="Table352101415161718" displayName="Table352101415161718" ref="A15:AA16" insertRow="1" totalsRowShown="0" headerRowDxfId="230" dataDxfId="229">
  <autoFilter ref="A15:AA16" xr:uid="{00000000-0009-0000-0100-000004000000}"/>
  <sortState ref="A16:F16">
    <sortCondition descending="1" ref="A15:A16"/>
  </sortState>
  <tableColumns count="27">
    <tableColumn id="1" xr3:uid="{29AE99A1-E370-40B9-BB8D-A4591BA32790}" name="Request ID" dataDxfId="228"/>
    <tableColumn id="2" xr3:uid="{FC8598C6-BA56-471D-A81A-BF818D5A2CC3}" name="AT Site ID" dataDxfId="227"/>
    <tableColumn id="3" xr3:uid="{9E57C17B-50C6-48C8-AA51-4D9FE0EE9E3C}" name="New Colo ID" dataDxfId="226"/>
    <tableColumn id="4" xr3:uid="{57CAD956-D385-4C02-9AD6-C29D85A03765}" name="Operator" dataDxfId="225"/>
    <tableColumn id="5" xr3:uid="{630F5884-4387-40F8-A558-4EE7CB75F66F}" name="Request Date" dataDxfId="224"/>
    <tableColumn id="6" xr3:uid="{B797C873-448F-4E41-8801-7DE841DC0CA7}" name="Power Requested" dataDxfId="223"/>
    <tableColumn id="7" xr3:uid="{9E36F83B-59FF-4675-882B-F20A4D495754}" name="Lower Space" dataDxfId="222"/>
    <tableColumn id="8" xr3:uid="{F04C450C-AEE6-4300-B185-CCCC6315D53F}" name="Upper Space" dataDxfId="221"/>
    <tableColumn id="27" xr3:uid="{6D6956EB-5045-4C5F-A2E6-62C0F4139B81}" name="Status" dataDxfId="220"/>
    <tableColumn id="9" xr3:uid="{963C87F7-978A-4E10-ADF4-4CD6EAE868F2}" name="SAQ" dataDxfId="219"/>
    <tableColumn id="14" xr3:uid="{F49AF6C8-D8F8-4BF1-829A-DFE1474FA40F}" name="SAQ Remarks" dataDxfId="218"/>
    <tableColumn id="10" xr3:uid="{D5EDDB2D-966A-4E42-997E-194E112F56BB}" name="RF" dataDxfId="217"/>
    <tableColumn id="15" xr3:uid="{0646158B-2DA7-42A1-B068-3E42E0D63456}" name="Lower Suggested" dataDxfId="216"/>
    <tableColumn id="16" xr3:uid="{6CA10C71-00E1-44FD-9676-88134C45D7E1}" name="Upper Suggested" dataDxfId="215"/>
    <tableColumn id="17" xr3:uid="{00B3CA39-719A-4036-9F90-B696F53D190A}" name="RF Remarks" dataDxfId="214"/>
    <tableColumn id="12" xr3:uid="{90123184-4A94-4D7D-B894-974B2EB7A104}" name="Power" dataDxfId="213"/>
    <tableColumn id="20" xr3:uid="{F4565E85-576D-4EF5-AC9A-BBCDD560B41D}" name="Power Suggested" dataDxfId="212"/>
    <tableColumn id="21" xr3:uid="{EB11727C-F7A3-4248-8225-C58907233538}" name="Power Forecast after Colo Approval" dataDxfId="211"/>
    <tableColumn id="22" xr3:uid="{0A85B0A5-E56B-4701-A6D8-ABCB10A93C6E}" name="Power Remarks" dataDxfId="210"/>
    <tableColumn id="11" xr3:uid="{12CEE615-2D9F-42BF-81AB-2F34B76ED1FB}" name="Structural" dataDxfId="209"/>
    <tableColumn id="18" xr3:uid="{D4C64822-8866-438E-8BC7-B238ABC46266}" name="Structural EPA" dataDxfId="208"/>
    <tableColumn id="19" xr3:uid="{87E9A681-3FEE-4086-9ABE-D5F5B3983BAE}" name="Structural Remarks" dataDxfId="207"/>
    <tableColumn id="13" xr3:uid="{3E791093-295E-4197-8050-732AAF8382EA}" name="CW" dataDxfId="206"/>
    <tableColumn id="23" xr3:uid="{BC5DE5D8-BE38-42DB-A9AE-5CC30251A97B}" name="Extension Needed" dataDxfId="205"/>
    <tableColumn id="24" xr3:uid="{AFEB0A74-688E-4D13-B578-EDC9041DED62}" name="CW Remarks" dataDxfId="204"/>
    <tableColumn id="25" xr3:uid="{915ABE4B-A687-4638-A4AD-C26E408FF0CB}" name="Community" dataDxfId="203"/>
    <tableColumn id="26" xr3:uid="{F0C99AB7-2AC6-4F07-AEE4-97362F9F6D65}" name="Community Remarks" dataDxfId="202"/>
  </tableColumns>
  <tableStyleInfo name="TableStyleLight1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8C510EC-FE6C-49B7-AB74-A497BBBFE986}" name="Table35210141516" displayName="Table35210141516" ref="A15:AA16" insertRow="1" totalsRowShown="0" headerRowDxfId="196" dataDxfId="195">
  <autoFilter ref="A15:AA16" xr:uid="{00000000-0009-0000-0100-000004000000}"/>
  <sortState ref="A16:F16">
    <sortCondition descending="1" ref="A15:A16"/>
  </sortState>
  <tableColumns count="27">
    <tableColumn id="1" xr3:uid="{9E5E0077-279A-4E39-B943-CAB596DF857C}" name="Request ID" dataDxfId="194"/>
    <tableColumn id="2" xr3:uid="{BC442027-6F1D-49E0-9B80-EAD895716CEF}" name="AT Site ID" dataDxfId="193"/>
    <tableColumn id="3" xr3:uid="{EE48E158-76E4-4BDE-8952-8DFF08F43007}" name="New Colo ID" dataDxfId="192"/>
    <tableColumn id="4" xr3:uid="{893CD9FE-1FE6-4357-9111-E9CF08AD268C}" name="Operator" dataDxfId="191"/>
    <tableColumn id="5" xr3:uid="{BACF9AB8-B9F8-4556-946C-D834AB3F359D}" name="Request Date" dataDxfId="190"/>
    <tableColumn id="6" xr3:uid="{F3D3D68C-33F1-47BF-A844-FF6C2F1FADFA}" name="Power Requested" dataDxfId="189"/>
    <tableColumn id="7" xr3:uid="{84B99613-FFA5-4E07-85AF-B3F219AD9A48}" name="Lower Space" dataDxfId="188"/>
    <tableColumn id="8" xr3:uid="{D94DBDA4-295B-4434-B4C2-73612A30B4F9}" name="Upper Space" dataDxfId="187"/>
    <tableColumn id="27" xr3:uid="{909C5D8E-C37D-4313-B038-6660CC7E8A89}" name="Status" dataDxfId="186"/>
    <tableColumn id="9" xr3:uid="{AF93CDA4-8EA7-4482-954E-5DF24538010C}" name="SAQ" dataDxfId="185"/>
    <tableColumn id="14" xr3:uid="{BD511D63-9D53-4000-B70D-9A9E92327088}" name="SAQ Remarks" dataDxfId="184"/>
    <tableColumn id="10" xr3:uid="{784BAA6E-5482-42E2-996A-624C3D738994}" name="RF" dataDxfId="183"/>
    <tableColumn id="15" xr3:uid="{B7A5323C-0812-4106-A059-13F685758197}" name="Lower Suggested" dataDxfId="182"/>
    <tableColumn id="16" xr3:uid="{A36B5787-0AAD-4428-9623-7694AE318476}" name="Upper Suggested" dataDxfId="181"/>
    <tableColumn id="17" xr3:uid="{B145B5AF-40D2-4761-AFCC-33671CE8EFF8}" name="RF Remarks" dataDxfId="180"/>
    <tableColumn id="12" xr3:uid="{A7946CC3-D2BF-492B-B2EA-FD9B1E0E66AC}" name="Power" dataDxfId="179"/>
    <tableColumn id="20" xr3:uid="{CF96CC45-C52C-4B12-A872-C198946362CD}" name="Power Suggested" dataDxfId="178"/>
    <tableColumn id="21" xr3:uid="{2C708D5F-9599-4DC3-AA90-B57DAF2DE322}" name="Power Forecast after Colo Approval" dataDxfId="177"/>
    <tableColumn id="22" xr3:uid="{DEB6892E-A26F-4D31-AC1A-ACBD55000E26}" name="Power Remarks" dataDxfId="176"/>
    <tableColumn id="11" xr3:uid="{11D18D47-D9BC-4C81-819A-2F5E6B168A34}" name="Structural" dataDxfId="175"/>
    <tableColumn id="18" xr3:uid="{52BD4D80-FFFD-44E2-BC76-B0F5968D5A62}" name="Structural EPA" dataDxfId="174"/>
    <tableColumn id="19" xr3:uid="{FAED50F3-740B-42CE-A279-28076E12D557}" name="Structural Remarks" dataDxfId="173"/>
    <tableColumn id="13" xr3:uid="{609D60C0-FBE6-4D12-A510-0D7F9348663C}" name="CW" dataDxfId="172"/>
    <tableColumn id="23" xr3:uid="{2655A2D4-4FAD-4E08-8B79-31DF6B2D3BC2}" name="Extension Needed" dataDxfId="171"/>
    <tableColumn id="24" xr3:uid="{1BC1112B-2851-4D6A-8C5D-DEEA5A9BE24C}" name="CW Remarks" dataDxfId="170"/>
    <tableColumn id="25" xr3:uid="{81369D1E-1515-403E-B84D-0F320729EDC8}" name="Community" dataDxfId="169"/>
    <tableColumn id="26" xr3:uid="{B42A1D9E-062C-4F29-BB08-12F7810CF411}" name="Community Remarks" dataDxfId="168"/>
  </tableColumns>
  <tableStyleInfo name="TableStyleLight1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D9AD3E-0CB4-4739-8C67-B49D986A9078}" name="Table35367" displayName="Table35367" ref="A15:H16" insertRow="1" totalsRowShown="0" headerRowDxfId="165" dataDxfId="163" headerRowBorderDxfId="164" tableBorderDxfId="162" totalsRowBorderDxfId="161">
  <autoFilter ref="A15:H16" xr:uid="{00000000-0009-0000-0100-000004000000}"/>
  <sortState ref="A15:G16">
    <sortCondition descending="1" ref="A15"/>
  </sortState>
  <tableColumns count="8">
    <tableColumn id="1" xr3:uid="{811E863A-D365-4915-BD78-A58590C01AB0}" name="Request ID" dataDxfId="160"/>
    <tableColumn id="2" xr3:uid="{E7966634-07A9-4C93-855F-9CDB4828F725}" name="AT Site ID" dataDxfId="159"/>
    <tableColumn id="3" xr3:uid="{EC128D09-7CC4-499A-A531-43DA519664FF}" name="New Colo ID" dataDxfId="158"/>
    <tableColumn id="4" xr3:uid="{E8A81BD2-83F4-4FEA-AF7E-7D952F92E252}" name="Operator" dataDxfId="157"/>
    <tableColumn id="5" xr3:uid="{CBF9F489-974A-4DA3-B4E5-0178120EF901}" name="Request Date" dataDxfId="156"/>
    <tableColumn id="8" xr3:uid="{CDDA2C21-0031-451D-A3E4-9E6DC4F36C3D}" name="Status" dataDxfId="155"/>
    <tableColumn id="6" xr3:uid="{C4AB0F84-2E33-4924-9396-7AC4A1614301}" name="Result" dataDxfId="154"/>
    <tableColumn id="7" xr3:uid="{4CA12E37-ED08-4EBD-92DB-86BAFB0F8DB1}" name="Remark" dataDxfId="153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02D981-2890-42D2-B477-FF5C59D39D11}" name="Table3536" displayName="Table3536" ref="A15:L16" insertRow="1" totalsRowShown="0" headerRowDxfId="150" dataDxfId="148" headerRowBorderDxfId="149" tableBorderDxfId="147" totalsRowBorderDxfId="146">
  <autoFilter ref="A15:L16" xr:uid="{00000000-0009-0000-0100-000004000000}"/>
  <sortState ref="A16:F16">
    <sortCondition descending="1" ref="A15:A16"/>
  </sortState>
  <tableColumns count="12">
    <tableColumn id="1" xr3:uid="{7BB4BA69-7397-456D-9FD3-F8D7C78F8345}" name="Request ID" dataDxfId="145"/>
    <tableColumn id="2" xr3:uid="{9B93582E-606D-4A7B-BDA7-82D9DB532D23}" name="AT Site ID" dataDxfId="144"/>
    <tableColumn id="3" xr3:uid="{9DAFCA2B-F527-4B44-8E9B-131091A8D206}" name="New Colo ID" dataDxfId="143"/>
    <tableColumn id="4" xr3:uid="{EB70A208-618A-4BFC-8BAD-53D7EBC0B6CB}" name="Operator" dataDxfId="142"/>
    <tableColumn id="5" xr3:uid="{2DE1FAEE-112B-4587-8754-9BA95C65421A}" name="Request Date" dataDxfId="141"/>
    <tableColumn id="6" xr3:uid="{58F60828-434D-417C-826C-590D275CAE55}" name="Lower Requested" dataDxfId="140"/>
    <tableColumn id="7" xr3:uid="{61ECC800-EC1F-4E2F-B75F-70C392039363}" name="Upper Requested" dataDxfId="139"/>
    <tableColumn id="8" xr3:uid="{2F16A1AE-8A23-4535-9760-C62DC096F718}" name="Status" dataDxfId="138"/>
    <tableColumn id="12" xr3:uid="{B2544BB3-99C0-49D4-B371-08C8321ED0F6}" name="Lower Suggested" dataDxfId="137"/>
    <tableColumn id="11" xr3:uid="{EF049CB9-45D2-4E42-9BDC-20C71D25F3C8}" name="Upper Suggested" dataDxfId="136"/>
    <tableColumn id="9" xr3:uid="{14F69D66-9D13-4927-A4DE-C37BAFD5643A}" name="Result" dataDxfId="135"/>
    <tableColumn id="10" xr3:uid="{74F6630E-B943-4433-B936-329C1C051024}" name="Remark" dataDxfId="134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EE391E-01E0-4BC1-83F9-31F29C159162}" name="Table35363" displayName="Table35363" ref="A15:K16" insertRow="1" totalsRowShown="0" headerRowDxfId="131" dataDxfId="129" headerRowBorderDxfId="130" tableBorderDxfId="128" totalsRowBorderDxfId="127">
  <autoFilter ref="A15:K16" xr:uid="{00000000-0009-0000-0100-000004000000}"/>
  <sortState ref="A16:F16">
    <sortCondition descending="1" ref="A15:A16"/>
  </sortState>
  <tableColumns count="11">
    <tableColumn id="1" xr3:uid="{FA9EF118-1859-477F-93FA-253A2BECD09D}" name="Request ID" dataDxfId="126"/>
    <tableColumn id="2" xr3:uid="{B53B615F-2CAC-4406-8C93-6C1FC057239A}" name="AT Site ID" dataDxfId="125"/>
    <tableColumn id="3" xr3:uid="{65CFF142-677D-47F1-ACF7-6970A6F5D768}" name="New Colo ID" dataDxfId="124"/>
    <tableColumn id="4" xr3:uid="{5C9E67B8-F817-46CB-AEB1-89D12D7E3019}" name="Operator" dataDxfId="123"/>
    <tableColumn id="5" xr3:uid="{28E477A8-3980-4739-A19D-01D3090EFAAD}" name="Request Date" dataDxfId="122"/>
    <tableColumn id="6" xr3:uid="{A5CF72A2-E2BB-4AA9-A328-D394055A9CBE}" name="Power Requested" dataDxfId="121"/>
    <tableColumn id="11" xr3:uid="{C11DAADF-DC23-4360-9484-D8653F237106}" name="Status" dataDxfId="120"/>
    <tableColumn id="7" xr3:uid="{A298FE80-5AD0-409A-934D-136A1F01F595}" name="Power Suggested" dataDxfId="119"/>
    <tableColumn id="12" xr3:uid="{CCB23754-642F-4B56-8AB0-8C8FC31C8E19}" name="Power Forecast after Colo Approval" dataDxfId="118"/>
    <tableColumn id="9" xr3:uid="{CB3AEF1B-C76C-462E-9073-E332199C9CD6}" name="Power Result" dataDxfId="117"/>
    <tableColumn id="10" xr3:uid="{601A1E8D-25B3-40A2-A0A8-685B9956D0A8}" name="Power Remarks" dataDxfId="116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202809C-1FC7-4BA7-BFD1-1433BDCF39F7}" name="Table35368" displayName="Table35368" ref="A15:J16" insertRow="1" totalsRowShown="0" headerRowDxfId="113" dataDxfId="111" headerRowBorderDxfId="112" tableBorderDxfId="110" totalsRowBorderDxfId="109">
  <autoFilter ref="A15:J16" xr:uid="{00000000-0009-0000-0100-000004000000}"/>
  <sortState ref="A16:F16">
    <sortCondition descending="1" ref="A15:A16"/>
  </sortState>
  <tableColumns count="10">
    <tableColumn id="1" xr3:uid="{20B4C4F0-F049-4DFE-8F66-9E6D68FD0DCB}" name="Request ID" dataDxfId="108"/>
    <tableColumn id="2" xr3:uid="{44C23393-58CC-4E9C-9335-BCED2EBA3151}" name="AT Site ID" dataDxfId="107"/>
    <tableColumn id="3" xr3:uid="{680CE725-4044-4C7F-BE41-DA5D52291CAD}" name="New Colo ID" dataDxfId="106"/>
    <tableColumn id="4" xr3:uid="{38B5B7D2-AA91-4F7F-9235-EFADCB3FF576}" name="Operator" dataDxfId="105"/>
    <tableColumn id="5" xr3:uid="{7F8FE039-8E16-4239-977F-1D91BCA271DB}" name="Request Date" dataDxfId="104"/>
    <tableColumn id="6" xr3:uid="{4976883E-39F8-43BE-A748-405396942E2A}" name="EPA Requested" dataDxfId="103"/>
    <tableColumn id="8" xr3:uid="{0D22B1B2-5AD8-42F7-98B2-ACCB66B55F58}" name="Status" dataDxfId="102"/>
    <tableColumn id="7" xr3:uid="{443195DE-C8A6-4862-A1DD-397BAF6DD818}" name="EPA Suggested" dataDxfId="101"/>
    <tableColumn id="12" xr3:uid="{869485E8-8A73-4552-B997-74A7B7C453F7}" name="Result" dataDxfId="100"/>
    <tableColumn id="11" xr3:uid="{74C6FC27-0651-4B88-BADD-BF88F4CEDDC3}" name="Remarks" dataDxfId="99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BCA9561-A0B2-4AD1-A704-E7BEE612CEEA}" name="Table353689" displayName="Table353689" ref="A15:I16" insertRow="1" totalsRowShown="0" headerRowDxfId="96" dataDxfId="94" headerRowBorderDxfId="95" tableBorderDxfId="93" totalsRowBorderDxfId="92">
  <autoFilter ref="A15:I16" xr:uid="{00000000-0009-0000-0100-000004000000}"/>
  <sortState ref="A16:E16">
    <sortCondition descending="1" ref="A15:A16"/>
  </sortState>
  <tableColumns count="9">
    <tableColumn id="1" xr3:uid="{BC85305C-9E87-41E8-84BC-61E44F672394}" name="Request ID" dataDxfId="91"/>
    <tableColumn id="2" xr3:uid="{B96892EF-FBDF-4D82-B5D4-211E99963FB1}" name="AT Site ID" dataDxfId="90"/>
    <tableColumn id="3" xr3:uid="{CAA4BDD5-1EBC-4A66-B13E-B4DC337B07F1}" name="New Colo ID" dataDxfId="89"/>
    <tableColumn id="4" xr3:uid="{2D592235-40E1-476C-854B-67AE8FBD6BFD}" name="Operator" dataDxfId="88"/>
    <tableColumn id="5" xr3:uid="{F619533D-E78E-457E-A9D6-5B030ACB6955}" name="Request Date" dataDxfId="87"/>
    <tableColumn id="6" xr3:uid="{63C55C5D-3C68-48DC-9C87-3C516EF8047E}" name="Status" dataDxfId="86"/>
    <tableColumn id="7" xr3:uid="{45B8D8C2-4E07-4E0F-BF3A-C53F19CC985E}" name="Extension Needed" dataDxfId="85"/>
    <tableColumn id="12" xr3:uid="{B2B29B6E-AA32-45D2-B41D-4D4B6BEA208C}" name="Result" dataDxfId="84"/>
    <tableColumn id="11" xr3:uid="{F0DF3373-D071-4163-838F-2525ACA483B4}" name="Remarks" dataDxfId="83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7980C5C-8EEC-4FA2-8E1C-51F1FC775D2C}" name="Table3536712" displayName="Table3536712" ref="A15:H16" insertRow="1" totalsRowShown="0" headerRowDxfId="80" dataDxfId="78" headerRowBorderDxfId="79" tableBorderDxfId="77" totalsRowBorderDxfId="76">
  <autoFilter ref="A15:H16" xr:uid="{00000000-0009-0000-0100-000004000000}"/>
  <sortState ref="A16:G16">
    <sortCondition descending="1" ref="A15:A16"/>
  </sortState>
  <tableColumns count="8">
    <tableColumn id="1" xr3:uid="{508B4A66-5139-49AA-AA28-0CC2BB79F1E3}" name="Request ID" dataDxfId="75"/>
    <tableColumn id="2" xr3:uid="{466103CA-2DB8-4850-AA96-AAAB5BD069F6}" name="AT Site ID" dataDxfId="74"/>
    <tableColumn id="3" xr3:uid="{009E750E-B0DA-41C3-8983-B16F48D91D4E}" name="New Colo ID" dataDxfId="73"/>
    <tableColumn id="4" xr3:uid="{4F38A543-2600-4285-BE24-53848CB80681}" name="Operator" dataDxfId="72"/>
    <tableColumn id="5" xr3:uid="{6FD14351-99EA-43B7-B7F6-EE7838D08EE4}" name="Request Date" dataDxfId="71"/>
    <tableColumn id="8" xr3:uid="{6FF14D48-21CA-4746-AB2A-66E0C9287B15}" name="Status" dataDxfId="70"/>
    <tableColumn id="6" xr3:uid="{142441B5-AEAA-4D76-8D6D-D9BF33ED52A4}" name="Result" dataDxfId="69"/>
    <tableColumn id="7" xr3:uid="{1C61A15F-C6D3-49B3-890F-C2CAE588B31C}" name="Remark" dataDxfId="68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473BF87-2BBD-4710-92B1-38604D733A80}" name="Table35210" displayName="Table35210" ref="A15:AA16" insertRow="1" totalsRowShown="0" headerRowDxfId="62" dataDxfId="61">
  <autoFilter ref="A15:AA16" xr:uid="{00000000-0009-0000-0100-000004000000}"/>
  <sortState ref="A16:F16">
    <sortCondition descending="1" ref="A15:A16"/>
  </sortState>
  <tableColumns count="27">
    <tableColumn id="1" xr3:uid="{88757D1B-7716-4FE2-896C-AA99438CC992}" name="Request ID" dataDxfId="60"/>
    <tableColumn id="2" xr3:uid="{75DDA55C-5D55-48FD-9D1E-C95288477373}" name="AT Site ID" dataDxfId="59"/>
    <tableColumn id="3" xr3:uid="{984F1C94-F6E4-449C-9226-272268DE5054}" name="New Colo ID" dataDxfId="58"/>
    <tableColumn id="4" xr3:uid="{6257254E-FA2C-4092-9AFA-BF6F85448E1C}" name="Operator" dataDxfId="57"/>
    <tableColumn id="5" xr3:uid="{CCC3380C-B96A-429A-9A43-46FD8B37CD36}" name="Request Date" dataDxfId="56"/>
    <tableColumn id="6" xr3:uid="{2346B2B6-61B4-4F63-A7B1-F0A78A15A8CF}" name="Power Requested" dataDxfId="55"/>
    <tableColumn id="7" xr3:uid="{89B51386-D7F0-44BD-942F-9ECEB1EEA67B}" name="Lower Space" dataDxfId="54"/>
    <tableColumn id="8" xr3:uid="{43C18B76-9C62-41B6-A4A2-203BDC22AA8C}" name="Upper Space" dataDxfId="53"/>
    <tableColumn id="27" xr3:uid="{74D93BD5-4FF8-4FC2-8EBE-30974EC79A46}" name="Status" dataDxfId="52"/>
    <tableColumn id="9" xr3:uid="{078DA132-05C6-427B-9369-7C4F6A2D0C17}" name="SAQ" dataDxfId="51"/>
    <tableColumn id="14" xr3:uid="{3EE959DB-4456-4180-9D21-759A25B273D9}" name="SAQ Remarks" dataDxfId="50"/>
    <tableColumn id="10" xr3:uid="{D6B53FDD-6F79-4F0B-9F3C-D074007222C6}" name="RF" dataDxfId="49"/>
    <tableColumn id="15" xr3:uid="{ADE42910-C4F2-4023-A4BD-DD15B12AF061}" name="Lower Suggested" dataDxfId="48"/>
    <tableColumn id="16" xr3:uid="{34AE9C1A-E8DA-4494-8885-A30901A79059}" name="Upper Suggested" dataDxfId="47"/>
    <tableColumn id="17" xr3:uid="{F699C7C0-BF15-42B6-952A-9A2887308918}" name="RF Remarks" dataDxfId="46"/>
    <tableColumn id="12" xr3:uid="{391949A4-B963-4687-98ED-B10A2C99A50E}" name="Power" dataDxfId="45"/>
    <tableColumn id="20" xr3:uid="{E4BC254E-5CE6-4530-8057-728DA8FC2B52}" name="Power Suggested" dataDxfId="44"/>
    <tableColumn id="21" xr3:uid="{B1251CAB-7A78-4BDF-A755-80843EFB2248}" name="Power Forecast after Colo Approval" dataDxfId="43"/>
    <tableColumn id="22" xr3:uid="{1D0BCFD4-B86B-4D7D-90EC-7F10C3397383}" name="Power Remarks" dataDxfId="42"/>
    <tableColumn id="11" xr3:uid="{4F97D1B0-4F26-4908-9629-2098B001B0C6}" name="Structural" dataDxfId="41"/>
    <tableColumn id="18" xr3:uid="{1F915900-816F-4465-B0A7-A86F370C61F4}" name="Structural EPA" dataDxfId="40"/>
    <tableColumn id="19" xr3:uid="{9DF24989-0A62-4072-94D1-B68CC8D6F15D}" name="Structural Remarks" dataDxfId="39"/>
    <tableColumn id="13" xr3:uid="{362726DF-7B98-4CB8-8BA8-F2B5D31E02A6}" name="CW" dataDxfId="38"/>
    <tableColumn id="23" xr3:uid="{52329324-20BF-406A-BE7F-37F7CAC480C5}" name="Extension Needed" dataDxfId="37"/>
    <tableColumn id="24" xr3:uid="{E2CCE04C-0509-4B25-B1C1-5EBDCF4AEE20}" name="CW Remarks" dataDxfId="36"/>
    <tableColumn id="25" xr3:uid="{512D4580-2678-4F51-97DD-35A798EB04AE}" name="Community" dataDxfId="35"/>
    <tableColumn id="26" xr3:uid="{F3B1A64F-504B-4F7F-B12D-A8787B587A5D}" name="Community Remarks" dataDxfId="34"/>
  </tableColumns>
  <tableStyleInfo name="TableStyleLight1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98BF17-3138-4004-8BFD-67B1F4568BB2}" name="Table352102" displayName="Table352102" ref="A15:AA16" insertRow="1" totalsRowShown="0" headerRowDxfId="28" dataDxfId="27">
  <autoFilter ref="A15:AA16" xr:uid="{00000000-0009-0000-0100-000004000000}"/>
  <sortState ref="A16:F16">
    <sortCondition descending="1" ref="A15:A16"/>
  </sortState>
  <tableColumns count="27">
    <tableColumn id="1" xr3:uid="{8B8569E0-1049-440D-8A34-864BD62F7BEA}" name="Request ID" dataDxfId="26"/>
    <tableColumn id="2" xr3:uid="{5D3A10A7-A2AC-4BC5-AF3E-FAE3CBD7EB0F}" name="AT Site ID" dataDxfId="25"/>
    <tableColumn id="3" xr3:uid="{0A317B3A-EA02-4EDE-8F5E-4E65A2388C7E}" name="New Colo ID" dataDxfId="24"/>
    <tableColumn id="4" xr3:uid="{BD540F0E-4593-4860-9331-616C40441F9C}" name="Operator" dataDxfId="23"/>
    <tableColumn id="5" xr3:uid="{4B93924C-FA5F-4166-B8A9-E573D90D84C3}" name="Request Date" dataDxfId="22"/>
    <tableColumn id="6" xr3:uid="{E1A58306-BAA0-49D1-945D-FAD704D2C0C5}" name="Power Requested" dataDxfId="21"/>
    <tableColumn id="7" xr3:uid="{C846CB28-9936-4AFC-9357-851F41A3EE45}" name="Lower Space" dataDxfId="20"/>
    <tableColumn id="8" xr3:uid="{4903BFFC-BD7B-4DDB-BDFA-5F93B0A7B023}" name="Upper Space" dataDxfId="19"/>
    <tableColumn id="27" xr3:uid="{BE9E1AA0-D595-4243-8717-DB150751602F}" name="Status" dataDxfId="18"/>
    <tableColumn id="9" xr3:uid="{4208E9C1-6D0F-4693-A481-BAC58E66EDF5}" name="SAQ" dataDxfId="17"/>
    <tableColumn id="14" xr3:uid="{D335BBAF-ABC2-4FC9-BDA5-263E7C337A2E}" name="SAQ Remarks" dataDxfId="16"/>
    <tableColumn id="10" xr3:uid="{EFE54B95-EB82-4680-9945-562582B87FAB}" name="RF" dataDxfId="15"/>
    <tableColumn id="15" xr3:uid="{290DC31F-E16B-49FB-8428-9D58AD93AFAE}" name="Lower Suggested" dataDxfId="14"/>
    <tableColumn id="16" xr3:uid="{54784020-5CBE-447C-B148-299EDA622CE0}" name="Upper Suggested" dataDxfId="13"/>
    <tableColumn id="17" xr3:uid="{CC3F6A7D-A603-4F78-B97C-F376F33D9969}" name="RF Remarks" dataDxfId="12"/>
    <tableColumn id="12" xr3:uid="{45F906FC-F649-4AA4-9D74-E79A834EB797}" name="Power" dataDxfId="11"/>
    <tableColumn id="20" xr3:uid="{53284823-D5A1-498C-BEAF-C9A3E0307596}" name="Power Suggested" dataDxfId="10"/>
    <tableColumn id="21" xr3:uid="{1EED3A1A-5185-485B-9459-E89F51500991}" name="Power Forecast after Colo Approval" dataDxfId="9"/>
    <tableColumn id="22" xr3:uid="{CC29C8D4-D6C9-4497-B2FB-67B7540A3BFA}" name="Power Remarks" dataDxfId="8"/>
    <tableColumn id="11" xr3:uid="{0CD74210-5783-41ED-A79F-867B370B848C}" name="Structural" dataDxfId="7"/>
    <tableColumn id="18" xr3:uid="{1EA05A8F-6CBC-425C-B00F-18CBF279F5AC}" name="Structural EPA" dataDxfId="6"/>
    <tableColumn id="19" xr3:uid="{38A6BD76-7B0D-4F36-A0A8-CED0CC04A443}" name="Structural Remarks" dataDxfId="5"/>
    <tableColumn id="13" xr3:uid="{CDC3326C-D697-4903-9E05-7476517D58E4}" name="CW" dataDxfId="4"/>
    <tableColumn id="23" xr3:uid="{70458698-BBBE-4D5E-83FE-7C37FB0D342C}" name="Extension Needed" dataDxfId="3"/>
    <tableColumn id="24" xr3:uid="{F9455B32-E236-4A85-9099-B5F5F5B376EF}" name="CW Remarks" dataDxfId="2"/>
    <tableColumn id="25" xr3:uid="{3489AEEB-0BB4-4796-A01D-1CB6A27E2538}" name="Community" dataDxfId="1"/>
    <tableColumn id="26" xr3:uid="{698D0496-3F1B-4982-A964-CE201912FEA0}" name="Community Remarks" dataDxfId="0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11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12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table" Target="../tables/table13.xml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6" tint="0.39997558519241921"/>
  </sheetPr>
  <dimension ref="A1:F7"/>
  <sheetViews>
    <sheetView showGridLines="0" showRowColHeaders="0" tabSelected="1" workbookViewId="0">
      <selection activeCell="F6" sqref="F6"/>
    </sheetView>
  </sheetViews>
  <sheetFormatPr defaultColWidth="0" defaultRowHeight="15" zeroHeight="1"/>
  <cols>
    <col min="1" max="6" width="9.140625" customWidth="1"/>
    <col min="7" max="16384" width="9.140625" hidden="1"/>
  </cols>
  <sheetData>
    <row r="1"/>
    <row r="2"/>
    <row r="3"/>
    <row r="4"/>
    <row r="5"/>
    <row r="6"/>
    <row r="7" ht="20.25" customHeight="1"/>
  </sheetData>
  <sheetProtection sheet="1" objects="1" scenarios="1" selectLockedCells="1" selectUnlockedCells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OpenLogin">
                <anchor moveWithCells="1" sizeWithCells="1">
                  <from>
                    <xdr:col>1</xdr:col>
                    <xdr:colOff>266700</xdr:colOff>
                    <xdr:row>1</xdr:row>
                    <xdr:rowOff>142875</xdr:rowOff>
                  </from>
                  <to>
                    <xdr:col>4</xdr:col>
                    <xdr:colOff>352425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9" tint="0.39997558519241921"/>
  </sheetPr>
  <dimension ref="A1:N20"/>
  <sheetViews>
    <sheetView showGridLines="0" showRowColHeaders="0" topLeftCell="A5" zoomScaleNormal="100" workbookViewId="0">
      <pane xSplit="10" ySplit="20" topLeftCell="K25" activePane="bottomRight" state="frozen"/>
      <selection activeCell="A5" sqref="A5"/>
      <selection pane="topRight" activeCell="K5" sqref="K5"/>
      <selection pane="bottomLeft" activeCell="A25" sqref="A25"/>
      <selection pane="bottomRight" activeCell="D8" sqref="D8"/>
    </sheetView>
  </sheetViews>
  <sheetFormatPr defaultColWidth="0" defaultRowHeight="15"/>
  <cols>
    <col min="1" max="1" width="10.42578125" style="52" bestFit="1" customWidth="1"/>
    <col min="2" max="2" width="22.5703125" style="52" bestFit="1" customWidth="1"/>
    <col min="3" max="3" width="5.5703125" style="52" customWidth="1"/>
    <col min="4" max="4" width="12.85546875" style="52" customWidth="1"/>
    <col min="5" max="5" width="17.5703125" style="52" bestFit="1" customWidth="1"/>
    <col min="6" max="6" width="12.85546875" style="52" customWidth="1"/>
    <col min="7" max="7" width="6.140625" style="52" customWidth="1"/>
    <col min="8" max="8" width="13.28515625" style="52" customWidth="1"/>
    <col min="9" max="9" width="9.140625" style="52" customWidth="1"/>
    <col min="10" max="10" width="5.5703125" style="52" customWidth="1"/>
    <col min="11" max="11" width="4.140625" style="46" customWidth="1"/>
    <col min="12" max="12" width="17.5703125" style="50" hidden="1" customWidth="1"/>
    <col min="13" max="13" width="10.42578125" style="52" hidden="1" customWidth="1"/>
    <col min="14" max="14" width="16.5703125" style="52" hidden="1" customWidth="1"/>
    <col min="15" max="16384" width="0" style="52" hidden="1"/>
  </cols>
  <sheetData>
    <row r="1" spans="1:13" s="196" customFormat="1" hidden="1">
      <c r="A1" s="37" t="s">
        <v>10</v>
      </c>
      <c r="B1" s="38" t="s">
        <v>12</v>
      </c>
      <c r="C1" s="38"/>
      <c r="D1" s="38"/>
      <c r="E1" s="38"/>
      <c r="F1" s="42"/>
      <c r="G1" s="42"/>
      <c r="H1" s="38"/>
      <c r="I1" s="38"/>
      <c r="J1" s="38"/>
      <c r="K1" s="155"/>
      <c r="L1" s="198"/>
      <c r="M1" s="155"/>
    </row>
    <row r="2" spans="1:13" s="196" customFormat="1" hidden="1">
      <c r="A2" s="41" t="s">
        <v>4</v>
      </c>
      <c r="B2" s="41" t="s">
        <v>14</v>
      </c>
      <c r="C2" s="41" t="s">
        <v>1</v>
      </c>
      <c r="D2" s="41" t="s">
        <v>3</v>
      </c>
      <c r="E2" s="41" t="s">
        <v>31</v>
      </c>
      <c r="F2" s="41" t="s">
        <v>32</v>
      </c>
      <c r="G2" s="41" t="s">
        <v>34</v>
      </c>
      <c r="H2" s="41" t="s">
        <v>33</v>
      </c>
      <c r="I2" s="41" t="s">
        <v>86</v>
      </c>
      <c r="J2" s="42"/>
      <c r="K2" s="155"/>
      <c r="L2" s="198"/>
      <c r="M2" s="155"/>
    </row>
    <row r="3" spans="1:13" s="196" customFormat="1" hidden="1">
      <c r="A3" s="68">
        <f>D8</f>
        <v>0</v>
      </c>
      <c r="B3" s="68" t="str">
        <f>D10</f>
        <v>No ID yet</v>
      </c>
      <c r="C3" s="68">
        <f>D14</f>
        <v>0</v>
      </c>
      <c r="D3" s="43">
        <f>D12</f>
        <v>43236</v>
      </c>
      <c r="E3" s="68">
        <f>D16</f>
        <v>0</v>
      </c>
      <c r="F3" s="68">
        <f>D18</f>
        <v>0</v>
      </c>
      <c r="G3" s="68">
        <f>D20</f>
        <v>0</v>
      </c>
      <c r="H3" s="68">
        <f>F20</f>
        <v>0</v>
      </c>
      <c r="I3" s="68" t="s">
        <v>87</v>
      </c>
      <c r="J3" s="42"/>
      <c r="K3" s="155"/>
      <c r="L3" s="198"/>
      <c r="M3" s="155"/>
    </row>
    <row r="4" spans="1:13" s="196" customFormat="1" hidden="1">
      <c r="A4" s="44"/>
      <c r="B4" s="39"/>
      <c r="C4" s="39"/>
      <c r="D4" s="39"/>
      <c r="E4" s="39"/>
      <c r="F4" s="39"/>
      <c r="G4" s="39"/>
      <c r="H4" s="39"/>
      <c r="I4" s="39"/>
      <c r="J4" s="39"/>
      <c r="K4" s="155"/>
      <c r="L4" s="198"/>
      <c r="M4" s="155"/>
    </row>
    <row r="5" spans="1:13">
      <c r="A5" s="45"/>
      <c r="B5" s="46"/>
      <c r="C5" s="46"/>
      <c r="D5" s="46"/>
      <c r="E5" s="46"/>
      <c r="F5" s="46"/>
      <c r="G5" s="46"/>
      <c r="H5" s="46"/>
      <c r="I5" s="46"/>
      <c r="J5" s="46"/>
      <c r="L5" s="47"/>
      <c r="M5" s="46"/>
    </row>
    <row r="6" spans="1:13" ht="21">
      <c r="A6" s="201" t="s">
        <v>11</v>
      </c>
      <c r="B6" s="202"/>
      <c r="C6" s="202"/>
      <c r="D6" s="202"/>
      <c r="E6" s="202"/>
      <c r="F6" s="202"/>
      <c r="G6" s="202"/>
      <c r="H6" s="202"/>
      <c r="I6" s="202"/>
      <c r="J6" s="202"/>
      <c r="L6" s="49" t="s">
        <v>15</v>
      </c>
      <c r="M6" s="46"/>
    </row>
    <row r="7" spans="1:13">
      <c r="A7" s="45"/>
      <c r="B7" s="46"/>
      <c r="C7" s="46"/>
      <c r="D7" s="46"/>
      <c r="E7" s="46"/>
      <c r="F7" s="46"/>
      <c r="G7" s="46"/>
      <c r="H7" s="46"/>
      <c r="I7" s="46"/>
      <c r="J7" s="46"/>
    </row>
    <row r="8" spans="1:13">
      <c r="A8" s="45"/>
      <c r="B8" s="51" t="s">
        <v>7</v>
      </c>
      <c r="C8" s="46"/>
      <c r="D8" s="32"/>
      <c r="I8" s="46"/>
      <c r="J8" s="46"/>
      <c r="L8" s="47" t="s">
        <v>7</v>
      </c>
      <c r="M8" s="46"/>
    </row>
    <row r="9" spans="1:13">
      <c r="A9" s="45"/>
      <c r="B9" s="46"/>
      <c r="C9" s="46"/>
      <c r="D9" s="46"/>
      <c r="E9" s="46"/>
      <c r="I9" s="46"/>
      <c r="J9" s="46"/>
      <c r="L9" s="47"/>
      <c r="M9" s="46"/>
    </row>
    <row r="10" spans="1:13">
      <c r="A10" s="45"/>
      <c r="B10" s="51" t="s">
        <v>13</v>
      </c>
      <c r="C10" s="46"/>
      <c r="D10" s="30" t="s">
        <v>2</v>
      </c>
      <c r="J10" s="46"/>
      <c r="L10" s="47" t="s">
        <v>13</v>
      </c>
      <c r="M10" s="46" t="s">
        <v>2</v>
      </c>
    </row>
    <row r="11" spans="1:13">
      <c r="A11" s="45"/>
      <c r="B11" s="46"/>
      <c r="D11" s="46"/>
      <c r="I11" s="46"/>
      <c r="J11" s="46"/>
      <c r="L11" s="47"/>
      <c r="M11" s="197"/>
    </row>
    <row r="12" spans="1:13">
      <c r="A12" s="45"/>
      <c r="B12" s="51" t="s">
        <v>9</v>
      </c>
      <c r="C12" s="46"/>
      <c r="D12" s="33">
        <v>43236</v>
      </c>
      <c r="I12" s="46"/>
      <c r="J12" s="46"/>
      <c r="L12" s="47" t="s">
        <v>9</v>
      </c>
      <c r="M12" s="197">
        <f ca="1">ROUNDDOWN(NOW(),0)</f>
        <v>43236</v>
      </c>
    </row>
    <row r="13" spans="1:13">
      <c r="A13" s="45"/>
      <c r="I13" s="46"/>
      <c r="J13" s="46"/>
      <c r="M13" s="46"/>
    </row>
    <row r="14" spans="1:13">
      <c r="A14" s="45"/>
      <c r="B14" s="51" t="s">
        <v>8</v>
      </c>
      <c r="C14" s="46"/>
      <c r="D14" s="32"/>
      <c r="I14" s="46"/>
      <c r="J14" s="46"/>
      <c r="L14" s="47" t="s">
        <v>8</v>
      </c>
      <c r="M14" s="46"/>
    </row>
    <row r="15" spans="1:13">
      <c r="A15" s="45"/>
      <c r="E15" s="46"/>
      <c r="F15" s="46"/>
      <c r="I15" s="46"/>
      <c r="J15" s="46"/>
      <c r="M15" s="46"/>
    </row>
    <row r="16" spans="1:13">
      <c r="A16" s="45"/>
      <c r="B16" s="51" t="s">
        <v>26</v>
      </c>
      <c r="C16" s="46"/>
      <c r="D16" s="34"/>
      <c r="E16" s="46"/>
      <c r="F16" s="46"/>
      <c r="I16" s="46"/>
      <c r="J16" s="46"/>
      <c r="L16" s="47" t="s">
        <v>26</v>
      </c>
      <c r="M16" s="46"/>
    </row>
    <row r="17" spans="1:13">
      <c r="A17" s="46"/>
      <c r="B17" s="46"/>
      <c r="C17" s="46"/>
      <c r="D17" s="46"/>
      <c r="E17" s="46"/>
      <c r="F17" s="46"/>
      <c r="H17" s="46"/>
      <c r="I17" s="46"/>
      <c r="J17" s="46"/>
      <c r="M17" s="46"/>
    </row>
    <row r="18" spans="1:13">
      <c r="A18" s="46"/>
      <c r="B18" s="51" t="s">
        <v>25</v>
      </c>
      <c r="C18" s="46"/>
      <c r="D18" s="35"/>
      <c r="E18" s="46"/>
      <c r="F18" s="46"/>
      <c r="H18" s="46"/>
      <c r="I18" s="46"/>
      <c r="J18" s="46"/>
      <c r="L18" s="47" t="s">
        <v>25</v>
      </c>
    </row>
    <row r="19" spans="1:13">
      <c r="B19" s="46"/>
      <c r="C19" s="46"/>
      <c r="D19" s="46"/>
    </row>
    <row r="20" spans="1:13">
      <c r="B20" s="51" t="s">
        <v>27</v>
      </c>
      <c r="C20" s="53" t="s">
        <v>28</v>
      </c>
      <c r="D20" s="36"/>
      <c r="E20" s="54" t="s">
        <v>29</v>
      </c>
      <c r="F20" s="36"/>
      <c r="L20" s="47" t="s">
        <v>30</v>
      </c>
    </row>
  </sheetData>
  <sheetProtection sheet="1" selectLockedCells="1"/>
  <mergeCells count="1">
    <mergeCell ref="A6:J6"/>
  </mergeCells>
  <conditionalFormatting sqref="D8 D14">
    <cfRule type="containsBlanks" dxfId="342" priority="5">
      <formula>LEN(TRIM(D8))=0</formula>
    </cfRule>
  </conditionalFormatting>
  <conditionalFormatting sqref="D18">
    <cfRule type="containsBlanks" dxfId="341" priority="4">
      <formula>LEN(TRIM(D18))=0</formula>
    </cfRule>
  </conditionalFormatting>
  <conditionalFormatting sqref="D16">
    <cfRule type="containsBlanks" dxfId="340" priority="3">
      <formula>LEN(TRIM(D16))=0</formula>
    </cfRule>
  </conditionalFormatting>
  <conditionalFormatting sqref="D20">
    <cfRule type="containsBlanks" dxfId="339" priority="2">
      <formula>LEN(TRIM(D20))=0</formula>
    </cfRule>
  </conditionalFormatting>
  <conditionalFormatting sqref="F20">
    <cfRule type="containsBlanks" dxfId="338" priority="1">
      <formula>LEN(TRIM(F20))=0</formula>
    </cfRule>
  </conditionalFormatting>
  <dataValidations count="4">
    <dataValidation type="list" allowBlank="1" showInputMessage="1" showErrorMessage="1" sqref="D14" xr:uid="{00000000-0002-0000-0000-000000000000}">
      <formula1>"TN,OML,MPT,Mytel,Amara"</formula1>
    </dataValidation>
    <dataValidation type="date" operator="lessThanOrEqual" allowBlank="1" showInputMessage="1" showErrorMessage="1" sqref="D12" xr:uid="{00000000-0002-0000-0000-000001000000}">
      <formula1>NOW()</formula1>
    </dataValidation>
    <dataValidation type="decimal" allowBlank="1" showInputMessage="1" showErrorMessage="1" sqref="D18 D16" xr:uid="{00000000-0002-0000-0000-000002000000}">
      <formula1>0</formula1>
      <formula2>20</formula2>
    </dataValidation>
    <dataValidation type="decimal" allowBlank="1" showInputMessage="1" showErrorMessage="1" sqref="F20 D20" xr:uid="{00000000-0002-0000-0000-000003000000}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aveColoRequest">
                <anchor moveWithCells="1" sizeWithCells="1">
                  <from>
                    <xdr:col>7</xdr:col>
                    <xdr:colOff>304800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'01towers'!$A$2:$A$2468</xm:f>
          </x14:formula1>
          <xm:sqref>D8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AC861-EBD9-480E-8614-C34F16D3E9F7}">
  <sheetPr codeName="Sheet20">
    <tabColor rgb="FFFF0000"/>
    <outlinePr summaryBelow="0" summaryRight="0"/>
  </sheetPr>
  <dimension ref="A1:AO73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 outlineLevelCol="1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6" width="11.7109375" style="2" customWidth="1"/>
    <col min="7" max="7" width="10.28515625" customWidth="1"/>
    <col min="8" max="8" width="8.140625" customWidth="1"/>
    <col min="9" max="9" width="12.42578125" customWidth="1"/>
    <col min="10" max="10" width="4.28515625" customWidth="1" collapsed="1"/>
    <col min="11" max="11" width="58.85546875" style="10" hidden="1" customWidth="1" outlineLevel="1"/>
    <col min="12" max="12" width="4.28515625" style="10" customWidth="1" collapsed="1"/>
    <col min="13" max="13" width="11.28515625" hidden="1" customWidth="1" outlineLevel="1"/>
    <col min="14" max="14" width="13.5703125" style="10" hidden="1" customWidth="1" outlineLevel="1"/>
    <col min="15" max="15" width="58.42578125" style="10" hidden="1" customWidth="1" outlineLevel="1"/>
    <col min="16" max="16" width="4.28515625" style="10" customWidth="1" collapsed="1"/>
    <col min="17" max="17" width="12" style="10" hidden="1" customWidth="1" outlineLevel="1"/>
    <col min="18" max="18" width="23" hidden="1" customWidth="1" outlineLevel="1"/>
    <col min="19" max="19" width="67.42578125" hidden="1" customWidth="1" outlineLevel="1"/>
    <col min="20" max="20" width="4.28515625" style="10" customWidth="1" collapsed="1"/>
    <col min="21" max="21" width="11.28515625" hidden="1" customWidth="1" outlineLevel="1"/>
    <col min="22" max="22" width="48.5703125" hidden="1" customWidth="1" outlineLevel="1"/>
    <col min="23" max="23" width="4.28515625" customWidth="1" collapsed="1"/>
    <col min="24" max="24" width="11.5703125" hidden="1" customWidth="1" outlineLevel="1"/>
    <col min="25" max="25" width="76.7109375" hidden="1" customWidth="1" outlineLevel="1"/>
    <col min="26" max="26" width="4.28515625" style="10" customWidth="1" collapsed="1"/>
    <col min="27" max="27" width="47.7109375" hidden="1" customWidth="1" outlineLevel="1"/>
    <col min="28" max="28" width="9.140625" customWidth="1"/>
    <col min="29" max="29" width="9.140625" style="212" hidden="1"/>
    <col min="30" max="30" width="62.140625" style="212" hidden="1"/>
    <col min="31" max="31" width="58.42578125" style="211" hidden="1"/>
    <col min="32" max="32" width="10" style="211" hidden="1"/>
    <col min="33" max="33" width="41.85546875" style="211" hidden="1"/>
    <col min="34" max="34" width="12.5703125" style="211" hidden="1"/>
    <col min="35" max="35" width="19.42578125" style="211" hidden="1"/>
    <col min="36" max="36" width="57.42578125" style="211" hidden="1"/>
    <col min="37" max="37" width="22.28515625" style="211" hidden="1"/>
    <col min="38" max="38" width="30.140625" style="211" hidden="1"/>
    <col min="39" max="39" width="47.7109375" style="211" hidden="1"/>
    <col min="40" max="41" width="0" style="211" hidden="1"/>
    <col min="42" max="16384" width="9.140625" style="212" hidden="1"/>
  </cols>
  <sheetData>
    <row r="1" spans="1:41" s="208" customFormat="1" hidden="1">
      <c r="A1" s="56" t="s">
        <v>10</v>
      </c>
      <c r="B1" s="15" t="s">
        <v>12</v>
      </c>
      <c r="C1" s="15"/>
      <c r="D1" s="15"/>
      <c r="E1" s="62"/>
      <c r="F1" s="67"/>
      <c r="G1" s="15"/>
      <c r="H1" s="15"/>
      <c r="I1" s="15"/>
      <c r="J1" s="15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207"/>
    </row>
    <row r="2" spans="1:41" s="208" customFormat="1" hidden="1">
      <c r="A2" s="57" t="s">
        <v>18</v>
      </c>
      <c r="B2" s="7"/>
      <c r="C2" s="7"/>
      <c r="D2" s="7"/>
      <c r="E2" s="31"/>
      <c r="F2" s="19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207"/>
    </row>
    <row r="3" spans="1:41" s="208" customFormat="1" hidden="1">
      <c r="A3" s="58" t="s">
        <v>5</v>
      </c>
      <c r="B3" s="5" t="s">
        <v>14</v>
      </c>
      <c r="C3" s="5" t="s">
        <v>31</v>
      </c>
      <c r="D3" s="5" t="s">
        <v>86</v>
      </c>
      <c r="E3" s="31"/>
      <c r="F3" s="19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207"/>
    </row>
    <row r="4" spans="1:41" s="210" customFormat="1" hidden="1">
      <c r="A4" s="18">
        <f>MATCH(A3,10:10,0)</f>
        <v>1</v>
      </c>
      <c r="B4" s="18">
        <f>MATCH(B3,10:10,0)</f>
        <v>3</v>
      </c>
      <c r="C4" s="18">
        <f>MATCH(C3,10:10,0)</f>
        <v>6</v>
      </c>
      <c r="D4" s="18">
        <f>MATCH(D3,10:10,0)</f>
        <v>9</v>
      </c>
      <c r="E4" s="31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209"/>
    </row>
    <row r="5" spans="1:41" s="210" customFormat="1" hidden="1">
      <c r="A5" s="18">
        <v>59</v>
      </c>
      <c r="B5" s="6" t="e">
        <f>IF(VLOOKUP($A$5,Table3521014[],B4,FALSE)&lt;&gt;0,VLOOKUP($A$5,Table3521014[],B4,FALSE),"")</f>
        <v>#N/A</v>
      </c>
      <c r="C5" s="18" t="e">
        <f>IF(VLOOKUP($A$5,Table3521014[],C4,FALSE)&lt;&gt;0,VLOOKUP($A$5,Table3521014[],C4,FALSE),"")</f>
        <v>#N/A</v>
      </c>
      <c r="D5" s="18" t="e">
        <f>IF(VLOOKUP($A$5,Table3521014[],D4,FALSE)&lt;&gt;0,VLOOKUP($A$5,Table3521014[],D4,FALSE),"")</f>
        <v>#N/A</v>
      </c>
      <c r="E5" s="31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209"/>
    </row>
    <row r="6" spans="1:41" hidden="1">
      <c r="A6" s="59" t="s">
        <v>16</v>
      </c>
      <c r="B6" s="12"/>
      <c r="C6" s="12"/>
      <c r="D6" s="12"/>
      <c r="E6" s="63"/>
      <c r="F6" s="60"/>
      <c r="G6" s="12"/>
      <c r="H6" s="12"/>
      <c r="I6" s="12"/>
      <c r="J6" s="12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211"/>
      <c r="AE6" s="212"/>
      <c r="AF6" s="212"/>
      <c r="AG6" s="212"/>
      <c r="AH6" s="212"/>
      <c r="AI6" s="212"/>
      <c r="AJ6" s="212"/>
      <c r="AK6" s="212"/>
      <c r="AL6" s="212"/>
      <c r="AM6" s="212"/>
      <c r="AN6" s="212"/>
      <c r="AO6" s="212"/>
    </row>
    <row r="7" spans="1:41" hidden="1">
      <c r="A7" s="60" t="s">
        <v>1</v>
      </c>
      <c r="B7" s="60"/>
      <c r="C7" s="60"/>
      <c r="D7" s="60"/>
      <c r="E7" s="63"/>
      <c r="F7" s="60"/>
      <c r="G7" s="12"/>
      <c r="H7" s="12"/>
      <c r="I7" s="12"/>
      <c r="J7" s="12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211"/>
      <c r="AE7" s="212"/>
      <c r="AF7" s="212"/>
      <c r="AG7" s="212"/>
      <c r="AH7" s="212"/>
      <c r="AI7" s="212"/>
      <c r="AJ7" s="212"/>
      <c r="AK7" s="212"/>
      <c r="AL7" s="212"/>
      <c r="AM7" s="212"/>
      <c r="AN7" s="212"/>
      <c r="AO7" s="212"/>
    </row>
    <row r="8" spans="1:41" hidden="1">
      <c r="A8" s="60" t="s">
        <v>117</v>
      </c>
      <c r="B8" s="60"/>
      <c r="C8" s="60"/>
      <c r="D8" s="60"/>
      <c r="E8" s="63"/>
      <c r="F8" s="60"/>
      <c r="G8" s="12"/>
      <c r="H8" s="12"/>
      <c r="I8" s="12"/>
      <c r="J8" s="12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211"/>
      <c r="AE8" s="212"/>
      <c r="AF8" s="212"/>
      <c r="AG8" s="212"/>
      <c r="AH8" s="212"/>
      <c r="AI8" s="212"/>
      <c r="AJ8" s="212"/>
      <c r="AK8" s="212"/>
      <c r="AL8" s="212"/>
      <c r="AM8" s="212"/>
      <c r="AN8" s="212"/>
      <c r="AO8" s="212"/>
    </row>
    <row r="9" spans="1:41" hidden="1">
      <c r="A9" s="61" t="s">
        <v>17</v>
      </c>
      <c r="B9" s="13"/>
      <c r="C9" s="13"/>
      <c r="D9" s="13"/>
      <c r="E9" s="64"/>
      <c r="F9" s="22"/>
      <c r="G9" s="13"/>
      <c r="H9" s="13"/>
      <c r="I9" s="13"/>
      <c r="J9" s="1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211"/>
      <c r="AE9" s="212"/>
      <c r="AF9" s="212"/>
      <c r="AG9" s="212"/>
      <c r="AH9" s="212"/>
      <c r="AI9" s="212"/>
      <c r="AJ9" s="212"/>
      <c r="AK9" s="212"/>
      <c r="AL9" s="212"/>
      <c r="AM9" s="212"/>
      <c r="AN9" s="212"/>
      <c r="AO9" s="212"/>
    </row>
    <row r="10" spans="1:41" hidden="1">
      <c r="A10" s="58" t="s">
        <v>5</v>
      </c>
      <c r="B10" s="17" t="s">
        <v>4</v>
      </c>
      <c r="C10" s="17" t="s">
        <v>14</v>
      </c>
      <c r="D10" s="17" t="s">
        <v>1</v>
      </c>
      <c r="E10" s="17" t="s">
        <v>3</v>
      </c>
      <c r="F10" s="17" t="s">
        <v>31</v>
      </c>
      <c r="G10" s="17" t="s">
        <v>34</v>
      </c>
      <c r="H10" s="17" t="s">
        <v>33</v>
      </c>
      <c r="I10" s="17" t="s">
        <v>86</v>
      </c>
      <c r="J10" s="17" t="s">
        <v>36</v>
      </c>
      <c r="K10" s="17" t="s">
        <v>37</v>
      </c>
      <c r="L10" s="17" t="s">
        <v>41</v>
      </c>
      <c r="M10" s="17" t="s">
        <v>59</v>
      </c>
      <c r="N10" s="17" t="s">
        <v>60</v>
      </c>
      <c r="O10" s="17" t="s">
        <v>42</v>
      </c>
      <c r="P10" s="17" t="s">
        <v>48</v>
      </c>
      <c r="Q10" s="17" t="s">
        <v>47</v>
      </c>
      <c r="R10" s="17" t="s">
        <v>50</v>
      </c>
      <c r="S10" s="17" t="s">
        <v>49</v>
      </c>
      <c r="T10" s="17" t="s">
        <v>56</v>
      </c>
      <c r="U10" s="17" t="s">
        <v>55</v>
      </c>
      <c r="V10" s="17" t="s">
        <v>58</v>
      </c>
      <c r="W10" s="17" t="s">
        <v>64</v>
      </c>
      <c r="X10" s="17" t="s">
        <v>63</v>
      </c>
      <c r="Y10" s="17" t="s">
        <v>65</v>
      </c>
      <c r="Z10" s="17" t="s">
        <v>81</v>
      </c>
      <c r="AA10" s="17" t="s">
        <v>82</v>
      </c>
      <c r="AB10" s="14"/>
      <c r="AC10" s="211"/>
      <c r="AE10" s="212"/>
      <c r="AF10" s="212"/>
      <c r="AG10" s="212"/>
      <c r="AH10" s="212"/>
      <c r="AI10" s="212"/>
      <c r="AJ10" s="212"/>
      <c r="AK10" s="212"/>
      <c r="AL10" s="212"/>
      <c r="AM10" s="212"/>
      <c r="AN10" s="212"/>
      <c r="AO10" s="212"/>
    </row>
    <row r="11" spans="1:41" s="214" customFormat="1" hidden="1">
      <c r="A11" s="22"/>
      <c r="B11" s="22"/>
      <c r="C11" s="22"/>
      <c r="D11" s="22"/>
      <c r="E11" s="64"/>
      <c r="F11" s="22"/>
      <c r="G11" s="22"/>
      <c r="H11" s="22"/>
      <c r="I11" s="22"/>
      <c r="J11" s="22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13"/>
    </row>
    <row r="12" spans="1:41">
      <c r="M12" s="10"/>
      <c r="R12" s="10"/>
      <c r="S12" s="10"/>
      <c r="U12" s="10"/>
      <c r="V12" s="10"/>
      <c r="W12" s="10"/>
      <c r="X12" s="10"/>
      <c r="Y12" s="10"/>
      <c r="AA12" s="10"/>
      <c r="AB12" s="10"/>
      <c r="AC12" s="211"/>
      <c r="AE12" s="212"/>
      <c r="AF12" s="212"/>
      <c r="AG12" s="212"/>
      <c r="AH12" s="212"/>
      <c r="AI12" s="212"/>
      <c r="AJ12" s="212"/>
      <c r="AK12" s="212"/>
      <c r="AL12" s="212"/>
      <c r="AM12" s="212"/>
      <c r="AN12" s="212"/>
      <c r="AO12" s="212"/>
    </row>
    <row r="13" spans="1:41" ht="21">
      <c r="C13" s="203" t="s">
        <v>150</v>
      </c>
      <c r="D13" s="204"/>
      <c r="E13" s="204"/>
      <c r="M13" s="10"/>
      <c r="R13" s="10"/>
      <c r="S13" s="10"/>
      <c r="U13" s="10"/>
      <c r="V13" s="10"/>
      <c r="W13" s="10"/>
      <c r="X13" s="10"/>
      <c r="Y13" s="10"/>
      <c r="AA13" s="10"/>
      <c r="AB13" s="10"/>
      <c r="AC13" s="211"/>
      <c r="AE13" s="212"/>
      <c r="AF13" s="212"/>
      <c r="AG13" s="212"/>
      <c r="AH13" s="212"/>
      <c r="AI13" s="212"/>
      <c r="AJ13" s="212"/>
      <c r="AK13" s="212"/>
      <c r="AL13" s="212"/>
      <c r="AM13" s="212"/>
      <c r="AN13" s="212"/>
      <c r="AO13" s="212"/>
    </row>
    <row r="14" spans="1:41">
      <c r="M14" s="10"/>
      <c r="R14" s="10"/>
      <c r="S14" s="10"/>
      <c r="U14" s="10"/>
      <c r="V14" s="10"/>
      <c r="W14" s="10"/>
      <c r="X14" s="10"/>
      <c r="Y14" s="10"/>
      <c r="AA14" s="10"/>
      <c r="AB14" s="10"/>
      <c r="AC14" s="211"/>
      <c r="AE14" s="212"/>
      <c r="AF14" s="212"/>
      <c r="AG14" s="212"/>
      <c r="AH14" s="212"/>
      <c r="AI14" s="212"/>
      <c r="AJ14" s="212"/>
      <c r="AK14" s="212"/>
      <c r="AL14" s="212"/>
      <c r="AM14" s="212"/>
      <c r="AN14" s="212"/>
      <c r="AO14" s="212"/>
    </row>
    <row r="15" spans="1:41" s="215" customFormat="1" ht="54" customHeight="1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26</v>
      </c>
      <c r="G15" s="119" t="s">
        <v>67</v>
      </c>
      <c r="H15" s="119" t="s">
        <v>68</v>
      </c>
      <c r="I15" s="119" t="s">
        <v>86</v>
      </c>
      <c r="J15" s="115" t="s">
        <v>70</v>
      </c>
      <c r="K15" s="129" t="s">
        <v>79</v>
      </c>
      <c r="L15" s="116" t="s">
        <v>71</v>
      </c>
      <c r="M15" s="130" t="s">
        <v>45</v>
      </c>
      <c r="N15" s="130" t="s">
        <v>46</v>
      </c>
      <c r="O15" s="130" t="s">
        <v>75</v>
      </c>
      <c r="P15" s="117" t="s">
        <v>73</v>
      </c>
      <c r="Q15" s="132" t="s">
        <v>52</v>
      </c>
      <c r="R15" s="132" t="s">
        <v>69</v>
      </c>
      <c r="S15" s="132" t="s">
        <v>54</v>
      </c>
      <c r="T15" s="118" t="s">
        <v>72</v>
      </c>
      <c r="U15" s="131" t="s">
        <v>76</v>
      </c>
      <c r="V15" s="131" t="s">
        <v>77</v>
      </c>
      <c r="W15" s="133" t="s">
        <v>74</v>
      </c>
      <c r="X15" s="183" t="s">
        <v>66</v>
      </c>
      <c r="Y15" s="184" t="s">
        <v>78</v>
      </c>
      <c r="Z15" s="180" t="s">
        <v>84</v>
      </c>
      <c r="AA15" s="185" t="s">
        <v>85</v>
      </c>
      <c r="AB15" s="25"/>
      <c r="AC15" s="25"/>
    </row>
    <row r="16" spans="1:41">
      <c r="A16" s="122"/>
      <c r="B16" s="123"/>
      <c r="C16" s="123"/>
      <c r="D16" s="123"/>
      <c r="E16" s="124"/>
      <c r="F16" s="125"/>
      <c r="G16" s="126"/>
      <c r="H16" s="127"/>
      <c r="I16" s="127"/>
      <c r="J16" s="128"/>
      <c r="K16" s="126"/>
      <c r="L16" s="128"/>
      <c r="M16" s="126"/>
      <c r="N16" s="126"/>
      <c r="O16" s="126"/>
      <c r="P16" s="128"/>
      <c r="Q16" s="126"/>
      <c r="R16" s="126"/>
      <c r="S16" s="126"/>
      <c r="T16" s="128"/>
      <c r="U16" s="126"/>
      <c r="V16" s="126"/>
      <c r="W16" s="128"/>
      <c r="X16" s="126"/>
      <c r="Y16" s="126"/>
      <c r="Z16" s="128"/>
      <c r="AA16" s="126"/>
      <c r="AB16" s="110"/>
      <c r="AC16" s="110"/>
      <c r="AE16" s="212"/>
      <c r="AF16" s="212"/>
      <c r="AG16" s="212"/>
      <c r="AH16" s="212"/>
      <c r="AI16" s="212"/>
      <c r="AJ16" s="212"/>
      <c r="AK16" s="212"/>
      <c r="AL16" s="212"/>
      <c r="AM16" s="212"/>
      <c r="AN16" s="212"/>
      <c r="AO16" s="212"/>
    </row>
    <row r="17" spans="28:41">
      <c r="AB17" s="110"/>
      <c r="AC17" s="110"/>
      <c r="AE17" s="212"/>
      <c r="AF17" s="212"/>
      <c r="AG17" s="212"/>
      <c r="AH17" s="212"/>
      <c r="AI17" s="212"/>
      <c r="AJ17" s="212"/>
      <c r="AK17" s="212"/>
      <c r="AL17" s="212"/>
      <c r="AM17" s="212"/>
      <c r="AN17" s="212"/>
      <c r="AO17" s="212"/>
    </row>
    <row r="18" spans="28:41">
      <c r="AB18" s="110"/>
      <c r="AC18" s="110"/>
      <c r="AE18" s="212"/>
      <c r="AF18" s="212"/>
      <c r="AG18" s="212"/>
      <c r="AH18" s="212"/>
      <c r="AI18" s="212"/>
      <c r="AJ18" s="212"/>
      <c r="AK18" s="212"/>
      <c r="AL18" s="212"/>
      <c r="AM18" s="212"/>
      <c r="AN18" s="212"/>
      <c r="AO18" s="212"/>
    </row>
    <row r="19" spans="28:41">
      <c r="AB19" s="110"/>
      <c r="AC19" s="110"/>
      <c r="AE19" s="212"/>
      <c r="AF19" s="212"/>
      <c r="AG19" s="212"/>
      <c r="AH19" s="212"/>
      <c r="AI19" s="212"/>
      <c r="AJ19" s="212"/>
      <c r="AK19" s="212"/>
      <c r="AL19" s="212"/>
      <c r="AM19" s="212"/>
      <c r="AN19" s="212"/>
      <c r="AO19" s="212"/>
    </row>
    <row r="20" spans="28:41">
      <c r="AB20" s="110"/>
      <c r="AC20" s="110"/>
      <c r="AE20" s="212"/>
      <c r="AF20" s="212"/>
      <c r="AG20" s="212"/>
      <c r="AH20" s="212"/>
      <c r="AI20" s="212"/>
      <c r="AJ20" s="212"/>
      <c r="AK20" s="212"/>
      <c r="AL20" s="212"/>
      <c r="AM20" s="212"/>
      <c r="AN20" s="212"/>
      <c r="AO20" s="212"/>
    </row>
    <row r="21" spans="28:41">
      <c r="AB21" s="110"/>
      <c r="AC21" s="110"/>
      <c r="AE21" s="212"/>
      <c r="AF21" s="212"/>
      <c r="AG21" s="212"/>
      <c r="AH21" s="212"/>
      <c r="AI21" s="212"/>
      <c r="AJ21" s="212"/>
      <c r="AK21" s="212"/>
      <c r="AL21" s="212"/>
      <c r="AM21" s="212"/>
      <c r="AN21" s="212"/>
      <c r="AO21" s="212"/>
    </row>
    <row r="22" spans="28:41">
      <c r="AB22" s="110"/>
      <c r="AC22" s="110"/>
      <c r="AE22" s="212"/>
      <c r="AF22" s="212"/>
      <c r="AG22" s="212"/>
      <c r="AH22" s="212"/>
      <c r="AI22" s="212"/>
      <c r="AJ22" s="212"/>
      <c r="AK22" s="212"/>
      <c r="AL22" s="212"/>
      <c r="AM22" s="212"/>
      <c r="AN22" s="212"/>
      <c r="AO22" s="212"/>
    </row>
    <row r="23" spans="28:41">
      <c r="AB23" s="110"/>
      <c r="AC23" s="110"/>
      <c r="AE23" s="212"/>
      <c r="AF23" s="212"/>
      <c r="AG23" s="212"/>
      <c r="AH23" s="212"/>
      <c r="AI23" s="212"/>
      <c r="AJ23" s="212"/>
      <c r="AK23" s="212"/>
      <c r="AL23" s="212"/>
      <c r="AM23" s="212"/>
      <c r="AN23" s="212"/>
      <c r="AO23" s="212"/>
    </row>
    <row r="24" spans="28:41">
      <c r="AB24" s="110"/>
      <c r="AC24" s="110"/>
      <c r="AE24" s="212"/>
      <c r="AF24" s="212"/>
      <c r="AG24" s="212"/>
      <c r="AH24" s="212"/>
      <c r="AI24" s="212"/>
      <c r="AJ24" s="212"/>
      <c r="AK24" s="212"/>
      <c r="AL24" s="212"/>
      <c r="AM24" s="212"/>
      <c r="AN24" s="212"/>
      <c r="AO24" s="212"/>
    </row>
    <row r="25" spans="28:41">
      <c r="AB25" s="110"/>
      <c r="AC25" s="110"/>
      <c r="AE25" s="212"/>
      <c r="AF25" s="212"/>
      <c r="AG25" s="212"/>
      <c r="AH25" s="212"/>
      <c r="AI25" s="212"/>
      <c r="AJ25" s="212"/>
      <c r="AK25" s="212"/>
      <c r="AL25" s="212"/>
      <c r="AM25" s="212"/>
      <c r="AN25" s="212"/>
      <c r="AO25" s="212"/>
    </row>
    <row r="26" spans="28:41">
      <c r="AB26" s="110"/>
      <c r="AC26" s="110"/>
      <c r="AE26" s="212"/>
      <c r="AF26" s="212"/>
      <c r="AG26" s="212"/>
      <c r="AH26" s="212"/>
      <c r="AI26" s="212"/>
      <c r="AJ26" s="212"/>
      <c r="AK26" s="212"/>
      <c r="AL26" s="212"/>
      <c r="AM26" s="212"/>
      <c r="AN26" s="212"/>
      <c r="AO26" s="212"/>
    </row>
    <row r="27" spans="28:41">
      <c r="AB27" s="110"/>
      <c r="AC27" s="110"/>
      <c r="AE27" s="212"/>
      <c r="AF27" s="212"/>
      <c r="AG27" s="212"/>
      <c r="AH27" s="212"/>
      <c r="AI27" s="212"/>
      <c r="AJ27" s="212"/>
      <c r="AK27" s="212"/>
      <c r="AL27" s="212"/>
      <c r="AM27" s="212"/>
      <c r="AN27" s="212"/>
      <c r="AO27" s="212"/>
    </row>
    <row r="28" spans="28:41">
      <c r="AB28" s="110"/>
      <c r="AC28" s="110"/>
      <c r="AE28" s="212"/>
      <c r="AF28" s="212"/>
      <c r="AG28" s="212"/>
      <c r="AH28" s="212"/>
      <c r="AI28" s="212"/>
      <c r="AJ28" s="212"/>
      <c r="AK28" s="212"/>
      <c r="AL28" s="212"/>
      <c r="AM28" s="212"/>
      <c r="AN28" s="212"/>
      <c r="AO28" s="212"/>
    </row>
    <row r="29" spans="28:41">
      <c r="AB29" s="110"/>
      <c r="AC29" s="110"/>
      <c r="AE29" s="212"/>
      <c r="AF29" s="212"/>
      <c r="AG29" s="212"/>
      <c r="AH29" s="212"/>
      <c r="AI29" s="212"/>
      <c r="AJ29" s="212"/>
      <c r="AK29" s="212"/>
      <c r="AL29" s="212"/>
      <c r="AM29" s="212"/>
      <c r="AN29" s="212"/>
      <c r="AO29" s="212"/>
    </row>
    <row r="30" spans="28:41">
      <c r="AB30" s="110"/>
      <c r="AC30" s="110"/>
      <c r="AE30" s="212"/>
      <c r="AF30" s="212"/>
      <c r="AG30" s="212"/>
      <c r="AH30" s="212"/>
      <c r="AI30" s="212"/>
      <c r="AJ30" s="212"/>
      <c r="AK30" s="212"/>
      <c r="AL30" s="212"/>
      <c r="AM30" s="212"/>
      <c r="AN30" s="212"/>
      <c r="AO30" s="212"/>
    </row>
    <row r="31" spans="28:41">
      <c r="AB31" s="110"/>
      <c r="AC31" s="110"/>
      <c r="AE31" s="212"/>
      <c r="AF31" s="212"/>
      <c r="AG31" s="212"/>
      <c r="AH31" s="212"/>
      <c r="AI31" s="212"/>
      <c r="AJ31" s="212"/>
      <c r="AK31" s="212"/>
      <c r="AL31" s="212"/>
      <c r="AM31" s="212"/>
      <c r="AN31" s="212"/>
      <c r="AO31" s="212"/>
    </row>
    <row r="32" spans="28:41">
      <c r="AB32" s="110"/>
      <c r="AC32" s="110"/>
      <c r="AE32" s="212"/>
      <c r="AF32" s="212"/>
      <c r="AG32" s="212"/>
      <c r="AH32" s="212"/>
      <c r="AI32" s="212"/>
      <c r="AJ32" s="212"/>
      <c r="AK32" s="212"/>
      <c r="AL32" s="212"/>
      <c r="AM32" s="212"/>
      <c r="AN32" s="212"/>
      <c r="AO32" s="212"/>
    </row>
    <row r="33" spans="28:41">
      <c r="AB33" s="110"/>
      <c r="AC33" s="110"/>
      <c r="AE33" s="212"/>
      <c r="AF33" s="212"/>
      <c r="AG33" s="212"/>
      <c r="AH33" s="212"/>
      <c r="AI33" s="212"/>
      <c r="AJ33" s="212"/>
      <c r="AK33" s="212"/>
      <c r="AL33" s="212"/>
      <c r="AM33" s="212"/>
      <c r="AN33" s="212"/>
      <c r="AO33" s="212"/>
    </row>
    <row r="34" spans="28:41">
      <c r="AB34" s="110"/>
      <c r="AC34" s="110"/>
      <c r="AE34" s="212"/>
      <c r="AF34" s="212"/>
      <c r="AG34" s="212"/>
      <c r="AH34" s="212"/>
      <c r="AI34" s="212"/>
      <c r="AJ34" s="212"/>
      <c r="AK34" s="212"/>
      <c r="AL34" s="212"/>
      <c r="AM34" s="212"/>
      <c r="AN34" s="212"/>
      <c r="AO34" s="212"/>
    </row>
    <row r="35" spans="28:41">
      <c r="AB35" s="110"/>
      <c r="AC35" s="110"/>
      <c r="AE35" s="212"/>
      <c r="AF35" s="212"/>
      <c r="AG35" s="212"/>
      <c r="AH35" s="212"/>
      <c r="AI35" s="212"/>
      <c r="AJ35" s="212"/>
      <c r="AK35" s="212"/>
      <c r="AL35" s="212"/>
      <c r="AM35" s="212"/>
      <c r="AN35" s="212"/>
      <c r="AO35" s="212"/>
    </row>
    <row r="36" spans="28:41">
      <c r="AB36" s="110"/>
      <c r="AC36" s="110"/>
      <c r="AE36" s="212"/>
      <c r="AF36" s="212"/>
      <c r="AG36" s="212"/>
      <c r="AH36" s="212"/>
      <c r="AI36" s="212"/>
      <c r="AJ36" s="212"/>
      <c r="AK36" s="212"/>
      <c r="AL36" s="212"/>
      <c r="AM36" s="212"/>
      <c r="AN36" s="212"/>
      <c r="AO36" s="212"/>
    </row>
    <row r="37" spans="28:41">
      <c r="AB37" s="110"/>
      <c r="AC37" s="110"/>
      <c r="AE37" s="212"/>
      <c r="AF37" s="212"/>
      <c r="AG37" s="212"/>
      <c r="AH37" s="212"/>
      <c r="AI37" s="212"/>
      <c r="AJ37" s="212"/>
      <c r="AK37" s="212"/>
      <c r="AL37" s="212"/>
      <c r="AM37" s="212"/>
      <c r="AN37" s="212"/>
      <c r="AO37" s="212"/>
    </row>
    <row r="38" spans="28:41">
      <c r="AB38" s="110"/>
      <c r="AC38" s="110"/>
      <c r="AE38" s="212"/>
      <c r="AF38" s="212"/>
      <c r="AG38" s="212"/>
      <c r="AH38" s="212"/>
      <c r="AI38" s="212"/>
      <c r="AJ38" s="212"/>
      <c r="AK38" s="212"/>
      <c r="AL38" s="212"/>
      <c r="AM38" s="212"/>
      <c r="AN38" s="212"/>
      <c r="AO38" s="212"/>
    </row>
    <row r="39" spans="28:41">
      <c r="AB39" s="110"/>
      <c r="AC39" s="110"/>
      <c r="AE39" s="212"/>
      <c r="AF39" s="212"/>
      <c r="AG39" s="212"/>
      <c r="AH39" s="212"/>
      <c r="AI39" s="212"/>
      <c r="AJ39" s="212"/>
      <c r="AK39" s="212"/>
      <c r="AL39" s="212"/>
      <c r="AM39" s="212"/>
      <c r="AN39" s="212"/>
      <c r="AO39" s="212"/>
    </row>
    <row r="40" spans="28:41">
      <c r="AB40" s="110"/>
      <c r="AC40" s="110"/>
      <c r="AE40" s="212"/>
      <c r="AF40" s="212"/>
      <c r="AG40" s="212"/>
      <c r="AH40" s="212"/>
      <c r="AI40" s="212"/>
      <c r="AJ40" s="212"/>
      <c r="AK40" s="212"/>
      <c r="AL40" s="212"/>
      <c r="AM40" s="212"/>
      <c r="AN40" s="212"/>
      <c r="AO40" s="212"/>
    </row>
    <row r="41" spans="28:41">
      <c r="AB41" s="110"/>
      <c r="AC41" s="110"/>
      <c r="AE41" s="212"/>
      <c r="AF41" s="212"/>
      <c r="AG41" s="212"/>
      <c r="AH41" s="212"/>
      <c r="AI41" s="212"/>
      <c r="AJ41" s="212"/>
      <c r="AK41" s="212"/>
      <c r="AL41" s="212"/>
      <c r="AM41" s="212"/>
      <c r="AN41" s="212"/>
      <c r="AO41" s="212"/>
    </row>
    <row r="42" spans="28:41">
      <c r="AB42" s="110"/>
      <c r="AC42" s="110"/>
      <c r="AE42" s="212"/>
      <c r="AF42" s="212"/>
      <c r="AG42" s="212"/>
      <c r="AH42" s="212"/>
      <c r="AI42" s="212"/>
      <c r="AJ42" s="212"/>
      <c r="AK42" s="212"/>
      <c r="AL42" s="212"/>
      <c r="AM42" s="212"/>
      <c r="AN42" s="212"/>
      <c r="AO42" s="212"/>
    </row>
    <row r="43" spans="28:41">
      <c r="AB43" s="110"/>
      <c r="AC43" s="110"/>
      <c r="AE43" s="212"/>
      <c r="AF43" s="212"/>
      <c r="AG43" s="212"/>
      <c r="AH43" s="212"/>
      <c r="AI43" s="212"/>
      <c r="AJ43" s="212"/>
      <c r="AK43" s="212"/>
      <c r="AL43" s="212"/>
      <c r="AM43" s="212"/>
      <c r="AN43" s="212"/>
      <c r="AO43" s="212"/>
    </row>
    <row r="44" spans="28:41">
      <c r="AB44" s="110"/>
      <c r="AC44" s="110"/>
      <c r="AE44" s="212"/>
      <c r="AF44" s="212"/>
      <c r="AG44" s="212"/>
      <c r="AH44" s="212"/>
      <c r="AI44" s="212"/>
      <c r="AJ44" s="212"/>
      <c r="AK44" s="212"/>
      <c r="AL44" s="212"/>
      <c r="AM44" s="212"/>
      <c r="AN44" s="212"/>
      <c r="AO44" s="212"/>
    </row>
    <row r="45" spans="28:41">
      <c r="AB45" s="110"/>
      <c r="AC45" s="110"/>
      <c r="AE45" s="212"/>
      <c r="AF45" s="212"/>
      <c r="AG45" s="212"/>
      <c r="AH45" s="212"/>
      <c r="AI45" s="212"/>
      <c r="AJ45" s="212"/>
      <c r="AK45" s="212"/>
      <c r="AL45" s="212"/>
      <c r="AM45" s="212"/>
      <c r="AN45" s="212"/>
      <c r="AO45" s="212"/>
    </row>
    <row r="46" spans="28:41">
      <c r="AB46" s="110"/>
      <c r="AC46" s="110"/>
      <c r="AE46" s="212"/>
      <c r="AF46" s="212"/>
      <c r="AG46" s="212"/>
      <c r="AH46" s="212"/>
      <c r="AI46" s="212"/>
      <c r="AJ46" s="212"/>
      <c r="AK46" s="212"/>
      <c r="AL46" s="212"/>
      <c r="AM46" s="212"/>
      <c r="AN46" s="212"/>
      <c r="AO46" s="212"/>
    </row>
    <row r="47" spans="28:41">
      <c r="AB47" s="110"/>
      <c r="AC47" s="110"/>
      <c r="AE47" s="212"/>
      <c r="AF47" s="212"/>
      <c r="AG47" s="212"/>
      <c r="AH47" s="212"/>
      <c r="AI47" s="212"/>
      <c r="AJ47" s="212"/>
      <c r="AK47" s="212"/>
      <c r="AL47" s="212"/>
      <c r="AM47" s="212"/>
      <c r="AN47" s="212"/>
      <c r="AO47" s="212"/>
    </row>
    <row r="48" spans="28:41">
      <c r="AB48" s="110"/>
      <c r="AC48" s="110"/>
      <c r="AE48" s="212"/>
      <c r="AF48" s="212"/>
      <c r="AG48" s="212"/>
      <c r="AH48" s="212"/>
      <c r="AI48" s="212"/>
      <c r="AJ48" s="212"/>
      <c r="AK48" s="212"/>
      <c r="AL48" s="212"/>
      <c r="AM48" s="212"/>
      <c r="AN48" s="212"/>
      <c r="AO48" s="212"/>
    </row>
    <row r="49" spans="28:41">
      <c r="AB49" s="110"/>
      <c r="AC49" s="110"/>
      <c r="AE49" s="212"/>
      <c r="AF49" s="212"/>
      <c r="AG49" s="212"/>
      <c r="AH49" s="212"/>
      <c r="AI49" s="212"/>
      <c r="AJ49" s="212"/>
      <c r="AK49" s="212"/>
      <c r="AL49" s="212"/>
      <c r="AM49" s="212"/>
      <c r="AN49" s="212"/>
      <c r="AO49" s="212"/>
    </row>
    <row r="50" spans="28:41">
      <c r="AB50" s="110"/>
      <c r="AC50" s="110"/>
      <c r="AE50" s="212"/>
      <c r="AF50" s="212"/>
      <c r="AG50" s="212"/>
      <c r="AH50" s="212"/>
      <c r="AI50" s="212"/>
      <c r="AJ50" s="212"/>
      <c r="AK50" s="212"/>
      <c r="AL50" s="212"/>
      <c r="AM50" s="212"/>
      <c r="AN50" s="212"/>
      <c r="AO50" s="212"/>
    </row>
    <row r="51" spans="28:41">
      <c r="AB51" s="110"/>
      <c r="AC51" s="110"/>
      <c r="AE51" s="212"/>
      <c r="AF51" s="212"/>
      <c r="AG51" s="212"/>
      <c r="AH51" s="212"/>
      <c r="AI51" s="212"/>
      <c r="AJ51" s="212"/>
      <c r="AK51" s="212"/>
      <c r="AL51" s="212"/>
      <c r="AM51" s="212"/>
      <c r="AN51" s="212"/>
      <c r="AO51" s="212"/>
    </row>
    <row r="52" spans="28:41">
      <c r="AB52" s="110"/>
      <c r="AC52" s="110"/>
      <c r="AE52" s="212"/>
      <c r="AF52" s="212"/>
      <c r="AG52" s="212"/>
      <c r="AH52" s="212"/>
      <c r="AI52" s="212"/>
      <c r="AJ52" s="212"/>
      <c r="AK52" s="212"/>
      <c r="AL52" s="212"/>
      <c r="AM52" s="212"/>
      <c r="AN52" s="212"/>
      <c r="AO52" s="212"/>
    </row>
    <row r="53" spans="28:41">
      <c r="AB53" s="110"/>
      <c r="AC53" s="110"/>
      <c r="AE53" s="212"/>
      <c r="AF53" s="212"/>
      <c r="AG53" s="212"/>
      <c r="AH53" s="212"/>
      <c r="AI53" s="212"/>
      <c r="AJ53" s="212"/>
      <c r="AK53" s="212"/>
      <c r="AL53" s="212"/>
      <c r="AM53" s="212"/>
      <c r="AN53" s="212"/>
      <c r="AO53" s="212"/>
    </row>
    <row r="54" spans="28:41">
      <c r="AB54" s="110"/>
      <c r="AC54" s="110"/>
      <c r="AE54" s="212"/>
      <c r="AF54" s="212"/>
      <c r="AG54" s="212"/>
      <c r="AH54" s="212"/>
      <c r="AI54" s="212"/>
      <c r="AJ54" s="212"/>
      <c r="AK54" s="212"/>
      <c r="AL54" s="212"/>
      <c r="AM54" s="212"/>
      <c r="AN54" s="212"/>
      <c r="AO54" s="212"/>
    </row>
    <row r="55" spans="28:41">
      <c r="AB55" s="110"/>
      <c r="AC55" s="110"/>
      <c r="AE55" s="212"/>
      <c r="AF55" s="212"/>
      <c r="AG55" s="212"/>
      <c r="AH55" s="212"/>
      <c r="AI55" s="212"/>
      <c r="AJ55" s="212"/>
      <c r="AK55" s="212"/>
      <c r="AL55" s="212"/>
      <c r="AM55" s="212"/>
      <c r="AN55" s="212"/>
      <c r="AO55" s="212"/>
    </row>
    <row r="56" spans="28:41">
      <c r="AB56" s="110"/>
      <c r="AC56" s="110"/>
      <c r="AE56" s="212"/>
      <c r="AF56" s="212"/>
      <c r="AG56" s="212"/>
      <c r="AH56" s="212"/>
      <c r="AI56" s="212"/>
      <c r="AJ56" s="212"/>
      <c r="AK56" s="212"/>
      <c r="AL56" s="212"/>
      <c r="AM56" s="212"/>
      <c r="AN56" s="212"/>
      <c r="AO56" s="212"/>
    </row>
    <row r="57" spans="28:41">
      <c r="AB57" s="10"/>
      <c r="AC57" s="211"/>
      <c r="AE57" s="212"/>
      <c r="AF57" s="212"/>
      <c r="AG57" s="212"/>
      <c r="AH57" s="212"/>
      <c r="AI57" s="212"/>
      <c r="AJ57" s="212"/>
      <c r="AK57" s="212"/>
      <c r="AL57" s="212"/>
      <c r="AM57" s="212"/>
      <c r="AN57" s="212"/>
      <c r="AO57" s="212"/>
    </row>
    <row r="58" spans="28:41">
      <c r="AB58" s="10"/>
      <c r="AC58" s="211"/>
      <c r="AE58" s="212"/>
      <c r="AF58" s="212"/>
      <c r="AG58" s="212"/>
      <c r="AH58" s="212"/>
      <c r="AI58" s="212"/>
      <c r="AJ58" s="212"/>
      <c r="AK58" s="212"/>
      <c r="AL58" s="212"/>
      <c r="AM58" s="212"/>
      <c r="AN58" s="212"/>
      <c r="AO58" s="212"/>
    </row>
    <row r="59" spans="28:41">
      <c r="AB59" s="10"/>
      <c r="AC59" s="211"/>
      <c r="AE59" s="212"/>
      <c r="AF59" s="212"/>
      <c r="AG59" s="212"/>
      <c r="AH59" s="212"/>
      <c r="AI59" s="212"/>
      <c r="AJ59" s="212"/>
      <c r="AK59" s="212"/>
      <c r="AL59" s="212"/>
      <c r="AM59" s="212"/>
      <c r="AN59" s="212"/>
      <c r="AO59" s="212"/>
    </row>
    <row r="60" spans="28:41">
      <c r="AB60" s="10"/>
      <c r="AC60" s="211"/>
      <c r="AE60" s="212"/>
      <c r="AF60" s="212"/>
      <c r="AG60" s="212"/>
      <c r="AH60" s="212"/>
      <c r="AI60" s="212"/>
      <c r="AJ60" s="212"/>
      <c r="AK60" s="212"/>
      <c r="AL60" s="212"/>
      <c r="AM60" s="212"/>
      <c r="AN60" s="212"/>
      <c r="AO60" s="212"/>
    </row>
    <row r="61" spans="28:41">
      <c r="AB61" s="10"/>
      <c r="AC61" s="211"/>
      <c r="AE61" s="212"/>
      <c r="AF61" s="212"/>
      <c r="AG61" s="212"/>
      <c r="AH61" s="212"/>
      <c r="AI61" s="212"/>
      <c r="AJ61" s="212"/>
      <c r="AK61" s="212"/>
      <c r="AL61" s="212"/>
      <c r="AM61" s="212"/>
      <c r="AN61" s="212"/>
      <c r="AO61" s="212"/>
    </row>
    <row r="62" spans="28:41">
      <c r="AB62" s="10"/>
      <c r="AC62" s="211"/>
      <c r="AE62" s="212"/>
      <c r="AF62" s="212"/>
      <c r="AG62" s="212"/>
      <c r="AH62" s="212"/>
      <c r="AI62" s="212"/>
      <c r="AJ62" s="212"/>
      <c r="AK62" s="212"/>
      <c r="AL62" s="212"/>
      <c r="AM62" s="212"/>
      <c r="AN62" s="212"/>
      <c r="AO62" s="212"/>
    </row>
    <row r="63" spans="28:41">
      <c r="AB63" s="10"/>
      <c r="AC63" s="211"/>
      <c r="AE63" s="212"/>
      <c r="AF63" s="212"/>
      <c r="AG63" s="212"/>
      <c r="AH63" s="212"/>
      <c r="AI63" s="212"/>
      <c r="AJ63" s="212"/>
      <c r="AK63" s="212"/>
      <c r="AL63" s="212"/>
      <c r="AM63" s="212"/>
      <c r="AN63" s="212"/>
      <c r="AO63" s="212"/>
    </row>
    <row r="64" spans="28:41">
      <c r="AB64" s="10"/>
      <c r="AC64" s="211"/>
      <c r="AE64" s="212"/>
      <c r="AF64" s="212"/>
      <c r="AG64" s="212"/>
      <c r="AH64" s="212"/>
      <c r="AI64" s="212"/>
      <c r="AJ64" s="212"/>
      <c r="AK64" s="212"/>
      <c r="AL64" s="212"/>
      <c r="AM64" s="212"/>
      <c r="AN64" s="212"/>
      <c r="AO64" s="212"/>
    </row>
    <row r="65" spans="28:41">
      <c r="AB65" s="10"/>
      <c r="AC65" s="211"/>
      <c r="AE65" s="212"/>
      <c r="AF65" s="212"/>
      <c r="AG65" s="212"/>
      <c r="AH65" s="212"/>
      <c r="AI65" s="212"/>
      <c r="AJ65" s="212"/>
      <c r="AK65" s="212"/>
      <c r="AL65" s="212"/>
      <c r="AM65" s="212"/>
      <c r="AN65" s="212"/>
      <c r="AO65" s="212"/>
    </row>
    <row r="66" spans="28:41">
      <c r="AB66" s="10"/>
      <c r="AC66" s="211"/>
      <c r="AE66" s="212"/>
      <c r="AF66" s="212"/>
      <c r="AG66" s="212"/>
      <c r="AH66" s="212"/>
      <c r="AI66" s="212"/>
      <c r="AJ66" s="212"/>
      <c r="AK66" s="212"/>
      <c r="AL66" s="212"/>
      <c r="AM66" s="212"/>
      <c r="AN66" s="212"/>
      <c r="AO66" s="212"/>
    </row>
    <row r="67" spans="28:41">
      <c r="AB67" s="10"/>
      <c r="AC67" s="211"/>
      <c r="AE67" s="212"/>
      <c r="AF67" s="212"/>
      <c r="AG67" s="212"/>
      <c r="AH67" s="212"/>
      <c r="AI67" s="212"/>
      <c r="AJ67" s="212"/>
      <c r="AK67" s="212"/>
      <c r="AL67" s="212"/>
      <c r="AM67" s="212"/>
      <c r="AN67" s="212"/>
      <c r="AO67" s="212"/>
    </row>
    <row r="68" spans="28:41">
      <c r="AB68" s="10"/>
      <c r="AC68" s="211"/>
      <c r="AE68" s="212"/>
      <c r="AF68" s="212"/>
      <c r="AG68" s="212"/>
      <c r="AH68" s="212"/>
      <c r="AI68" s="212"/>
      <c r="AJ68" s="212"/>
      <c r="AK68" s="212"/>
      <c r="AL68" s="212"/>
      <c r="AM68" s="212"/>
      <c r="AN68" s="212"/>
      <c r="AO68" s="212"/>
    </row>
    <row r="69" spans="28:41">
      <c r="AB69" s="10"/>
      <c r="AC69" s="211"/>
      <c r="AE69" s="212"/>
      <c r="AF69" s="212"/>
      <c r="AG69" s="212"/>
      <c r="AH69" s="212"/>
      <c r="AI69" s="212"/>
      <c r="AJ69" s="212"/>
      <c r="AK69" s="212"/>
      <c r="AL69" s="212"/>
      <c r="AM69" s="212"/>
      <c r="AN69" s="212"/>
      <c r="AO69" s="212"/>
    </row>
    <row r="70" spans="28:41">
      <c r="AB70" s="10"/>
      <c r="AC70" s="211"/>
      <c r="AE70" s="212"/>
      <c r="AF70" s="212"/>
      <c r="AG70" s="212"/>
      <c r="AH70" s="212"/>
      <c r="AI70" s="212"/>
      <c r="AJ70" s="212"/>
      <c r="AK70" s="212"/>
      <c r="AL70" s="212"/>
      <c r="AM70" s="212"/>
      <c r="AN70" s="212"/>
      <c r="AO70" s="212"/>
    </row>
    <row r="71" spans="28:41">
      <c r="AB71" s="10"/>
      <c r="AC71" s="211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</row>
    <row r="72" spans="28:41">
      <c r="AB72" s="10"/>
      <c r="AC72" s="211"/>
      <c r="AE72" s="212"/>
      <c r="AF72" s="212"/>
      <c r="AG72" s="212"/>
      <c r="AH72" s="212"/>
      <c r="AI72" s="212"/>
      <c r="AJ72" s="212"/>
      <c r="AK72" s="212"/>
      <c r="AL72" s="212"/>
      <c r="AM72" s="212"/>
      <c r="AN72" s="212"/>
      <c r="AO72" s="212"/>
    </row>
    <row r="73" spans="28:41">
      <c r="AB73" s="10"/>
      <c r="AC73" s="211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</row>
  </sheetData>
  <mergeCells count="1">
    <mergeCell ref="C13:E13"/>
  </mergeCells>
  <conditionalFormatting sqref="J16 L16 P16 T16 W16 Z16">
    <cfRule type="containsText" dxfId="337" priority="18" operator="containsText" text="Rejected">
      <formula>NOT(ISERROR(SEARCH("Rejected",J16)))</formula>
    </cfRule>
    <cfRule type="containsText" dxfId="336" priority="19" operator="containsText" text="Review">
      <formula>NOT(ISERROR(SEARCH("Review",J16)))</formula>
    </cfRule>
    <cfRule type="containsText" dxfId="335" priority="20" operator="containsText" text="OK">
      <formula>NOT(ISERROR(SEARCH("OK",J16)))</formula>
    </cfRule>
    <cfRule type="duplicateValues" dxfId="334" priority="21"/>
  </conditionalFormatting>
  <conditionalFormatting sqref="C16">
    <cfRule type="duplicateValues" dxfId="333" priority="1"/>
  </conditionalFormatting>
  <dataValidations count="1">
    <dataValidation type="list" allowBlank="1" showInputMessage="1" showErrorMessage="1" sqref="I16" xr:uid="{20F3C4CB-FB84-4F5D-ABC3-0BDA615A74C7}">
      <formula1>"In Process,Approved,Rejected"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533400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UpdatePrevalidation">
                <anchor>
                  <from>
                    <xdr:col>7</xdr:col>
                    <xdr:colOff>57150</xdr:colOff>
                    <xdr:row>11</xdr:row>
                    <xdr:rowOff>142875</xdr:rowOff>
                  </from>
                  <to>
                    <xdr:col>9</xdr:col>
                    <xdr:colOff>19050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B0F6F-44AE-43B5-BAE3-8E6CFD86F6B3}">
  <sheetPr codeName="Sheet21">
    <tabColor theme="7" tint="0.39997558519241921"/>
    <outlinePr summaryBelow="0" summaryRight="0"/>
  </sheetPr>
  <dimension ref="A1:AO73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RowHeight="15" outlineLevelCol="1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6" width="11.7109375" style="2" customWidth="1"/>
    <col min="7" max="7" width="10.28515625" customWidth="1"/>
    <col min="8" max="8" width="8.140625" customWidth="1"/>
    <col min="9" max="9" width="12.42578125" customWidth="1"/>
    <col min="10" max="10" width="4.28515625" customWidth="1" collapsed="1"/>
    <col min="11" max="11" width="58.85546875" style="10" hidden="1" customWidth="1" outlineLevel="1"/>
    <col min="12" max="12" width="4.28515625" style="10" customWidth="1" collapsed="1"/>
    <col min="13" max="13" width="11.28515625" hidden="1" customWidth="1" outlineLevel="1"/>
    <col min="14" max="14" width="13.5703125" style="10" hidden="1" customWidth="1" outlineLevel="1"/>
    <col min="15" max="15" width="58.42578125" style="10" hidden="1" customWidth="1" outlineLevel="1"/>
    <col min="16" max="16" width="4.28515625" style="10" customWidth="1" collapsed="1"/>
    <col min="17" max="17" width="12" style="10" hidden="1" customWidth="1" outlineLevel="1"/>
    <col min="18" max="18" width="23" hidden="1" customWidth="1" outlineLevel="1"/>
    <col min="19" max="19" width="67.42578125" hidden="1" customWidth="1" outlineLevel="1"/>
    <col min="20" max="20" width="4.28515625" style="10" customWidth="1" collapsed="1"/>
    <col min="21" max="21" width="11.28515625" hidden="1" customWidth="1" outlineLevel="1"/>
    <col min="22" max="22" width="48.5703125" hidden="1" customWidth="1" outlineLevel="1"/>
    <col min="23" max="23" width="4.28515625" customWidth="1" collapsed="1"/>
    <col min="24" max="24" width="11.5703125" hidden="1" customWidth="1" outlineLevel="1"/>
    <col min="25" max="25" width="76.7109375" hidden="1" customWidth="1" outlineLevel="1"/>
    <col min="26" max="26" width="4.28515625" style="10" customWidth="1" collapsed="1"/>
    <col min="27" max="27" width="47.7109375" hidden="1" customWidth="1" outlineLevel="1"/>
    <col min="30" max="30" width="62.140625" style="212" customWidth="1"/>
    <col min="31" max="31" width="58.42578125" style="211" customWidth="1"/>
    <col min="32" max="32" width="10" style="211" customWidth="1"/>
    <col min="33" max="33" width="41.85546875" style="211" customWidth="1"/>
    <col min="34" max="34" width="12.5703125" style="211" customWidth="1"/>
    <col min="35" max="35" width="19.42578125" style="211" customWidth="1"/>
    <col min="36" max="36" width="57.42578125" style="211" customWidth="1"/>
    <col min="37" max="37" width="22.28515625" style="211" customWidth="1"/>
    <col min="38" max="38" width="30.140625" style="211" customWidth="1"/>
    <col min="39" max="39" width="47.7109375" style="211" customWidth="1"/>
    <col min="40" max="41" width="9.140625" style="211"/>
    <col min="42" max="16384" width="9.140625" style="212"/>
  </cols>
  <sheetData>
    <row r="1" spans="1:41" s="208" customFormat="1" hidden="1">
      <c r="A1" s="56" t="s">
        <v>10</v>
      </c>
      <c r="B1" s="15" t="s">
        <v>12</v>
      </c>
      <c r="C1" s="15"/>
      <c r="D1" s="15"/>
      <c r="E1" s="62"/>
      <c r="F1" s="67"/>
      <c r="G1" s="15"/>
      <c r="H1" s="15"/>
      <c r="I1" s="15"/>
      <c r="J1" s="15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</row>
    <row r="2" spans="1:41" s="208" customFormat="1" hidden="1">
      <c r="A2" s="57" t="s">
        <v>18</v>
      </c>
      <c r="B2" s="7"/>
      <c r="C2" s="7"/>
      <c r="D2" s="7"/>
      <c r="E2" s="31"/>
      <c r="F2" s="19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</row>
    <row r="3" spans="1:41" s="208" customFormat="1" hidden="1">
      <c r="A3" s="58" t="s">
        <v>5</v>
      </c>
      <c r="B3" s="5" t="s">
        <v>14</v>
      </c>
      <c r="C3" s="5" t="s">
        <v>31</v>
      </c>
      <c r="D3" s="5" t="s">
        <v>86</v>
      </c>
      <c r="E3" s="31"/>
      <c r="F3" s="19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</row>
    <row r="4" spans="1:41" s="210" customFormat="1" hidden="1">
      <c r="A4" s="18">
        <f>MATCH(A3,10:10,0)</f>
        <v>1</v>
      </c>
      <c r="B4" s="18">
        <f>MATCH(B3,10:10,0)</f>
        <v>3</v>
      </c>
      <c r="C4" s="18">
        <f>MATCH(C3,10:10,0)</f>
        <v>6</v>
      </c>
      <c r="D4" s="18">
        <f>MATCH(D3,10:10,0)</f>
        <v>9</v>
      </c>
      <c r="E4" s="31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</row>
    <row r="5" spans="1:41" s="210" customFormat="1" hidden="1">
      <c r="A5" s="18">
        <v>59</v>
      </c>
      <c r="B5" s="6" t="e">
        <f>IF(VLOOKUP($A$5,Table352101415[],B4,FALSE)&lt;&gt;0,VLOOKUP($A$5,Table352101415[],B4,FALSE),"")</f>
        <v>#N/A</v>
      </c>
      <c r="C5" s="18" t="e">
        <f>IF(VLOOKUP($A$5,Table352101415[],C4,FALSE)&lt;&gt;0,VLOOKUP($A$5,Table352101415[],C4,FALSE),"")</f>
        <v>#N/A</v>
      </c>
      <c r="D5" s="18" t="e">
        <f>IF(VLOOKUP($A$5,Table352101415[],D4,FALSE)&lt;&gt;0,VLOOKUP($A$5,Table352101415[],D4,FALSE),"")</f>
        <v>#N/A</v>
      </c>
      <c r="E5" s="31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</row>
    <row r="6" spans="1:41" hidden="1">
      <c r="A6" s="59" t="s">
        <v>16</v>
      </c>
      <c r="B6" s="12"/>
      <c r="C6" s="12"/>
      <c r="D6" s="12"/>
      <c r="E6" s="63"/>
      <c r="F6" s="60"/>
      <c r="G6" s="12"/>
      <c r="H6" s="12"/>
      <c r="I6" s="12"/>
      <c r="J6" s="12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E6" s="212"/>
      <c r="AF6" s="212"/>
      <c r="AG6" s="212"/>
      <c r="AH6" s="212"/>
      <c r="AI6" s="212"/>
      <c r="AJ6" s="212"/>
      <c r="AK6" s="212"/>
      <c r="AL6" s="212"/>
      <c r="AM6" s="212"/>
      <c r="AN6" s="212"/>
      <c r="AO6" s="212"/>
    </row>
    <row r="7" spans="1:41" hidden="1">
      <c r="A7" s="60" t="s">
        <v>1</v>
      </c>
      <c r="B7" s="60"/>
      <c r="C7" s="60"/>
      <c r="D7" s="60"/>
      <c r="E7" s="63"/>
      <c r="F7" s="60"/>
      <c r="G7" s="12"/>
      <c r="H7" s="12"/>
      <c r="I7" s="12"/>
      <c r="J7" s="12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E7" s="212"/>
      <c r="AF7" s="212"/>
      <c r="AG7" s="212"/>
      <c r="AH7" s="212"/>
      <c r="AI7" s="212"/>
      <c r="AJ7" s="212"/>
      <c r="AK7" s="212"/>
      <c r="AL7" s="212"/>
      <c r="AM7" s="212"/>
      <c r="AN7" s="212"/>
      <c r="AO7" s="212"/>
    </row>
    <row r="8" spans="1:41" hidden="1">
      <c r="A8" s="60" t="s">
        <v>24</v>
      </c>
      <c r="B8" s="60"/>
      <c r="C8" s="60"/>
      <c r="D8" s="60"/>
      <c r="E8" s="63"/>
      <c r="F8" s="60"/>
      <c r="G8" s="12"/>
      <c r="H8" s="12"/>
      <c r="I8" s="12"/>
      <c r="J8" s="12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E8" s="212"/>
      <c r="AF8" s="212"/>
      <c r="AG8" s="212"/>
      <c r="AH8" s="212"/>
      <c r="AI8" s="212"/>
      <c r="AJ8" s="212"/>
      <c r="AK8" s="212"/>
      <c r="AL8" s="212"/>
      <c r="AM8" s="212"/>
      <c r="AN8" s="212"/>
      <c r="AO8" s="212"/>
    </row>
    <row r="9" spans="1:41" hidden="1">
      <c r="A9" s="61" t="s">
        <v>17</v>
      </c>
      <c r="B9" s="13"/>
      <c r="C9" s="13"/>
      <c r="D9" s="13"/>
      <c r="E9" s="64"/>
      <c r="F9" s="22"/>
      <c r="G9" s="13"/>
      <c r="H9" s="13"/>
      <c r="I9" s="13"/>
      <c r="J9" s="1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E9" s="212"/>
      <c r="AF9" s="212"/>
      <c r="AG9" s="212"/>
      <c r="AH9" s="212"/>
      <c r="AI9" s="212"/>
      <c r="AJ9" s="212"/>
      <c r="AK9" s="212"/>
      <c r="AL9" s="212"/>
      <c r="AM9" s="212"/>
      <c r="AN9" s="212"/>
      <c r="AO9" s="212"/>
    </row>
    <row r="10" spans="1:41" hidden="1">
      <c r="A10" s="58" t="s">
        <v>5</v>
      </c>
      <c r="B10" s="17" t="s">
        <v>4</v>
      </c>
      <c r="C10" s="17" t="s">
        <v>14</v>
      </c>
      <c r="D10" s="17" t="s">
        <v>1</v>
      </c>
      <c r="E10" s="17" t="s">
        <v>3</v>
      </c>
      <c r="F10" s="17" t="s">
        <v>31</v>
      </c>
      <c r="G10" s="17" t="s">
        <v>34</v>
      </c>
      <c r="H10" s="17" t="s">
        <v>33</v>
      </c>
      <c r="I10" s="17" t="s">
        <v>86</v>
      </c>
      <c r="J10" s="17" t="s">
        <v>36</v>
      </c>
      <c r="K10" s="17" t="s">
        <v>37</v>
      </c>
      <c r="L10" s="17" t="s">
        <v>41</v>
      </c>
      <c r="M10" s="17" t="s">
        <v>59</v>
      </c>
      <c r="N10" s="17" t="s">
        <v>60</v>
      </c>
      <c r="O10" s="17" t="s">
        <v>42</v>
      </c>
      <c r="P10" s="17" t="s">
        <v>48</v>
      </c>
      <c r="Q10" s="17" t="s">
        <v>47</v>
      </c>
      <c r="R10" s="17" t="s">
        <v>50</v>
      </c>
      <c r="S10" s="17" t="s">
        <v>49</v>
      </c>
      <c r="T10" s="17" t="s">
        <v>56</v>
      </c>
      <c r="U10" s="17" t="s">
        <v>55</v>
      </c>
      <c r="V10" s="17" t="s">
        <v>58</v>
      </c>
      <c r="W10" s="17" t="s">
        <v>64</v>
      </c>
      <c r="X10" s="17" t="s">
        <v>63</v>
      </c>
      <c r="Y10" s="17" t="s">
        <v>65</v>
      </c>
      <c r="Z10" s="17" t="s">
        <v>81</v>
      </c>
      <c r="AA10" s="17" t="s">
        <v>82</v>
      </c>
      <c r="AB10" s="14"/>
      <c r="AC10" s="14"/>
      <c r="AE10" s="212"/>
      <c r="AF10" s="212"/>
      <c r="AG10" s="212"/>
      <c r="AH10" s="212"/>
      <c r="AI10" s="212"/>
      <c r="AJ10" s="212"/>
      <c r="AK10" s="212"/>
      <c r="AL10" s="212"/>
      <c r="AM10" s="212"/>
      <c r="AN10" s="212"/>
      <c r="AO10" s="212"/>
    </row>
    <row r="11" spans="1:41" s="214" customFormat="1" hidden="1">
      <c r="A11" s="22"/>
      <c r="B11" s="22"/>
      <c r="C11" s="22"/>
      <c r="D11" s="22"/>
      <c r="E11" s="64"/>
      <c r="F11" s="22"/>
      <c r="G11" s="22"/>
      <c r="H11" s="22"/>
      <c r="I11" s="22"/>
      <c r="J11" s="22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</row>
    <row r="12" spans="1:41">
      <c r="M12" s="10"/>
      <c r="R12" s="10"/>
      <c r="S12" s="10"/>
      <c r="U12" s="10"/>
      <c r="V12" s="10"/>
      <c r="W12" s="10"/>
      <c r="X12" s="10"/>
      <c r="Y12" s="10"/>
      <c r="AA12" s="10"/>
      <c r="AB12" s="10"/>
      <c r="AC12" s="10"/>
      <c r="AE12" s="212"/>
      <c r="AF12" s="212"/>
      <c r="AG12" s="212"/>
      <c r="AH12" s="212"/>
      <c r="AI12" s="212"/>
      <c r="AJ12" s="212"/>
      <c r="AK12" s="212"/>
      <c r="AL12" s="212"/>
      <c r="AM12" s="212"/>
      <c r="AN12" s="212"/>
      <c r="AO12" s="212"/>
    </row>
    <row r="13" spans="1:41" ht="21">
      <c r="C13" s="203" t="s">
        <v>24</v>
      </c>
      <c r="D13" s="204"/>
      <c r="E13" s="204"/>
      <c r="M13" s="10"/>
      <c r="R13" s="10"/>
      <c r="S13" s="10"/>
      <c r="U13" s="10"/>
      <c r="V13" s="10"/>
      <c r="W13" s="10"/>
      <c r="X13" s="10"/>
      <c r="Y13" s="10"/>
      <c r="AA13" s="10"/>
      <c r="AB13" s="10"/>
      <c r="AC13" s="10"/>
      <c r="AE13" s="212"/>
      <c r="AF13" s="212"/>
      <c r="AG13" s="212"/>
      <c r="AH13" s="212"/>
      <c r="AI13" s="212"/>
      <c r="AJ13" s="212"/>
      <c r="AK13" s="212"/>
      <c r="AL13" s="212"/>
      <c r="AM13" s="212"/>
      <c r="AN13" s="212"/>
      <c r="AO13" s="212"/>
    </row>
    <row r="14" spans="1:41">
      <c r="M14" s="10"/>
      <c r="R14" s="10"/>
      <c r="S14" s="10"/>
      <c r="U14" s="10"/>
      <c r="V14" s="10"/>
      <c r="W14" s="10"/>
      <c r="X14" s="10"/>
      <c r="Y14" s="10"/>
      <c r="AA14" s="10"/>
      <c r="AB14" s="10"/>
      <c r="AC14" s="10"/>
      <c r="AE14" s="212"/>
      <c r="AF14" s="212"/>
      <c r="AG14" s="212"/>
      <c r="AH14" s="212"/>
      <c r="AI14" s="212"/>
      <c r="AJ14" s="212"/>
      <c r="AK14" s="212"/>
      <c r="AL14" s="212"/>
      <c r="AM14" s="212"/>
      <c r="AN14" s="212"/>
      <c r="AO14" s="212"/>
    </row>
    <row r="15" spans="1:41" s="215" customFormat="1" ht="54" customHeight="1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26</v>
      </c>
      <c r="G15" s="119" t="s">
        <v>67</v>
      </c>
      <c r="H15" s="119" t="s">
        <v>68</v>
      </c>
      <c r="I15" s="119" t="s">
        <v>86</v>
      </c>
      <c r="J15" s="115" t="s">
        <v>70</v>
      </c>
      <c r="K15" s="129" t="s">
        <v>79</v>
      </c>
      <c r="L15" s="116" t="s">
        <v>71</v>
      </c>
      <c r="M15" s="130" t="s">
        <v>45</v>
      </c>
      <c r="N15" s="130" t="s">
        <v>46</v>
      </c>
      <c r="O15" s="130" t="s">
        <v>75</v>
      </c>
      <c r="P15" s="117" t="s">
        <v>73</v>
      </c>
      <c r="Q15" s="132" t="s">
        <v>52</v>
      </c>
      <c r="R15" s="132" t="s">
        <v>69</v>
      </c>
      <c r="S15" s="132" t="s">
        <v>54</v>
      </c>
      <c r="T15" s="118" t="s">
        <v>72</v>
      </c>
      <c r="U15" s="131" t="s">
        <v>76</v>
      </c>
      <c r="V15" s="131" t="s">
        <v>77</v>
      </c>
      <c r="W15" s="133" t="s">
        <v>74</v>
      </c>
      <c r="X15" s="183" t="s">
        <v>66</v>
      </c>
      <c r="Y15" s="184" t="s">
        <v>78</v>
      </c>
      <c r="Z15" s="180" t="s">
        <v>84</v>
      </c>
      <c r="AA15" s="185" t="s">
        <v>85</v>
      </c>
      <c r="AB15" s="25"/>
      <c r="AC15" s="25"/>
    </row>
    <row r="16" spans="1:41">
      <c r="A16" s="122"/>
      <c r="B16" s="123"/>
      <c r="C16" s="123"/>
      <c r="D16" s="123"/>
      <c r="E16" s="124"/>
      <c r="F16" s="125"/>
      <c r="G16" s="126"/>
      <c r="H16" s="127"/>
      <c r="I16" s="127"/>
      <c r="J16" s="128"/>
      <c r="K16" s="126"/>
      <c r="L16" s="128"/>
      <c r="M16" s="126"/>
      <c r="N16" s="126"/>
      <c r="O16" s="126"/>
      <c r="P16" s="128"/>
      <c r="Q16" s="126"/>
      <c r="R16" s="126"/>
      <c r="S16" s="126"/>
      <c r="T16" s="128"/>
      <c r="U16" s="126"/>
      <c r="V16" s="126"/>
      <c r="W16" s="128"/>
      <c r="X16" s="126"/>
      <c r="Y16" s="126"/>
      <c r="Z16" s="128"/>
      <c r="AA16" s="126"/>
      <c r="AB16" s="110"/>
      <c r="AC16" s="110"/>
      <c r="AE16" s="212"/>
      <c r="AF16" s="212"/>
      <c r="AG16" s="212"/>
      <c r="AH16" s="212"/>
      <c r="AI16" s="212"/>
      <c r="AJ16" s="212"/>
      <c r="AK16" s="212"/>
      <c r="AL16" s="212"/>
      <c r="AM16" s="212"/>
      <c r="AN16" s="212"/>
      <c r="AO16" s="212"/>
    </row>
    <row r="17" spans="28:41">
      <c r="AB17" s="110"/>
      <c r="AC17" s="110"/>
      <c r="AE17" s="212"/>
      <c r="AF17" s="212"/>
      <c r="AG17" s="212"/>
      <c r="AH17" s="212"/>
      <c r="AI17" s="212"/>
      <c r="AJ17" s="212"/>
      <c r="AK17" s="212"/>
      <c r="AL17" s="212"/>
      <c r="AM17" s="212"/>
      <c r="AN17" s="212"/>
      <c r="AO17" s="212"/>
    </row>
    <row r="18" spans="28:41">
      <c r="AB18" s="110"/>
      <c r="AC18" s="110"/>
      <c r="AE18" s="212"/>
      <c r="AF18" s="212"/>
      <c r="AG18" s="212"/>
      <c r="AH18" s="212"/>
      <c r="AI18" s="212"/>
      <c r="AJ18" s="212"/>
      <c r="AK18" s="212"/>
      <c r="AL18" s="212"/>
      <c r="AM18" s="212"/>
      <c r="AN18" s="212"/>
      <c r="AO18" s="212"/>
    </row>
    <row r="19" spans="28:41">
      <c r="AB19" s="110"/>
      <c r="AC19" s="110"/>
      <c r="AE19" s="212"/>
      <c r="AF19" s="212"/>
      <c r="AG19" s="212"/>
      <c r="AH19" s="212"/>
      <c r="AI19" s="212"/>
      <c r="AJ19" s="212"/>
      <c r="AK19" s="212"/>
      <c r="AL19" s="212"/>
      <c r="AM19" s="212"/>
      <c r="AN19" s="212"/>
      <c r="AO19" s="212"/>
    </row>
    <row r="20" spans="28:41">
      <c r="AB20" s="110"/>
      <c r="AC20" s="110"/>
      <c r="AE20" s="212"/>
      <c r="AF20" s="212"/>
      <c r="AG20" s="212"/>
      <c r="AH20" s="212"/>
      <c r="AI20" s="212"/>
      <c r="AJ20" s="212"/>
      <c r="AK20" s="212"/>
      <c r="AL20" s="212"/>
      <c r="AM20" s="212"/>
      <c r="AN20" s="212"/>
      <c r="AO20" s="212"/>
    </row>
    <row r="21" spans="28:41">
      <c r="AB21" s="110"/>
      <c r="AC21" s="110"/>
      <c r="AE21" s="212"/>
      <c r="AF21" s="212"/>
      <c r="AG21" s="212"/>
      <c r="AH21" s="212"/>
      <c r="AI21" s="212"/>
      <c r="AJ21" s="212"/>
      <c r="AK21" s="212"/>
      <c r="AL21" s="212"/>
      <c r="AM21" s="212"/>
      <c r="AN21" s="212"/>
      <c r="AO21" s="212"/>
    </row>
    <row r="22" spans="28:41">
      <c r="AB22" s="110"/>
      <c r="AC22" s="110"/>
      <c r="AE22" s="212"/>
      <c r="AF22" s="212"/>
      <c r="AG22" s="212"/>
      <c r="AH22" s="212"/>
      <c r="AI22" s="212"/>
      <c r="AJ22" s="212"/>
      <c r="AK22" s="212"/>
      <c r="AL22" s="212"/>
      <c r="AM22" s="212"/>
      <c r="AN22" s="212"/>
      <c r="AO22" s="212"/>
    </row>
    <row r="23" spans="28:41">
      <c r="AB23" s="110"/>
      <c r="AC23" s="110"/>
      <c r="AE23" s="212"/>
      <c r="AF23" s="212"/>
      <c r="AG23" s="212"/>
      <c r="AH23" s="212"/>
      <c r="AI23" s="212"/>
      <c r="AJ23" s="212"/>
      <c r="AK23" s="212"/>
      <c r="AL23" s="212"/>
      <c r="AM23" s="212"/>
      <c r="AN23" s="212"/>
      <c r="AO23" s="212"/>
    </row>
    <row r="24" spans="28:41">
      <c r="AB24" s="110"/>
      <c r="AC24" s="110"/>
      <c r="AE24" s="212"/>
      <c r="AF24" s="212"/>
      <c r="AG24" s="212"/>
      <c r="AH24" s="212"/>
      <c r="AI24" s="212"/>
      <c r="AJ24" s="212"/>
      <c r="AK24" s="212"/>
      <c r="AL24" s="212"/>
      <c r="AM24" s="212"/>
      <c r="AN24" s="212"/>
      <c r="AO24" s="212"/>
    </row>
    <row r="25" spans="28:41">
      <c r="AB25" s="110"/>
      <c r="AC25" s="110"/>
      <c r="AE25" s="212"/>
      <c r="AF25" s="212"/>
      <c r="AG25" s="212"/>
      <c r="AH25" s="212"/>
      <c r="AI25" s="212"/>
      <c r="AJ25" s="212"/>
      <c r="AK25" s="212"/>
      <c r="AL25" s="212"/>
      <c r="AM25" s="212"/>
      <c r="AN25" s="212"/>
      <c r="AO25" s="212"/>
    </row>
    <row r="26" spans="28:41">
      <c r="AB26" s="110"/>
      <c r="AC26" s="110"/>
      <c r="AE26" s="212"/>
      <c r="AF26" s="212"/>
      <c r="AG26" s="212"/>
      <c r="AH26" s="212"/>
      <c r="AI26" s="212"/>
      <c r="AJ26" s="212"/>
      <c r="AK26" s="212"/>
      <c r="AL26" s="212"/>
      <c r="AM26" s="212"/>
      <c r="AN26" s="212"/>
      <c r="AO26" s="212"/>
    </row>
    <row r="27" spans="28:41">
      <c r="AB27" s="110"/>
      <c r="AC27" s="110"/>
      <c r="AE27" s="212"/>
      <c r="AF27" s="212"/>
      <c r="AG27" s="212"/>
      <c r="AH27" s="212"/>
      <c r="AI27" s="212"/>
      <c r="AJ27" s="212"/>
      <c r="AK27" s="212"/>
      <c r="AL27" s="212"/>
      <c r="AM27" s="212"/>
      <c r="AN27" s="212"/>
      <c r="AO27" s="212"/>
    </row>
    <row r="28" spans="28:41">
      <c r="AB28" s="110"/>
      <c r="AC28" s="110"/>
      <c r="AE28" s="212"/>
      <c r="AF28" s="212"/>
      <c r="AG28" s="212"/>
      <c r="AH28" s="212"/>
      <c r="AI28" s="212"/>
      <c r="AJ28" s="212"/>
      <c r="AK28" s="212"/>
      <c r="AL28" s="212"/>
      <c r="AM28" s="212"/>
      <c r="AN28" s="212"/>
      <c r="AO28" s="212"/>
    </row>
    <row r="29" spans="28:41">
      <c r="AB29" s="110"/>
      <c r="AC29" s="110"/>
      <c r="AE29" s="212"/>
      <c r="AF29" s="212"/>
      <c r="AG29" s="212"/>
      <c r="AH29" s="212"/>
      <c r="AI29" s="212"/>
      <c r="AJ29" s="212"/>
      <c r="AK29" s="212"/>
      <c r="AL29" s="212"/>
      <c r="AM29" s="212"/>
      <c r="AN29" s="212"/>
      <c r="AO29" s="212"/>
    </row>
    <row r="30" spans="28:41">
      <c r="AB30" s="110"/>
      <c r="AC30" s="110"/>
      <c r="AE30" s="212"/>
      <c r="AF30" s="212"/>
      <c r="AG30" s="212"/>
      <c r="AH30" s="212"/>
      <c r="AI30" s="212"/>
      <c r="AJ30" s="212"/>
      <c r="AK30" s="212"/>
      <c r="AL30" s="212"/>
      <c r="AM30" s="212"/>
      <c r="AN30" s="212"/>
      <c r="AO30" s="212"/>
    </row>
    <row r="31" spans="28:41">
      <c r="AB31" s="110"/>
      <c r="AC31" s="110"/>
      <c r="AE31" s="212"/>
      <c r="AF31" s="212"/>
      <c r="AG31" s="212"/>
      <c r="AH31" s="212"/>
      <c r="AI31" s="212"/>
      <c r="AJ31" s="212"/>
      <c r="AK31" s="212"/>
      <c r="AL31" s="212"/>
      <c r="AM31" s="212"/>
      <c r="AN31" s="212"/>
      <c r="AO31" s="212"/>
    </row>
    <row r="32" spans="28:41">
      <c r="AB32" s="110"/>
      <c r="AC32" s="110"/>
      <c r="AE32" s="212"/>
      <c r="AF32" s="212"/>
      <c r="AG32" s="212"/>
      <c r="AH32" s="212"/>
      <c r="AI32" s="212"/>
      <c r="AJ32" s="212"/>
      <c r="AK32" s="212"/>
      <c r="AL32" s="212"/>
      <c r="AM32" s="212"/>
      <c r="AN32" s="212"/>
      <c r="AO32" s="212"/>
    </row>
    <row r="33" spans="28:41">
      <c r="AB33" s="110"/>
      <c r="AC33" s="110"/>
      <c r="AE33" s="212"/>
      <c r="AF33" s="212"/>
      <c r="AG33" s="212"/>
      <c r="AH33" s="212"/>
      <c r="AI33" s="212"/>
      <c r="AJ33" s="212"/>
      <c r="AK33" s="212"/>
      <c r="AL33" s="212"/>
      <c r="AM33" s="212"/>
      <c r="AN33" s="212"/>
      <c r="AO33" s="212"/>
    </row>
    <row r="34" spans="28:41">
      <c r="AB34" s="110"/>
      <c r="AC34" s="110"/>
      <c r="AE34" s="212"/>
      <c r="AF34" s="212"/>
      <c r="AG34" s="212"/>
      <c r="AH34" s="212"/>
      <c r="AI34" s="212"/>
      <c r="AJ34" s="212"/>
      <c r="AK34" s="212"/>
      <c r="AL34" s="212"/>
      <c r="AM34" s="212"/>
      <c r="AN34" s="212"/>
      <c r="AO34" s="212"/>
    </row>
    <row r="35" spans="28:41">
      <c r="AB35" s="110"/>
      <c r="AC35" s="110"/>
      <c r="AE35" s="212"/>
      <c r="AF35" s="212"/>
      <c r="AG35" s="212"/>
      <c r="AH35" s="212"/>
      <c r="AI35" s="212"/>
      <c r="AJ35" s="212"/>
      <c r="AK35" s="212"/>
      <c r="AL35" s="212"/>
      <c r="AM35" s="212"/>
      <c r="AN35" s="212"/>
      <c r="AO35" s="212"/>
    </row>
    <row r="36" spans="28:41">
      <c r="AB36" s="110"/>
      <c r="AC36" s="110"/>
      <c r="AE36" s="212"/>
      <c r="AF36" s="212"/>
      <c r="AG36" s="212"/>
      <c r="AH36" s="212"/>
      <c r="AI36" s="212"/>
      <c r="AJ36" s="212"/>
      <c r="AK36" s="212"/>
      <c r="AL36" s="212"/>
      <c r="AM36" s="212"/>
      <c r="AN36" s="212"/>
      <c r="AO36" s="212"/>
    </row>
    <row r="37" spans="28:41">
      <c r="AB37" s="110"/>
      <c r="AC37" s="110"/>
      <c r="AE37" s="212"/>
      <c r="AF37" s="212"/>
      <c r="AG37" s="212"/>
      <c r="AH37" s="212"/>
      <c r="AI37" s="212"/>
      <c r="AJ37" s="212"/>
      <c r="AK37" s="212"/>
      <c r="AL37" s="212"/>
      <c r="AM37" s="212"/>
      <c r="AN37" s="212"/>
      <c r="AO37" s="212"/>
    </row>
    <row r="38" spans="28:41">
      <c r="AB38" s="110"/>
      <c r="AC38" s="110"/>
      <c r="AE38" s="212"/>
      <c r="AF38" s="212"/>
      <c r="AG38" s="212"/>
      <c r="AH38" s="212"/>
      <c r="AI38" s="212"/>
      <c r="AJ38" s="212"/>
      <c r="AK38" s="212"/>
      <c r="AL38" s="212"/>
      <c r="AM38" s="212"/>
      <c r="AN38" s="212"/>
      <c r="AO38" s="212"/>
    </row>
    <row r="39" spans="28:41">
      <c r="AB39" s="110"/>
      <c r="AC39" s="110"/>
      <c r="AE39" s="212"/>
      <c r="AF39" s="212"/>
      <c r="AG39" s="212"/>
      <c r="AH39" s="212"/>
      <c r="AI39" s="212"/>
      <c r="AJ39" s="212"/>
      <c r="AK39" s="212"/>
      <c r="AL39" s="212"/>
      <c r="AM39" s="212"/>
      <c r="AN39" s="212"/>
      <c r="AO39" s="212"/>
    </row>
    <row r="40" spans="28:41">
      <c r="AB40" s="110"/>
      <c r="AC40" s="110"/>
      <c r="AE40" s="212"/>
      <c r="AF40" s="212"/>
      <c r="AG40" s="212"/>
      <c r="AH40" s="212"/>
      <c r="AI40" s="212"/>
      <c r="AJ40" s="212"/>
      <c r="AK40" s="212"/>
      <c r="AL40" s="212"/>
      <c r="AM40" s="212"/>
      <c r="AN40" s="212"/>
      <c r="AO40" s="212"/>
    </row>
    <row r="41" spans="28:41">
      <c r="AB41" s="110"/>
      <c r="AC41" s="110"/>
      <c r="AE41" s="212"/>
      <c r="AF41" s="212"/>
      <c r="AG41" s="212"/>
      <c r="AH41" s="212"/>
      <c r="AI41" s="212"/>
      <c r="AJ41" s="212"/>
      <c r="AK41" s="212"/>
      <c r="AL41" s="212"/>
      <c r="AM41" s="212"/>
      <c r="AN41" s="212"/>
      <c r="AO41" s="212"/>
    </row>
    <row r="42" spans="28:41">
      <c r="AB42" s="110"/>
      <c r="AC42" s="110"/>
      <c r="AE42" s="212"/>
      <c r="AF42" s="212"/>
      <c r="AG42" s="212"/>
      <c r="AH42" s="212"/>
      <c r="AI42" s="212"/>
      <c r="AJ42" s="212"/>
      <c r="AK42" s="212"/>
      <c r="AL42" s="212"/>
      <c r="AM42" s="212"/>
      <c r="AN42" s="212"/>
      <c r="AO42" s="212"/>
    </row>
    <row r="43" spans="28:41">
      <c r="AB43" s="110"/>
      <c r="AC43" s="110"/>
      <c r="AE43" s="212"/>
      <c r="AF43" s="212"/>
      <c r="AG43" s="212"/>
      <c r="AH43" s="212"/>
      <c r="AI43" s="212"/>
      <c r="AJ43" s="212"/>
      <c r="AK43" s="212"/>
      <c r="AL43" s="212"/>
      <c r="AM43" s="212"/>
      <c r="AN43" s="212"/>
      <c r="AO43" s="212"/>
    </row>
    <row r="44" spans="28:41">
      <c r="AB44" s="110"/>
      <c r="AC44" s="110"/>
      <c r="AE44" s="212"/>
      <c r="AF44" s="212"/>
      <c r="AG44" s="212"/>
      <c r="AH44" s="212"/>
      <c r="AI44" s="212"/>
      <c r="AJ44" s="212"/>
      <c r="AK44" s="212"/>
      <c r="AL44" s="212"/>
      <c r="AM44" s="212"/>
      <c r="AN44" s="212"/>
      <c r="AO44" s="212"/>
    </row>
    <row r="45" spans="28:41">
      <c r="AB45" s="110"/>
      <c r="AC45" s="110"/>
      <c r="AE45" s="212"/>
      <c r="AF45" s="212"/>
      <c r="AG45" s="212"/>
      <c r="AH45" s="212"/>
      <c r="AI45" s="212"/>
      <c r="AJ45" s="212"/>
      <c r="AK45" s="212"/>
      <c r="AL45" s="212"/>
      <c r="AM45" s="212"/>
      <c r="AN45" s="212"/>
      <c r="AO45" s="212"/>
    </row>
    <row r="46" spans="28:41">
      <c r="AB46" s="110"/>
      <c r="AC46" s="110"/>
      <c r="AE46" s="212"/>
      <c r="AF46" s="212"/>
      <c r="AG46" s="212"/>
      <c r="AH46" s="212"/>
      <c r="AI46" s="212"/>
      <c r="AJ46" s="212"/>
      <c r="AK46" s="212"/>
      <c r="AL46" s="212"/>
      <c r="AM46" s="212"/>
      <c r="AN46" s="212"/>
      <c r="AO46" s="212"/>
    </row>
    <row r="47" spans="28:41">
      <c r="AB47" s="110"/>
      <c r="AC47" s="110"/>
      <c r="AE47" s="212"/>
      <c r="AF47" s="212"/>
      <c r="AG47" s="212"/>
      <c r="AH47" s="212"/>
      <c r="AI47" s="212"/>
      <c r="AJ47" s="212"/>
      <c r="AK47" s="212"/>
      <c r="AL47" s="212"/>
      <c r="AM47" s="212"/>
      <c r="AN47" s="212"/>
      <c r="AO47" s="212"/>
    </row>
    <row r="48" spans="28:41">
      <c r="AB48" s="110"/>
      <c r="AC48" s="110"/>
      <c r="AE48" s="212"/>
      <c r="AF48" s="212"/>
      <c r="AG48" s="212"/>
      <c r="AH48" s="212"/>
      <c r="AI48" s="212"/>
      <c r="AJ48" s="212"/>
      <c r="AK48" s="212"/>
      <c r="AL48" s="212"/>
      <c r="AM48" s="212"/>
      <c r="AN48" s="212"/>
      <c r="AO48" s="212"/>
    </row>
    <row r="49" spans="28:41">
      <c r="AB49" s="110"/>
      <c r="AC49" s="110"/>
      <c r="AE49" s="212"/>
      <c r="AF49" s="212"/>
      <c r="AG49" s="212"/>
      <c r="AH49" s="212"/>
      <c r="AI49" s="212"/>
      <c r="AJ49" s="212"/>
      <c r="AK49" s="212"/>
      <c r="AL49" s="212"/>
      <c r="AM49" s="212"/>
      <c r="AN49" s="212"/>
      <c r="AO49" s="212"/>
    </row>
    <row r="50" spans="28:41">
      <c r="AB50" s="110"/>
      <c r="AC50" s="110"/>
      <c r="AE50" s="212"/>
      <c r="AF50" s="212"/>
      <c r="AG50" s="212"/>
      <c r="AH50" s="212"/>
      <c r="AI50" s="212"/>
      <c r="AJ50" s="212"/>
      <c r="AK50" s="212"/>
      <c r="AL50" s="212"/>
      <c r="AM50" s="212"/>
      <c r="AN50" s="212"/>
      <c r="AO50" s="212"/>
    </row>
    <row r="51" spans="28:41">
      <c r="AB51" s="110"/>
      <c r="AC51" s="110"/>
      <c r="AE51" s="212"/>
      <c r="AF51" s="212"/>
      <c r="AG51" s="212"/>
      <c r="AH51" s="212"/>
      <c r="AI51" s="212"/>
      <c r="AJ51" s="212"/>
      <c r="AK51" s="212"/>
      <c r="AL51" s="212"/>
      <c r="AM51" s="212"/>
      <c r="AN51" s="212"/>
      <c r="AO51" s="212"/>
    </row>
    <row r="52" spans="28:41">
      <c r="AB52" s="110"/>
      <c r="AC52" s="110"/>
      <c r="AE52" s="212"/>
      <c r="AF52" s="212"/>
      <c r="AG52" s="212"/>
      <c r="AH52" s="212"/>
      <c r="AI52" s="212"/>
      <c r="AJ52" s="212"/>
      <c r="AK52" s="212"/>
      <c r="AL52" s="212"/>
      <c r="AM52" s="212"/>
      <c r="AN52" s="212"/>
      <c r="AO52" s="212"/>
    </row>
    <row r="53" spans="28:41">
      <c r="AB53" s="110"/>
      <c r="AC53" s="110"/>
      <c r="AE53" s="212"/>
      <c r="AF53" s="212"/>
      <c r="AG53" s="212"/>
      <c r="AH53" s="212"/>
      <c r="AI53" s="212"/>
      <c r="AJ53" s="212"/>
      <c r="AK53" s="212"/>
      <c r="AL53" s="212"/>
      <c r="AM53" s="212"/>
      <c r="AN53" s="212"/>
      <c r="AO53" s="212"/>
    </row>
    <row r="54" spans="28:41">
      <c r="AB54" s="110"/>
      <c r="AC54" s="110"/>
      <c r="AE54" s="212"/>
      <c r="AF54" s="212"/>
      <c r="AG54" s="212"/>
      <c r="AH54" s="212"/>
      <c r="AI54" s="212"/>
      <c r="AJ54" s="212"/>
      <c r="AK54" s="212"/>
      <c r="AL54" s="212"/>
      <c r="AM54" s="212"/>
      <c r="AN54" s="212"/>
      <c r="AO54" s="212"/>
    </row>
    <row r="55" spans="28:41">
      <c r="AB55" s="110"/>
      <c r="AC55" s="110"/>
      <c r="AE55" s="212"/>
      <c r="AF55" s="212"/>
      <c r="AG55" s="212"/>
      <c r="AH55" s="212"/>
      <c r="AI55" s="212"/>
      <c r="AJ55" s="212"/>
      <c r="AK55" s="212"/>
      <c r="AL55" s="212"/>
      <c r="AM55" s="212"/>
      <c r="AN55" s="212"/>
      <c r="AO55" s="212"/>
    </row>
    <row r="56" spans="28:41">
      <c r="AB56" s="110"/>
      <c r="AC56" s="110"/>
      <c r="AE56" s="212"/>
      <c r="AF56" s="212"/>
      <c r="AG56" s="212"/>
      <c r="AH56" s="212"/>
      <c r="AI56" s="212"/>
      <c r="AJ56" s="212"/>
      <c r="AK56" s="212"/>
      <c r="AL56" s="212"/>
      <c r="AM56" s="212"/>
      <c r="AN56" s="212"/>
      <c r="AO56" s="212"/>
    </row>
    <row r="57" spans="28:41">
      <c r="AB57" s="10"/>
      <c r="AC57" s="10"/>
      <c r="AE57" s="212"/>
      <c r="AF57" s="212"/>
      <c r="AG57" s="212"/>
      <c r="AH57" s="212"/>
      <c r="AI57" s="212"/>
      <c r="AJ57" s="212"/>
      <c r="AK57" s="212"/>
      <c r="AL57" s="212"/>
      <c r="AM57" s="212"/>
      <c r="AN57" s="212"/>
      <c r="AO57" s="212"/>
    </row>
    <row r="58" spans="28:41">
      <c r="AB58" s="10"/>
      <c r="AC58" s="10"/>
      <c r="AE58" s="212"/>
      <c r="AF58" s="212"/>
      <c r="AG58" s="212"/>
      <c r="AH58" s="212"/>
      <c r="AI58" s="212"/>
      <c r="AJ58" s="212"/>
      <c r="AK58" s="212"/>
      <c r="AL58" s="212"/>
      <c r="AM58" s="212"/>
      <c r="AN58" s="212"/>
      <c r="AO58" s="212"/>
    </row>
    <row r="59" spans="28:41">
      <c r="AB59" s="10"/>
      <c r="AC59" s="10"/>
      <c r="AE59" s="212"/>
      <c r="AF59" s="212"/>
      <c r="AG59" s="212"/>
      <c r="AH59" s="212"/>
      <c r="AI59" s="212"/>
      <c r="AJ59" s="212"/>
      <c r="AK59" s="212"/>
      <c r="AL59" s="212"/>
      <c r="AM59" s="212"/>
      <c r="AN59" s="212"/>
      <c r="AO59" s="212"/>
    </row>
    <row r="60" spans="28:41">
      <c r="AB60" s="10"/>
      <c r="AC60" s="10"/>
      <c r="AE60" s="212"/>
      <c r="AF60" s="212"/>
      <c r="AG60" s="212"/>
      <c r="AH60" s="212"/>
      <c r="AI60" s="212"/>
      <c r="AJ60" s="212"/>
      <c r="AK60" s="212"/>
      <c r="AL60" s="212"/>
      <c r="AM60" s="212"/>
      <c r="AN60" s="212"/>
      <c r="AO60" s="212"/>
    </row>
    <row r="61" spans="28:41">
      <c r="AB61" s="10"/>
      <c r="AC61" s="10"/>
      <c r="AE61" s="212"/>
      <c r="AF61" s="212"/>
      <c r="AG61" s="212"/>
      <c r="AH61" s="212"/>
      <c r="AI61" s="212"/>
      <c r="AJ61" s="212"/>
      <c r="AK61" s="212"/>
      <c r="AL61" s="212"/>
      <c r="AM61" s="212"/>
      <c r="AN61" s="212"/>
      <c r="AO61" s="212"/>
    </row>
    <row r="62" spans="28:41">
      <c r="AB62" s="10"/>
      <c r="AC62" s="10"/>
      <c r="AE62" s="212"/>
      <c r="AF62" s="212"/>
      <c r="AG62" s="212"/>
      <c r="AH62" s="212"/>
      <c r="AI62" s="212"/>
      <c r="AJ62" s="212"/>
      <c r="AK62" s="212"/>
      <c r="AL62" s="212"/>
      <c r="AM62" s="212"/>
      <c r="AN62" s="212"/>
      <c r="AO62" s="212"/>
    </row>
    <row r="63" spans="28:41">
      <c r="AB63" s="10"/>
      <c r="AC63" s="10"/>
      <c r="AE63" s="212"/>
      <c r="AF63" s="212"/>
      <c r="AG63" s="212"/>
      <c r="AH63" s="212"/>
      <c r="AI63" s="212"/>
      <c r="AJ63" s="212"/>
      <c r="AK63" s="212"/>
      <c r="AL63" s="212"/>
      <c r="AM63" s="212"/>
      <c r="AN63" s="212"/>
      <c r="AO63" s="212"/>
    </row>
    <row r="64" spans="28:41">
      <c r="AB64" s="10"/>
      <c r="AC64" s="10"/>
      <c r="AE64" s="212"/>
      <c r="AF64" s="212"/>
      <c r="AG64" s="212"/>
      <c r="AH64" s="212"/>
      <c r="AI64" s="212"/>
      <c r="AJ64" s="212"/>
      <c r="AK64" s="212"/>
      <c r="AL64" s="212"/>
      <c r="AM64" s="212"/>
      <c r="AN64" s="212"/>
      <c r="AO64" s="212"/>
    </row>
    <row r="65" spans="28:41">
      <c r="AB65" s="10"/>
      <c r="AC65" s="10"/>
      <c r="AE65" s="212"/>
      <c r="AF65" s="212"/>
      <c r="AG65" s="212"/>
      <c r="AH65" s="212"/>
      <c r="AI65" s="212"/>
      <c r="AJ65" s="212"/>
      <c r="AK65" s="212"/>
      <c r="AL65" s="212"/>
      <c r="AM65" s="212"/>
      <c r="AN65" s="212"/>
      <c r="AO65" s="212"/>
    </row>
    <row r="66" spans="28:41">
      <c r="AB66" s="10"/>
      <c r="AC66" s="10"/>
      <c r="AE66" s="212"/>
      <c r="AF66" s="212"/>
      <c r="AG66" s="212"/>
      <c r="AH66" s="212"/>
      <c r="AI66" s="212"/>
      <c r="AJ66" s="212"/>
      <c r="AK66" s="212"/>
      <c r="AL66" s="212"/>
      <c r="AM66" s="212"/>
      <c r="AN66" s="212"/>
      <c r="AO66" s="212"/>
    </row>
    <row r="67" spans="28:41">
      <c r="AB67" s="10"/>
      <c r="AC67" s="10"/>
      <c r="AE67" s="212"/>
      <c r="AF67" s="212"/>
      <c r="AG67" s="212"/>
      <c r="AH67" s="212"/>
      <c r="AI67" s="212"/>
      <c r="AJ67" s="212"/>
      <c r="AK67" s="212"/>
      <c r="AL67" s="212"/>
      <c r="AM67" s="212"/>
      <c r="AN67" s="212"/>
      <c r="AO67" s="212"/>
    </row>
    <row r="68" spans="28:41">
      <c r="AB68" s="10"/>
      <c r="AC68" s="10"/>
      <c r="AE68" s="212"/>
      <c r="AF68" s="212"/>
      <c r="AG68" s="212"/>
      <c r="AH68" s="212"/>
      <c r="AI68" s="212"/>
      <c r="AJ68" s="212"/>
      <c r="AK68" s="212"/>
      <c r="AL68" s="212"/>
      <c r="AM68" s="212"/>
      <c r="AN68" s="212"/>
      <c r="AO68" s="212"/>
    </row>
    <row r="69" spans="28:41">
      <c r="AB69" s="10"/>
      <c r="AC69" s="10"/>
      <c r="AE69" s="212"/>
      <c r="AF69" s="212"/>
      <c r="AG69" s="212"/>
      <c r="AH69" s="212"/>
      <c r="AI69" s="212"/>
      <c r="AJ69" s="212"/>
      <c r="AK69" s="212"/>
      <c r="AL69" s="212"/>
      <c r="AM69" s="212"/>
      <c r="AN69" s="212"/>
      <c r="AO69" s="212"/>
    </row>
    <row r="70" spans="28:41">
      <c r="AB70" s="10"/>
      <c r="AC70" s="10"/>
      <c r="AE70" s="212"/>
      <c r="AF70" s="212"/>
      <c r="AG70" s="212"/>
      <c r="AH70" s="212"/>
      <c r="AI70" s="212"/>
      <c r="AJ70" s="212"/>
      <c r="AK70" s="212"/>
      <c r="AL70" s="212"/>
      <c r="AM70" s="212"/>
      <c r="AN70" s="212"/>
      <c r="AO70" s="212"/>
    </row>
    <row r="71" spans="28:41">
      <c r="AB71" s="10"/>
      <c r="AC71" s="10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</row>
    <row r="72" spans="28:41">
      <c r="AB72" s="10"/>
      <c r="AC72" s="10"/>
      <c r="AE72" s="212"/>
      <c r="AF72" s="212"/>
      <c r="AG72" s="212"/>
      <c r="AH72" s="212"/>
      <c r="AI72" s="212"/>
      <c r="AJ72" s="212"/>
      <c r="AK72" s="212"/>
      <c r="AL72" s="212"/>
      <c r="AM72" s="212"/>
      <c r="AN72" s="212"/>
      <c r="AO72" s="212"/>
    </row>
    <row r="73" spans="28:41">
      <c r="AB73" s="10"/>
      <c r="AC73" s="10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</row>
  </sheetData>
  <mergeCells count="1">
    <mergeCell ref="C13:E13"/>
  </mergeCells>
  <conditionalFormatting sqref="J16 L16 P16 T16 W16 Z16">
    <cfRule type="containsText" dxfId="303" priority="2" operator="containsText" text="Rejected">
      <formula>NOT(ISERROR(SEARCH("Rejected",J16)))</formula>
    </cfRule>
    <cfRule type="containsText" dxfId="302" priority="3" operator="containsText" text="Review">
      <formula>NOT(ISERROR(SEARCH("Review",J16)))</formula>
    </cfRule>
    <cfRule type="containsText" dxfId="301" priority="4" operator="containsText" text="OK">
      <formula>NOT(ISERROR(SEARCH("OK",J16)))</formula>
    </cfRule>
    <cfRule type="duplicateValues" dxfId="300" priority="9"/>
  </conditionalFormatting>
  <conditionalFormatting sqref="C16">
    <cfRule type="duplicateValues" dxfId="299" priority="1"/>
  </conditionalFormatting>
  <dataValidations count="1">
    <dataValidation type="list" allowBlank="1" showInputMessage="1" showErrorMessage="1" sqref="I16" xr:uid="{7FF46B45-7435-4CC8-A2E5-231825E21A64}">
      <formula1>"In Process,Approved,Rejected"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533400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UpdatePrevalidation">
                <anchor>
                  <from>
                    <xdr:col>7</xdr:col>
                    <xdr:colOff>57150</xdr:colOff>
                    <xdr:row>11</xdr:row>
                    <xdr:rowOff>142875</xdr:rowOff>
                  </from>
                  <to>
                    <xdr:col>9</xdr:col>
                    <xdr:colOff>19050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81EA1-2D78-4D8A-B946-7D7DE092D814}">
  <sheetPr codeName="Sheet23">
    <tabColor rgb="FFFFC000"/>
    <outlinePr summaryBelow="0" summaryRight="0"/>
  </sheetPr>
  <dimension ref="A1:XFD73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RowHeight="15" outlineLevelCol="1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6" width="11.7109375" style="2" customWidth="1"/>
    <col min="7" max="7" width="10.28515625" customWidth="1"/>
    <col min="8" max="8" width="8.140625" customWidth="1"/>
    <col min="9" max="9" width="12.42578125" customWidth="1"/>
    <col min="10" max="10" width="4.28515625" customWidth="1" collapsed="1"/>
    <col min="11" max="11" width="58.85546875" style="10" hidden="1" customWidth="1" outlineLevel="1"/>
    <col min="12" max="12" width="4.28515625" style="10" customWidth="1" collapsed="1"/>
    <col min="13" max="13" width="11.28515625" hidden="1" customWidth="1" outlineLevel="1"/>
    <col min="14" max="14" width="13.5703125" style="10" hidden="1" customWidth="1" outlineLevel="1"/>
    <col min="15" max="15" width="58.42578125" style="10" hidden="1" customWidth="1" outlineLevel="1"/>
    <col min="16" max="16" width="4.28515625" style="10" customWidth="1" collapsed="1"/>
    <col min="17" max="17" width="12" style="10" hidden="1" customWidth="1" outlineLevel="1"/>
    <col min="18" max="18" width="23" hidden="1" customWidth="1" outlineLevel="1"/>
    <col min="19" max="19" width="67.42578125" hidden="1" customWidth="1" outlineLevel="1"/>
    <col min="20" max="20" width="4.28515625" style="10" customWidth="1" collapsed="1"/>
    <col min="21" max="21" width="11.28515625" hidden="1" customWidth="1" outlineLevel="1"/>
    <col min="22" max="22" width="48.5703125" hidden="1" customWidth="1" outlineLevel="1"/>
    <col min="23" max="23" width="4.28515625" customWidth="1" collapsed="1"/>
    <col min="24" max="24" width="11.5703125" hidden="1" customWidth="1" outlineLevel="1"/>
    <col min="25" max="25" width="76.7109375" hidden="1" customWidth="1" outlineLevel="1"/>
    <col min="26" max="26" width="4.28515625" style="10" customWidth="1" collapsed="1"/>
    <col min="27" max="27" width="47.7109375" hidden="1" customWidth="1" outlineLevel="1"/>
    <col min="30" max="30" width="62.140625" customWidth="1"/>
    <col min="31" max="31" width="58.42578125" style="10" customWidth="1"/>
    <col min="32" max="32" width="10" style="10" customWidth="1"/>
    <col min="33" max="33" width="41.85546875" style="10" customWidth="1"/>
    <col min="34" max="34" width="12.5703125" style="10" customWidth="1"/>
    <col min="35" max="35" width="19.42578125" style="10" customWidth="1"/>
    <col min="36" max="36" width="57.42578125" style="10" customWidth="1"/>
    <col min="37" max="37" width="22.28515625" style="10" customWidth="1"/>
    <col min="38" max="38" width="30.140625" style="10" customWidth="1"/>
    <col min="39" max="39" width="47.7109375" style="10" customWidth="1"/>
    <col min="40" max="41" width="9.140625" style="10"/>
    <col min="42" max="16358" width="9.140625" style="4"/>
    <col min="16359" max="16384" width="9.140625" style="212"/>
  </cols>
  <sheetData>
    <row r="1" spans="1:41 16359:16384" s="3" customFormat="1" hidden="1">
      <c r="A1" s="56" t="s">
        <v>10</v>
      </c>
      <c r="B1" s="15" t="s">
        <v>12</v>
      </c>
      <c r="C1" s="15"/>
      <c r="D1" s="15"/>
      <c r="E1" s="62"/>
      <c r="F1" s="67"/>
      <c r="G1" s="15"/>
      <c r="H1" s="15"/>
      <c r="I1" s="15"/>
      <c r="J1" s="15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XEE1" s="208"/>
      <c r="XEF1" s="208"/>
      <c r="XEG1" s="208"/>
      <c r="XEH1" s="208"/>
      <c r="XEI1" s="208"/>
      <c r="XEJ1" s="208"/>
      <c r="XEK1" s="208"/>
      <c r="XEL1" s="208"/>
      <c r="XEM1" s="208"/>
      <c r="XEN1" s="208"/>
      <c r="XEO1" s="208"/>
      <c r="XEP1" s="208"/>
      <c r="XEQ1" s="208"/>
      <c r="XER1" s="208"/>
      <c r="XES1" s="208"/>
      <c r="XET1" s="208"/>
      <c r="XEU1" s="208"/>
      <c r="XEV1" s="208"/>
      <c r="XEW1" s="208"/>
      <c r="XEX1" s="208"/>
      <c r="XEY1" s="208"/>
      <c r="XEZ1" s="208"/>
      <c r="XFA1" s="208"/>
      <c r="XFB1" s="208"/>
      <c r="XFC1" s="208"/>
      <c r="XFD1" s="208"/>
    </row>
    <row r="2" spans="1:41 16359:16384" s="3" customFormat="1" hidden="1">
      <c r="A2" s="57" t="s">
        <v>18</v>
      </c>
      <c r="B2" s="7"/>
      <c r="C2" s="7"/>
      <c r="D2" s="7"/>
      <c r="E2" s="31"/>
      <c r="F2" s="19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XEE2" s="208"/>
      <c r="XEF2" s="208"/>
      <c r="XEG2" s="208"/>
      <c r="XEH2" s="208"/>
      <c r="XEI2" s="208"/>
      <c r="XEJ2" s="208"/>
      <c r="XEK2" s="208"/>
      <c r="XEL2" s="208"/>
      <c r="XEM2" s="208"/>
      <c r="XEN2" s="208"/>
      <c r="XEO2" s="208"/>
      <c r="XEP2" s="208"/>
      <c r="XEQ2" s="208"/>
      <c r="XER2" s="208"/>
      <c r="XES2" s="208"/>
      <c r="XET2" s="208"/>
      <c r="XEU2" s="208"/>
      <c r="XEV2" s="208"/>
      <c r="XEW2" s="208"/>
      <c r="XEX2" s="208"/>
      <c r="XEY2" s="208"/>
      <c r="XEZ2" s="208"/>
      <c r="XFA2" s="208"/>
      <c r="XFB2" s="208"/>
      <c r="XFC2" s="208"/>
      <c r="XFD2" s="208"/>
    </row>
    <row r="3" spans="1:41 16359:16384" s="3" customFormat="1" hidden="1">
      <c r="A3" s="58" t="s">
        <v>5</v>
      </c>
      <c r="B3" s="5" t="s">
        <v>14</v>
      </c>
      <c r="C3" s="5" t="s">
        <v>31</v>
      </c>
      <c r="D3" s="5" t="s">
        <v>86</v>
      </c>
      <c r="E3" s="31"/>
      <c r="F3" s="19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XEE3" s="208"/>
      <c r="XEF3" s="208"/>
      <c r="XEG3" s="208"/>
      <c r="XEH3" s="208"/>
      <c r="XEI3" s="208"/>
      <c r="XEJ3" s="208"/>
      <c r="XEK3" s="208"/>
      <c r="XEL3" s="208"/>
      <c r="XEM3" s="208"/>
      <c r="XEN3" s="208"/>
      <c r="XEO3" s="208"/>
      <c r="XEP3" s="208"/>
      <c r="XEQ3" s="208"/>
      <c r="XER3" s="208"/>
      <c r="XES3" s="208"/>
      <c r="XET3" s="208"/>
      <c r="XEU3" s="208"/>
      <c r="XEV3" s="208"/>
      <c r="XEW3" s="208"/>
      <c r="XEX3" s="208"/>
      <c r="XEY3" s="208"/>
      <c r="XEZ3" s="208"/>
      <c r="XFA3" s="208"/>
      <c r="XFB3" s="208"/>
      <c r="XFC3" s="208"/>
      <c r="XFD3" s="208"/>
    </row>
    <row r="4" spans="1:41 16359:16384" s="21" customFormat="1" hidden="1">
      <c r="A4" s="18">
        <f>MATCH(A3,10:10,0)</f>
        <v>1</v>
      </c>
      <c r="B4" s="18">
        <f>MATCH(B3,10:10,0)</f>
        <v>3</v>
      </c>
      <c r="C4" s="18">
        <f>MATCH(C3,10:10,0)</f>
        <v>6</v>
      </c>
      <c r="D4" s="18">
        <f>MATCH(D3,10:10,0)</f>
        <v>9</v>
      </c>
      <c r="E4" s="31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XEE4" s="210"/>
      <c r="XEF4" s="210"/>
      <c r="XEG4" s="210"/>
      <c r="XEH4" s="210"/>
      <c r="XEI4" s="210"/>
      <c r="XEJ4" s="210"/>
      <c r="XEK4" s="210"/>
      <c r="XEL4" s="210"/>
      <c r="XEM4" s="210"/>
      <c r="XEN4" s="210"/>
      <c r="XEO4" s="210"/>
      <c r="XEP4" s="210"/>
      <c r="XEQ4" s="210"/>
      <c r="XER4" s="210"/>
      <c r="XES4" s="210"/>
      <c r="XET4" s="210"/>
      <c r="XEU4" s="210"/>
      <c r="XEV4" s="210"/>
      <c r="XEW4" s="210"/>
      <c r="XEX4" s="210"/>
      <c r="XEY4" s="210"/>
      <c r="XEZ4" s="210"/>
      <c r="XFA4" s="210"/>
      <c r="XFB4" s="210"/>
      <c r="XFC4" s="210"/>
      <c r="XFD4" s="210"/>
    </row>
    <row r="5" spans="1:41 16359:16384" s="21" customFormat="1" hidden="1">
      <c r="A5" s="18">
        <v>59</v>
      </c>
      <c r="B5" s="6" t="e">
        <f>IF(VLOOKUP($A$5,Table3521014151617[],B4,FALSE)&lt;&gt;0,VLOOKUP($A$5,Table3521014151617[],B4,FALSE),"")</f>
        <v>#N/A</v>
      </c>
      <c r="C5" s="18" t="e">
        <f>IF(VLOOKUP($A$5,Table3521014151617[],C4,FALSE)&lt;&gt;0,VLOOKUP($A$5,Table3521014151617[],C4,FALSE),"")</f>
        <v>#N/A</v>
      </c>
      <c r="D5" s="18" t="e">
        <f>IF(VLOOKUP($A$5,Table3521014151617[],D4,FALSE)&lt;&gt;0,VLOOKUP($A$5,Table3521014151617[],D4,FALSE),"")</f>
        <v>#N/A</v>
      </c>
      <c r="E5" s="31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XEE5" s="210"/>
      <c r="XEF5" s="210"/>
      <c r="XEG5" s="210"/>
      <c r="XEH5" s="210"/>
      <c r="XEI5" s="210"/>
      <c r="XEJ5" s="210"/>
      <c r="XEK5" s="210"/>
      <c r="XEL5" s="210"/>
      <c r="XEM5" s="210"/>
      <c r="XEN5" s="210"/>
      <c r="XEO5" s="210"/>
      <c r="XEP5" s="210"/>
      <c r="XEQ5" s="210"/>
      <c r="XER5" s="210"/>
      <c r="XES5" s="210"/>
      <c r="XET5" s="210"/>
      <c r="XEU5" s="210"/>
      <c r="XEV5" s="210"/>
      <c r="XEW5" s="210"/>
      <c r="XEX5" s="210"/>
      <c r="XEY5" s="210"/>
      <c r="XEZ5" s="210"/>
      <c r="XFA5" s="210"/>
      <c r="XFB5" s="210"/>
      <c r="XFC5" s="210"/>
      <c r="XFD5" s="210"/>
    </row>
    <row r="6" spans="1:41 16359:16384" hidden="1">
      <c r="A6" s="59" t="s">
        <v>16</v>
      </c>
      <c r="B6" s="12"/>
      <c r="C6" s="12"/>
      <c r="D6" s="12"/>
      <c r="E6" s="63"/>
      <c r="F6" s="60"/>
      <c r="G6" s="12"/>
      <c r="H6" s="12"/>
      <c r="I6" s="12"/>
      <c r="J6" s="12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</row>
    <row r="7" spans="1:41 16359:16384" hidden="1">
      <c r="A7" s="60" t="s">
        <v>1</v>
      </c>
      <c r="B7" s="60"/>
      <c r="C7" s="60"/>
      <c r="D7" s="60"/>
      <c r="E7" s="63"/>
      <c r="F7" s="60"/>
      <c r="G7" s="12"/>
      <c r="H7" s="12"/>
      <c r="I7" s="12"/>
      <c r="J7" s="12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</row>
    <row r="8" spans="1:41 16359:16384" hidden="1">
      <c r="A8" s="60" t="s">
        <v>90</v>
      </c>
      <c r="B8" s="60"/>
      <c r="C8" s="60"/>
      <c r="D8" s="60"/>
      <c r="E8" s="63"/>
      <c r="F8" s="60"/>
      <c r="G8" s="12"/>
      <c r="H8" s="12"/>
      <c r="I8" s="12"/>
      <c r="J8" s="12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1 16359:16384" hidden="1">
      <c r="A9" s="61" t="s">
        <v>17</v>
      </c>
      <c r="B9" s="13"/>
      <c r="C9" s="13"/>
      <c r="D9" s="13"/>
      <c r="E9" s="64"/>
      <c r="F9" s="22"/>
      <c r="G9" s="13"/>
      <c r="H9" s="13"/>
      <c r="I9" s="13"/>
      <c r="J9" s="1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</row>
    <row r="10" spans="1:41 16359:16384" hidden="1">
      <c r="A10" s="58" t="s">
        <v>5</v>
      </c>
      <c r="B10" s="17" t="s">
        <v>4</v>
      </c>
      <c r="C10" s="17" t="s">
        <v>14</v>
      </c>
      <c r="D10" s="17" t="s">
        <v>1</v>
      </c>
      <c r="E10" s="17" t="s">
        <v>3</v>
      </c>
      <c r="F10" s="17" t="s">
        <v>31</v>
      </c>
      <c r="G10" s="17" t="s">
        <v>34</v>
      </c>
      <c r="H10" s="17" t="s">
        <v>33</v>
      </c>
      <c r="I10" s="17" t="s">
        <v>86</v>
      </c>
      <c r="J10" s="17" t="s">
        <v>36</v>
      </c>
      <c r="K10" s="17" t="s">
        <v>37</v>
      </c>
      <c r="L10" s="17" t="s">
        <v>41</v>
      </c>
      <c r="M10" s="17" t="s">
        <v>59</v>
      </c>
      <c r="N10" s="17" t="s">
        <v>60</v>
      </c>
      <c r="O10" s="17" t="s">
        <v>42</v>
      </c>
      <c r="P10" s="17" t="s">
        <v>48</v>
      </c>
      <c r="Q10" s="17" t="s">
        <v>47</v>
      </c>
      <c r="R10" s="17" t="s">
        <v>50</v>
      </c>
      <c r="S10" s="17" t="s">
        <v>49</v>
      </c>
      <c r="T10" s="17" t="s">
        <v>56</v>
      </c>
      <c r="U10" s="17" t="s">
        <v>55</v>
      </c>
      <c r="V10" s="17" t="s">
        <v>58</v>
      </c>
      <c r="W10" s="17" t="s">
        <v>64</v>
      </c>
      <c r="X10" s="17" t="s">
        <v>63</v>
      </c>
      <c r="Y10" s="17" t="s">
        <v>65</v>
      </c>
      <c r="Z10" s="17" t="s">
        <v>81</v>
      </c>
      <c r="AA10" s="17" t="s">
        <v>82</v>
      </c>
      <c r="AB10" s="14"/>
      <c r="AC10" s="1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</row>
    <row r="11" spans="1:41 16359:16384" s="24" customFormat="1" hidden="1">
      <c r="A11" s="22"/>
      <c r="B11" s="22"/>
      <c r="C11" s="22"/>
      <c r="D11" s="22"/>
      <c r="E11" s="64"/>
      <c r="F11" s="22"/>
      <c r="G11" s="22"/>
      <c r="H11" s="22"/>
      <c r="I11" s="22"/>
      <c r="J11" s="22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XEE11" s="214"/>
      <c r="XEF11" s="214"/>
      <c r="XEG11" s="214"/>
      <c r="XEH11" s="214"/>
      <c r="XEI11" s="214"/>
      <c r="XEJ11" s="214"/>
      <c r="XEK11" s="214"/>
      <c r="XEL11" s="214"/>
      <c r="XEM11" s="214"/>
      <c r="XEN11" s="214"/>
      <c r="XEO11" s="214"/>
      <c r="XEP11" s="214"/>
      <c r="XEQ11" s="214"/>
      <c r="XER11" s="214"/>
      <c r="XES11" s="214"/>
      <c r="XET11" s="214"/>
      <c r="XEU11" s="214"/>
      <c r="XEV11" s="214"/>
      <c r="XEW11" s="214"/>
      <c r="XEX11" s="214"/>
      <c r="XEY11" s="214"/>
      <c r="XEZ11" s="214"/>
      <c r="XFA11" s="214"/>
      <c r="XFB11" s="214"/>
      <c r="XFC11" s="214"/>
      <c r="XFD11" s="214"/>
    </row>
    <row r="12" spans="1:41 16359:16384">
      <c r="M12" s="10"/>
      <c r="R12" s="10"/>
      <c r="S12" s="10"/>
      <c r="U12" s="10"/>
      <c r="V12" s="10"/>
      <c r="W12" s="10"/>
      <c r="X12" s="10"/>
      <c r="Y12" s="10"/>
      <c r="AA12" s="10"/>
      <c r="AB12" s="10"/>
      <c r="AC12" s="10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</row>
    <row r="13" spans="1:41 16359:16384" ht="21">
      <c r="C13" s="203" t="s">
        <v>90</v>
      </c>
      <c r="D13" s="204"/>
      <c r="E13" s="204"/>
      <c r="M13" s="10"/>
      <c r="R13" s="10"/>
      <c r="S13" s="10"/>
      <c r="U13" s="10"/>
      <c r="V13" s="10"/>
      <c r="W13" s="10"/>
      <c r="X13" s="10"/>
      <c r="Y13" s="10"/>
      <c r="AA13" s="10"/>
      <c r="AB13" s="10"/>
      <c r="AC13" s="10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</row>
    <row r="14" spans="1:41 16359:16384">
      <c r="M14" s="10"/>
      <c r="R14" s="10"/>
      <c r="S14" s="10"/>
      <c r="U14" s="10"/>
      <c r="V14" s="10"/>
      <c r="W14" s="10"/>
      <c r="X14" s="10"/>
      <c r="Y14" s="10"/>
      <c r="AA14" s="10"/>
      <c r="AB14" s="10"/>
      <c r="AC14" s="10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</row>
    <row r="15" spans="1:41 16359:16384" s="27" customFormat="1" ht="54" customHeight="1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26</v>
      </c>
      <c r="G15" s="119" t="s">
        <v>67</v>
      </c>
      <c r="H15" s="119" t="s">
        <v>68</v>
      </c>
      <c r="I15" s="119" t="s">
        <v>86</v>
      </c>
      <c r="J15" s="115" t="s">
        <v>70</v>
      </c>
      <c r="K15" s="129" t="s">
        <v>79</v>
      </c>
      <c r="L15" s="116" t="s">
        <v>71</v>
      </c>
      <c r="M15" s="130" t="s">
        <v>45</v>
      </c>
      <c r="N15" s="130" t="s">
        <v>46</v>
      </c>
      <c r="O15" s="130" t="s">
        <v>75</v>
      </c>
      <c r="P15" s="117" t="s">
        <v>73</v>
      </c>
      <c r="Q15" s="132" t="s">
        <v>52</v>
      </c>
      <c r="R15" s="132" t="s">
        <v>69</v>
      </c>
      <c r="S15" s="132" t="s">
        <v>54</v>
      </c>
      <c r="T15" s="118" t="s">
        <v>72</v>
      </c>
      <c r="U15" s="131" t="s">
        <v>76</v>
      </c>
      <c r="V15" s="131" t="s">
        <v>77</v>
      </c>
      <c r="W15" s="133" t="s">
        <v>74</v>
      </c>
      <c r="X15" s="183" t="s">
        <v>66</v>
      </c>
      <c r="Y15" s="184" t="s">
        <v>78</v>
      </c>
      <c r="Z15" s="180" t="s">
        <v>84</v>
      </c>
      <c r="AA15" s="185" t="s">
        <v>85</v>
      </c>
      <c r="AB15" s="25"/>
      <c r="AC15" s="25"/>
      <c r="XEE15" s="215"/>
      <c r="XEF15" s="215"/>
      <c r="XEG15" s="215"/>
      <c r="XEH15" s="215"/>
      <c r="XEI15" s="215"/>
      <c r="XEJ15" s="215"/>
      <c r="XEK15" s="215"/>
      <c r="XEL15" s="215"/>
      <c r="XEM15" s="215"/>
      <c r="XEN15" s="215"/>
      <c r="XEO15" s="215"/>
      <c r="XEP15" s="215"/>
      <c r="XEQ15" s="215"/>
      <c r="XER15" s="215"/>
      <c r="XES15" s="215"/>
      <c r="XET15" s="215"/>
      <c r="XEU15" s="215"/>
      <c r="XEV15" s="215"/>
      <c r="XEW15" s="215"/>
      <c r="XEX15" s="215"/>
      <c r="XEY15" s="215"/>
      <c r="XEZ15" s="215"/>
      <c r="XFA15" s="215"/>
      <c r="XFB15" s="215"/>
      <c r="XFC15" s="215"/>
      <c r="XFD15" s="215"/>
    </row>
    <row r="16" spans="1:41 16359:16384">
      <c r="A16" s="122"/>
      <c r="B16" s="123"/>
      <c r="C16" s="123"/>
      <c r="D16" s="123"/>
      <c r="E16" s="124"/>
      <c r="F16" s="125"/>
      <c r="G16" s="126"/>
      <c r="H16" s="127"/>
      <c r="I16" s="127"/>
      <c r="J16" s="128"/>
      <c r="K16" s="126"/>
      <c r="L16" s="128"/>
      <c r="M16" s="126"/>
      <c r="N16" s="126"/>
      <c r="O16" s="126"/>
      <c r="P16" s="128"/>
      <c r="Q16" s="126"/>
      <c r="R16" s="126"/>
      <c r="S16" s="126"/>
      <c r="T16" s="128"/>
      <c r="U16" s="126"/>
      <c r="V16" s="126"/>
      <c r="W16" s="128"/>
      <c r="X16" s="126"/>
      <c r="Y16" s="126"/>
      <c r="Z16" s="128"/>
      <c r="AA16" s="126"/>
      <c r="AB16" s="110"/>
      <c r="AC16" s="110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</row>
    <row r="17" spans="28:41">
      <c r="AB17" s="110"/>
      <c r="AC17" s="110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</row>
    <row r="18" spans="28:41">
      <c r="AB18" s="110"/>
      <c r="AC18" s="110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</row>
    <row r="19" spans="28:41">
      <c r="AB19" s="110"/>
      <c r="AC19" s="110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</row>
    <row r="20" spans="28:41">
      <c r="AB20" s="110"/>
      <c r="AC20" s="110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</row>
    <row r="21" spans="28:41">
      <c r="AB21" s="110"/>
      <c r="AC21" s="110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</row>
    <row r="22" spans="28:41">
      <c r="AB22" s="110"/>
      <c r="AC22" s="110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</row>
    <row r="23" spans="28:41">
      <c r="AB23" s="110"/>
      <c r="AC23" s="110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</row>
    <row r="24" spans="28:41">
      <c r="AB24" s="110"/>
      <c r="AC24" s="110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</row>
    <row r="25" spans="28:41">
      <c r="AB25" s="110"/>
      <c r="AC25" s="110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</row>
    <row r="26" spans="28:41">
      <c r="AB26" s="110"/>
      <c r="AC26" s="110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</row>
    <row r="27" spans="28:41">
      <c r="AB27" s="110"/>
      <c r="AC27" s="110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</row>
    <row r="28" spans="28:41">
      <c r="AB28" s="110"/>
      <c r="AC28" s="110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</row>
    <row r="29" spans="28:41">
      <c r="AB29" s="110"/>
      <c r="AC29" s="110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</row>
    <row r="30" spans="28:41">
      <c r="AB30" s="110"/>
      <c r="AC30" s="110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</row>
    <row r="31" spans="28:41">
      <c r="AB31" s="110"/>
      <c r="AC31" s="110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</row>
    <row r="32" spans="28:41">
      <c r="AB32" s="110"/>
      <c r="AC32" s="110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</row>
    <row r="33" spans="28:41">
      <c r="AB33" s="110"/>
      <c r="AC33" s="110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</row>
    <row r="34" spans="28:41">
      <c r="AB34" s="110"/>
      <c r="AC34" s="110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</row>
    <row r="35" spans="28:41">
      <c r="AB35" s="110"/>
      <c r="AC35" s="110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</row>
    <row r="36" spans="28:41">
      <c r="AB36" s="110"/>
      <c r="AC36" s="110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</row>
    <row r="37" spans="28:41">
      <c r="AB37" s="110"/>
      <c r="AC37" s="110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</row>
    <row r="38" spans="28:41">
      <c r="AB38" s="110"/>
      <c r="AC38" s="110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</row>
    <row r="39" spans="28:41">
      <c r="AB39" s="110"/>
      <c r="AC39" s="110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</row>
    <row r="40" spans="28:41">
      <c r="AB40" s="110"/>
      <c r="AC40" s="110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</row>
    <row r="41" spans="28:41">
      <c r="AB41" s="110"/>
      <c r="AC41" s="110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</row>
    <row r="42" spans="28:41">
      <c r="AB42" s="110"/>
      <c r="AC42" s="110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</row>
    <row r="43" spans="28:41">
      <c r="AB43" s="110"/>
      <c r="AC43" s="110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</row>
    <row r="44" spans="28:41">
      <c r="AB44" s="110"/>
      <c r="AC44" s="110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</row>
    <row r="45" spans="28:41">
      <c r="AB45" s="110"/>
      <c r="AC45" s="110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</row>
    <row r="46" spans="28:41">
      <c r="AB46" s="110"/>
      <c r="AC46" s="110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</row>
    <row r="47" spans="28:41">
      <c r="AB47" s="110"/>
      <c r="AC47" s="110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</row>
    <row r="48" spans="28:41">
      <c r="AB48" s="110"/>
      <c r="AC48" s="110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</row>
    <row r="49" spans="28:41">
      <c r="AB49" s="110"/>
      <c r="AC49" s="110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</row>
    <row r="50" spans="28:41">
      <c r="AB50" s="110"/>
      <c r="AC50" s="110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</row>
    <row r="51" spans="28:41">
      <c r="AB51" s="110"/>
      <c r="AC51" s="110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</row>
    <row r="52" spans="28:41">
      <c r="AB52" s="110"/>
      <c r="AC52" s="110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</row>
    <row r="53" spans="28:41">
      <c r="AB53" s="110"/>
      <c r="AC53" s="110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</row>
    <row r="54" spans="28:41">
      <c r="AB54" s="110"/>
      <c r="AC54" s="110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</row>
    <row r="55" spans="28:41">
      <c r="AB55" s="110"/>
      <c r="AC55" s="110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</row>
    <row r="56" spans="28:41">
      <c r="AB56" s="110"/>
      <c r="AC56" s="110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</row>
    <row r="57" spans="28:41">
      <c r="AB57" s="10"/>
      <c r="AC57" s="10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</row>
    <row r="58" spans="28:41">
      <c r="AB58" s="10"/>
      <c r="AC58" s="10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</row>
    <row r="59" spans="28:41">
      <c r="AB59" s="10"/>
      <c r="AC59" s="10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</row>
    <row r="60" spans="28:41">
      <c r="AB60" s="10"/>
      <c r="AC60" s="10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</row>
    <row r="61" spans="28:41">
      <c r="AB61" s="10"/>
      <c r="AC61" s="10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</row>
    <row r="62" spans="28:41">
      <c r="AB62" s="10"/>
      <c r="AC62" s="10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</row>
    <row r="63" spans="28:41">
      <c r="AB63" s="10"/>
      <c r="AC63" s="10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</row>
    <row r="64" spans="28:41">
      <c r="AB64" s="10"/>
      <c r="AC64" s="10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</row>
    <row r="65" spans="28:41">
      <c r="AB65" s="10"/>
      <c r="AC65" s="10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</row>
    <row r="66" spans="28:41">
      <c r="AB66" s="10"/>
      <c r="AC66" s="10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</row>
    <row r="67" spans="28:41">
      <c r="AB67" s="10"/>
      <c r="AC67" s="10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</row>
    <row r="68" spans="28:41">
      <c r="AB68" s="10"/>
      <c r="AC68" s="10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</row>
    <row r="69" spans="28:41">
      <c r="AB69" s="10"/>
      <c r="AC69" s="10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</row>
    <row r="70" spans="28:41">
      <c r="AB70" s="10"/>
      <c r="AC70" s="10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</row>
    <row r="71" spans="28:41">
      <c r="AB71" s="10"/>
      <c r="AC71" s="10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</row>
    <row r="72" spans="28:41">
      <c r="AB72" s="10"/>
      <c r="AC72" s="10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</row>
    <row r="73" spans="28:41">
      <c r="AB73" s="10"/>
      <c r="AC73" s="10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</row>
  </sheetData>
  <mergeCells count="1">
    <mergeCell ref="C13:E13"/>
  </mergeCells>
  <conditionalFormatting sqref="J16 L16 P16 T16 W16 Z16">
    <cfRule type="containsText" dxfId="269" priority="2" operator="containsText" text="Rejected">
      <formula>NOT(ISERROR(SEARCH("Rejected",J16)))</formula>
    </cfRule>
    <cfRule type="containsText" dxfId="268" priority="3" operator="containsText" text="Review">
      <formula>NOT(ISERROR(SEARCH("Review",J16)))</formula>
    </cfRule>
    <cfRule type="containsText" dxfId="267" priority="4" operator="containsText" text="OK">
      <formula>NOT(ISERROR(SEARCH("OK",J16)))</formula>
    </cfRule>
    <cfRule type="duplicateValues" dxfId="266" priority="12"/>
  </conditionalFormatting>
  <conditionalFormatting sqref="C16">
    <cfRule type="duplicateValues" dxfId="265" priority="1"/>
  </conditionalFormatting>
  <dataValidations count="1">
    <dataValidation type="list" allowBlank="1" showInputMessage="1" showErrorMessage="1" sqref="I16" xr:uid="{B9D9E403-0CAD-4509-A71E-06E8308EA57B}">
      <formula1>"In Process,Approved,Rejected"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533400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UpdatePrevalidation">
                <anchor>
                  <from>
                    <xdr:col>7</xdr:col>
                    <xdr:colOff>57150</xdr:colOff>
                    <xdr:row>11</xdr:row>
                    <xdr:rowOff>142875</xdr:rowOff>
                  </from>
                  <to>
                    <xdr:col>9</xdr:col>
                    <xdr:colOff>19050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EE66F-AE97-4468-93F9-A923739776CF}">
  <sheetPr codeName="Sheet24">
    <tabColor theme="9"/>
    <outlinePr summaryBelow="0" summaryRight="0"/>
  </sheetPr>
  <dimension ref="A1:AO73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RowHeight="15" outlineLevelCol="1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6" width="11.7109375" style="2" customWidth="1"/>
    <col min="7" max="7" width="10.28515625" customWidth="1"/>
    <col min="8" max="8" width="8.140625" customWidth="1"/>
    <col min="9" max="9" width="12.42578125" customWidth="1"/>
    <col min="10" max="10" width="4.28515625" customWidth="1" collapsed="1"/>
    <col min="11" max="11" width="58.85546875" style="10" hidden="1" customWidth="1" outlineLevel="1"/>
    <col min="12" max="12" width="4.28515625" style="10" customWidth="1" collapsed="1"/>
    <col min="13" max="13" width="11.28515625" hidden="1" customWidth="1" outlineLevel="1"/>
    <col min="14" max="14" width="13.5703125" style="10" hidden="1" customWidth="1" outlineLevel="1"/>
    <col min="15" max="15" width="58.42578125" style="10" hidden="1" customWidth="1" outlineLevel="1"/>
    <col min="16" max="16" width="4.28515625" style="10" customWidth="1" collapsed="1"/>
    <col min="17" max="17" width="12" style="10" hidden="1" customWidth="1" outlineLevel="1"/>
    <col min="18" max="18" width="23" hidden="1" customWidth="1" outlineLevel="1"/>
    <col min="19" max="19" width="67.42578125" hidden="1" customWidth="1" outlineLevel="1"/>
    <col min="20" max="20" width="4.28515625" style="10" customWidth="1" collapsed="1"/>
    <col min="21" max="21" width="11.28515625" hidden="1" customWidth="1" outlineLevel="1"/>
    <col min="22" max="22" width="48.5703125" hidden="1" customWidth="1" outlineLevel="1"/>
    <col min="23" max="23" width="4.28515625" customWidth="1" collapsed="1"/>
    <col min="24" max="24" width="11.5703125" hidden="1" customWidth="1" outlineLevel="1"/>
    <col min="25" max="25" width="76.7109375" hidden="1" customWidth="1" outlineLevel="1"/>
    <col min="26" max="26" width="4.28515625" style="10" customWidth="1" collapsed="1"/>
    <col min="27" max="27" width="47.7109375" hidden="1" customWidth="1" outlineLevel="1"/>
    <col min="30" max="30" width="62.140625" style="212" customWidth="1"/>
    <col min="31" max="31" width="58.42578125" style="211" customWidth="1"/>
    <col min="32" max="32" width="10" style="211" customWidth="1"/>
    <col min="33" max="33" width="41.85546875" style="211" customWidth="1"/>
    <col min="34" max="34" width="12.5703125" style="211" customWidth="1"/>
    <col min="35" max="35" width="19.42578125" style="211" customWidth="1"/>
    <col min="36" max="36" width="57.42578125" style="211" customWidth="1"/>
    <col min="37" max="37" width="22.28515625" style="211" customWidth="1"/>
    <col min="38" max="38" width="30.140625" style="211" customWidth="1"/>
    <col min="39" max="39" width="47.7109375" style="211" customWidth="1"/>
    <col min="40" max="41" width="9.140625" style="211"/>
    <col min="42" max="16384" width="9.140625" style="212"/>
  </cols>
  <sheetData>
    <row r="1" spans="1:41" s="208" customFormat="1" hidden="1">
      <c r="A1" s="56" t="s">
        <v>10</v>
      </c>
      <c r="B1" s="15" t="s">
        <v>12</v>
      </c>
      <c r="C1" s="15"/>
      <c r="D1" s="15"/>
      <c r="E1" s="62"/>
      <c r="F1" s="67"/>
      <c r="G1" s="15"/>
      <c r="H1" s="15"/>
      <c r="I1" s="15"/>
      <c r="J1" s="15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</row>
    <row r="2" spans="1:41" s="208" customFormat="1" hidden="1">
      <c r="A2" s="57" t="s">
        <v>18</v>
      </c>
      <c r="B2" s="7"/>
      <c r="C2" s="7"/>
      <c r="D2" s="7"/>
      <c r="E2" s="31"/>
      <c r="F2" s="19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</row>
    <row r="3" spans="1:41" s="208" customFormat="1" hidden="1">
      <c r="A3" s="58" t="s">
        <v>5</v>
      </c>
      <c r="B3" s="5" t="s">
        <v>14</v>
      </c>
      <c r="C3" s="5" t="s">
        <v>31</v>
      </c>
      <c r="D3" s="5" t="s">
        <v>86</v>
      </c>
      <c r="E3" s="31"/>
      <c r="F3" s="19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</row>
    <row r="4" spans="1:41" s="210" customFormat="1" hidden="1">
      <c r="A4" s="18">
        <f>MATCH(A3,10:10,0)</f>
        <v>1</v>
      </c>
      <c r="B4" s="18">
        <f>MATCH(B3,10:10,0)</f>
        <v>3</v>
      </c>
      <c r="C4" s="18">
        <f>MATCH(C3,10:10,0)</f>
        <v>6</v>
      </c>
      <c r="D4" s="18">
        <f>MATCH(D3,10:10,0)</f>
        <v>9</v>
      </c>
      <c r="E4" s="31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</row>
    <row r="5" spans="1:41" s="210" customFormat="1" hidden="1">
      <c r="A5" s="18">
        <v>59</v>
      </c>
      <c r="B5" s="6" t="e">
        <f>IF(VLOOKUP($A$5,Table352101415161718[],B4,FALSE)&lt;&gt;0,VLOOKUP($A$5,Table352101415161718[],B4,FALSE),"")</f>
        <v>#N/A</v>
      </c>
      <c r="C5" s="18" t="e">
        <f>IF(VLOOKUP($A$5,Table352101415161718[],C4,FALSE)&lt;&gt;0,VLOOKUP($A$5,Table352101415161718[],C4,FALSE),"")</f>
        <v>#N/A</v>
      </c>
      <c r="D5" s="18" t="e">
        <f>IF(VLOOKUP($A$5,Table352101415161718[],D4,FALSE)&lt;&gt;0,VLOOKUP($A$5,Table352101415161718[],D4,FALSE),"")</f>
        <v>#N/A</v>
      </c>
      <c r="E5" s="31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</row>
    <row r="6" spans="1:41" hidden="1">
      <c r="A6" s="59" t="s">
        <v>16</v>
      </c>
      <c r="B6" s="12"/>
      <c r="C6" s="12"/>
      <c r="D6" s="12"/>
      <c r="E6" s="63"/>
      <c r="F6" s="60"/>
      <c r="G6" s="12"/>
      <c r="H6" s="12"/>
      <c r="I6" s="12"/>
      <c r="J6" s="12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E6" s="212"/>
      <c r="AF6" s="212"/>
      <c r="AG6" s="212"/>
      <c r="AH6" s="212"/>
      <c r="AI6" s="212"/>
      <c r="AJ6" s="212"/>
      <c r="AK6" s="212"/>
      <c r="AL6" s="212"/>
      <c r="AM6" s="212"/>
      <c r="AN6" s="212"/>
      <c r="AO6" s="212"/>
    </row>
    <row r="7" spans="1:41" hidden="1">
      <c r="A7" s="60" t="s">
        <v>1</v>
      </c>
      <c r="B7" s="60"/>
      <c r="C7" s="60"/>
      <c r="D7" s="60"/>
      <c r="E7" s="63"/>
      <c r="F7" s="60"/>
      <c r="G7" s="12"/>
      <c r="H7" s="12"/>
      <c r="I7" s="12"/>
      <c r="J7" s="12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E7" s="212"/>
      <c r="AF7" s="212"/>
      <c r="AG7" s="212"/>
      <c r="AH7" s="212"/>
      <c r="AI7" s="212"/>
      <c r="AJ7" s="212"/>
      <c r="AK7" s="212"/>
      <c r="AL7" s="212"/>
      <c r="AM7" s="212"/>
      <c r="AN7" s="212"/>
      <c r="AO7" s="212"/>
    </row>
    <row r="8" spans="1:41" hidden="1">
      <c r="A8" s="60" t="s">
        <v>111</v>
      </c>
      <c r="B8" s="60"/>
      <c r="C8" s="60"/>
      <c r="D8" s="60"/>
      <c r="E8" s="63"/>
      <c r="F8" s="60"/>
      <c r="G8" s="12"/>
      <c r="H8" s="12"/>
      <c r="I8" s="12"/>
      <c r="J8" s="12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E8" s="212"/>
      <c r="AF8" s="212"/>
      <c r="AG8" s="212"/>
      <c r="AH8" s="212"/>
      <c r="AI8" s="212"/>
      <c r="AJ8" s="212"/>
      <c r="AK8" s="212"/>
      <c r="AL8" s="212"/>
      <c r="AM8" s="212"/>
      <c r="AN8" s="212"/>
      <c r="AO8" s="212"/>
    </row>
    <row r="9" spans="1:41" hidden="1">
      <c r="A9" s="61" t="s">
        <v>17</v>
      </c>
      <c r="B9" s="13"/>
      <c r="C9" s="13"/>
      <c r="D9" s="13"/>
      <c r="E9" s="64"/>
      <c r="F9" s="22"/>
      <c r="G9" s="13"/>
      <c r="H9" s="13"/>
      <c r="I9" s="13"/>
      <c r="J9" s="1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E9" s="212"/>
      <c r="AF9" s="212"/>
      <c r="AG9" s="212"/>
      <c r="AH9" s="212"/>
      <c r="AI9" s="212"/>
      <c r="AJ9" s="212"/>
      <c r="AK9" s="212"/>
      <c r="AL9" s="212"/>
      <c r="AM9" s="212"/>
      <c r="AN9" s="212"/>
      <c r="AO9" s="212"/>
    </row>
    <row r="10" spans="1:41" hidden="1">
      <c r="A10" s="58" t="s">
        <v>5</v>
      </c>
      <c r="B10" s="17" t="s">
        <v>4</v>
      </c>
      <c r="C10" s="17" t="s">
        <v>14</v>
      </c>
      <c r="D10" s="17" t="s">
        <v>1</v>
      </c>
      <c r="E10" s="17" t="s">
        <v>3</v>
      </c>
      <c r="F10" s="17" t="s">
        <v>31</v>
      </c>
      <c r="G10" s="17" t="s">
        <v>34</v>
      </c>
      <c r="H10" s="17" t="s">
        <v>33</v>
      </c>
      <c r="I10" s="17" t="s">
        <v>86</v>
      </c>
      <c r="J10" s="17" t="s">
        <v>36</v>
      </c>
      <c r="K10" s="17" t="s">
        <v>37</v>
      </c>
      <c r="L10" s="17" t="s">
        <v>41</v>
      </c>
      <c r="M10" s="17" t="s">
        <v>59</v>
      </c>
      <c r="N10" s="17" t="s">
        <v>60</v>
      </c>
      <c r="O10" s="17" t="s">
        <v>42</v>
      </c>
      <c r="P10" s="17" t="s">
        <v>48</v>
      </c>
      <c r="Q10" s="17" t="s">
        <v>47</v>
      </c>
      <c r="R10" s="17" t="s">
        <v>50</v>
      </c>
      <c r="S10" s="17" t="s">
        <v>49</v>
      </c>
      <c r="T10" s="17" t="s">
        <v>56</v>
      </c>
      <c r="U10" s="17" t="s">
        <v>55</v>
      </c>
      <c r="V10" s="17" t="s">
        <v>58</v>
      </c>
      <c r="W10" s="17" t="s">
        <v>64</v>
      </c>
      <c r="X10" s="17" t="s">
        <v>63</v>
      </c>
      <c r="Y10" s="17" t="s">
        <v>65</v>
      </c>
      <c r="Z10" s="17" t="s">
        <v>81</v>
      </c>
      <c r="AA10" s="17" t="s">
        <v>82</v>
      </c>
      <c r="AB10" s="14"/>
      <c r="AC10" s="14"/>
      <c r="AE10" s="212"/>
      <c r="AF10" s="212"/>
      <c r="AG10" s="212"/>
      <c r="AH10" s="212"/>
      <c r="AI10" s="212"/>
      <c r="AJ10" s="212"/>
      <c r="AK10" s="212"/>
      <c r="AL10" s="212"/>
      <c r="AM10" s="212"/>
      <c r="AN10" s="212"/>
      <c r="AO10" s="212"/>
    </row>
    <row r="11" spans="1:41" s="214" customFormat="1" hidden="1">
      <c r="A11" s="22"/>
      <c r="B11" s="22"/>
      <c r="C11" s="22"/>
      <c r="D11" s="22"/>
      <c r="E11" s="64"/>
      <c r="F11" s="22"/>
      <c r="G11" s="22"/>
      <c r="H11" s="22"/>
      <c r="I11" s="22"/>
      <c r="J11" s="22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</row>
    <row r="12" spans="1:41">
      <c r="M12" s="10"/>
      <c r="R12" s="10"/>
      <c r="S12" s="10"/>
      <c r="U12" s="10"/>
      <c r="V12" s="10"/>
      <c r="W12" s="10"/>
      <c r="X12" s="10"/>
      <c r="Y12" s="10"/>
      <c r="AA12" s="10"/>
      <c r="AB12" s="10"/>
      <c r="AC12" s="10"/>
      <c r="AE12" s="212"/>
      <c r="AF12" s="212"/>
      <c r="AG12" s="212"/>
      <c r="AH12" s="212"/>
      <c r="AI12" s="212"/>
      <c r="AJ12" s="212"/>
      <c r="AK12" s="212"/>
      <c r="AL12" s="212"/>
      <c r="AM12" s="212"/>
      <c r="AN12" s="212"/>
      <c r="AO12" s="212"/>
    </row>
    <row r="13" spans="1:41" ht="21">
      <c r="C13" s="203" t="s">
        <v>111</v>
      </c>
      <c r="D13" s="204"/>
      <c r="E13" s="204"/>
      <c r="M13" s="10"/>
      <c r="R13" s="10"/>
      <c r="S13" s="10"/>
      <c r="U13" s="10"/>
      <c r="V13" s="10"/>
      <c r="W13" s="10"/>
      <c r="X13" s="10"/>
      <c r="Y13" s="10"/>
      <c r="AA13" s="10"/>
      <c r="AB13" s="10"/>
      <c r="AC13" s="10"/>
      <c r="AE13" s="212"/>
      <c r="AF13" s="212"/>
      <c r="AG13" s="212"/>
      <c r="AH13" s="212"/>
      <c r="AI13" s="212"/>
      <c r="AJ13" s="212"/>
      <c r="AK13" s="212"/>
      <c r="AL13" s="212"/>
      <c r="AM13" s="212"/>
      <c r="AN13" s="212"/>
      <c r="AO13" s="212"/>
    </row>
    <row r="14" spans="1:41">
      <c r="M14" s="10"/>
      <c r="R14" s="10"/>
      <c r="S14" s="10"/>
      <c r="U14" s="10"/>
      <c r="V14" s="10"/>
      <c r="W14" s="10"/>
      <c r="X14" s="10"/>
      <c r="Y14" s="10"/>
      <c r="AA14" s="10"/>
      <c r="AB14" s="10"/>
      <c r="AC14" s="10"/>
      <c r="AE14" s="212"/>
      <c r="AF14" s="212"/>
      <c r="AG14" s="212"/>
      <c r="AH14" s="212"/>
      <c r="AI14" s="212"/>
      <c r="AJ14" s="212"/>
      <c r="AK14" s="212"/>
      <c r="AL14" s="212"/>
      <c r="AM14" s="212"/>
      <c r="AN14" s="212"/>
      <c r="AO14" s="212"/>
    </row>
    <row r="15" spans="1:41" s="215" customFormat="1" ht="54" customHeight="1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26</v>
      </c>
      <c r="G15" s="119" t="s">
        <v>67</v>
      </c>
      <c r="H15" s="119" t="s">
        <v>68</v>
      </c>
      <c r="I15" s="119" t="s">
        <v>86</v>
      </c>
      <c r="J15" s="115" t="s">
        <v>70</v>
      </c>
      <c r="K15" s="129" t="s">
        <v>79</v>
      </c>
      <c r="L15" s="116" t="s">
        <v>71</v>
      </c>
      <c r="M15" s="130" t="s">
        <v>45</v>
      </c>
      <c r="N15" s="130" t="s">
        <v>46</v>
      </c>
      <c r="O15" s="130" t="s">
        <v>75</v>
      </c>
      <c r="P15" s="117" t="s">
        <v>73</v>
      </c>
      <c r="Q15" s="132" t="s">
        <v>52</v>
      </c>
      <c r="R15" s="132" t="s">
        <v>69</v>
      </c>
      <c r="S15" s="132" t="s">
        <v>54</v>
      </c>
      <c r="T15" s="118" t="s">
        <v>72</v>
      </c>
      <c r="U15" s="131" t="s">
        <v>76</v>
      </c>
      <c r="V15" s="131" t="s">
        <v>77</v>
      </c>
      <c r="W15" s="133" t="s">
        <v>74</v>
      </c>
      <c r="X15" s="183" t="s">
        <v>66</v>
      </c>
      <c r="Y15" s="184" t="s">
        <v>78</v>
      </c>
      <c r="Z15" s="180" t="s">
        <v>84</v>
      </c>
      <c r="AA15" s="185" t="s">
        <v>85</v>
      </c>
      <c r="AB15" s="25"/>
      <c r="AC15" s="25"/>
    </row>
    <row r="16" spans="1:41">
      <c r="A16" s="122"/>
      <c r="B16" s="123"/>
      <c r="C16" s="123"/>
      <c r="D16" s="123"/>
      <c r="E16" s="124"/>
      <c r="F16" s="125"/>
      <c r="G16" s="126"/>
      <c r="H16" s="127"/>
      <c r="I16" s="127"/>
      <c r="J16" s="128"/>
      <c r="K16" s="126"/>
      <c r="L16" s="128"/>
      <c r="M16" s="126"/>
      <c r="N16" s="126"/>
      <c r="O16" s="126"/>
      <c r="P16" s="128"/>
      <c r="Q16" s="126"/>
      <c r="R16" s="126"/>
      <c r="S16" s="126"/>
      <c r="T16" s="128"/>
      <c r="U16" s="126"/>
      <c r="V16" s="126"/>
      <c r="W16" s="128"/>
      <c r="X16" s="126"/>
      <c r="Y16" s="126"/>
      <c r="Z16" s="128"/>
      <c r="AA16" s="126"/>
      <c r="AB16" s="110"/>
      <c r="AC16" s="110"/>
      <c r="AE16" s="212"/>
      <c r="AF16" s="212"/>
      <c r="AG16" s="212"/>
      <c r="AH16" s="212"/>
      <c r="AI16" s="212"/>
      <c r="AJ16" s="212"/>
      <c r="AK16" s="212"/>
      <c r="AL16" s="212"/>
      <c r="AM16" s="212"/>
      <c r="AN16" s="212"/>
      <c r="AO16" s="212"/>
    </row>
    <row r="17" spans="28:41">
      <c r="AB17" s="110"/>
      <c r="AC17" s="110"/>
      <c r="AE17" s="212"/>
      <c r="AF17" s="212"/>
      <c r="AG17" s="212"/>
      <c r="AH17" s="212"/>
      <c r="AI17" s="212"/>
      <c r="AJ17" s="212"/>
      <c r="AK17" s="212"/>
      <c r="AL17" s="212"/>
      <c r="AM17" s="212"/>
      <c r="AN17" s="212"/>
      <c r="AO17" s="212"/>
    </row>
    <row r="18" spans="28:41">
      <c r="AB18" s="110"/>
      <c r="AC18" s="110"/>
      <c r="AE18" s="212"/>
      <c r="AF18" s="212"/>
      <c r="AG18" s="212"/>
      <c r="AH18" s="212"/>
      <c r="AI18" s="212"/>
      <c r="AJ18" s="212"/>
      <c r="AK18" s="212"/>
      <c r="AL18" s="212"/>
      <c r="AM18" s="212"/>
      <c r="AN18" s="212"/>
      <c r="AO18" s="212"/>
    </row>
    <row r="19" spans="28:41">
      <c r="AB19" s="110"/>
      <c r="AC19" s="110"/>
      <c r="AE19" s="212"/>
      <c r="AF19" s="212"/>
      <c r="AG19" s="212"/>
      <c r="AH19" s="212"/>
      <c r="AI19" s="212"/>
      <c r="AJ19" s="212"/>
      <c r="AK19" s="212"/>
      <c r="AL19" s="212"/>
      <c r="AM19" s="212"/>
      <c r="AN19" s="212"/>
      <c r="AO19" s="212"/>
    </row>
    <row r="20" spans="28:41">
      <c r="AB20" s="110"/>
      <c r="AC20" s="110"/>
      <c r="AE20" s="212"/>
      <c r="AF20" s="212"/>
      <c r="AG20" s="212"/>
      <c r="AH20" s="212"/>
      <c r="AI20" s="212"/>
      <c r="AJ20" s="212"/>
      <c r="AK20" s="212"/>
      <c r="AL20" s="212"/>
      <c r="AM20" s="212"/>
      <c r="AN20" s="212"/>
      <c r="AO20" s="212"/>
    </row>
    <row r="21" spans="28:41">
      <c r="AB21" s="110"/>
      <c r="AC21" s="110"/>
      <c r="AE21" s="212"/>
      <c r="AF21" s="212"/>
      <c r="AG21" s="212"/>
      <c r="AH21" s="212"/>
      <c r="AI21" s="212"/>
      <c r="AJ21" s="212"/>
      <c r="AK21" s="212"/>
      <c r="AL21" s="212"/>
      <c r="AM21" s="212"/>
      <c r="AN21" s="212"/>
      <c r="AO21" s="212"/>
    </row>
    <row r="22" spans="28:41">
      <c r="AB22" s="110"/>
      <c r="AC22" s="110"/>
      <c r="AE22" s="212"/>
      <c r="AF22" s="212"/>
      <c r="AG22" s="212"/>
      <c r="AH22" s="212"/>
      <c r="AI22" s="212"/>
      <c r="AJ22" s="212"/>
      <c r="AK22" s="212"/>
      <c r="AL22" s="212"/>
      <c r="AM22" s="212"/>
      <c r="AN22" s="212"/>
      <c r="AO22" s="212"/>
    </row>
    <row r="23" spans="28:41">
      <c r="AB23" s="110"/>
      <c r="AC23" s="110"/>
      <c r="AE23" s="212"/>
      <c r="AF23" s="212"/>
      <c r="AG23" s="212"/>
      <c r="AH23" s="212"/>
      <c r="AI23" s="212"/>
      <c r="AJ23" s="212"/>
      <c r="AK23" s="212"/>
      <c r="AL23" s="212"/>
      <c r="AM23" s="212"/>
      <c r="AN23" s="212"/>
      <c r="AO23" s="212"/>
    </row>
    <row r="24" spans="28:41">
      <c r="AB24" s="110"/>
      <c r="AC24" s="110"/>
      <c r="AE24" s="212"/>
      <c r="AF24" s="212"/>
      <c r="AG24" s="212"/>
      <c r="AH24" s="212"/>
      <c r="AI24" s="212"/>
      <c r="AJ24" s="212"/>
      <c r="AK24" s="212"/>
      <c r="AL24" s="212"/>
      <c r="AM24" s="212"/>
      <c r="AN24" s="212"/>
      <c r="AO24" s="212"/>
    </row>
    <row r="25" spans="28:41">
      <c r="AB25" s="110"/>
      <c r="AC25" s="110"/>
      <c r="AE25" s="212"/>
      <c r="AF25" s="212"/>
      <c r="AG25" s="212"/>
      <c r="AH25" s="212"/>
      <c r="AI25" s="212"/>
      <c r="AJ25" s="212"/>
      <c r="AK25" s="212"/>
      <c r="AL25" s="212"/>
      <c r="AM25" s="212"/>
      <c r="AN25" s="212"/>
      <c r="AO25" s="212"/>
    </row>
    <row r="26" spans="28:41">
      <c r="AB26" s="110"/>
      <c r="AC26" s="110"/>
      <c r="AE26" s="212"/>
      <c r="AF26" s="212"/>
      <c r="AG26" s="212"/>
      <c r="AH26" s="212"/>
      <c r="AI26" s="212"/>
      <c r="AJ26" s="212"/>
      <c r="AK26" s="212"/>
      <c r="AL26" s="212"/>
      <c r="AM26" s="212"/>
      <c r="AN26" s="212"/>
      <c r="AO26" s="212"/>
    </row>
    <row r="27" spans="28:41">
      <c r="AB27" s="110"/>
      <c r="AC27" s="110"/>
      <c r="AE27" s="212"/>
      <c r="AF27" s="212"/>
      <c r="AG27" s="212"/>
      <c r="AH27" s="212"/>
      <c r="AI27" s="212"/>
      <c r="AJ27" s="212"/>
      <c r="AK27" s="212"/>
      <c r="AL27" s="212"/>
      <c r="AM27" s="212"/>
      <c r="AN27" s="212"/>
      <c r="AO27" s="212"/>
    </row>
    <row r="28" spans="28:41">
      <c r="AB28" s="110"/>
      <c r="AC28" s="110"/>
      <c r="AE28" s="212"/>
      <c r="AF28" s="212"/>
      <c r="AG28" s="212"/>
      <c r="AH28" s="212"/>
      <c r="AI28" s="212"/>
      <c r="AJ28" s="212"/>
      <c r="AK28" s="212"/>
      <c r="AL28" s="212"/>
      <c r="AM28" s="212"/>
      <c r="AN28" s="212"/>
      <c r="AO28" s="212"/>
    </row>
    <row r="29" spans="28:41">
      <c r="AB29" s="110"/>
      <c r="AC29" s="110"/>
      <c r="AE29" s="212"/>
      <c r="AF29" s="212"/>
      <c r="AG29" s="212"/>
      <c r="AH29" s="212"/>
      <c r="AI29" s="212"/>
      <c r="AJ29" s="212"/>
      <c r="AK29" s="212"/>
      <c r="AL29" s="212"/>
      <c r="AM29" s="212"/>
      <c r="AN29" s="212"/>
      <c r="AO29" s="212"/>
    </row>
    <row r="30" spans="28:41">
      <c r="AB30" s="110"/>
      <c r="AC30" s="110"/>
      <c r="AE30" s="212"/>
      <c r="AF30" s="212"/>
      <c r="AG30" s="212"/>
      <c r="AH30" s="212"/>
      <c r="AI30" s="212"/>
      <c r="AJ30" s="212"/>
      <c r="AK30" s="212"/>
      <c r="AL30" s="212"/>
      <c r="AM30" s="212"/>
      <c r="AN30" s="212"/>
      <c r="AO30" s="212"/>
    </row>
    <row r="31" spans="28:41">
      <c r="AB31" s="110"/>
      <c r="AC31" s="110"/>
      <c r="AE31" s="212"/>
      <c r="AF31" s="212"/>
      <c r="AG31" s="212"/>
      <c r="AH31" s="212"/>
      <c r="AI31" s="212"/>
      <c r="AJ31" s="212"/>
      <c r="AK31" s="212"/>
      <c r="AL31" s="212"/>
      <c r="AM31" s="212"/>
      <c r="AN31" s="212"/>
      <c r="AO31" s="212"/>
    </row>
    <row r="32" spans="28:41">
      <c r="AB32" s="110"/>
      <c r="AC32" s="110"/>
      <c r="AE32" s="212"/>
      <c r="AF32" s="212"/>
      <c r="AG32" s="212"/>
      <c r="AH32" s="212"/>
      <c r="AI32" s="212"/>
      <c r="AJ32" s="212"/>
      <c r="AK32" s="212"/>
      <c r="AL32" s="212"/>
      <c r="AM32" s="212"/>
      <c r="AN32" s="212"/>
      <c r="AO32" s="212"/>
    </row>
    <row r="33" spans="28:41">
      <c r="AB33" s="110"/>
      <c r="AC33" s="110"/>
      <c r="AE33" s="212"/>
      <c r="AF33" s="212"/>
      <c r="AG33" s="212"/>
      <c r="AH33" s="212"/>
      <c r="AI33" s="212"/>
      <c r="AJ33" s="212"/>
      <c r="AK33" s="212"/>
      <c r="AL33" s="212"/>
      <c r="AM33" s="212"/>
      <c r="AN33" s="212"/>
      <c r="AO33" s="212"/>
    </row>
    <row r="34" spans="28:41">
      <c r="AB34" s="110"/>
      <c r="AC34" s="110"/>
      <c r="AE34" s="212"/>
      <c r="AF34" s="212"/>
      <c r="AG34" s="212"/>
      <c r="AH34" s="212"/>
      <c r="AI34" s="212"/>
      <c r="AJ34" s="212"/>
      <c r="AK34" s="212"/>
      <c r="AL34" s="212"/>
      <c r="AM34" s="212"/>
      <c r="AN34" s="212"/>
      <c r="AO34" s="212"/>
    </row>
    <row r="35" spans="28:41">
      <c r="AB35" s="110"/>
      <c r="AC35" s="110"/>
      <c r="AE35" s="212"/>
      <c r="AF35" s="212"/>
      <c r="AG35" s="212"/>
      <c r="AH35" s="212"/>
      <c r="AI35" s="212"/>
      <c r="AJ35" s="212"/>
      <c r="AK35" s="212"/>
      <c r="AL35" s="212"/>
      <c r="AM35" s="212"/>
      <c r="AN35" s="212"/>
      <c r="AO35" s="212"/>
    </row>
    <row r="36" spans="28:41">
      <c r="AB36" s="110"/>
      <c r="AC36" s="110"/>
      <c r="AE36" s="212"/>
      <c r="AF36" s="212"/>
      <c r="AG36" s="212"/>
      <c r="AH36" s="212"/>
      <c r="AI36" s="212"/>
      <c r="AJ36" s="212"/>
      <c r="AK36" s="212"/>
      <c r="AL36" s="212"/>
      <c r="AM36" s="212"/>
      <c r="AN36" s="212"/>
      <c r="AO36" s="212"/>
    </row>
    <row r="37" spans="28:41">
      <c r="AB37" s="110"/>
      <c r="AC37" s="110"/>
      <c r="AE37" s="212"/>
      <c r="AF37" s="212"/>
      <c r="AG37" s="212"/>
      <c r="AH37" s="212"/>
      <c r="AI37" s="212"/>
      <c r="AJ37" s="212"/>
      <c r="AK37" s="212"/>
      <c r="AL37" s="212"/>
      <c r="AM37" s="212"/>
      <c r="AN37" s="212"/>
      <c r="AO37" s="212"/>
    </row>
    <row r="38" spans="28:41">
      <c r="AB38" s="110"/>
      <c r="AC38" s="110"/>
      <c r="AE38" s="212"/>
      <c r="AF38" s="212"/>
      <c r="AG38" s="212"/>
      <c r="AH38" s="212"/>
      <c r="AI38" s="212"/>
      <c r="AJ38" s="212"/>
      <c r="AK38" s="212"/>
      <c r="AL38" s="212"/>
      <c r="AM38" s="212"/>
      <c r="AN38" s="212"/>
      <c r="AO38" s="212"/>
    </row>
    <row r="39" spans="28:41">
      <c r="AB39" s="110"/>
      <c r="AC39" s="110"/>
      <c r="AE39" s="212"/>
      <c r="AF39" s="212"/>
      <c r="AG39" s="212"/>
      <c r="AH39" s="212"/>
      <c r="AI39" s="212"/>
      <c r="AJ39" s="212"/>
      <c r="AK39" s="212"/>
      <c r="AL39" s="212"/>
      <c r="AM39" s="212"/>
      <c r="AN39" s="212"/>
      <c r="AO39" s="212"/>
    </row>
    <row r="40" spans="28:41">
      <c r="AB40" s="110"/>
      <c r="AC40" s="110"/>
      <c r="AE40" s="212"/>
      <c r="AF40" s="212"/>
      <c r="AG40" s="212"/>
      <c r="AH40" s="212"/>
      <c r="AI40" s="212"/>
      <c r="AJ40" s="212"/>
      <c r="AK40" s="212"/>
      <c r="AL40" s="212"/>
      <c r="AM40" s="212"/>
      <c r="AN40" s="212"/>
      <c r="AO40" s="212"/>
    </row>
    <row r="41" spans="28:41">
      <c r="AB41" s="110"/>
      <c r="AC41" s="110"/>
      <c r="AE41" s="212"/>
      <c r="AF41" s="212"/>
      <c r="AG41" s="212"/>
      <c r="AH41" s="212"/>
      <c r="AI41" s="212"/>
      <c r="AJ41" s="212"/>
      <c r="AK41" s="212"/>
      <c r="AL41" s="212"/>
      <c r="AM41" s="212"/>
      <c r="AN41" s="212"/>
      <c r="AO41" s="212"/>
    </row>
    <row r="42" spans="28:41">
      <c r="AB42" s="110"/>
      <c r="AC42" s="110"/>
      <c r="AE42" s="212"/>
      <c r="AF42" s="212"/>
      <c r="AG42" s="212"/>
      <c r="AH42" s="212"/>
      <c r="AI42" s="212"/>
      <c r="AJ42" s="212"/>
      <c r="AK42" s="212"/>
      <c r="AL42" s="212"/>
      <c r="AM42" s="212"/>
      <c r="AN42" s="212"/>
      <c r="AO42" s="212"/>
    </row>
    <row r="43" spans="28:41">
      <c r="AB43" s="110"/>
      <c r="AC43" s="110"/>
      <c r="AE43" s="212"/>
      <c r="AF43" s="212"/>
      <c r="AG43" s="212"/>
      <c r="AH43" s="212"/>
      <c r="AI43" s="212"/>
      <c r="AJ43" s="212"/>
      <c r="AK43" s="212"/>
      <c r="AL43" s="212"/>
      <c r="AM43" s="212"/>
      <c r="AN43" s="212"/>
      <c r="AO43" s="212"/>
    </row>
    <row r="44" spans="28:41">
      <c r="AB44" s="110"/>
      <c r="AC44" s="110"/>
      <c r="AE44" s="212"/>
      <c r="AF44" s="212"/>
      <c r="AG44" s="212"/>
      <c r="AH44" s="212"/>
      <c r="AI44" s="212"/>
      <c r="AJ44" s="212"/>
      <c r="AK44" s="212"/>
      <c r="AL44" s="212"/>
      <c r="AM44" s="212"/>
      <c r="AN44" s="212"/>
      <c r="AO44" s="212"/>
    </row>
    <row r="45" spans="28:41">
      <c r="AB45" s="110"/>
      <c r="AC45" s="110"/>
      <c r="AE45" s="212"/>
      <c r="AF45" s="212"/>
      <c r="AG45" s="212"/>
      <c r="AH45" s="212"/>
      <c r="AI45" s="212"/>
      <c r="AJ45" s="212"/>
      <c r="AK45" s="212"/>
      <c r="AL45" s="212"/>
      <c r="AM45" s="212"/>
      <c r="AN45" s="212"/>
      <c r="AO45" s="212"/>
    </row>
    <row r="46" spans="28:41">
      <c r="AB46" s="110"/>
      <c r="AC46" s="110"/>
      <c r="AE46" s="212"/>
      <c r="AF46" s="212"/>
      <c r="AG46" s="212"/>
      <c r="AH46" s="212"/>
      <c r="AI46" s="212"/>
      <c r="AJ46" s="212"/>
      <c r="AK46" s="212"/>
      <c r="AL46" s="212"/>
      <c r="AM46" s="212"/>
      <c r="AN46" s="212"/>
      <c r="AO46" s="212"/>
    </row>
    <row r="47" spans="28:41">
      <c r="AB47" s="110"/>
      <c r="AC47" s="110"/>
      <c r="AE47" s="212"/>
      <c r="AF47" s="212"/>
      <c r="AG47" s="212"/>
      <c r="AH47" s="212"/>
      <c r="AI47" s="212"/>
      <c r="AJ47" s="212"/>
      <c r="AK47" s="212"/>
      <c r="AL47" s="212"/>
      <c r="AM47" s="212"/>
      <c r="AN47" s="212"/>
      <c r="AO47" s="212"/>
    </row>
    <row r="48" spans="28:41">
      <c r="AB48" s="110"/>
      <c r="AC48" s="110"/>
      <c r="AE48" s="212"/>
      <c r="AF48" s="212"/>
      <c r="AG48" s="212"/>
      <c r="AH48" s="212"/>
      <c r="AI48" s="212"/>
      <c r="AJ48" s="212"/>
      <c r="AK48" s="212"/>
      <c r="AL48" s="212"/>
      <c r="AM48" s="212"/>
      <c r="AN48" s="212"/>
      <c r="AO48" s="212"/>
    </row>
    <row r="49" spans="28:41">
      <c r="AB49" s="110"/>
      <c r="AC49" s="110"/>
      <c r="AE49" s="212"/>
      <c r="AF49" s="212"/>
      <c r="AG49" s="212"/>
      <c r="AH49" s="212"/>
      <c r="AI49" s="212"/>
      <c r="AJ49" s="212"/>
      <c r="AK49" s="212"/>
      <c r="AL49" s="212"/>
      <c r="AM49" s="212"/>
      <c r="AN49" s="212"/>
      <c r="AO49" s="212"/>
    </row>
    <row r="50" spans="28:41">
      <c r="AB50" s="110"/>
      <c r="AC50" s="110"/>
      <c r="AE50" s="212"/>
      <c r="AF50" s="212"/>
      <c r="AG50" s="212"/>
      <c r="AH50" s="212"/>
      <c r="AI50" s="212"/>
      <c r="AJ50" s="212"/>
      <c r="AK50" s="212"/>
      <c r="AL50" s="212"/>
      <c r="AM50" s="212"/>
      <c r="AN50" s="212"/>
      <c r="AO50" s="212"/>
    </row>
    <row r="51" spans="28:41">
      <c r="AB51" s="110"/>
      <c r="AC51" s="110"/>
      <c r="AE51" s="212"/>
      <c r="AF51" s="212"/>
      <c r="AG51" s="212"/>
      <c r="AH51" s="212"/>
      <c r="AI51" s="212"/>
      <c r="AJ51" s="212"/>
      <c r="AK51" s="212"/>
      <c r="AL51" s="212"/>
      <c r="AM51" s="212"/>
      <c r="AN51" s="212"/>
      <c r="AO51" s="212"/>
    </row>
    <row r="52" spans="28:41">
      <c r="AB52" s="110"/>
      <c r="AC52" s="110"/>
      <c r="AE52" s="212"/>
      <c r="AF52" s="212"/>
      <c r="AG52" s="212"/>
      <c r="AH52" s="212"/>
      <c r="AI52" s="212"/>
      <c r="AJ52" s="212"/>
      <c r="AK52" s="212"/>
      <c r="AL52" s="212"/>
      <c r="AM52" s="212"/>
      <c r="AN52" s="212"/>
      <c r="AO52" s="212"/>
    </row>
    <row r="53" spans="28:41">
      <c r="AB53" s="110"/>
      <c r="AC53" s="110"/>
      <c r="AE53" s="212"/>
      <c r="AF53" s="212"/>
      <c r="AG53" s="212"/>
      <c r="AH53" s="212"/>
      <c r="AI53" s="212"/>
      <c r="AJ53" s="212"/>
      <c r="AK53" s="212"/>
      <c r="AL53" s="212"/>
      <c r="AM53" s="212"/>
      <c r="AN53" s="212"/>
      <c r="AO53" s="212"/>
    </row>
    <row r="54" spans="28:41">
      <c r="AB54" s="110"/>
      <c r="AC54" s="110"/>
      <c r="AE54" s="212"/>
      <c r="AF54" s="212"/>
      <c r="AG54" s="212"/>
      <c r="AH54" s="212"/>
      <c r="AI54" s="212"/>
      <c r="AJ54" s="212"/>
      <c r="AK54" s="212"/>
      <c r="AL54" s="212"/>
      <c r="AM54" s="212"/>
      <c r="AN54" s="212"/>
      <c r="AO54" s="212"/>
    </row>
    <row r="55" spans="28:41">
      <c r="AB55" s="110"/>
      <c r="AC55" s="110"/>
      <c r="AE55" s="212"/>
      <c r="AF55" s="212"/>
      <c r="AG55" s="212"/>
      <c r="AH55" s="212"/>
      <c r="AI55" s="212"/>
      <c r="AJ55" s="212"/>
      <c r="AK55" s="212"/>
      <c r="AL55" s="212"/>
      <c r="AM55" s="212"/>
      <c r="AN55" s="212"/>
      <c r="AO55" s="212"/>
    </row>
    <row r="56" spans="28:41">
      <c r="AB56" s="110"/>
      <c r="AC56" s="110"/>
      <c r="AE56" s="212"/>
      <c r="AF56" s="212"/>
      <c r="AG56" s="212"/>
      <c r="AH56" s="212"/>
      <c r="AI56" s="212"/>
      <c r="AJ56" s="212"/>
      <c r="AK56" s="212"/>
      <c r="AL56" s="212"/>
      <c r="AM56" s="212"/>
      <c r="AN56" s="212"/>
      <c r="AO56" s="212"/>
    </row>
    <row r="57" spans="28:41">
      <c r="AB57" s="10"/>
      <c r="AC57" s="10"/>
      <c r="AE57" s="212"/>
      <c r="AF57" s="212"/>
      <c r="AG57" s="212"/>
      <c r="AH57" s="212"/>
      <c r="AI57" s="212"/>
      <c r="AJ57" s="212"/>
      <c r="AK57" s="212"/>
      <c r="AL57" s="212"/>
      <c r="AM57" s="212"/>
      <c r="AN57" s="212"/>
      <c r="AO57" s="212"/>
    </row>
    <row r="58" spans="28:41">
      <c r="AB58" s="10"/>
      <c r="AC58" s="10"/>
      <c r="AE58" s="212"/>
      <c r="AF58" s="212"/>
      <c r="AG58" s="212"/>
      <c r="AH58" s="212"/>
      <c r="AI58" s="212"/>
      <c r="AJ58" s="212"/>
      <c r="AK58" s="212"/>
      <c r="AL58" s="212"/>
      <c r="AM58" s="212"/>
      <c r="AN58" s="212"/>
      <c r="AO58" s="212"/>
    </row>
    <row r="59" spans="28:41">
      <c r="AB59" s="10"/>
      <c r="AC59" s="10"/>
      <c r="AE59" s="212"/>
      <c r="AF59" s="212"/>
      <c r="AG59" s="212"/>
      <c r="AH59" s="212"/>
      <c r="AI59" s="212"/>
      <c r="AJ59" s="212"/>
      <c r="AK59" s="212"/>
      <c r="AL59" s="212"/>
      <c r="AM59" s="212"/>
      <c r="AN59" s="212"/>
      <c r="AO59" s="212"/>
    </row>
    <row r="60" spans="28:41">
      <c r="AB60" s="10"/>
      <c r="AC60" s="10"/>
      <c r="AE60" s="212"/>
      <c r="AF60" s="212"/>
      <c r="AG60" s="212"/>
      <c r="AH60" s="212"/>
      <c r="AI60" s="212"/>
      <c r="AJ60" s="212"/>
      <c r="AK60" s="212"/>
      <c r="AL60" s="212"/>
      <c r="AM60" s="212"/>
      <c r="AN60" s="212"/>
      <c r="AO60" s="212"/>
    </row>
    <row r="61" spans="28:41">
      <c r="AB61" s="10"/>
      <c r="AC61" s="10"/>
      <c r="AE61" s="212"/>
      <c r="AF61" s="212"/>
      <c r="AG61" s="212"/>
      <c r="AH61" s="212"/>
      <c r="AI61" s="212"/>
      <c r="AJ61" s="212"/>
      <c r="AK61" s="212"/>
      <c r="AL61" s="212"/>
      <c r="AM61" s="212"/>
      <c r="AN61" s="212"/>
      <c r="AO61" s="212"/>
    </row>
    <row r="62" spans="28:41">
      <c r="AB62" s="10"/>
      <c r="AC62" s="10"/>
      <c r="AE62" s="212"/>
      <c r="AF62" s="212"/>
      <c r="AG62" s="212"/>
      <c r="AH62" s="212"/>
      <c r="AI62" s="212"/>
      <c r="AJ62" s="212"/>
      <c r="AK62" s="212"/>
      <c r="AL62" s="212"/>
      <c r="AM62" s="212"/>
      <c r="AN62" s="212"/>
      <c r="AO62" s="212"/>
    </row>
    <row r="63" spans="28:41">
      <c r="AB63" s="10"/>
      <c r="AC63" s="10"/>
      <c r="AE63" s="212"/>
      <c r="AF63" s="212"/>
      <c r="AG63" s="212"/>
      <c r="AH63" s="212"/>
      <c r="AI63" s="212"/>
      <c r="AJ63" s="212"/>
      <c r="AK63" s="212"/>
      <c r="AL63" s="212"/>
      <c r="AM63" s="212"/>
      <c r="AN63" s="212"/>
      <c r="AO63" s="212"/>
    </row>
    <row r="64" spans="28:41">
      <c r="AB64" s="10"/>
      <c r="AC64" s="10"/>
      <c r="AE64" s="212"/>
      <c r="AF64" s="212"/>
      <c r="AG64" s="212"/>
      <c r="AH64" s="212"/>
      <c r="AI64" s="212"/>
      <c r="AJ64" s="212"/>
      <c r="AK64" s="212"/>
      <c r="AL64" s="212"/>
      <c r="AM64" s="212"/>
      <c r="AN64" s="212"/>
      <c r="AO64" s="212"/>
    </row>
    <row r="65" spans="28:41">
      <c r="AB65" s="10"/>
      <c r="AC65" s="10"/>
      <c r="AE65" s="212"/>
      <c r="AF65" s="212"/>
      <c r="AG65" s="212"/>
      <c r="AH65" s="212"/>
      <c r="AI65" s="212"/>
      <c r="AJ65" s="212"/>
      <c r="AK65" s="212"/>
      <c r="AL65" s="212"/>
      <c r="AM65" s="212"/>
      <c r="AN65" s="212"/>
      <c r="AO65" s="212"/>
    </row>
    <row r="66" spans="28:41">
      <c r="AB66" s="10"/>
      <c r="AC66" s="10"/>
      <c r="AE66" s="212"/>
      <c r="AF66" s="212"/>
      <c r="AG66" s="212"/>
      <c r="AH66" s="212"/>
      <c r="AI66" s="212"/>
      <c r="AJ66" s="212"/>
      <c r="AK66" s="212"/>
      <c r="AL66" s="212"/>
      <c r="AM66" s="212"/>
      <c r="AN66" s="212"/>
      <c r="AO66" s="212"/>
    </row>
    <row r="67" spans="28:41">
      <c r="AB67" s="10"/>
      <c r="AC67" s="10"/>
      <c r="AE67" s="212"/>
      <c r="AF67" s="212"/>
      <c r="AG67" s="212"/>
      <c r="AH67" s="212"/>
      <c r="AI67" s="212"/>
      <c r="AJ67" s="212"/>
      <c r="AK67" s="212"/>
      <c r="AL67" s="212"/>
      <c r="AM67" s="212"/>
      <c r="AN67" s="212"/>
      <c r="AO67" s="212"/>
    </row>
    <row r="68" spans="28:41">
      <c r="AB68" s="10"/>
      <c r="AC68" s="10"/>
      <c r="AE68" s="212"/>
      <c r="AF68" s="212"/>
      <c r="AG68" s="212"/>
      <c r="AH68" s="212"/>
      <c r="AI68" s="212"/>
      <c r="AJ68" s="212"/>
      <c r="AK68" s="212"/>
      <c r="AL68" s="212"/>
      <c r="AM68" s="212"/>
      <c r="AN68" s="212"/>
      <c r="AO68" s="212"/>
    </row>
    <row r="69" spans="28:41">
      <c r="AB69" s="10"/>
      <c r="AC69" s="10"/>
      <c r="AE69" s="212"/>
      <c r="AF69" s="212"/>
      <c r="AG69" s="212"/>
      <c r="AH69" s="212"/>
      <c r="AI69" s="212"/>
      <c r="AJ69" s="212"/>
      <c r="AK69" s="212"/>
      <c r="AL69" s="212"/>
      <c r="AM69" s="212"/>
      <c r="AN69" s="212"/>
      <c r="AO69" s="212"/>
    </row>
    <row r="70" spans="28:41">
      <c r="AB70" s="10"/>
      <c r="AC70" s="10"/>
      <c r="AE70" s="212"/>
      <c r="AF70" s="212"/>
      <c r="AG70" s="212"/>
      <c r="AH70" s="212"/>
      <c r="AI70" s="212"/>
      <c r="AJ70" s="212"/>
      <c r="AK70" s="212"/>
      <c r="AL70" s="212"/>
      <c r="AM70" s="212"/>
      <c r="AN70" s="212"/>
      <c r="AO70" s="212"/>
    </row>
    <row r="71" spans="28:41">
      <c r="AB71" s="10"/>
      <c r="AC71" s="10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</row>
    <row r="72" spans="28:41">
      <c r="AB72" s="10"/>
      <c r="AC72" s="10"/>
      <c r="AE72" s="212"/>
      <c r="AF72" s="212"/>
      <c r="AG72" s="212"/>
      <c r="AH72" s="212"/>
      <c r="AI72" s="212"/>
      <c r="AJ72" s="212"/>
      <c r="AK72" s="212"/>
      <c r="AL72" s="212"/>
      <c r="AM72" s="212"/>
      <c r="AN72" s="212"/>
      <c r="AO72" s="212"/>
    </row>
    <row r="73" spans="28:41">
      <c r="AB73" s="10"/>
      <c r="AC73" s="10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</row>
  </sheetData>
  <mergeCells count="1">
    <mergeCell ref="C13:E13"/>
  </mergeCells>
  <conditionalFormatting sqref="J16 L16 P16 T16 W16 Z16">
    <cfRule type="containsText" dxfId="235" priority="2" operator="containsText" text="Rejected">
      <formula>NOT(ISERROR(SEARCH("Rejected",J16)))</formula>
    </cfRule>
    <cfRule type="containsText" dxfId="234" priority="3" operator="containsText" text="Review">
      <formula>NOT(ISERROR(SEARCH("Review",J16)))</formula>
    </cfRule>
    <cfRule type="containsText" dxfId="233" priority="4" operator="containsText" text="OK">
      <formula>NOT(ISERROR(SEARCH("OK",J16)))</formula>
    </cfRule>
    <cfRule type="duplicateValues" dxfId="232" priority="5"/>
  </conditionalFormatting>
  <conditionalFormatting sqref="C16">
    <cfRule type="duplicateValues" dxfId="231" priority="1"/>
  </conditionalFormatting>
  <dataValidations count="1">
    <dataValidation type="list" allowBlank="1" showInputMessage="1" showErrorMessage="1" sqref="I16" xr:uid="{C1C63534-2F09-4663-8322-5206696E8811}">
      <formula1>"In Process,Approved,Rejected"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533400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5" name="Button 2">
              <controlPr defaultSize="0" print="0" autoFill="0" autoPict="0" macro="[0]!UpdatePrevalidation">
                <anchor>
                  <from>
                    <xdr:col>7</xdr:col>
                    <xdr:colOff>57150</xdr:colOff>
                    <xdr:row>11</xdr:row>
                    <xdr:rowOff>142875</xdr:rowOff>
                  </from>
                  <to>
                    <xdr:col>9</xdr:col>
                    <xdr:colOff>19050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5E1F-3B96-4EED-91D7-13BB38290E12}">
  <sheetPr codeName="Sheet22">
    <tabColor theme="4" tint="-0.249977111117893"/>
    <outlinePr summaryBelow="0" summaryRight="0"/>
  </sheetPr>
  <dimension ref="A1:AO73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RowHeight="15" outlineLevelCol="1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6" width="11.7109375" style="2" customWidth="1"/>
    <col min="7" max="7" width="10.28515625" customWidth="1"/>
    <col min="8" max="8" width="8.140625" customWidth="1"/>
    <col min="9" max="9" width="12.42578125" customWidth="1"/>
    <col min="10" max="10" width="4.28515625" customWidth="1" collapsed="1"/>
    <col min="11" max="11" width="58.85546875" style="10" hidden="1" customWidth="1" outlineLevel="1"/>
    <col min="12" max="12" width="4.28515625" style="10" customWidth="1" collapsed="1"/>
    <col min="13" max="13" width="11.28515625" hidden="1" customWidth="1" outlineLevel="1"/>
    <col min="14" max="14" width="13.5703125" style="10" hidden="1" customWidth="1" outlineLevel="1"/>
    <col min="15" max="15" width="58.42578125" style="10" hidden="1" customWidth="1" outlineLevel="1"/>
    <col min="16" max="16" width="4.28515625" style="10" customWidth="1" collapsed="1"/>
    <col min="17" max="17" width="12" style="10" hidden="1" customWidth="1" outlineLevel="1"/>
    <col min="18" max="18" width="23" hidden="1" customWidth="1" outlineLevel="1"/>
    <col min="19" max="19" width="67.42578125" hidden="1" customWidth="1" outlineLevel="1"/>
    <col min="20" max="20" width="4.28515625" style="10" customWidth="1" collapsed="1"/>
    <col min="21" max="21" width="11.28515625" hidden="1" customWidth="1" outlineLevel="1"/>
    <col min="22" max="22" width="48.5703125" hidden="1" customWidth="1" outlineLevel="1"/>
    <col min="23" max="23" width="4.28515625" customWidth="1" collapsed="1"/>
    <col min="24" max="24" width="11.5703125" hidden="1" customWidth="1" outlineLevel="1"/>
    <col min="25" max="25" width="76.7109375" hidden="1" customWidth="1" outlineLevel="1"/>
    <col min="26" max="26" width="4.28515625" style="10" customWidth="1" collapsed="1"/>
    <col min="27" max="27" width="47.7109375" hidden="1" customWidth="1" outlineLevel="1"/>
    <col min="30" max="30" width="62.140625" style="212" customWidth="1"/>
    <col min="31" max="31" width="58.42578125" style="211" customWidth="1"/>
    <col min="32" max="32" width="10" style="211" customWidth="1"/>
    <col min="33" max="33" width="41.85546875" style="211" customWidth="1"/>
    <col min="34" max="34" width="12.5703125" style="211" customWidth="1"/>
    <col min="35" max="35" width="19.42578125" style="211" customWidth="1"/>
    <col min="36" max="36" width="57.42578125" style="211" customWidth="1"/>
    <col min="37" max="37" width="22.28515625" style="211" customWidth="1"/>
    <col min="38" max="38" width="30.140625" style="211" customWidth="1"/>
    <col min="39" max="39" width="47.7109375" style="211" customWidth="1"/>
    <col min="40" max="41" width="9.140625" style="211"/>
    <col min="42" max="16384" width="9.140625" style="212"/>
  </cols>
  <sheetData>
    <row r="1" spans="1:41" s="208" customFormat="1" hidden="1">
      <c r="A1" s="56" t="s">
        <v>10</v>
      </c>
      <c r="B1" s="15" t="s">
        <v>12</v>
      </c>
      <c r="C1" s="15"/>
      <c r="D1" s="15"/>
      <c r="E1" s="62"/>
      <c r="F1" s="67"/>
      <c r="G1" s="15"/>
      <c r="H1" s="15"/>
      <c r="I1" s="15"/>
      <c r="J1" s="15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</row>
    <row r="2" spans="1:41" s="208" customFormat="1" hidden="1">
      <c r="A2" s="57" t="s">
        <v>18</v>
      </c>
      <c r="B2" s="7"/>
      <c r="C2" s="7"/>
      <c r="D2" s="7"/>
      <c r="E2" s="31"/>
      <c r="F2" s="19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</row>
    <row r="3" spans="1:41" s="208" customFormat="1" hidden="1">
      <c r="A3" s="58" t="s">
        <v>5</v>
      </c>
      <c r="B3" s="5" t="s">
        <v>14</v>
      </c>
      <c r="C3" s="5" t="s">
        <v>31</v>
      </c>
      <c r="D3" s="5" t="s">
        <v>86</v>
      </c>
      <c r="E3" s="31"/>
      <c r="F3" s="19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</row>
    <row r="4" spans="1:41" s="210" customFormat="1" hidden="1">
      <c r="A4" s="18">
        <f>MATCH(A3,10:10,0)</f>
        <v>1</v>
      </c>
      <c r="B4" s="18">
        <f>MATCH(B3,10:10,0)</f>
        <v>3</v>
      </c>
      <c r="C4" s="18">
        <f>MATCH(C3,10:10,0)</f>
        <v>6</v>
      </c>
      <c r="D4" s="18">
        <f>MATCH(D3,10:10,0)</f>
        <v>9</v>
      </c>
      <c r="E4" s="31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</row>
    <row r="5" spans="1:41" s="210" customFormat="1" hidden="1">
      <c r="A5" s="18">
        <v>59</v>
      </c>
      <c r="B5" s="6" t="e">
        <f>IF(VLOOKUP($A$5,Table35210141516[],B4,FALSE)&lt;&gt;0,VLOOKUP($A$5,Table35210141516[],B4,FALSE),"")</f>
        <v>#N/A</v>
      </c>
      <c r="C5" s="18" t="e">
        <f>IF(VLOOKUP($A$5,Table35210141516[],C4,FALSE)&lt;&gt;0,VLOOKUP($A$5,Table35210141516[],C4,FALSE),"")</f>
        <v>#N/A</v>
      </c>
      <c r="D5" s="18" t="e">
        <f>IF(VLOOKUP($A$5,Table35210141516[],D4,FALSE)&lt;&gt;0,VLOOKUP($A$5,Table35210141516[],D4,FALSE),"")</f>
        <v>#N/A</v>
      </c>
      <c r="E5" s="31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</row>
    <row r="6" spans="1:41" hidden="1">
      <c r="A6" s="59" t="s">
        <v>16</v>
      </c>
      <c r="B6" s="12"/>
      <c r="C6" s="12"/>
      <c r="D6" s="12"/>
      <c r="E6" s="63"/>
      <c r="F6" s="60"/>
      <c r="G6" s="12"/>
      <c r="H6" s="12"/>
      <c r="I6" s="12"/>
      <c r="J6" s="12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E6" s="212"/>
      <c r="AF6" s="212"/>
      <c r="AG6" s="212"/>
      <c r="AH6" s="212"/>
      <c r="AI6" s="212"/>
      <c r="AJ6" s="212"/>
      <c r="AK6" s="212"/>
      <c r="AL6" s="212"/>
      <c r="AM6" s="212"/>
      <c r="AN6" s="212"/>
      <c r="AO6" s="212"/>
    </row>
    <row r="7" spans="1:41" hidden="1">
      <c r="A7" s="60" t="s">
        <v>1</v>
      </c>
      <c r="B7" s="60"/>
      <c r="C7" s="60"/>
      <c r="D7" s="60"/>
      <c r="E7" s="63"/>
      <c r="F7" s="60"/>
      <c r="G7" s="12"/>
      <c r="H7" s="12"/>
      <c r="I7" s="12"/>
      <c r="J7" s="12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E7" s="212"/>
      <c r="AF7" s="212"/>
      <c r="AG7" s="212"/>
      <c r="AH7" s="212"/>
      <c r="AI7" s="212"/>
      <c r="AJ7" s="212"/>
      <c r="AK7" s="212"/>
      <c r="AL7" s="212"/>
      <c r="AM7" s="212"/>
      <c r="AN7" s="212"/>
      <c r="AO7" s="212"/>
    </row>
    <row r="8" spans="1:41" hidden="1">
      <c r="A8" s="60" t="s">
        <v>148</v>
      </c>
      <c r="B8" s="60"/>
      <c r="C8" s="60"/>
      <c r="D8" s="60"/>
      <c r="E8" s="63"/>
      <c r="F8" s="60"/>
      <c r="G8" s="12"/>
      <c r="H8" s="12"/>
      <c r="I8" s="12"/>
      <c r="J8" s="12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E8" s="212"/>
      <c r="AF8" s="212"/>
      <c r="AG8" s="212"/>
      <c r="AH8" s="212"/>
      <c r="AI8" s="212"/>
      <c r="AJ8" s="212"/>
      <c r="AK8" s="212"/>
      <c r="AL8" s="212"/>
      <c r="AM8" s="212"/>
      <c r="AN8" s="212"/>
      <c r="AO8" s="212"/>
    </row>
    <row r="9" spans="1:41" hidden="1">
      <c r="A9" s="61" t="s">
        <v>17</v>
      </c>
      <c r="B9" s="13"/>
      <c r="C9" s="13"/>
      <c r="D9" s="13"/>
      <c r="E9" s="64"/>
      <c r="F9" s="22"/>
      <c r="G9" s="13"/>
      <c r="H9" s="13"/>
      <c r="I9" s="13"/>
      <c r="J9" s="1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E9" s="212"/>
      <c r="AF9" s="212"/>
      <c r="AG9" s="212"/>
      <c r="AH9" s="212"/>
      <c r="AI9" s="212"/>
      <c r="AJ9" s="212"/>
      <c r="AK9" s="212"/>
      <c r="AL9" s="212"/>
      <c r="AM9" s="212"/>
      <c r="AN9" s="212"/>
      <c r="AO9" s="212"/>
    </row>
    <row r="10" spans="1:41" hidden="1">
      <c r="A10" s="58" t="s">
        <v>5</v>
      </c>
      <c r="B10" s="17" t="s">
        <v>4</v>
      </c>
      <c r="C10" s="17" t="s">
        <v>14</v>
      </c>
      <c r="D10" s="17" t="s">
        <v>1</v>
      </c>
      <c r="E10" s="17" t="s">
        <v>3</v>
      </c>
      <c r="F10" s="17" t="s">
        <v>31</v>
      </c>
      <c r="G10" s="17" t="s">
        <v>34</v>
      </c>
      <c r="H10" s="17" t="s">
        <v>33</v>
      </c>
      <c r="I10" s="17" t="s">
        <v>86</v>
      </c>
      <c r="J10" s="17" t="s">
        <v>36</v>
      </c>
      <c r="K10" s="17" t="s">
        <v>37</v>
      </c>
      <c r="L10" s="17" t="s">
        <v>41</v>
      </c>
      <c r="M10" s="17" t="s">
        <v>59</v>
      </c>
      <c r="N10" s="17" t="s">
        <v>60</v>
      </c>
      <c r="O10" s="17" t="s">
        <v>42</v>
      </c>
      <c r="P10" s="17" t="s">
        <v>48</v>
      </c>
      <c r="Q10" s="17" t="s">
        <v>47</v>
      </c>
      <c r="R10" s="17" t="s">
        <v>50</v>
      </c>
      <c r="S10" s="17" t="s">
        <v>49</v>
      </c>
      <c r="T10" s="17" t="s">
        <v>56</v>
      </c>
      <c r="U10" s="17" t="s">
        <v>55</v>
      </c>
      <c r="V10" s="17" t="s">
        <v>58</v>
      </c>
      <c r="W10" s="17" t="s">
        <v>64</v>
      </c>
      <c r="X10" s="17" t="s">
        <v>63</v>
      </c>
      <c r="Y10" s="17" t="s">
        <v>65</v>
      </c>
      <c r="Z10" s="17" t="s">
        <v>81</v>
      </c>
      <c r="AA10" s="17" t="s">
        <v>82</v>
      </c>
      <c r="AB10" s="14"/>
      <c r="AC10" s="14"/>
      <c r="AE10" s="212"/>
      <c r="AF10" s="212"/>
      <c r="AG10" s="212"/>
      <c r="AH10" s="212"/>
      <c r="AI10" s="212"/>
      <c r="AJ10" s="212"/>
      <c r="AK10" s="212"/>
      <c r="AL10" s="212"/>
      <c r="AM10" s="212"/>
      <c r="AN10" s="212"/>
      <c r="AO10" s="212"/>
    </row>
    <row r="11" spans="1:41" s="214" customFormat="1" hidden="1">
      <c r="A11" s="22"/>
      <c r="B11" s="22"/>
      <c r="C11" s="22"/>
      <c r="D11" s="22"/>
      <c r="E11" s="64"/>
      <c r="F11" s="22"/>
      <c r="G11" s="22"/>
      <c r="H11" s="22"/>
      <c r="I11" s="22"/>
      <c r="J11" s="22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</row>
    <row r="12" spans="1:41">
      <c r="M12" s="10"/>
      <c r="R12" s="10"/>
      <c r="S12" s="10"/>
      <c r="U12" s="10"/>
      <c r="V12" s="10"/>
      <c r="W12" s="10"/>
      <c r="X12" s="10"/>
      <c r="Y12" s="10"/>
      <c r="AA12" s="10"/>
      <c r="AB12" s="10"/>
      <c r="AC12" s="10"/>
      <c r="AE12" s="212"/>
      <c r="AF12" s="212"/>
      <c r="AG12" s="212"/>
      <c r="AH12" s="212"/>
      <c r="AI12" s="212"/>
      <c r="AJ12" s="212"/>
      <c r="AK12" s="212"/>
      <c r="AL12" s="212"/>
      <c r="AM12" s="212"/>
      <c r="AN12" s="212"/>
      <c r="AO12" s="212"/>
    </row>
    <row r="13" spans="1:41" ht="21">
      <c r="C13" s="203" t="s">
        <v>149</v>
      </c>
      <c r="D13" s="204"/>
      <c r="E13" s="204"/>
      <c r="M13" s="10"/>
      <c r="R13" s="10"/>
      <c r="S13" s="10"/>
      <c r="U13" s="10"/>
      <c r="V13" s="10"/>
      <c r="W13" s="10"/>
      <c r="X13" s="10"/>
      <c r="Y13" s="10"/>
      <c r="AA13" s="10"/>
      <c r="AB13" s="10"/>
      <c r="AC13" s="10"/>
      <c r="AE13" s="212"/>
      <c r="AF13" s="212"/>
      <c r="AG13" s="212"/>
      <c r="AH13" s="212"/>
      <c r="AI13" s="212"/>
      <c r="AJ13" s="212"/>
      <c r="AK13" s="212"/>
      <c r="AL13" s="212"/>
      <c r="AM13" s="212"/>
      <c r="AN13" s="212"/>
      <c r="AO13" s="212"/>
    </row>
    <row r="14" spans="1:41">
      <c r="M14" s="10"/>
      <c r="R14" s="10"/>
      <c r="S14" s="10"/>
      <c r="U14" s="10"/>
      <c r="V14" s="10"/>
      <c r="W14" s="10"/>
      <c r="X14" s="10"/>
      <c r="Y14" s="10"/>
      <c r="AA14" s="10"/>
      <c r="AB14" s="10"/>
      <c r="AC14" s="10"/>
      <c r="AE14" s="212"/>
      <c r="AF14" s="212"/>
      <c r="AG14" s="212"/>
      <c r="AH14" s="212"/>
      <c r="AI14" s="212"/>
      <c r="AJ14" s="212"/>
      <c r="AK14" s="212"/>
      <c r="AL14" s="212"/>
      <c r="AM14" s="212"/>
      <c r="AN14" s="212"/>
      <c r="AO14" s="212"/>
    </row>
    <row r="15" spans="1:41" s="215" customFormat="1" ht="54" customHeight="1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26</v>
      </c>
      <c r="G15" s="119" t="s">
        <v>67</v>
      </c>
      <c r="H15" s="119" t="s">
        <v>68</v>
      </c>
      <c r="I15" s="119" t="s">
        <v>86</v>
      </c>
      <c r="J15" s="115" t="s">
        <v>70</v>
      </c>
      <c r="K15" s="129" t="s">
        <v>79</v>
      </c>
      <c r="L15" s="116" t="s">
        <v>71</v>
      </c>
      <c r="M15" s="130" t="s">
        <v>45</v>
      </c>
      <c r="N15" s="130" t="s">
        <v>46</v>
      </c>
      <c r="O15" s="130" t="s">
        <v>75</v>
      </c>
      <c r="P15" s="117" t="s">
        <v>73</v>
      </c>
      <c r="Q15" s="132" t="s">
        <v>52</v>
      </c>
      <c r="R15" s="132" t="s">
        <v>69</v>
      </c>
      <c r="S15" s="132" t="s">
        <v>54</v>
      </c>
      <c r="T15" s="118" t="s">
        <v>72</v>
      </c>
      <c r="U15" s="131" t="s">
        <v>76</v>
      </c>
      <c r="V15" s="131" t="s">
        <v>77</v>
      </c>
      <c r="W15" s="133" t="s">
        <v>74</v>
      </c>
      <c r="X15" s="183" t="s">
        <v>66</v>
      </c>
      <c r="Y15" s="184" t="s">
        <v>78</v>
      </c>
      <c r="Z15" s="180" t="s">
        <v>84</v>
      </c>
      <c r="AA15" s="185" t="s">
        <v>85</v>
      </c>
      <c r="AB15" s="25"/>
      <c r="AC15" s="25"/>
    </row>
    <row r="16" spans="1:41">
      <c r="A16" s="122"/>
      <c r="B16" s="123"/>
      <c r="C16" s="123"/>
      <c r="D16" s="123"/>
      <c r="E16" s="124"/>
      <c r="F16" s="125"/>
      <c r="G16" s="126"/>
      <c r="H16" s="127"/>
      <c r="I16" s="127"/>
      <c r="J16" s="128"/>
      <c r="K16" s="126"/>
      <c r="L16" s="128"/>
      <c r="M16" s="126"/>
      <c r="N16" s="126"/>
      <c r="O16" s="126"/>
      <c r="P16" s="128"/>
      <c r="Q16" s="126"/>
      <c r="R16" s="126"/>
      <c r="S16" s="126"/>
      <c r="T16" s="128"/>
      <c r="U16" s="126"/>
      <c r="V16" s="126"/>
      <c r="W16" s="128"/>
      <c r="X16" s="126"/>
      <c r="Y16" s="126"/>
      <c r="Z16" s="128"/>
      <c r="AA16" s="126"/>
      <c r="AB16" s="110"/>
      <c r="AC16" s="110"/>
      <c r="AE16" s="212"/>
      <c r="AF16" s="212"/>
      <c r="AG16" s="212"/>
      <c r="AH16" s="212"/>
      <c r="AI16" s="212"/>
      <c r="AJ16" s="212"/>
      <c r="AK16" s="212"/>
      <c r="AL16" s="212"/>
      <c r="AM16" s="212"/>
      <c r="AN16" s="212"/>
      <c r="AO16" s="212"/>
    </row>
    <row r="17" spans="28:41">
      <c r="AB17" s="110"/>
      <c r="AC17" s="110"/>
      <c r="AE17" s="212"/>
      <c r="AF17" s="212"/>
      <c r="AG17" s="212"/>
      <c r="AH17" s="212"/>
      <c r="AI17" s="212"/>
      <c r="AJ17" s="212"/>
      <c r="AK17" s="212"/>
      <c r="AL17" s="212"/>
      <c r="AM17" s="212"/>
      <c r="AN17" s="212"/>
      <c r="AO17" s="212"/>
    </row>
    <row r="18" spans="28:41">
      <c r="AB18" s="110"/>
      <c r="AC18" s="110"/>
      <c r="AE18" s="212"/>
      <c r="AF18" s="212"/>
      <c r="AG18" s="212"/>
      <c r="AH18" s="212"/>
      <c r="AI18" s="212"/>
      <c r="AJ18" s="212"/>
      <c r="AK18" s="212"/>
      <c r="AL18" s="212"/>
      <c r="AM18" s="212"/>
      <c r="AN18" s="212"/>
      <c r="AO18" s="212"/>
    </row>
    <row r="19" spans="28:41">
      <c r="AB19" s="110"/>
      <c r="AC19" s="110"/>
      <c r="AE19" s="212"/>
      <c r="AF19" s="212"/>
      <c r="AG19" s="212"/>
      <c r="AH19" s="212"/>
      <c r="AI19" s="212"/>
      <c r="AJ19" s="212"/>
      <c r="AK19" s="212"/>
      <c r="AL19" s="212"/>
      <c r="AM19" s="212"/>
      <c r="AN19" s="212"/>
      <c r="AO19" s="212"/>
    </row>
    <row r="20" spans="28:41">
      <c r="AB20" s="110"/>
      <c r="AC20" s="110"/>
      <c r="AE20" s="212"/>
      <c r="AF20" s="212"/>
      <c r="AG20" s="212"/>
      <c r="AH20" s="212"/>
      <c r="AI20" s="212"/>
      <c r="AJ20" s="212"/>
      <c r="AK20" s="212"/>
      <c r="AL20" s="212"/>
      <c r="AM20" s="212"/>
      <c r="AN20" s="212"/>
      <c r="AO20" s="212"/>
    </row>
    <row r="21" spans="28:41">
      <c r="AB21" s="110"/>
      <c r="AC21" s="110"/>
      <c r="AE21" s="212"/>
      <c r="AF21" s="212"/>
      <c r="AG21" s="212"/>
      <c r="AH21" s="212"/>
      <c r="AI21" s="212"/>
      <c r="AJ21" s="212"/>
      <c r="AK21" s="212"/>
      <c r="AL21" s="212"/>
      <c r="AM21" s="212"/>
      <c r="AN21" s="212"/>
      <c r="AO21" s="212"/>
    </row>
    <row r="22" spans="28:41">
      <c r="AB22" s="110"/>
      <c r="AC22" s="110"/>
      <c r="AE22" s="212"/>
      <c r="AF22" s="212"/>
      <c r="AG22" s="212"/>
      <c r="AH22" s="212"/>
      <c r="AI22" s="212"/>
      <c r="AJ22" s="212"/>
      <c r="AK22" s="212"/>
      <c r="AL22" s="212"/>
      <c r="AM22" s="212"/>
      <c r="AN22" s="212"/>
      <c r="AO22" s="212"/>
    </row>
    <row r="23" spans="28:41">
      <c r="AB23" s="110"/>
      <c r="AC23" s="110"/>
      <c r="AE23" s="212"/>
      <c r="AF23" s="212"/>
      <c r="AG23" s="212"/>
      <c r="AH23" s="212"/>
      <c r="AI23" s="212"/>
      <c r="AJ23" s="212"/>
      <c r="AK23" s="212"/>
      <c r="AL23" s="212"/>
      <c r="AM23" s="212"/>
      <c r="AN23" s="212"/>
      <c r="AO23" s="212"/>
    </row>
    <row r="24" spans="28:41">
      <c r="AB24" s="110"/>
      <c r="AC24" s="110"/>
      <c r="AE24" s="212"/>
      <c r="AF24" s="212"/>
      <c r="AG24" s="212"/>
      <c r="AH24" s="212"/>
      <c r="AI24" s="212"/>
      <c r="AJ24" s="212"/>
      <c r="AK24" s="212"/>
      <c r="AL24" s="212"/>
      <c r="AM24" s="212"/>
      <c r="AN24" s="212"/>
      <c r="AO24" s="212"/>
    </row>
    <row r="25" spans="28:41">
      <c r="AB25" s="110"/>
      <c r="AC25" s="110"/>
      <c r="AE25" s="212"/>
      <c r="AF25" s="212"/>
      <c r="AG25" s="212"/>
      <c r="AH25" s="212"/>
      <c r="AI25" s="212"/>
      <c r="AJ25" s="212"/>
      <c r="AK25" s="212"/>
      <c r="AL25" s="212"/>
      <c r="AM25" s="212"/>
      <c r="AN25" s="212"/>
      <c r="AO25" s="212"/>
    </row>
    <row r="26" spans="28:41">
      <c r="AB26" s="110"/>
      <c r="AC26" s="110"/>
      <c r="AE26" s="212"/>
      <c r="AF26" s="212"/>
      <c r="AG26" s="212"/>
      <c r="AH26" s="212"/>
      <c r="AI26" s="212"/>
      <c r="AJ26" s="212"/>
      <c r="AK26" s="212"/>
      <c r="AL26" s="212"/>
      <c r="AM26" s="212"/>
      <c r="AN26" s="212"/>
      <c r="AO26" s="212"/>
    </row>
    <row r="27" spans="28:41">
      <c r="AB27" s="110"/>
      <c r="AC27" s="110"/>
      <c r="AE27" s="212"/>
      <c r="AF27" s="212"/>
      <c r="AG27" s="212"/>
      <c r="AH27" s="212"/>
      <c r="AI27" s="212"/>
      <c r="AJ27" s="212"/>
      <c r="AK27" s="212"/>
      <c r="AL27" s="212"/>
      <c r="AM27" s="212"/>
      <c r="AN27" s="212"/>
      <c r="AO27" s="212"/>
    </row>
    <row r="28" spans="28:41">
      <c r="AB28" s="110"/>
      <c r="AC28" s="110"/>
      <c r="AE28" s="212"/>
      <c r="AF28" s="212"/>
      <c r="AG28" s="212"/>
      <c r="AH28" s="212"/>
      <c r="AI28" s="212"/>
      <c r="AJ28" s="212"/>
      <c r="AK28" s="212"/>
      <c r="AL28" s="212"/>
      <c r="AM28" s="212"/>
      <c r="AN28" s="212"/>
      <c r="AO28" s="212"/>
    </row>
    <row r="29" spans="28:41">
      <c r="AB29" s="110"/>
      <c r="AC29" s="110"/>
      <c r="AE29" s="212"/>
      <c r="AF29" s="212"/>
      <c r="AG29" s="212"/>
      <c r="AH29" s="212"/>
      <c r="AI29" s="212"/>
      <c r="AJ29" s="212"/>
      <c r="AK29" s="212"/>
      <c r="AL29" s="212"/>
      <c r="AM29" s="212"/>
      <c r="AN29" s="212"/>
      <c r="AO29" s="212"/>
    </row>
    <row r="30" spans="28:41">
      <c r="AB30" s="110"/>
      <c r="AC30" s="110"/>
      <c r="AE30" s="212"/>
      <c r="AF30" s="212"/>
      <c r="AG30" s="212"/>
      <c r="AH30" s="212"/>
      <c r="AI30" s="212"/>
      <c r="AJ30" s="212"/>
      <c r="AK30" s="212"/>
      <c r="AL30" s="212"/>
      <c r="AM30" s="212"/>
      <c r="AN30" s="212"/>
      <c r="AO30" s="212"/>
    </row>
    <row r="31" spans="28:41">
      <c r="AB31" s="110"/>
      <c r="AC31" s="110"/>
      <c r="AE31" s="212"/>
      <c r="AF31" s="212"/>
      <c r="AG31" s="212"/>
      <c r="AH31" s="212"/>
      <c r="AI31" s="212"/>
      <c r="AJ31" s="212"/>
      <c r="AK31" s="212"/>
      <c r="AL31" s="212"/>
      <c r="AM31" s="212"/>
      <c r="AN31" s="212"/>
      <c r="AO31" s="212"/>
    </row>
    <row r="32" spans="28:41">
      <c r="AB32" s="110"/>
      <c r="AC32" s="110"/>
      <c r="AE32" s="212"/>
      <c r="AF32" s="212"/>
      <c r="AG32" s="212"/>
      <c r="AH32" s="212"/>
      <c r="AI32" s="212"/>
      <c r="AJ32" s="212"/>
      <c r="AK32" s="212"/>
      <c r="AL32" s="212"/>
      <c r="AM32" s="212"/>
      <c r="AN32" s="212"/>
      <c r="AO32" s="212"/>
    </row>
    <row r="33" spans="28:41">
      <c r="AB33" s="110"/>
      <c r="AC33" s="110"/>
      <c r="AE33" s="212"/>
      <c r="AF33" s="212"/>
      <c r="AG33" s="212"/>
      <c r="AH33" s="212"/>
      <c r="AI33" s="212"/>
      <c r="AJ33" s="212"/>
      <c r="AK33" s="212"/>
      <c r="AL33" s="212"/>
      <c r="AM33" s="212"/>
      <c r="AN33" s="212"/>
      <c r="AO33" s="212"/>
    </row>
    <row r="34" spans="28:41">
      <c r="AB34" s="110"/>
      <c r="AC34" s="110"/>
      <c r="AE34" s="212"/>
      <c r="AF34" s="212"/>
      <c r="AG34" s="212"/>
      <c r="AH34" s="212"/>
      <c r="AI34" s="212"/>
      <c r="AJ34" s="212"/>
      <c r="AK34" s="212"/>
      <c r="AL34" s="212"/>
      <c r="AM34" s="212"/>
      <c r="AN34" s="212"/>
      <c r="AO34" s="212"/>
    </row>
    <row r="35" spans="28:41">
      <c r="AB35" s="110"/>
      <c r="AC35" s="110"/>
      <c r="AE35" s="212"/>
      <c r="AF35" s="212"/>
      <c r="AG35" s="212"/>
      <c r="AH35" s="212"/>
      <c r="AI35" s="212"/>
      <c r="AJ35" s="212"/>
      <c r="AK35" s="212"/>
      <c r="AL35" s="212"/>
      <c r="AM35" s="212"/>
      <c r="AN35" s="212"/>
      <c r="AO35" s="212"/>
    </row>
    <row r="36" spans="28:41">
      <c r="AB36" s="110"/>
      <c r="AC36" s="110"/>
      <c r="AE36" s="212"/>
      <c r="AF36" s="212"/>
      <c r="AG36" s="212"/>
      <c r="AH36" s="212"/>
      <c r="AI36" s="212"/>
      <c r="AJ36" s="212"/>
      <c r="AK36" s="212"/>
      <c r="AL36" s="212"/>
      <c r="AM36" s="212"/>
      <c r="AN36" s="212"/>
      <c r="AO36" s="212"/>
    </row>
    <row r="37" spans="28:41">
      <c r="AB37" s="110"/>
      <c r="AC37" s="110"/>
      <c r="AE37" s="212"/>
      <c r="AF37" s="212"/>
      <c r="AG37" s="212"/>
      <c r="AH37" s="212"/>
      <c r="AI37" s="212"/>
      <c r="AJ37" s="212"/>
      <c r="AK37" s="212"/>
      <c r="AL37" s="212"/>
      <c r="AM37" s="212"/>
      <c r="AN37" s="212"/>
      <c r="AO37" s="212"/>
    </row>
    <row r="38" spans="28:41">
      <c r="AB38" s="110"/>
      <c r="AC38" s="110"/>
      <c r="AE38" s="212"/>
      <c r="AF38" s="212"/>
      <c r="AG38" s="212"/>
      <c r="AH38" s="212"/>
      <c r="AI38" s="212"/>
      <c r="AJ38" s="212"/>
      <c r="AK38" s="212"/>
      <c r="AL38" s="212"/>
      <c r="AM38" s="212"/>
      <c r="AN38" s="212"/>
      <c r="AO38" s="212"/>
    </row>
    <row r="39" spans="28:41">
      <c r="AB39" s="110"/>
      <c r="AC39" s="110"/>
      <c r="AE39" s="212"/>
      <c r="AF39" s="212"/>
      <c r="AG39" s="212"/>
      <c r="AH39" s="212"/>
      <c r="AI39" s="212"/>
      <c r="AJ39" s="212"/>
      <c r="AK39" s="212"/>
      <c r="AL39" s="212"/>
      <c r="AM39" s="212"/>
      <c r="AN39" s="212"/>
      <c r="AO39" s="212"/>
    </row>
    <row r="40" spans="28:41">
      <c r="AB40" s="110"/>
      <c r="AC40" s="110"/>
      <c r="AE40" s="212"/>
      <c r="AF40" s="212"/>
      <c r="AG40" s="212"/>
      <c r="AH40" s="212"/>
      <c r="AI40" s="212"/>
      <c r="AJ40" s="212"/>
      <c r="AK40" s="212"/>
      <c r="AL40" s="212"/>
      <c r="AM40" s="212"/>
      <c r="AN40" s="212"/>
      <c r="AO40" s="212"/>
    </row>
    <row r="41" spans="28:41">
      <c r="AB41" s="110"/>
      <c r="AC41" s="110"/>
      <c r="AE41" s="212"/>
      <c r="AF41" s="212"/>
      <c r="AG41" s="212"/>
      <c r="AH41" s="212"/>
      <c r="AI41" s="212"/>
      <c r="AJ41" s="212"/>
      <c r="AK41" s="212"/>
      <c r="AL41" s="212"/>
      <c r="AM41" s="212"/>
      <c r="AN41" s="212"/>
      <c r="AO41" s="212"/>
    </row>
    <row r="42" spans="28:41">
      <c r="AB42" s="110"/>
      <c r="AC42" s="110"/>
      <c r="AE42" s="212"/>
      <c r="AF42" s="212"/>
      <c r="AG42" s="212"/>
      <c r="AH42" s="212"/>
      <c r="AI42" s="212"/>
      <c r="AJ42" s="212"/>
      <c r="AK42" s="212"/>
      <c r="AL42" s="212"/>
      <c r="AM42" s="212"/>
      <c r="AN42" s="212"/>
      <c r="AO42" s="212"/>
    </row>
    <row r="43" spans="28:41">
      <c r="AB43" s="110"/>
      <c r="AC43" s="110"/>
      <c r="AE43" s="212"/>
      <c r="AF43" s="212"/>
      <c r="AG43" s="212"/>
      <c r="AH43" s="212"/>
      <c r="AI43" s="212"/>
      <c r="AJ43" s="212"/>
      <c r="AK43" s="212"/>
      <c r="AL43" s="212"/>
      <c r="AM43" s="212"/>
      <c r="AN43" s="212"/>
      <c r="AO43" s="212"/>
    </row>
    <row r="44" spans="28:41">
      <c r="AB44" s="110"/>
      <c r="AC44" s="110"/>
      <c r="AE44" s="212"/>
      <c r="AF44" s="212"/>
      <c r="AG44" s="212"/>
      <c r="AH44" s="212"/>
      <c r="AI44" s="212"/>
      <c r="AJ44" s="212"/>
      <c r="AK44" s="212"/>
      <c r="AL44" s="212"/>
      <c r="AM44" s="212"/>
      <c r="AN44" s="212"/>
      <c r="AO44" s="212"/>
    </row>
    <row r="45" spans="28:41">
      <c r="AB45" s="110"/>
      <c r="AC45" s="110"/>
      <c r="AE45" s="212"/>
      <c r="AF45" s="212"/>
      <c r="AG45" s="212"/>
      <c r="AH45" s="212"/>
      <c r="AI45" s="212"/>
      <c r="AJ45" s="212"/>
      <c r="AK45" s="212"/>
      <c r="AL45" s="212"/>
      <c r="AM45" s="212"/>
      <c r="AN45" s="212"/>
      <c r="AO45" s="212"/>
    </row>
    <row r="46" spans="28:41">
      <c r="AB46" s="110"/>
      <c r="AC46" s="110"/>
      <c r="AE46" s="212"/>
      <c r="AF46" s="212"/>
      <c r="AG46" s="212"/>
      <c r="AH46" s="212"/>
      <c r="AI46" s="212"/>
      <c r="AJ46" s="212"/>
      <c r="AK46" s="212"/>
      <c r="AL46" s="212"/>
      <c r="AM46" s="212"/>
      <c r="AN46" s="212"/>
      <c r="AO46" s="212"/>
    </row>
    <row r="47" spans="28:41">
      <c r="AB47" s="110"/>
      <c r="AC47" s="110"/>
      <c r="AE47" s="212"/>
      <c r="AF47" s="212"/>
      <c r="AG47" s="212"/>
      <c r="AH47" s="212"/>
      <c r="AI47" s="212"/>
      <c r="AJ47" s="212"/>
      <c r="AK47" s="212"/>
      <c r="AL47" s="212"/>
      <c r="AM47" s="212"/>
      <c r="AN47" s="212"/>
      <c r="AO47" s="212"/>
    </row>
    <row r="48" spans="28:41">
      <c r="AB48" s="110"/>
      <c r="AC48" s="110"/>
      <c r="AE48" s="212"/>
      <c r="AF48" s="212"/>
      <c r="AG48" s="212"/>
      <c r="AH48" s="212"/>
      <c r="AI48" s="212"/>
      <c r="AJ48" s="212"/>
      <c r="AK48" s="212"/>
      <c r="AL48" s="212"/>
      <c r="AM48" s="212"/>
      <c r="AN48" s="212"/>
      <c r="AO48" s="212"/>
    </row>
    <row r="49" spans="28:41">
      <c r="AB49" s="110"/>
      <c r="AC49" s="110"/>
      <c r="AE49" s="212"/>
      <c r="AF49" s="212"/>
      <c r="AG49" s="212"/>
      <c r="AH49" s="212"/>
      <c r="AI49" s="212"/>
      <c r="AJ49" s="212"/>
      <c r="AK49" s="212"/>
      <c r="AL49" s="212"/>
      <c r="AM49" s="212"/>
      <c r="AN49" s="212"/>
      <c r="AO49" s="212"/>
    </row>
    <row r="50" spans="28:41">
      <c r="AB50" s="110"/>
      <c r="AC50" s="110"/>
      <c r="AE50" s="212"/>
      <c r="AF50" s="212"/>
      <c r="AG50" s="212"/>
      <c r="AH50" s="212"/>
      <c r="AI50" s="212"/>
      <c r="AJ50" s="212"/>
      <c r="AK50" s="212"/>
      <c r="AL50" s="212"/>
      <c r="AM50" s="212"/>
      <c r="AN50" s="212"/>
      <c r="AO50" s="212"/>
    </row>
    <row r="51" spans="28:41">
      <c r="AB51" s="110"/>
      <c r="AC51" s="110"/>
      <c r="AE51" s="212"/>
      <c r="AF51" s="212"/>
      <c r="AG51" s="212"/>
      <c r="AH51" s="212"/>
      <c r="AI51" s="212"/>
      <c r="AJ51" s="212"/>
      <c r="AK51" s="212"/>
      <c r="AL51" s="212"/>
      <c r="AM51" s="212"/>
      <c r="AN51" s="212"/>
      <c r="AO51" s="212"/>
    </row>
    <row r="52" spans="28:41">
      <c r="AB52" s="110"/>
      <c r="AC52" s="110"/>
      <c r="AE52" s="212"/>
      <c r="AF52" s="212"/>
      <c r="AG52" s="212"/>
      <c r="AH52" s="212"/>
      <c r="AI52" s="212"/>
      <c r="AJ52" s="212"/>
      <c r="AK52" s="212"/>
      <c r="AL52" s="212"/>
      <c r="AM52" s="212"/>
      <c r="AN52" s="212"/>
      <c r="AO52" s="212"/>
    </row>
    <row r="53" spans="28:41">
      <c r="AB53" s="110"/>
      <c r="AC53" s="110"/>
      <c r="AE53" s="212"/>
      <c r="AF53" s="212"/>
      <c r="AG53" s="212"/>
      <c r="AH53" s="212"/>
      <c r="AI53" s="212"/>
      <c r="AJ53" s="212"/>
      <c r="AK53" s="212"/>
      <c r="AL53" s="212"/>
      <c r="AM53" s="212"/>
      <c r="AN53" s="212"/>
      <c r="AO53" s="212"/>
    </row>
    <row r="54" spans="28:41">
      <c r="AB54" s="110"/>
      <c r="AC54" s="110"/>
      <c r="AE54" s="212"/>
      <c r="AF54" s="212"/>
      <c r="AG54" s="212"/>
      <c r="AH54" s="212"/>
      <c r="AI54" s="212"/>
      <c r="AJ54" s="212"/>
      <c r="AK54" s="212"/>
      <c r="AL54" s="212"/>
      <c r="AM54" s="212"/>
      <c r="AN54" s="212"/>
      <c r="AO54" s="212"/>
    </row>
    <row r="55" spans="28:41">
      <c r="AB55" s="110"/>
      <c r="AC55" s="110"/>
      <c r="AE55" s="212"/>
      <c r="AF55" s="212"/>
      <c r="AG55" s="212"/>
      <c r="AH55" s="212"/>
      <c r="AI55" s="212"/>
      <c r="AJ55" s="212"/>
      <c r="AK55" s="212"/>
      <c r="AL55" s="212"/>
      <c r="AM55" s="212"/>
      <c r="AN55" s="212"/>
      <c r="AO55" s="212"/>
    </row>
    <row r="56" spans="28:41">
      <c r="AB56" s="110"/>
      <c r="AC56" s="110"/>
      <c r="AE56" s="212"/>
      <c r="AF56" s="212"/>
      <c r="AG56" s="212"/>
      <c r="AH56" s="212"/>
      <c r="AI56" s="212"/>
      <c r="AJ56" s="212"/>
      <c r="AK56" s="212"/>
      <c r="AL56" s="212"/>
      <c r="AM56" s="212"/>
      <c r="AN56" s="212"/>
      <c r="AO56" s="212"/>
    </row>
    <row r="57" spans="28:41">
      <c r="AB57" s="10"/>
      <c r="AC57" s="10"/>
      <c r="AE57" s="212"/>
      <c r="AF57" s="212"/>
      <c r="AG57" s="212"/>
      <c r="AH57" s="212"/>
      <c r="AI57" s="212"/>
      <c r="AJ57" s="212"/>
      <c r="AK57" s="212"/>
      <c r="AL57" s="212"/>
      <c r="AM57" s="212"/>
      <c r="AN57" s="212"/>
      <c r="AO57" s="212"/>
    </row>
    <row r="58" spans="28:41">
      <c r="AB58" s="10"/>
      <c r="AC58" s="10"/>
      <c r="AE58" s="212"/>
      <c r="AF58" s="212"/>
      <c r="AG58" s="212"/>
      <c r="AH58" s="212"/>
      <c r="AI58" s="212"/>
      <c r="AJ58" s="212"/>
      <c r="AK58" s="212"/>
      <c r="AL58" s="212"/>
      <c r="AM58" s="212"/>
      <c r="AN58" s="212"/>
      <c r="AO58" s="212"/>
    </row>
    <row r="59" spans="28:41">
      <c r="AB59" s="10"/>
      <c r="AC59" s="10"/>
      <c r="AE59" s="212"/>
      <c r="AF59" s="212"/>
      <c r="AG59" s="212"/>
      <c r="AH59" s="212"/>
      <c r="AI59" s="212"/>
      <c r="AJ59" s="212"/>
      <c r="AK59" s="212"/>
      <c r="AL59" s="212"/>
      <c r="AM59" s="212"/>
      <c r="AN59" s="212"/>
      <c r="AO59" s="212"/>
    </row>
    <row r="60" spans="28:41">
      <c r="AB60" s="10"/>
      <c r="AC60" s="10"/>
      <c r="AE60" s="212"/>
      <c r="AF60" s="212"/>
      <c r="AG60" s="212"/>
      <c r="AH60" s="212"/>
      <c r="AI60" s="212"/>
      <c r="AJ60" s="212"/>
      <c r="AK60" s="212"/>
      <c r="AL60" s="212"/>
      <c r="AM60" s="212"/>
      <c r="AN60" s="212"/>
      <c r="AO60" s="212"/>
    </row>
    <row r="61" spans="28:41">
      <c r="AB61" s="10"/>
      <c r="AC61" s="10"/>
      <c r="AE61" s="212"/>
      <c r="AF61" s="212"/>
      <c r="AG61" s="212"/>
      <c r="AH61" s="212"/>
      <c r="AI61" s="212"/>
      <c r="AJ61" s="212"/>
      <c r="AK61" s="212"/>
      <c r="AL61" s="212"/>
      <c r="AM61" s="212"/>
      <c r="AN61" s="212"/>
      <c r="AO61" s="212"/>
    </row>
    <row r="62" spans="28:41">
      <c r="AB62" s="10"/>
      <c r="AC62" s="10"/>
      <c r="AE62" s="212"/>
      <c r="AF62" s="212"/>
      <c r="AG62" s="212"/>
      <c r="AH62" s="212"/>
      <c r="AI62" s="212"/>
      <c r="AJ62" s="212"/>
      <c r="AK62" s="212"/>
      <c r="AL62" s="212"/>
      <c r="AM62" s="212"/>
      <c r="AN62" s="212"/>
      <c r="AO62" s="212"/>
    </row>
    <row r="63" spans="28:41">
      <c r="AB63" s="10"/>
      <c r="AC63" s="10"/>
      <c r="AE63" s="212"/>
      <c r="AF63" s="212"/>
      <c r="AG63" s="212"/>
      <c r="AH63" s="212"/>
      <c r="AI63" s="212"/>
      <c r="AJ63" s="212"/>
      <c r="AK63" s="212"/>
      <c r="AL63" s="212"/>
      <c r="AM63" s="212"/>
      <c r="AN63" s="212"/>
      <c r="AO63" s="212"/>
    </row>
    <row r="64" spans="28:41">
      <c r="AB64" s="10"/>
      <c r="AC64" s="10"/>
      <c r="AE64" s="212"/>
      <c r="AF64" s="212"/>
      <c r="AG64" s="212"/>
      <c r="AH64" s="212"/>
      <c r="AI64" s="212"/>
      <c r="AJ64" s="212"/>
      <c r="AK64" s="212"/>
      <c r="AL64" s="212"/>
      <c r="AM64" s="212"/>
      <c r="AN64" s="212"/>
      <c r="AO64" s="212"/>
    </row>
    <row r="65" spans="28:41">
      <c r="AB65" s="10"/>
      <c r="AC65" s="10"/>
      <c r="AE65" s="212"/>
      <c r="AF65" s="212"/>
      <c r="AG65" s="212"/>
      <c r="AH65" s="212"/>
      <c r="AI65" s="212"/>
      <c r="AJ65" s="212"/>
      <c r="AK65" s="212"/>
      <c r="AL65" s="212"/>
      <c r="AM65" s="212"/>
      <c r="AN65" s="212"/>
      <c r="AO65" s="212"/>
    </row>
    <row r="66" spans="28:41">
      <c r="AB66" s="10"/>
      <c r="AC66" s="10"/>
      <c r="AE66" s="212"/>
      <c r="AF66" s="212"/>
      <c r="AG66" s="212"/>
      <c r="AH66" s="212"/>
      <c r="AI66" s="212"/>
      <c r="AJ66" s="212"/>
      <c r="AK66" s="212"/>
      <c r="AL66" s="212"/>
      <c r="AM66" s="212"/>
      <c r="AN66" s="212"/>
      <c r="AO66" s="212"/>
    </row>
    <row r="67" spans="28:41">
      <c r="AB67" s="10"/>
      <c r="AC67" s="10"/>
      <c r="AE67" s="212"/>
      <c r="AF67" s="212"/>
      <c r="AG67" s="212"/>
      <c r="AH67" s="212"/>
      <c r="AI67" s="212"/>
      <c r="AJ67" s="212"/>
      <c r="AK67" s="212"/>
      <c r="AL67" s="212"/>
      <c r="AM67" s="212"/>
      <c r="AN67" s="212"/>
      <c r="AO67" s="212"/>
    </row>
    <row r="68" spans="28:41">
      <c r="AB68" s="10"/>
      <c r="AC68" s="10"/>
      <c r="AE68" s="212"/>
      <c r="AF68" s="212"/>
      <c r="AG68" s="212"/>
      <c r="AH68" s="212"/>
      <c r="AI68" s="212"/>
      <c r="AJ68" s="212"/>
      <c r="AK68" s="212"/>
      <c r="AL68" s="212"/>
      <c r="AM68" s="212"/>
      <c r="AN68" s="212"/>
      <c r="AO68" s="212"/>
    </row>
    <row r="69" spans="28:41">
      <c r="AB69" s="10"/>
      <c r="AC69" s="10"/>
      <c r="AE69" s="212"/>
      <c r="AF69" s="212"/>
      <c r="AG69" s="212"/>
      <c r="AH69" s="212"/>
      <c r="AI69" s="212"/>
      <c r="AJ69" s="212"/>
      <c r="AK69" s="212"/>
      <c r="AL69" s="212"/>
      <c r="AM69" s="212"/>
      <c r="AN69" s="212"/>
      <c r="AO69" s="212"/>
    </row>
    <row r="70" spans="28:41">
      <c r="AB70" s="10"/>
      <c r="AC70" s="10"/>
      <c r="AE70" s="212"/>
      <c r="AF70" s="212"/>
      <c r="AG70" s="212"/>
      <c r="AH70" s="212"/>
      <c r="AI70" s="212"/>
      <c r="AJ70" s="212"/>
      <c r="AK70" s="212"/>
      <c r="AL70" s="212"/>
      <c r="AM70" s="212"/>
      <c r="AN70" s="212"/>
      <c r="AO70" s="212"/>
    </row>
    <row r="71" spans="28:41">
      <c r="AB71" s="10"/>
      <c r="AC71" s="10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</row>
    <row r="72" spans="28:41">
      <c r="AB72" s="10"/>
      <c r="AC72" s="10"/>
      <c r="AE72" s="212"/>
      <c r="AF72" s="212"/>
      <c r="AG72" s="212"/>
      <c r="AH72" s="212"/>
      <c r="AI72" s="212"/>
      <c r="AJ72" s="212"/>
      <c r="AK72" s="212"/>
      <c r="AL72" s="212"/>
      <c r="AM72" s="212"/>
      <c r="AN72" s="212"/>
      <c r="AO72" s="212"/>
    </row>
    <row r="73" spans="28:41">
      <c r="AB73" s="10"/>
      <c r="AC73" s="10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</row>
  </sheetData>
  <mergeCells count="1">
    <mergeCell ref="C13:E13"/>
  </mergeCells>
  <conditionalFormatting sqref="J16:Z16">
    <cfRule type="containsText" dxfId="201" priority="2" operator="containsText" text="Rejected">
      <formula>NOT(ISERROR(SEARCH("Rejected",J16)))</formula>
    </cfRule>
    <cfRule type="containsText" dxfId="200" priority="3" operator="containsText" text="Review">
      <formula>NOT(ISERROR(SEARCH("Review",J16)))</formula>
    </cfRule>
    <cfRule type="containsText" dxfId="199" priority="4" operator="containsText" text="OK">
      <formula>NOT(ISERROR(SEARCH("OK",J16)))</formula>
    </cfRule>
  </conditionalFormatting>
  <conditionalFormatting sqref="B16">
    <cfRule type="duplicateValues" dxfId="198" priority="5"/>
  </conditionalFormatting>
  <conditionalFormatting sqref="C16">
    <cfRule type="duplicateValues" dxfId="197" priority="1"/>
  </conditionalFormatting>
  <dataValidations count="1">
    <dataValidation type="list" allowBlank="1" showInputMessage="1" showErrorMessage="1" sqref="I16" xr:uid="{AD953976-0EB6-41B0-9344-85514CE8A29E}">
      <formula1>"In Process,Approved,Rejected"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533400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UpdatePrevalidation">
                <anchor>
                  <from>
                    <xdr:col>7</xdr:col>
                    <xdr:colOff>57150</xdr:colOff>
                    <xdr:row>11</xdr:row>
                    <xdr:rowOff>142875</xdr:rowOff>
                  </from>
                  <to>
                    <xdr:col>9</xdr:col>
                    <xdr:colOff>19050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80357-A21A-4B1E-8F28-A0206E6DA1B1}">
  <sheetPr codeName="Sheet11">
    <tabColor theme="8"/>
  </sheetPr>
  <dimension ref="A1:U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E16" sqref="E16"/>
    </sheetView>
  </sheetViews>
  <sheetFormatPr defaultColWidth="0"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7" width="11.28515625" style="2" bestFit="1" customWidth="1"/>
    <col min="8" max="8" width="63.5703125" customWidth="1"/>
    <col min="9" max="9" width="9.140625" customWidth="1"/>
    <col min="10" max="10" width="0" style="10" hidden="1" customWidth="1"/>
    <col min="11" max="21" width="0" style="4" hidden="1" customWidth="1"/>
    <col min="22" max="16384" width="9.140625" style="4" hidden="1"/>
  </cols>
  <sheetData>
    <row r="1" spans="1:20" s="3" customFormat="1" hidden="1">
      <c r="A1" s="56" t="s">
        <v>10</v>
      </c>
      <c r="B1" s="15" t="s">
        <v>12</v>
      </c>
      <c r="C1" s="15"/>
      <c r="D1" s="15"/>
      <c r="E1" s="62"/>
      <c r="F1" s="67"/>
      <c r="G1" s="67"/>
      <c r="H1" s="15"/>
      <c r="I1" s="15"/>
      <c r="J1" s="16"/>
      <c r="K1" s="9"/>
      <c r="L1" s="9"/>
      <c r="M1" s="9"/>
    </row>
    <row r="2" spans="1:20" s="3" customFormat="1" hidden="1">
      <c r="A2" s="57" t="s">
        <v>18</v>
      </c>
      <c r="B2" s="7"/>
      <c r="C2" s="69" t="s">
        <v>38</v>
      </c>
      <c r="D2" s="69" t="s">
        <v>39</v>
      </c>
      <c r="E2" s="31"/>
      <c r="F2" s="19"/>
      <c r="G2" s="19"/>
      <c r="H2" s="8"/>
      <c r="I2" s="8"/>
      <c r="J2" s="8"/>
      <c r="K2" s="9"/>
      <c r="L2" s="9"/>
      <c r="M2" s="9"/>
    </row>
    <row r="3" spans="1:20" s="3" customFormat="1" hidden="1">
      <c r="A3" s="58" t="s">
        <v>5</v>
      </c>
      <c r="B3" s="5" t="s">
        <v>36</v>
      </c>
      <c r="C3" s="5" t="s">
        <v>37</v>
      </c>
      <c r="D3" s="31"/>
      <c r="E3" s="19"/>
      <c r="F3" s="8"/>
      <c r="G3" s="8"/>
      <c r="H3" s="8"/>
      <c r="I3" s="8"/>
      <c r="J3" s="9"/>
      <c r="K3" s="9"/>
      <c r="L3" s="9"/>
    </row>
    <row r="4" spans="1:20" s="21" customFormat="1" hidden="1">
      <c r="A4" s="18">
        <f>MATCH(A3,10:10,0)</f>
        <v>1</v>
      </c>
      <c r="B4" s="18">
        <f>MATCH(B3,10:10,0)</f>
        <v>7</v>
      </c>
      <c r="C4" s="18">
        <f>MATCH(C3,10:10,0)</f>
        <v>8</v>
      </c>
      <c r="D4" s="31"/>
      <c r="E4" s="19"/>
      <c r="F4" s="19"/>
      <c r="G4" s="19"/>
      <c r="H4" s="19"/>
      <c r="I4" s="19"/>
      <c r="J4" s="20"/>
      <c r="K4" s="20"/>
      <c r="L4" s="20"/>
      <c r="R4" s="28"/>
      <c r="S4" s="28"/>
    </row>
    <row r="5" spans="1:20" s="21" customFormat="1" hidden="1">
      <c r="A5" s="18">
        <v>59</v>
      </c>
      <c r="B5" s="6" t="e">
        <f>IF(VLOOKUP($A$5,Table35367[],B4,FALSE)&lt;&gt;0,VLOOKUP($A$5,Table35367[],B4,FALSE),"")</f>
        <v>#N/A</v>
      </c>
      <c r="C5" s="18" t="e">
        <f>IF(VLOOKUP($A$5,Table35367[],C4,FALSE)&lt;&gt;0,VLOOKUP($A$5,Table35367[],C4,FALSE),"")</f>
        <v>#N/A</v>
      </c>
      <c r="D5" s="31"/>
      <c r="E5" s="19"/>
      <c r="F5" s="19"/>
      <c r="G5" s="19"/>
      <c r="H5" s="19"/>
      <c r="I5" s="19"/>
      <c r="J5" s="20"/>
      <c r="K5" s="20"/>
      <c r="L5" s="20"/>
      <c r="R5" s="28"/>
      <c r="S5" s="28"/>
    </row>
    <row r="6" spans="1:20" hidden="1">
      <c r="A6" s="59" t="s">
        <v>16</v>
      </c>
      <c r="B6" s="12"/>
      <c r="C6" s="12"/>
      <c r="D6" s="12"/>
      <c r="E6" s="63"/>
      <c r="F6" s="60"/>
      <c r="G6" s="60"/>
      <c r="H6" s="12"/>
      <c r="I6" s="12"/>
      <c r="J6" s="11"/>
    </row>
    <row r="7" spans="1:20" hidden="1">
      <c r="A7" s="111" t="s">
        <v>86</v>
      </c>
      <c r="B7" s="111"/>
      <c r="C7" s="12"/>
      <c r="D7" s="12"/>
      <c r="E7" s="63"/>
      <c r="F7" s="60"/>
      <c r="G7" s="60"/>
      <c r="H7" s="12"/>
      <c r="I7" s="12"/>
      <c r="J7" s="11"/>
    </row>
    <row r="8" spans="1:20" hidden="1">
      <c r="A8" s="60" t="s">
        <v>87</v>
      </c>
      <c r="B8" s="12"/>
      <c r="C8" s="12"/>
      <c r="D8" s="12"/>
      <c r="E8" s="63"/>
      <c r="F8" s="60"/>
      <c r="G8" s="60"/>
      <c r="H8" s="12"/>
      <c r="I8" s="12"/>
      <c r="J8" s="11"/>
    </row>
    <row r="9" spans="1:20" hidden="1">
      <c r="A9" s="61" t="s">
        <v>17</v>
      </c>
      <c r="B9" s="13"/>
      <c r="C9" s="13"/>
      <c r="D9" s="13"/>
      <c r="E9" s="64"/>
      <c r="F9" s="22"/>
      <c r="G9" s="22"/>
      <c r="H9" s="13"/>
      <c r="I9" s="13"/>
      <c r="J9" s="14"/>
    </row>
    <row r="10" spans="1:20" hidden="1">
      <c r="A10" s="58" t="s">
        <v>5</v>
      </c>
      <c r="B10" s="17" t="s">
        <v>4</v>
      </c>
      <c r="C10" s="17" t="s">
        <v>14</v>
      </c>
      <c r="D10" s="17" t="s">
        <v>1</v>
      </c>
      <c r="E10" s="65" t="s">
        <v>3</v>
      </c>
      <c r="F10" s="58" t="s">
        <v>86</v>
      </c>
      <c r="G10" s="58" t="s">
        <v>36</v>
      </c>
      <c r="H10" s="17" t="s">
        <v>37</v>
      </c>
      <c r="I10" s="13"/>
      <c r="J10" s="14"/>
    </row>
    <row r="11" spans="1:20" s="24" customFormat="1" hidden="1">
      <c r="A11" s="22"/>
      <c r="B11" s="22"/>
      <c r="C11" s="22"/>
      <c r="D11" s="22"/>
      <c r="E11" s="64"/>
      <c r="F11" s="22"/>
      <c r="G11" s="22"/>
      <c r="H11" s="22"/>
      <c r="I11" s="22"/>
      <c r="J11" s="23"/>
      <c r="S11" s="29"/>
      <c r="T11" s="29"/>
    </row>
    <row r="13" spans="1:20" ht="21">
      <c r="C13" s="203" t="s">
        <v>35</v>
      </c>
      <c r="D13" s="204"/>
      <c r="E13" s="204"/>
    </row>
    <row r="15" spans="1:20" s="27" customFormat="1" ht="30">
      <c r="A15" s="134" t="s">
        <v>21</v>
      </c>
      <c r="B15" s="135" t="s">
        <v>0</v>
      </c>
      <c r="C15" s="135" t="s">
        <v>22</v>
      </c>
      <c r="D15" s="135" t="s">
        <v>1</v>
      </c>
      <c r="E15" s="136" t="s">
        <v>9</v>
      </c>
      <c r="F15" s="189" t="s">
        <v>86</v>
      </c>
      <c r="G15" s="139" t="s">
        <v>19</v>
      </c>
      <c r="H15" s="140" t="s">
        <v>23</v>
      </c>
      <c r="I15" s="1"/>
      <c r="J15" s="26"/>
    </row>
    <row r="16" spans="1:20">
      <c r="A16" s="137"/>
      <c r="B16" s="123"/>
      <c r="C16" s="123"/>
      <c r="D16" s="123"/>
      <c r="E16" s="124"/>
      <c r="F16" s="190"/>
      <c r="G16" s="122"/>
      <c r="H16" s="138"/>
    </row>
  </sheetData>
  <mergeCells count="1">
    <mergeCell ref="C13:E13"/>
  </mergeCells>
  <conditionalFormatting sqref="B16">
    <cfRule type="duplicateValues" dxfId="167" priority="47"/>
  </conditionalFormatting>
  <conditionalFormatting sqref="C16">
    <cfRule type="duplicateValues" dxfId="166" priority="48"/>
  </conditionalFormatting>
  <dataValidations count="1">
    <dataValidation type="list" allowBlank="1" showInputMessage="1" showErrorMessage="1" sqref="G16" xr:uid="{BA6899C6-29FE-4A02-B539-037FD635DCBF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561975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UpdatePrevalidation">
                <anchor>
                  <from>
                    <xdr:col>7</xdr:col>
                    <xdr:colOff>19050</xdr:colOff>
                    <xdr:row>11</xdr:row>
                    <xdr:rowOff>142875</xdr:rowOff>
                  </from>
                  <to>
                    <xdr:col>7</xdr:col>
                    <xdr:colOff>1352550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B0BD-FA33-44D6-AE2B-977D4B04019E}">
  <sheetPr codeName="Sheet10">
    <tabColor theme="6"/>
  </sheetPr>
  <dimension ref="A1:V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70" customWidth="1"/>
    <col min="2" max="2" width="16.7109375" style="71" bestFit="1" customWidth="1"/>
    <col min="3" max="3" width="14" style="71" customWidth="1"/>
    <col min="4" max="4" width="11.28515625" style="71" bestFit="1" customWidth="1"/>
    <col min="5" max="5" width="15.140625" style="72" bestFit="1" customWidth="1"/>
    <col min="6" max="10" width="11.42578125" style="104" customWidth="1"/>
    <col min="11" max="11" width="11.140625" style="71" bestFit="1" customWidth="1"/>
    <col min="12" max="12" width="31.5703125" style="73" bestFit="1" customWidth="1"/>
    <col min="13" max="13" width="9.140625" style="52" customWidth="1"/>
    <col min="14" max="16384" width="9.140625" style="48" hidden="1"/>
  </cols>
  <sheetData>
    <row r="1" spans="1:22" s="40" customFormat="1" hidden="1">
      <c r="A1" s="74" t="s">
        <v>10</v>
      </c>
      <c r="B1" s="75" t="s">
        <v>12</v>
      </c>
      <c r="C1" s="75"/>
      <c r="D1" s="75"/>
      <c r="E1" s="76"/>
      <c r="F1" s="77"/>
      <c r="G1" s="75"/>
      <c r="H1" s="186"/>
      <c r="I1" s="75"/>
      <c r="J1" s="75"/>
      <c r="K1" s="75"/>
      <c r="L1" s="78"/>
      <c r="M1" s="155"/>
      <c r="N1" s="39"/>
      <c r="O1" s="39"/>
    </row>
    <row r="2" spans="1:22" s="40" customFormat="1" hidden="1">
      <c r="A2" s="79" t="s">
        <v>18</v>
      </c>
      <c r="B2" s="38"/>
      <c r="C2" s="80" t="s">
        <v>38</v>
      </c>
      <c r="D2" s="80" t="s">
        <v>39</v>
      </c>
      <c r="E2" s="81"/>
      <c r="F2" s="55"/>
      <c r="G2" s="42"/>
      <c r="H2" s="42"/>
      <c r="I2" s="42"/>
      <c r="J2" s="42"/>
      <c r="K2" s="42"/>
      <c r="L2" s="42"/>
      <c r="M2" s="155"/>
      <c r="N2" s="39"/>
      <c r="O2" s="39"/>
    </row>
    <row r="3" spans="1:22" s="40" customFormat="1" hidden="1">
      <c r="A3" s="82" t="s">
        <v>5</v>
      </c>
      <c r="B3" s="41" t="s">
        <v>59</v>
      </c>
      <c r="C3" s="41" t="s">
        <v>60</v>
      </c>
      <c r="D3" s="43" t="s">
        <v>41</v>
      </c>
      <c r="E3" s="68" t="s">
        <v>42</v>
      </c>
      <c r="F3" s="42"/>
      <c r="G3" s="42"/>
      <c r="H3" s="42"/>
      <c r="I3" s="42"/>
      <c r="J3" s="42"/>
      <c r="K3" s="42"/>
      <c r="L3" s="42"/>
      <c r="M3" s="155"/>
      <c r="N3" s="39"/>
    </row>
    <row r="4" spans="1:22" s="84" customFormat="1" hidden="1">
      <c r="A4" s="68">
        <f>MATCH(A3,10:10,0)</f>
        <v>1</v>
      </c>
      <c r="B4" s="68">
        <f>MATCH(B3,10:10,0)</f>
        <v>9</v>
      </c>
      <c r="C4" s="68">
        <f>MATCH(C3,10:10,0)</f>
        <v>10</v>
      </c>
      <c r="D4" s="68">
        <f>MATCH(D3,10:10,0)</f>
        <v>11</v>
      </c>
      <c r="E4" s="68">
        <f>MATCH(E3,10:10,0)</f>
        <v>12</v>
      </c>
      <c r="F4" s="55"/>
      <c r="G4" s="55"/>
      <c r="H4" s="55"/>
      <c r="I4" s="55"/>
      <c r="J4" s="55"/>
      <c r="K4" s="55"/>
      <c r="L4" s="55"/>
      <c r="M4" s="156"/>
      <c r="N4" s="83"/>
      <c r="T4" s="85"/>
      <c r="U4" s="85"/>
    </row>
    <row r="5" spans="1:22" s="84" customFormat="1" hidden="1">
      <c r="A5" s="68">
        <v>38</v>
      </c>
      <c r="B5" s="68" t="e">
        <f>IF(VLOOKUP($A$5,Table3536[],B4,FALSE)&lt;&gt;0,VLOOKUP($A$5,Table3536[],B4,FALSE),"")</f>
        <v>#N/A</v>
      </c>
      <c r="C5" s="68" t="e">
        <f>IF(VLOOKUP($A$5,Table3536[],C4,FALSE)&lt;&gt;0,VLOOKUP($A$5,Table3536[],C4,FALSE),"")</f>
        <v>#N/A</v>
      </c>
      <c r="D5" s="43" t="e">
        <f>IF(VLOOKUP($A$5,Table3536[],D4,FALSE)&lt;&gt;0,VLOOKUP($A$5,Table3536[],D4,FALSE),"")</f>
        <v>#N/A</v>
      </c>
      <c r="E5" s="43" t="e">
        <f>IF(VLOOKUP($A$5,Table3536[],E4,FALSE)&lt;&gt;0,VLOOKUP($A$5,Table3536[],E4,FALSE),"")</f>
        <v>#N/A</v>
      </c>
      <c r="F5" s="55"/>
      <c r="G5" s="55"/>
      <c r="H5" s="55"/>
      <c r="I5" s="55"/>
      <c r="J5" s="55"/>
      <c r="K5" s="55"/>
      <c r="L5" s="55"/>
      <c r="M5" s="156"/>
      <c r="N5" s="83"/>
      <c r="T5" s="85"/>
      <c r="U5" s="85"/>
    </row>
    <row r="6" spans="1:22" hidden="1">
      <c r="A6" s="86" t="s">
        <v>16</v>
      </c>
      <c r="B6" s="50"/>
      <c r="C6" s="50"/>
      <c r="D6" s="50"/>
      <c r="E6" s="87"/>
      <c r="F6" s="88"/>
      <c r="G6" s="50"/>
      <c r="H6" s="50"/>
      <c r="I6" s="50"/>
      <c r="J6" s="50"/>
      <c r="K6" s="50"/>
      <c r="L6" s="47"/>
    </row>
    <row r="7" spans="1:22" hidden="1">
      <c r="A7" s="112"/>
      <c r="B7" s="50"/>
      <c r="C7" s="50"/>
      <c r="D7" s="50"/>
      <c r="E7" s="87"/>
      <c r="F7" s="88"/>
      <c r="G7" s="50"/>
      <c r="H7" s="50"/>
      <c r="I7" s="50"/>
      <c r="J7" s="50"/>
      <c r="K7" s="50"/>
      <c r="L7" s="47"/>
    </row>
    <row r="8" spans="1:22" hidden="1">
      <c r="A8" s="88"/>
      <c r="B8" s="50"/>
      <c r="C8" s="50"/>
      <c r="D8" s="50"/>
      <c r="E8" s="87"/>
      <c r="F8" s="88"/>
      <c r="G8" s="50"/>
      <c r="H8" s="50"/>
      <c r="I8" s="50"/>
      <c r="J8" s="50"/>
      <c r="K8" s="50"/>
      <c r="L8" s="47"/>
    </row>
    <row r="9" spans="1:22" hidden="1">
      <c r="A9" s="89" t="s">
        <v>17</v>
      </c>
      <c r="B9" s="90"/>
      <c r="C9" s="90"/>
      <c r="D9" s="90"/>
      <c r="E9" s="91"/>
      <c r="F9" s="92"/>
      <c r="G9" s="90"/>
      <c r="H9" s="90"/>
      <c r="I9" s="90"/>
      <c r="J9" s="90"/>
      <c r="K9" s="90"/>
      <c r="L9" s="93"/>
    </row>
    <row r="10" spans="1:22" hidden="1">
      <c r="A10" s="82" t="s">
        <v>5</v>
      </c>
      <c r="B10" s="94" t="s">
        <v>4</v>
      </c>
      <c r="C10" s="94" t="s">
        <v>14</v>
      </c>
      <c r="D10" s="94" t="s">
        <v>1</v>
      </c>
      <c r="E10" s="95" t="s">
        <v>3</v>
      </c>
      <c r="F10" s="82" t="s">
        <v>34</v>
      </c>
      <c r="G10" s="94" t="s">
        <v>33</v>
      </c>
      <c r="H10" s="93" t="s">
        <v>86</v>
      </c>
      <c r="I10" s="93" t="s">
        <v>59</v>
      </c>
      <c r="J10" s="93" t="s">
        <v>60</v>
      </c>
      <c r="K10" s="90" t="s">
        <v>41</v>
      </c>
      <c r="L10" s="93" t="s">
        <v>42</v>
      </c>
    </row>
    <row r="11" spans="1:22" s="97" customFormat="1" hidden="1">
      <c r="A11" s="92"/>
      <c r="B11" s="92"/>
      <c r="C11" s="92"/>
      <c r="D11" s="92"/>
      <c r="E11" s="91"/>
      <c r="F11" s="92"/>
      <c r="G11" s="92"/>
      <c r="H11" s="92"/>
      <c r="I11" s="92"/>
      <c r="J11" s="92"/>
      <c r="K11" s="92"/>
      <c r="L11" s="96"/>
      <c r="M11" s="157"/>
      <c r="U11" s="98"/>
      <c r="V11" s="98"/>
    </row>
    <row r="12" spans="1:22">
      <c r="A12" s="99"/>
      <c r="B12" s="100"/>
      <c r="C12" s="100"/>
      <c r="D12" s="100"/>
      <c r="E12" s="101"/>
      <c r="F12" s="99"/>
      <c r="G12" s="100"/>
      <c r="H12" s="100"/>
      <c r="I12" s="100"/>
      <c r="J12" s="100"/>
      <c r="K12" s="100"/>
      <c r="L12" s="102"/>
    </row>
    <row r="13" spans="1:22" ht="21">
      <c r="A13" s="99"/>
      <c r="B13" s="100"/>
      <c r="C13" s="205" t="s">
        <v>40</v>
      </c>
      <c r="D13" s="206"/>
      <c r="E13" s="206"/>
      <c r="F13" s="99"/>
      <c r="G13" s="100"/>
      <c r="H13" s="100"/>
      <c r="I13" s="100"/>
      <c r="J13" s="100"/>
      <c r="K13" s="100"/>
      <c r="L13" s="102"/>
    </row>
    <row r="14" spans="1:22">
      <c r="A14" s="99"/>
      <c r="B14" s="100"/>
      <c r="C14" s="100"/>
      <c r="D14" s="100"/>
      <c r="E14" s="101"/>
      <c r="F14" s="99"/>
      <c r="G14" s="100"/>
      <c r="H14" s="100"/>
      <c r="I14" s="100"/>
      <c r="J14" s="100"/>
      <c r="K14" s="100"/>
      <c r="L14" s="102"/>
    </row>
    <row r="15" spans="1:22" s="103" customFormat="1" ht="30">
      <c r="A15" s="153" t="s">
        <v>21</v>
      </c>
      <c r="B15" s="142" t="s">
        <v>0</v>
      </c>
      <c r="C15" s="142" t="s">
        <v>22</v>
      </c>
      <c r="D15" s="142" t="s">
        <v>1</v>
      </c>
      <c r="E15" s="154" t="s">
        <v>9</v>
      </c>
      <c r="F15" s="141" t="s">
        <v>43</v>
      </c>
      <c r="G15" s="141" t="s">
        <v>44</v>
      </c>
      <c r="H15" s="141" t="s">
        <v>86</v>
      </c>
      <c r="I15" s="165" t="s">
        <v>45</v>
      </c>
      <c r="J15" s="165" t="s">
        <v>46</v>
      </c>
      <c r="K15" s="166" t="s">
        <v>19</v>
      </c>
      <c r="L15" s="167" t="s">
        <v>23</v>
      </c>
      <c r="M15" s="158"/>
    </row>
    <row r="16" spans="1:22">
      <c r="A16" s="159"/>
      <c r="B16" s="160"/>
      <c r="C16" s="160"/>
      <c r="D16" s="160"/>
      <c r="E16" s="161"/>
      <c r="F16" s="162"/>
      <c r="G16" s="163"/>
      <c r="H16" s="163"/>
      <c r="I16" s="163"/>
      <c r="J16" s="163"/>
      <c r="K16" s="160"/>
      <c r="L16" s="164"/>
    </row>
  </sheetData>
  <sheetProtection formatColumns="0" formatRows="0" selectLockedCells="1" autoFilter="0" pivotTables="0"/>
  <mergeCells count="1">
    <mergeCell ref="C13:E13"/>
  </mergeCells>
  <conditionalFormatting sqref="B16">
    <cfRule type="duplicateValues" dxfId="152" priority="49"/>
  </conditionalFormatting>
  <conditionalFormatting sqref="C16">
    <cfRule type="duplicateValues" dxfId="151" priority="50"/>
  </conditionalFormatting>
  <dataValidations count="2">
    <dataValidation allowBlank="1" showInputMessage="1" showErrorMessage="1" sqref="F16" xr:uid="{628E426F-D4C9-45DF-9B08-A046DB83AA1B}"/>
    <dataValidation type="list" allowBlank="1" showInputMessage="1" showErrorMessage="1" sqref="K16" xr:uid="{079179B2-E342-48D1-910E-E80B9E15C9E5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552450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11</xdr:row>
                    <xdr:rowOff>142875</xdr:rowOff>
                  </from>
                  <to>
                    <xdr:col>8</xdr:col>
                    <xdr:colOff>571500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E625A-D49A-48BF-9F59-CA77C98AB4E2}">
  <sheetPr codeName="Sheet12">
    <tabColor theme="5"/>
  </sheetPr>
  <dimension ref="A1:V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70" customWidth="1"/>
    <col min="2" max="2" width="16.7109375" style="71" bestFit="1" customWidth="1"/>
    <col min="3" max="3" width="14" style="71" customWidth="1"/>
    <col min="4" max="4" width="11.28515625" style="71" bestFit="1" customWidth="1"/>
    <col min="5" max="5" width="15.140625" style="72" bestFit="1" customWidth="1"/>
    <col min="6" max="8" width="11.42578125" style="104" customWidth="1"/>
    <col min="9" max="9" width="26.28515625" style="104" bestFit="1" customWidth="1"/>
    <col min="10" max="10" width="11.140625" style="71" bestFit="1" customWidth="1"/>
    <col min="11" max="11" width="57.42578125" style="73" bestFit="1" customWidth="1"/>
    <col min="12" max="22" width="0" style="48" hidden="1" customWidth="1"/>
    <col min="23" max="16384" width="9.140625" style="48" hidden="1"/>
  </cols>
  <sheetData>
    <row r="1" spans="1:21" s="40" customFormat="1" hidden="1">
      <c r="A1" s="74" t="s">
        <v>10</v>
      </c>
      <c r="B1" s="75" t="s">
        <v>12</v>
      </c>
      <c r="C1" s="75"/>
      <c r="D1" s="75"/>
      <c r="E1" s="76"/>
      <c r="F1" s="77"/>
      <c r="G1" s="191"/>
      <c r="H1" s="75"/>
      <c r="I1" s="75"/>
      <c r="J1" s="75"/>
      <c r="K1" s="78"/>
      <c r="L1" s="39"/>
      <c r="M1" s="39"/>
      <c r="N1" s="39"/>
    </row>
    <row r="2" spans="1:21" s="40" customFormat="1" hidden="1">
      <c r="A2" s="79" t="s">
        <v>18</v>
      </c>
      <c r="B2" s="38"/>
      <c r="C2" s="80" t="s">
        <v>38</v>
      </c>
      <c r="D2" s="80" t="s">
        <v>39</v>
      </c>
      <c r="E2" s="81"/>
      <c r="F2" s="55"/>
      <c r="G2" s="55"/>
      <c r="H2" s="42"/>
      <c r="I2" s="42"/>
      <c r="J2" s="42"/>
      <c r="K2" s="42"/>
      <c r="L2" s="39"/>
      <c r="M2" s="39"/>
      <c r="N2" s="39"/>
    </row>
    <row r="3" spans="1:21" s="40" customFormat="1" hidden="1">
      <c r="A3" s="82" t="s">
        <v>5</v>
      </c>
      <c r="B3" s="41" t="s">
        <v>31</v>
      </c>
      <c r="C3" s="41" t="s">
        <v>47</v>
      </c>
      <c r="D3" s="43" t="s">
        <v>50</v>
      </c>
      <c r="E3" s="68" t="s">
        <v>48</v>
      </c>
      <c r="F3" s="42" t="s">
        <v>49</v>
      </c>
      <c r="G3" s="42"/>
      <c r="H3" s="42"/>
      <c r="I3" s="42"/>
      <c r="J3" s="42"/>
      <c r="K3" s="42"/>
      <c r="L3" s="39"/>
      <c r="M3" s="39"/>
    </row>
    <row r="4" spans="1:21" s="84" customFormat="1" hidden="1">
      <c r="A4" s="68">
        <f t="shared" ref="A4:F4" si="0">MATCH(A3,10:10,0)</f>
        <v>1</v>
      </c>
      <c r="B4" s="68">
        <f t="shared" si="0"/>
        <v>6</v>
      </c>
      <c r="C4" s="68">
        <f t="shared" si="0"/>
        <v>8</v>
      </c>
      <c r="D4" s="68">
        <f t="shared" si="0"/>
        <v>9</v>
      </c>
      <c r="E4" s="68">
        <f t="shared" si="0"/>
        <v>10</v>
      </c>
      <c r="F4" s="68">
        <f t="shared" si="0"/>
        <v>11</v>
      </c>
      <c r="G4" s="55"/>
      <c r="H4" s="55"/>
      <c r="I4" s="55"/>
      <c r="J4" s="55"/>
      <c r="K4" s="55"/>
      <c r="L4" s="83"/>
      <c r="M4" s="83"/>
      <c r="S4" s="85"/>
      <c r="T4" s="85"/>
    </row>
    <row r="5" spans="1:21" s="84" customFormat="1" hidden="1">
      <c r="A5" s="68">
        <v>41</v>
      </c>
      <c r="B5" s="68" t="e">
        <f>IF(VLOOKUP($A$5,Table35363[],B4,FALSE)&lt;&gt;0,VLOOKUP($A$5,Table35363[],B4,FALSE),"")</f>
        <v>#N/A</v>
      </c>
      <c r="C5" s="68" t="e">
        <f>IF(VLOOKUP($A$5,Table35363[],C4,FALSE)&lt;&gt;0,VLOOKUP($A$5,Table35363[],C4,FALSE),"")</f>
        <v>#N/A</v>
      </c>
      <c r="D5" s="68" t="e">
        <f>IF(VLOOKUP($A$5,Table35363[],D4,FALSE)&lt;&gt;0,VLOOKUP($A$5,Table35363[],D4,FALSE),"")</f>
        <v>#N/A</v>
      </c>
      <c r="E5" s="68" t="e">
        <f>IF(VLOOKUP($A$5,Table35363[],E4,FALSE)&lt;&gt;0,VLOOKUP($A$5,Table35363[],E4,FALSE),"")</f>
        <v>#N/A</v>
      </c>
      <c r="F5" s="68" t="e">
        <f>IF(VLOOKUP($A$5,Table35363[],F4,FALSE)&lt;&gt;0,VLOOKUP($A$5,Table35363[],F4,FALSE),"")</f>
        <v>#N/A</v>
      </c>
      <c r="G5" s="55"/>
      <c r="H5" s="55"/>
      <c r="I5" s="55"/>
      <c r="J5" s="55"/>
      <c r="K5" s="55"/>
      <c r="L5" s="83"/>
      <c r="M5" s="83"/>
      <c r="S5" s="85"/>
      <c r="T5" s="85"/>
    </row>
    <row r="6" spans="1:21" hidden="1">
      <c r="A6" s="86" t="s">
        <v>16</v>
      </c>
      <c r="B6" s="50"/>
      <c r="C6" s="50"/>
      <c r="D6" s="50"/>
      <c r="E6" s="87"/>
      <c r="F6" s="88"/>
      <c r="G6" s="88"/>
      <c r="H6" s="50"/>
      <c r="I6" s="50"/>
      <c r="J6" s="50"/>
      <c r="K6" s="47"/>
    </row>
    <row r="7" spans="1:21" hidden="1">
      <c r="A7" s="112"/>
      <c r="B7" s="50"/>
      <c r="C7" s="50"/>
      <c r="D7" s="50"/>
      <c r="E7" s="87"/>
      <c r="F7" s="88"/>
      <c r="G7" s="88"/>
      <c r="H7" s="50"/>
      <c r="I7" s="50"/>
      <c r="J7" s="50"/>
      <c r="K7" s="47"/>
    </row>
    <row r="8" spans="1:21" hidden="1">
      <c r="A8" s="88"/>
      <c r="B8" s="50"/>
      <c r="C8" s="50"/>
      <c r="D8" s="50"/>
      <c r="E8" s="87"/>
      <c r="F8" s="88"/>
      <c r="G8" s="88"/>
      <c r="H8" s="50"/>
      <c r="I8" s="50"/>
      <c r="J8" s="50"/>
      <c r="K8" s="47"/>
    </row>
    <row r="9" spans="1:21" hidden="1">
      <c r="A9" s="89" t="s">
        <v>17</v>
      </c>
      <c r="B9" s="90"/>
      <c r="C9" s="90"/>
      <c r="D9" s="90"/>
      <c r="E9" s="91"/>
      <c r="F9" s="92"/>
      <c r="G9" s="92"/>
      <c r="H9" s="90"/>
      <c r="I9" s="90"/>
      <c r="J9" s="90"/>
      <c r="K9" s="93"/>
    </row>
    <row r="10" spans="1:21" hidden="1">
      <c r="A10" s="82" t="s">
        <v>5</v>
      </c>
      <c r="B10" s="94" t="s">
        <v>4</v>
      </c>
      <c r="C10" s="94" t="s">
        <v>14</v>
      </c>
      <c r="D10" s="94" t="s">
        <v>1</v>
      </c>
      <c r="E10" s="95" t="s">
        <v>3</v>
      </c>
      <c r="F10" s="82" t="s">
        <v>31</v>
      </c>
      <c r="G10" s="192" t="s">
        <v>86</v>
      </c>
      <c r="H10" s="94" t="s">
        <v>47</v>
      </c>
      <c r="I10" s="93" t="s">
        <v>50</v>
      </c>
      <c r="J10" s="90" t="s">
        <v>48</v>
      </c>
      <c r="K10" s="93" t="s">
        <v>49</v>
      </c>
    </row>
    <row r="11" spans="1:21" s="97" customFormat="1" hidden="1">
      <c r="A11" s="92"/>
      <c r="B11" s="92"/>
      <c r="C11" s="92"/>
      <c r="D11" s="92"/>
      <c r="E11" s="91"/>
      <c r="F11" s="92"/>
      <c r="G11" s="92"/>
      <c r="H11" s="92"/>
      <c r="I11" s="92"/>
      <c r="J11" s="92"/>
      <c r="K11" s="96"/>
      <c r="T11" s="98"/>
      <c r="U11" s="98"/>
    </row>
    <row r="12" spans="1:21">
      <c r="A12" s="99"/>
      <c r="B12" s="100"/>
      <c r="C12" s="100"/>
      <c r="D12" s="100"/>
      <c r="E12" s="101"/>
      <c r="F12" s="99"/>
      <c r="G12" s="99"/>
      <c r="H12" s="100"/>
      <c r="I12" s="100"/>
      <c r="J12" s="100"/>
      <c r="K12" s="102"/>
    </row>
    <row r="13" spans="1:21" ht="21">
      <c r="A13" s="99"/>
      <c r="B13" s="100"/>
      <c r="C13" s="205" t="s">
        <v>51</v>
      </c>
      <c r="D13" s="206"/>
      <c r="E13" s="206"/>
      <c r="F13" s="99"/>
      <c r="G13" s="99"/>
      <c r="H13" s="100"/>
      <c r="I13" s="100"/>
      <c r="J13" s="100"/>
      <c r="K13" s="102"/>
    </row>
    <row r="14" spans="1:21">
      <c r="A14" s="99"/>
      <c r="B14" s="100"/>
      <c r="C14" s="100"/>
      <c r="D14" s="100"/>
      <c r="E14" s="101"/>
      <c r="F14" s="99"/>
      <c r="G14" s="99"/>
      <c r="H14" s="100"/>
      <c r="I14" s="100"/>
      <c r="J14" s="100"/>
      <c r="K14" s="102"/>
    </row>
    <row r="15" spans="1:21" s="103" customFormat="1" ht="30">
      <c r="A15" s="153" t="s">
        <v>21</v>
      </c>
      <c r="B15" s="142" t="s">
        <v>0</v>
      </c>
      <c r="C15" s="142" t="s">
        <v>22</v>
      </c>
      <c r="D15" s="142" t="s">
        <v>1</v>
      </c>
      <c r="E15" s="154" t="s">
        <v>9</v>
      </c>
      <c r="F15" s="141" t="s">
        <v>26</v>
      </c>
      <c r="G15" s="141" t="s">
        <v>86</v>
      </c>
      <c r="H15" s="150" t="s">
        <v>52</v>
      </c>
      <c r="I15" s="150" t="s">
        <v>69</v>
      </c>
      <c r="J15" s="151" t="s">
        <v>53</v>
      </c>
      <c r="K15" s="152" t="s">
        <v>54</v>
      </c>
    </row>
    <row r="16" spans="1:21">
      <c r="A16" s="143"/>
      <c r="B16" s="144"/>
      <c r="C16" s="144"/>
      <c r="D16" s="144"/>
      <c r="E16" s="145"/>
      <c r="F16" s="146"/>
      <c r="G16" s="193"/>
      <c r="H16" s="147"/>
      <c r="I16" s="148"/>
      <c r="J16" s="144"/>
      <c r="K16" s="149"/>
    </row>
  </sheetData>
  <sheetProtection formatColumns="0" formatRows="0" selectLockedCells="1" autoFilter="0" pivotTables="0"/>
  <mergeCells count="1">
    <mergeCell ref="C13:E13"/>
  </mergeCells>
  <conditionalFormatting sqref="B16">
    <cfRule type="duplicateValues" dxfId="133" priority="2"/>
  </conditionalFormatting>
  <conditionalFormatting sqref="C16">
    <cfRule type="duplicateValues" dxfId="132" priority="1"/>
  </conditionalFormatting>
  <dataValidations count="3">
    <dataValidation type="list" allowBlank="1" showInputMessage="1" showErrorMessage="1" sqref="J16" xr:uid="{8AE13D27-3BD2-4186-A343-27AA7783D2F3}">
      <formula1>"OK,Rejected,Review"</formula1>
    </dataValidation>
    <dataValidation allowBlank="1" showInputMessage="1" showErrorMessage="1" sqref="F16:G16" xr:uid="{EC79B11A-D883-4A1B-A586-AEF88D29403B}"/>
    <dataValidation type="decimal" operator="greaterThanOrEqual" allowBlank="1" showInputMessage="1" showErrorMessage="1" sqref="H16" xr:uid="{4B8E5B58-3BC7-4021-B672-F80AECA3DF1F}">
      <formula1>0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552450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11</xdr:row>
                    <xdr:rowOff>142875</xdr:rowOff>
                  </from>
                  <to>
                    <xdr:col>8</xdr:col>
                    <xdr:colOff>571500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E5B1A-A5F1-4248-8223-848802A36DAA}">
  <sheetPr codeName="Sheet13">
    <tabColor theme="7"/>
  </sheetPr>
  <dimension ref="A1:T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70" customWidth="1"/>
    <col min="2" max="2" width="16.7109375" style="71" bestFit="1" customWidth="1"/>
    <col min="3" max="3" width="14" style="71" customWidth="1"/>
    <col min="4" max="4" width="11.28515625" style="71" bestFit="1" customWidth="1"/>
    <col min="5" max="5" width="15.140625" style="72" bestFit="1" customWidth="1"/>
    <col min="6" max="6" width="15.140625" style="104" bestFit="1" customWidth="1"/>
    <col min="7" max="7" width="15.140625" style="104" customWidth="1"/>
    <col min="8" max="8" width="14.7109375" style="104" bestFit="1" customWidth="1"/>
    <col min="9" max="9" width="11.42578125" style="104" customWidth="1"/>
    <col min="10" max="10" width="45.85546875" style="104" customWidth="1"/>
    <col min="11" max="11" width="9.140625" style="107" customWidth="1"/>
    <col min="12" max="16384" width="9.140625" style="48" hidden="1"/>
  </cols>
  <sheetData>
    <row r="1" spans="1:20" s="40" customFormat="1" hidden="1">
      <c r="A1" s="74" t="s">
        <v>10</v>
      </c>
      <c r="B1" s="75" t="s">
        <v>12</v>
      </c>
      <c r="C1" s="75"/>
      <c r="D1" s="75"/>
      <c r="E1" s="76"/>
      <c r="F1" s="77"/>
      <c r="G1" s="191"/>
      <c r="H1" s="75"/>
      <c r="I1" s="75"/>
      <c r="J1" s="75"/>
      <c r="K1" s="105"/>
      <c r="L1" s="39"/>
      <c r="M1" s="39"/>
    </row>
    <row r="2" spans="1:20" s="40" customFormat="1" hidden="1">
      <c r="A2" s="79" t="s">
        <v>18</v>
      </c>
      <c r="B2" s="38"/>
      <c r="C2" s="80" t="s">
        <v>38</v>
      </c>
      <c r="D2" s="80" t="s">
        <v>39</v>
      </c>
      <c r="E2" s="81"/>
      <c r="F2" s="55"/>
      <c r="G2" s="55"/>
      <c r="H2" s="42"/>
      <c r="I2" s="42"/>
      <c r="J2" s="42"/>
      <c r="K2" s="105"/>
      <c r="L2" s="39"/>
      <c r="M2" s="39"/>
    </row>
    <row r="3" spans="1:20" s="40" customFormat="1" hidden="1">
      <c r="A3" s="82" t="s">
        <v>5</v>
      </c>
      <c r="B3" s="41" t="s">
        <v>55</v>
      </c>
      <c r="C3" s="41" t="s">
        <v>56</v>
      </c>
      <c r="D3" s="43" t="s">
        <v>58</v>
      </c>
      <c r="E3" s="68"/>
      <c r="F3" s="42"/>
      <c r="G3" s="42"/>
      <c r="H3" s="42"/>
      <c r="I3" s="42"/>
      <c r="J3" s="42"/>
      <c r="K3" s="105"/>
      <c r="L3" s="39"/>
    </row>
    <row r="4" spans="1:20" s="84" customFormat="1" hidden="1">
      <c r="A4" s="68">
        <f>MATCH(A3,10:10,0)</f>
        <v>1</v>
      </c>
      <c r="B4" s="68">
        <f>MATCH(B3,10:10,0)</f>
        <v>8</v>
      </c>
      <c r="C4" s="68">
        <f>MATCH(C3,10:10,0)</f>
        <v>9</v>
      </c>
      <c r="D4" s="68">
        <f>MATCH(D3,10:10,0)</f>
        <v>10</v>
      </c>
      <c r="E4" s="68"/>
      <c r="F4" s="55"/>
      <c r="G4" s="55"/>
      <c r="H4" s="55"/>
      <c r="I4" s="55"/>
      <c r="J4" s="55"/>
      <c r="K4" s="106"/>
      <c r="L4" s="83"/>
      <c r="R4" s="85"/>
      <c r="S4" s="85"/>
    </row>
    <row r="5" spans="1:20" s="84" customFormat="1" hidden="1">
      <c r="A5" s="68">
        <v>37</v>
      </c>
      <c r="B5" s="68" t="e">
        <f>IF(VLOOKUP($A$5,Table35368[],B4,FALSE)&lt;&gt;0,VLOOKUP($A$5,Table35368[],B4,FALSE),"")</f>
        <v>#N/A</v>
      </c>
      <c r="C5" s="68" t="e">
        <f>IF(VLOOKUP($A$5,Table35368[],C4,FALSE)&lt;&gt;0,VLOOKUP($A$5,Table35368[],C4,FALSE),"")</f>
        <v>#N/A</v>
      </c>
      <c r="D5" s="68" t="e">
        <f>IF(VLOOKUP($A$5,Table35368[],D4,FALSE)&lt;&gt;0,VLOOKUP($A$5,Table35368[],D4,FALSE),"")</f>
        <v>#N/A</v>
      </c>
      <c r="E5" s="68"/>
      <c r="F5" s="55"/>
      <c r="G5" s="55"/>
      <c r="H5" s="55"/>
      <c r="I5" s="55"/>
      <c r="J5" s="55"/>
      <c r="K5" s="106"/>
      <c r="L5" s="83"/>
      <c r="R5" s="85"/>
      <c r="S5" s="85"/>
    </row>
    <row r="6" spans="1:20" hidden="1">
      <c r="A6" s="86" t="s">
        <v>16</v>
      </c>
      <c r="B6" s="50"/>
      <c r="C6" s="50"/>
      <c r="D6" s="50"/>
      <c r="E6" s="87"/>
      <c r="F6" s="88"/>
      <c r="G6" s="88"/>
      <c r="H6" s="50"/>
      <c r="I6" s="50"/>
      <c r="J6" s="50"/>
    </row>
    <row r="7" spans="1:20" hidden="1">
      <c r="A7" s="112"/>
      <c r="B7" s="50"/>
      <c r="C7" s="50"/>
      <c r="D7" s="50"/>
      <c r="E7" s="87"/>
      <c r="F7" s="88"/>
      <c r="G7" s="88"/>
      <c r="H7" s="50"/>
      <c r="I7" s="50"/>
      <c r="J7" s="50"/>
    </row>
    <row r="8" spans="1:20" hidden="1">
      <c r="A8" s="88"/>
      <c r="B8" s="50"/>
      <c r="C8" s="50"/>
      <c r="D8" s="50"/>
      <c r="E8" s="87"/>
      <c r="F8" s="88"/>
      <c r="G8" s="88"/>
      <c r="H8" s="50"/>
      <c r="I8" s="50"/>
      <c r="J8" s="50"/>
    </row>
    <row r="9" spans="1:20" hidden="1">
      <c r="A9" s="89" t="s">
        <v>17</v>
      </c>
      <c r="B9" s="90"/>
      <c r="C9" s="90"/>
      <c r="D9" s="90"/>
      <c r="E9" s="91"/>
      <c r="F9" s="92"/>
      <c r="G9" s="92"/>
      <c r="H9" s="90"/>
      <c r="I9" s="90"/>
      <c r="J9" s="90"/>
    </row>
    <row r="10" spans="1:20" hidden="1">
      <c r="A10" s="82" t="s">
        <v>5</v>
      </c>
      <c r="B10" s="94" t="s">
        <v>4</v>
      </c>
      <c r="C10" s="94" t="s">
        <v>14</v>
      </c>
      <c r="D10" s="94" t="s">
        <v>1</v>
      </c>
      <c r="E10" s="95" t="s">
        <v>3</v>
      </c>
      <c r="F10" s="82" t="s">
        <v>32</v>
      </c>
      <c r="G10" s="192" t="s">
        <v>86</v>
      </c>
      <c r="H10" s="94" t="s">
        <v>55</v>
      </c>
      <c r="I10" s="93" t="s">
        <v>56</v>
      </c>
      <c r="J10" s="93" t="s">
        <v>58</v>
      </c>
    </row>
    <row r="11" spans="1:20" s="97" customFormat="1" hidden="1">
      <c r="A11" s="92"/>
      <c r="B11" s="92"/>
      <c r="C11" s="92"/>
      <c r="D11" s="92"/>
      <c r="E11" s="91"/>
      <c r="F11" s="92"/>
      <c r="G11" s="92"/>
      <c r="H11" s="92"/>
      <c r="I11" s="92"/>
      <c r="J11" s="92"/>
      <c r="K11" s="108"/>
      <c r="S11" s="98"/>
      <c r="T11" s="98"/>
    </row>
    <row r="12" spans="1:20">
      <c r="A12" s="99"/>
      <c r="B12" s="100"/>
      <c r="C12" s="100"/>
      <c r="D12" s="100"/>
      <c r="E12" s="101"/>
      <c r="F12" s="99"/>
      <c r="G12" s="99"/>
      <c r="H12" s="100"/>
      <c r="I12" s="100"/>
      <c r="J12" s="100"/>
    </row>
    <row r="13" spans="1:20" ht="21">
      <c r="A13" s="99"/>
      <c r="B13" s="100"/>
      <c r="C13" s="205" t="s">
        <v>62</v>
      </c>
      <c r="D13" s="206"/>
      <c r="E13" s="206"/>
      <c r="F13" s="99"/>
      <c r="G13" s="99"/>
      <c r="H13" s="100"/>
      <c r="I13" s="100"/>
      <c r="J13" s="100"/>
    </row>
    <row r="14" spans="1:20">
      <c r="A14" s="99"/>
      <c r="B14" s="100"/>
      <c r="C14" s="100"/>
      <c r="D14" s="100"/>
      <c r="E14" s="101"/>
      <c r="F14" s="99"/>
      <c r="G14" s="99"/>
      <c r="H14" s="100"/>
      <c r="I14" s="100"/>
      <c r="J14" s="100"/>
    </row>
    <row r="15" spans="1:20" s="103" customFormat="1" ht="30">
      <c r="A15" s="153" t="s">
        <v>21</v>
      </c>
      <c r="B15" s="142" t="s">
        <v>0</v>
      </c>
      <c r="C15" s="142" t="s">
        <v>22</v>
      </c>
      <c r="D15" s="142" t="s">
        <v>1</v>
      </c>
      <c r="E15" s="154" t="s">
        <v>9</v>
      </c>
      <c r="F15" s="141" t="s">
        <v>25</v>
      </c>
      <c r="G15" s="141" t="s">
        <v>86</v>
      </c>
      <c r="H15" s="168" t="s">
        <v>57</v>
      </c>
      <c r="I15" s="168" t="s">
        <v>19</v>
      </c>
      <c r="J15" s="169" t="s">
        <v>20</v>
      </c>
      <c r="K15" s="109"/>
    </row>
    <row r="16" spans="1:20">
      <c r="A16" s="159"/>
      <c r="B16" s="160"/>
      <c r="C16" s="160"/>
      <c r="D16" s="160"/>
      <c r="E16" s="161"/>
      <c r="F16" s="170"/>
      <c r="G16" s="170"/>
      <c r="H16" s="171"/>
      <c r="I16" s="163"/>
      <c r="J16" s="172"/>
    </row>
  </sheetData>
  <sheetProtection formatColumns="0" formatRows="0" selectLockedCells="1" autoFilter="0" pivotTables="0"/>
  <mergeCells count="1">
    <mergeCell ref="C13:E13"/>
  </mergeCells>
  <conditionalFormatting sqref="B16">
    <cfRule type="duplicateValues" dxfId="115" priority="2"/>
  </conditionalFormatting>
  <conditionalFormatting sqref="C16">
    <cfRule type="duplicateValues" dxfId="114" priority="1"/>
  </conditionalFormatting>
  <dataValidations count="3">
    <dataValidation allowBlank="1" showInputMessage="1" showErrorMessage="1" sqref="F16:G16" xr:uid="{031D97D4-C86E-4FAF-8B69-E82E93F5D415}"/>
    <dataValidation type="list" allowBlank="1" showInputMessage="1" showErrorMessage="1" sqref="I17:I1048576" xr:uid="{0D098E0C-36BB-4B0A-A663-54217D617B8E}">
      <formula1>"OK,Rejected"</formula1>
    </dataValidation>
    <dataValidation type="list" allowBlank="1" showInputMessage="1" showErrorMessage="1" sqref="I16" xr:uid="{276E2DEE-5E7B-4DCC-8F95-AF8BA7FD3111}">
      <formula1>"OK,Rejected,Review"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304800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UpdatePrevalidation">
                <anchor>
                  <from>
                    <xdr:col>6</xdr:col>
                    <xdr:colOff>514350</xdr:colOff>
                    <xdr:row>11</xdr:row>
                    <xdr:rowOff>142875</xdr:rowOff>
                  </from>
                  <to>
                    <xdr:col>7</xdr:col>
                    <xdr:colOff>838200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70A47-6904-4E3A-973F-D94E709864A4}">
  <sheetPr codeName="Sheet14">
    <tabColor theme="9"/>
  </sheetPr>
  <dimension ref="A1:S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70" customWidth="1"/>
    <col min="2" max="2" width="16.7109375" style="71" bestFit="1" customWidth="1"/>
    <col min="3" max="3" width="14" style="71" customWidth="1"/>
    <col min="4" max="4" width="11.28515625" style="71" bestFit="1" customWidth="1"/>
    <col min="5" max="5" width="15.140625" style="72" bestFit="1" customWidth="1"/>
    <col min="6" max="6" width="15.140625" style="72" customWidth="1"/>
    <col min="7" max="7" width="14.7109375" style="104" bestFit="1" customWidth="1"/>
    <col min="8" max="8" width="11.42578125" style="104" customWidth="1"/>
    <col min="9" max="9" width="45.85546875" style="104" customWidth="1"/>
    <col min="10" max="10" width="9.140625" style="107" customWidth="1"/>
    <col min="11" max="16384" width="9.140625" style="48" hidden="1"/>
  </cols>
  <sheetData>
    <row r="1" spans="1:19" s="40" customFormat="1" hidden="1">
      <c r="A1" s="74" t="s">
        <v>10</v>
      </c>
      <c r="B1" s="75" t="s">
        <v>12</v>
      </c>
      <c r="C1" s="75"/>
      <c r="D1" s="75"/>
      <c r="E1" s="76"/>
      <c r="F1" s="194"/>
      <c r="G1" s="75"/>
      <c r="H1" s="75"/>
      <c r="I1" s="75"/>
      <c r="J1" s="105"/>
      <c r="K1" s="39"/>
      <c r="L1" s="39"/>
    </row>
    <row r="2" spans="1:19" s="40" customFormat="1" hidden="1">
      <c r="A2" s="79" t="s">
        <v>18</v>
      </c>
      <c r="B2" s="38"/>
      <c r="C2" s="80" t="s">
        <v>38</v>
      </c>
      <c r="D2" s="80" t="s">
        <v>39</v>
      </c>
      <c r="E2" s="81"/>
      <c r="F2" s="81"/>
      <c r="G2" s="42"/>
      <c r="H2" s="42"/>
      <c r="I2" s="42"/>
      <c r="J2" s="105"/>
      <c r="K2" s="39"/>
      <c r="L2" s="39"/>
    </row>
    <row r="3" spans="1:19" s="40" customFormat="1" hidden="1">
      <c r="A3" s="82" t="s">
        <v>5</v>
      </c>
      <c r="B3" s="41" t="s">
        <v>63</v>
      </c>
      <c r="C3" s="41" t="s">
        <v>64</v>
      </c>
      <c r="D3" s="43" t="s">
        <v>65</v>
      </c>
      <c r="E3" s="68"/>
      <c r="F3" s="55"/>
      <c r="G3" s="42"/>
      <c r="H3" s="42"/>
      <c r="I3" s="42"/>
      <c r="J3" s="105"/>
      <c r="K3" s="39"/>
    </row>
    <row r="4" spans="1:19" s="84" customFormat="1" hidden="1">
      <c r="A4" s="68">
        <f>MATCH(A3,10:10,0)</f>
        <v>1</v>
      </c>
      <c r="B4" s="68">
        <f>MATCH(B3,10:10,0)</f>
        <v>7</v>
      </c>
      <c r="C4" s="68">
        <f>MATCH(C3,10:10,0)</f>
        <v>8</v>
      </c>
      <c r="D4" s="68">
        <f>MATCH(D3,10:10,0)</f>
        <v>9</v>
      </c>
      <c r="E4" s="68"/>
      <c r="F4" s="55"/>
      <c r="G4" s="55"/>
      <c r="H4" s="55"/>
      <c r="I4" s="55"/>
      <c r="J4" s="106"/>
      <c r="K4" s="83"/>
      <c r="Q4" s="85"/>
      <c r="R4" s="85"/>
    </row>
    <row r="5" spans="1:19" s="84" customFormat="1" hidden="1">
      <c r="A5" s="68">
        <v>37</v>
      </c>
      <c r="B5" s="68" t="e">
        <f>IF(VLOOKUP($A$5,Table353689[],B4,FALSE)&lt;&gt;0,VLOOKUP($A$5,Table353689[],B4,FALSE),"")</f>
        <v>#N/A</v>
      </c>
      <c r="C5" s="68" t="e">
        <f>IF(VLOOKUP($A$5,Table353689[],C4,FALSE)&lt;&gt;0,VLOOKUP($A$5,Table353689[],C4,FALSE),"")</f>
        <v>#N/A</v>
      </c>
      <c r="D5" s="68" t="e">
        <f>IF(VLOOKUP($A$5,Table353689[],D4,FALSE)&lt;&gt;0,VLOOKUP($A$5,Table353689[],D4,FALSE),"")</f>
        <v>#N/A</v>
      </c>
      <c r="E5" s="68"/>
      <c r="F5" s="55"/>
      <c r="G5" s="55"/>
      <c r="H5" s="55"/>
      <c r="I5" s="55"/>
      <c r="J5" s="106"/>
      <c r="K5" s="83"/>
      <c r="Q5" s="85"/>
      <c r="R5" s="85"/>
    </row>
    <row r="6" spans="1:19" hidden="1">
      <c r="A6" s="86" t="s">
        <v>16</v>
      </c>
      <c r="B6" s="50"/>
      <c r="C6" s="50"/>
      <c r="D6" s="50"/>
      <c r="E6" s="87"/>
      <c r="F6" s="87"/>
      <c r="G6" s="50"/>
      <c r="H6" s="50"/>
      <c r="I6" s="50"/>
    </row>
    <row r="7" spans="1:19" hidden="1">
      <c r="A7" s="112"/>
      <c r="B7" s="50"/>
      <c r="C7" s="50"/>
      <c r="D7" s="50"/>
      <c r="E7" s="87"/>
      <c r="F7" s="87"/>
      <c r="G7" s="50"/>
      <c r="H7" s="50"/>
      <c r="I7" s="50"/>
    </row>
    <row r="8" spans="1:19" hidden="1">
      <c r="A8" s="88"/>
      <c r="B8" s="50"/>
      <c r="C8" s="50"/>
      <c r="D8" s="50"/>
      <c r="E8" s="87"/>
      <c r="F8" s="87"/>
      <c r="G8" s="50"/>
      <c r="H8" s="50"/>
      <c r="I8" s="50"/>
    </row>
    <row r="9" spans="1:19" hidden="1">
      <c r="A9" s="89" t="s">
        <v>17</v>
      </c>
      <c r="B9" s="90"/>
      <c r="C9" s="90"/>
      <c r="D9" s="90"/>
      <c r="E9" s="91"/>
      <c r="F9" s="91"/>
      <c r="G9" s="90"/>
      <c r="H9" s="90"/>
      <c r="I9" s="90"/>
    </row>
    <row r="10" spans="1:19" hidden="1">
      <c r="A10" s="82" t="s">
        <v>5</v>
      </c>
      <c r="B10" s="94" t="s">
        <v>4</v>
      </c>
      <c r="C10" s="94" t="s">
        <v>14</v>
      </c>
      <c r="D10" s="94" t="s">
        <v>1</v>
      </c>
      <c r="E10" s="95" t="s">
        <v>3</v>
      </c>
      <c r="F10" s="195" t="s">
        <v>86</v>
      </c>
      <c r="G10" s="94" t="s">
        <v>63</v>
      </c>
      <c r="H10" s="93" t="s">
        <v>64</v>
      </c>
      <c r="I10" s="93" t="s">
        <v>65</v>
      </c>
    </row>
    <row r="11" spans="1:19" s="97" customFormat="1" hidden="1">
      <c r="A11" s="92"/>
      <c r="B11" s="92"/>
      <c r="C11" s="92"/>
      <c r="D11" s="92"/>
      <c r="E11" s="91"/>
      <c r="F11" s="91"/>
      <c r="G11" s="92"/>
      <c r="H11" s="92"/>
      <c r="I11" s="92"/>
      <c r="J11" s="108"/>
      <c r="R11" s="98"/>
      <c r="S11" s="98"/>
    </row>
    <row r="12" spans="1:19">
      <c r="A12" s="99"/>
      <c r="B12" s="100"/>
      <c r="C12" s="100"/>
      <c r="D12" s="100"/>
      <c r="E12" s="101"/>
      <c r="F12" s="101"/>
      <c r="G12" s="100"/>
      <c r="H12" s="100"/>
      <c r="I12" s="100"/>
    </row>
    <row r="13" spans="1:19" ht="21">
      <c r="A13" s="99"/>
      <c r="B13" s="100"/>
      <c r="C13" s="205" t="s">
        <v>61</v>
      </c>
      <c r="D13" s="206"/>
      <c r="E13" s="206"/>
      <c r="F13" s="114"/>
      <c r="G13" s="100"/>
      <c r="H13" s="100"/>
      <c r="I13" s="100"/>
    </row>
    <row r="14" spans="1:19">
      <c r="A14" s="99"/>
      <c r="B14" s="100"/>
      <c r="C14" s="100"/>
      <c r="D14" s="100"/>
      <c r="E14" s="101"/>
      <c r="F14" s="101"/>
      <c r="G14" s="100"/>
      <c r="H14" s="100"/>
      <c r="I14" s="100"/>
    </row>
    <row r="15" spans="1:19" s="103" customFormat="1" ht="30">
      <c r="A15" s="153" t="s">
        <v>21</v>
      </c>
      <c r="B15" s="142" t="s">
        <v>0</v>
      </c>
      <c r="C15" s="142" t="s">
        <v>22</v>
      </c>
      <c r="D15" s="142" t="s">
        <v>1</v>
      </c>
      <c r="E15" s="154" t="s">
        <v>9</v>
      </c>
      <c r="F15" s="154" t="s">
        <v>86</v>
      </c>
      <c r="G15" s="173" t="s">
        <v>66</v>
      </c>
      <c r="H15" s="173" t="s">
        <v>19</v>
      </c>
      <c r="I15" s="174" t="s">
        <v>20</v>
      </c>
      <c r="J15" s="109"/>
    </row>
    <row r="16" spans="1:19">
      <c r="A16" s="159"/>
      <c r="B16" s="160"/>
      <c r="C16" s="160"/>
      <c r="D16" s="160"/>
      <c r="E16" s="161"/>
      <c r="F16" s="161"/>
      <c r="G16" s="171"/>
      <c r="H16" s="163"/>
      <c r="I16" s="172"/>
    </row>
  </sheetData>
  <sheetProtection formatColumns="0" formatRows="0" selectLockedCells="1" autoFilter="0" pivotTables="0"/>
  <mergeCells count="1">
    <mergeCell ref="C13:E13"/>
  </mergeCells>
  <conditionalFormatting sqref="B16">
    <cfRule type="duplicateValues" dxfId="98" priority="2"/>
  </conditionalFormatting>
  <conditionalFormatting sqref="C16">
    <cfRule type="duplicateValues" dxfId="97" priority="1"/>
  </conditionalFormatting>
  <dataValidations disablePrompts="1" count="2">
    <dataValidation type="list" allowBlank="1" showInputMessage="1" showErrorMessage="1" sqref="G16" xr:uid="{D5EA2BC0-CF0C-4343-B1B7-7CBB32BD53B8}">
      <formula1>"Yes,No"</formula1>
    </dataValidation>
    <dataValidation type="list" allowBlank="1" showInputMessage="1" showErrorMessage="1" sqref="H16:H1048576" xr:uid="{36E4CF42-1706-49AE-A0F0-CD5D901A19FE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304800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UpdatePrevalidation">
                <anchor>
                  <from>
                    <xdr:col>6</xdr:col>
                    <xdr:colOff>514350</xdr:colOff>
                    <xdr:row>11</xdr:row>
                    <xdr:rowOff>142875</xdr:rowOff>
                  </from>
                  <to>
                    <xdr:col>8</xdr:col>
                    <xdr:colOff>104775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319F9-15C7-417B-BE1C-960F8100ED2B}">
  <sheetPr codeName="Sheet15">
    <tabColor theme="4" tint="0.39997558519241921"/>
  </sheetPr>
  <dimension ref="A1:T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6" width="15.140625" style="66" customWidth="1"/>
    <col min="7" max="7" width="11.28515625" style="2" bestFit="1" customWidth="1"/>
    <col min="8" max="8" width="63.5703125" customWidth="1"/>
    <col min="9" max="9" width="9.140625" customWidth="1"/>
    <col min="10" max="10" width="0" style="10" hidden="1" customWidth="1"/>
    <col min="11" max="20" width="0" style="4" hidden="1" customWidth="1"/>
    <col min="21" max="16384" width="9.140625" style="4" hidden="1"/>
  </cols>
  <sheetData>
    <row r="1" spans="1:20" s="3" customFormat="1" hidden="1">
      <c r="A1" s="56" t="s">
        <v>10</v>
      </c>
      <c r="B1" s="15" t="s">
        <v>12</v>
      </c>
      <c r="C1" s="15"/>
      <c r="D1" s="15"/>
      <c r="E1" s="62"/>
      <c r="F1" s="187"/>
      <c r="G1" s="67"/>
      <c r="H1" s="15"/>
      <c r="I1" s="15"/>
      <c r="J1" s="16"/>
      <c r="K1" s="9"/>
      <c r="L1" s="9"/>
      <c r="M1" s="9"/>
    </row>
    <row r="2" spans="1:20" s="3" customFormat="1" hidden="1">
      <c r="A2" s="57" t="s">
        <v>18</v>
      </c>
      <c r="B2" s="7"/>
      <c r="C2" s="69" t="s">
        <v>38</v>
      </c>
      <c r="D2" s="69" t="s">
        <v>83</v>
      </c>
      <c r="E2" s="31"/>
      <c r="F2" s="31"/>
      <c r="G2" s="19"/>
      <c r="H2" s="8"/>
      <c r="I2" s="8"/>
      <c r="J2" s="8"/>
      <c r="K2" s="9"/>
      <c r="L2" s="9"/>
      <c r="M2" s="9"/>
    </row>
    <row r="3" spans="1:20" s="3" customFormat="1" hidden="1">
      <c r="A3" s="58" t="s">
        <v>5</v>
      </c>
      <c r="B3" s="5" t="s">
        <v>81</v>
      </c>
      <c r="C3" s="5" t="s">
        <v>82</v>
      </c>
      <c r="D3" s="31"/>
      <c r="E3" s="19"/>
      <c r="F3" s="19"/>
      <c r="G3" s="8"/>
      <c r="H3" s="8"/>
      <c r="I3" s="8"/>
      <c r="J3" s="9"/>
      <c r="K3" s="9"/>
      <c r="L3" s="9"/>
    </row>
    <row r="4" spans="1:20" s="21" customFormat="1" hidden="1">
      <c r="A4" s="18">
        <f>MATCH(A3,10:10,0)</f>
        <v>1</v>
      </c>
      <c r="B4" s="18">
        <f>MATCH(B3,10:10,0)</f>
        <v>7</v>
      </c>
      <c r="C4" s="18">
        <f>MATCH(C3,10:10,0)</f>
        <v>8</v>
      </c>
      <c r="D4" s="31"/>
      <c r="E4" s="19"/>
      <c r="F4" s="19"/>
      <c r="G4" s="19"/>
      <c r="H4" s="19"/>
      <c r="I4" s="19"/>
      <c r="J4" s="20"/>
      <c r="K4" s="20"/>
      <c r="L4" s="20"/>
      <c r="R4" s="28"/>
      <c r="S4" s="28"/>
    </row>
    <row r="5" spans="1:20" s="21" customFormat="1" hidden="1">
      <c r="A5" s="18">
        <v>41</v>
      </c>
      <c r="B5" s="6" t="e">
        <f>IF(VLOOKUP($A$5,Table3536712[],B4,FALSE)&lt;&gt;0,VLOOKUP($A$5,Table3536712[],B4,FALSE),"")</f>
        <v>#N/A</v>
      </c>
      <c r="C5" s="18" t="e">
        <f>IF(VLOOKUP($A$5,Table3536712[],C4,FALSE)&lt;&gt;0,VLOOKUP($A$5,Table3536712[],C4,FALSE),"")</f>
        <v>#N/A</v>
      </c>
      <c r="D5" s="31"/>
      <c r="E5" s="19"/>
      <c r="F5" s="19"/>
      <c r="G5" s="19"/>
      <c r="H5" s="19"/>
      <c r="I5" s="19"/>
      <c r="J5" s="20"/>
      <c r="K5" s="20"/>
      <c r="L5" s="20"/>
      <c r="R5" s="28"/>
      <c r="S5" s="28"/>
    </row>
    <row r="6" spans="1:20" hidden="1">
      <c r="A6" s="59" t="s">
        <v>16</v>
      </c>
      <c r="B6" s="12"/>
      <c r="C6" s="12"/>
      <c r="D6" s="12"/>
      <c r="E6" s="63"/>
      <c r="F6" s="63"/>
      <c r="G6" s="60"/>
      <c r="H6" s="12"/>
      <c r="I6" s="12"/>
      <c r="J6" s="11"/>
    </row>
    <row r="7" spans="1:20" hidden="1">
      <c r="A7" s="111"/>
      <c r="B7" s="12"/>
      <c r="C7" s="12"/>
      <c r="D7" s="12"/>
      <c r="E7" s="63"/>
      <c r="F7" s="63"/>
      <c r="G7" s="60"/>
      <c r="H7" s="12"/>
      <c r="I7" s="12"/>
      <c r="J7" s="11"/>
    </row>
    <row r="8" spans="1:20" hidden="1">
      <c r="A8" s="60"/>
      <c r="B8" s="12"/>
      <c r="C8" s="12"/>
      <c r="D8" s="12"/>
      <c r="E8" s="63"/>
      <c r="F8" s="63"/>
      <c r="G8" s="60"/>
      <c r="H8" s="12"/>
      <c r="I8" s="12"/>
      <c r="J8" s="11"/>
    </row>
    <row r="9" spans="1:20" hidden="1">
      <c r="A9" s="61" t="s">
        <v>17</v>
      </c>
      <c r="B9" s="13"/>
      <c r="C9" s="13"/>
      <c r="D9" s="13"/>
      <c r="E9" s="64"/>
      <c r="F9" s="64"/>
      <c r="G9" s="22"/>
      <c r="H9" s="13"/>
      <c r="I9" s="13"/>
      <c r="J9" s="14"/>
    </row>
    <row r="10" spans="1:20" hidden="1">
      <c r="A10" s="58" t="s">
        <v>5</v>
      </c>
      <c r="B10" s="17" t="s">
        <v>4</v>
      </c>
      <c r="C10" s="17" t="s">
        <v>14</v>
      </c>
      <c r="D10" s="17" t="s">
        <v>1</v>
      </c>
      <c r="E10" s="65" t="s">
        <v>3</v>
      </c>
      <c r="F10" s="188" t="s">
        <v>86</v>
      </c>
      <c r="G10" s="58" t="s">
        <v>81</v>
      </c>
      <c r="H10" s="17" t="s">
        <v>82</v>
      </c>
      <c r="I10" s="13"/>
      <c r="J10" s="14"/>
    </row>
    <row r="11" spans="1:20" s="24" customFormat="1" hidden="1">
      <c r="A11" s="22"/>
      <c r="B11" s="22"/>
      <c r="C11" s="22"/>
      <c r="D11" s="22"/>
      <c r="E11" s="64"/>
      <c r="F11" s="64"/>
      <c r="G11" s="22"/>
      <c r="H11" s="22"/>
      <c r="I11" s="22"/>
      <c r="J11" s="23"/>
      <c r="S11" s="29"/>
      <c r="T11" s="29"/>
    </row>
    <row r="13" spans="1:20" ht="21">
      <c r="C13" s="203" t="s">
        <v>80</v>
      </c>
      <c r="D13" s="204"/>
      <c r="E13" s="204"/>
      <c r="F13" s="113"/>
    </row>
    <row r="15" spans="1:20" s="27" customFormat="1" ht="30">
      <c r="A15" s="134" t="s">
        <v>21</v>
      </c>
      <c r="B15" s="135" t="s">
        <v>0</v>
      </c>
      <c r="C15" s="135" t="s">
        <v>22</v>
      </c>
      <c r="D15" s="135" t="s">
        <v>1</v>
      </c>
      <c r="E15" s="136" t="s">
        <v>9</v>
      </c>
      <c r="F15" s="136" t="s">
        <v>86</v>
      </c>
      <c r="G15" s="181" t="s">
        <v>19</v>
      </c>
      <c r="H15" s="182" t="s">
        <v>23</v>
      </c>
      <c r="I15" s="1"/>
      <c r="J15" s="26"/>
    </row>
    <row r="16" spans="1:20" ht="14.25" customHeight="1">
      <c r="A16" s="175"/>
      <c r="B16" s="176"/>
      <c r="C16" s="176"/>
      <c r="D16" s="176"/>
      <c r="E16" s="177"/>
      <c r="F16" s="177"/>
      <c r="G16" s="178"/>
      <c r="H16" s="179"/>
    </row>
  </sheetData>
  <mergeCells count="1">
    <mergeCell ref="C13:E13"/>
  </mergeCells>
  <conditionalFormatting sqref="B16">
    <cfRule type="duplicateValues" dxfId="82" priority="2"/>
  </conditionalFormatting>
  <conditionalFormatting sqref="C16">
    <cfRule type="duplicateValues" dxfId="81" priority="1"/>
  </conditionalFormatting>
  <dataValidations count="1">
    <dataValidation type="list" allowBlank="1" showInputMessage="1" showErrorMessage="1" sqref="G16" xr:uid="{8460FDFC-1307-4594-AEE7-7456F0D431F0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304800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6</xdr:col>
                    <xdr:colOff>514350</xdr:colOff>
                    <xdr:row>11</xdr:row>
                    <xdr:rowOff>142875</xdr:rowOff>
                  </from>
                  <to>
                    <xdr:col>7</xdr:col>
                    <xdr:colOff>1095375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4F6CE-A798-421E-A858-5CD1E403B45D}">
  <sheetPr codeName="Sheet18">
    <tabColor theme="9" tint="0.39997558519241921"/>
    <outlinePr summaryBelow="0" summaryRight="0"/>
  </sheetPr>
  <dimension ref="A1:AO73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RowHeight="15" outlineLevelCol="1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6" width="11.7109375" style="2" customWidth="1"/>
    <col min="7" max="7" width="10.28515625" customWidth="1"/>
    <col min="8" max="8" width="8.140625" customWidth="1"/>
    <col min="9" max="9" width="12.42578125" customWidth="1"/>
    <col min="10" max="10" width="4.28515625" customWidth="1" collapsed="1"/>
    <col min="11" max="11" width="77.42578125" style="10" hidden="1" customWidth="1" outlineLevel="1"/>
    <col min="12" max="12" width="4.28515625" style="10" customWidth="1" collapsed="1"/>
    <col min="13" max="13" width="11.28515625" hidden="1" customWidth="1" outlineLevel="1"/>
    <col min="14" max="14" width="13.5703125" style="10" hidden="1" customWidth="1" outlineLevel="1"/>
    <col min="15" max="15" width="58.42578125" style="10" hidden="1" customWidth="1" outlineLevel="1"/>
    <col min="16" max="16" width="4.28515625" style="10" customWidth="1" collapsed="1"/>
    <col min="17" max="17" width="12" style="10" hidden="1" customWidth="1" outlineLevel="1"/>
    <col min="18" max="18" width="23" hidden="1" customWidth="1" outlineLevel="1"/>
    <col min="19" max="19" width="67.42578125" hidden="1" customWidth="1" outlineLevel="1"/>
    <col min="20" max="20" width="4.28515625" style="10" customWidth="1" collapsed="1"/>
    <col min="21" max="21" width="11.28515625" hidden="1" customWidth="1" outlineLevel="1"/>
    <col min="22" max="22" width="48.5703125" hidden="1" customWidth="1" outlineLevel="1"/>
    <col min="23" max="23" width="4.28515625" customWidth="1" collapsed="1"/>
    <col min="24" max="24" width="11.5703125" hidden="1" customWidth="1" outlineLevel="1"/>
    <col min="25" max="25" width="76.7109375" hidden="1" customWidth="1" outlineLevel="1"/>
    <col min="26" max="26" width="4.28515625" style="10" customWidth="1" collapsed="1"/>
    <col min="27" max="27" width="47.7109375" hidden="1" customWidth="1" outlineLevel="1"/>
    <col min="30" max="30" width="62.140625" style="212" customWidth="1"/>
    <col min="31" max="31" width="58.42578125" style="211" customWidth="1"/>
    <col min="32" max="32" width="10" style="211" customWidth="1"/>
    <col min="33" max="33" width="41.85546875" style="211" customWidth="1"/>
    <col min="34" max="34" width="12.5703125" style="211" customWidth="1"/>
    <col min="35" max="35" width="19.42578125" style="211" customWidth="1"/>
    <col min="36" max="36" width="57.42578125" style="211" customWidth="1"/>
    <col min="37" max="37" width="22.28515625" style="211" customWidth="1"/>
    <col min="38" max="38" width="30.140625" style="211" customWidth="1"/>
    <col min="39" max="39" width="47.7109375" style="211" customWidth="1"/>
    <col min="40" max="41" width="9.140625" style="211"/>
    <col min="42" max="16384" width="9.140625" style="212"/>
  </cols>
  <sheetData>
    <row r="1" spans="1:41" s="208" customFormat="1" hidden="1">
      <c r="A1" s="56" t="s">
        <v>10</v>
      </c>
      <c r="B1" s="15" t="s">
        <v>12</v>
      </c>
      <c r="C1" s="15"/>
      <c r="D1" s="15"/>
      <c r="E1" s="62"/>
      <c r="F1" s="67"/>
      <c r="G1" s="15"/>
      <c r="H1" s="15"/>
      <c r="I1" s="15"/>
      <c r="J1" s="15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</row>
    <row r="2" spans="1:41" s="208" customFormat="1" hidden="1">
      <c r="A2" s="57" t="s">
        <v>18</v>
      </c>
      <c r="B2" s="7"/>
      <c r="C2" s="7"/>
      <c r="D2" s="7"/>
      <c r="E2" s="31"/>
      <c r="F2" s="19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</row>
    <row r="3" spans="1:41" s="208" customFormat="1" hidden="1">
      <c r="A3" s="58" t="s">
        <v>5</v>
      </c>
      <c r="B3" s="5" t="s">
        <v>14</v>
      </c>
      <c r="C3" s="5" t="s">
        <v>31</v>
      </c>
      <c r="D3" s="5" t="s">
        <v>86</v>
      </c>
      <c r="E3" s="31"/>
      <c r="F3" s="19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</row>
    <row r="4" spans="1:41" s="210" customFormat="1" hidden="1">
      <c r="A4" s="18">
        <f>MATCH(A3,10:10,0)</f>
        <v>1</v>
      </c>
      <c r="B4" s="18">
        <f>MATCH(B3,10:10,0)</f>
        <v>3</v>
      </c>
      <c r="C4" s="18">
        <f>MATCH(C3,10:10,0)</f>
        <v>6</v>
      </c>
      <c r="D4" s="18">
        <f>MATCH(D3,10:10,0)</f>
        <v>9</v>
      </c>
      <c r="E4" s="31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</row>
    <row r="5" spans="1:41" s="210" customFormat="1" hidden="1">
      <c r="A5" s="18">
        <v>59</v>
      </c>
      <c r="B5" s="6" t="e">
        <f>IF(VLOOKUP($A$5,Table35210[],B4,FALSE)&lt;&gt;0,VLOOKUP($A$5,Table35210[],B4,FALSE),"")</f>
        <v>#N/A</v>
      </c>
      <c r="C5" s="18" t="e">
        <f>IF(VLOOKUP($A$5,Table35210[],C4,FALSE)&lt;&gt;0,VLOOKUP($A$5,Table35210[],C4,FALSE),"")</f>
        <v>#N/A</v>
      </c>
      <c r="D5" s="18" t="e">
        <f>IF(VLOOKUP($A$5,Table35210[],D4,FALSE)&lt;&gt;0,VLOOKUP($A$5,Table35210[],D4,FALSE),"")</f>
        <v>#N/A</v>
      </c>
      <c r="E5" s="31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</row>
    <row r="6" spans="1:41" hidden="1">
      <c r="A6" s="59" t="s">
        <v>16</v>
      </c>
      <c r="B6" s="12"/>
      <c r="C6" s="12"/>
      <c r="D6" s="12"/>
      <c r="E6" s="63"/>
      <c r="F6" s="60"/>
      <c r="G6" s="12"/>
      <c r="H6" s="12"/>
      <c r="I6" s="12"/>
      <c r="J6" s="12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E6" s="212"/>
      <c r="AF6" s="212"/>
      <c r="AG6" s="212"/>
      <c r="AH6" s="212"/>
      <c r="AI6" s="212"/>
      <c r="AJ6" s="212"/>
      <c r="AK6" s="212"/>
      <c r="AL6" s="212"/>
      <c r="AM6" s="212"/>
      <c r="AN6" s="212"/>
      <c r="AO6" s="212"/>
    </row>
    <row r="7" spans="1:41" hidden="1">
      <c r="A7" s="60"/>
      <c r="B7" s="60"/>
      <c r="C7" s="60"/>
      <c r="D7" s="60"/>
      <c r="E7" s="63"/>
      <c r="F7" s="60"/>
      <c r="G7" s="12"/>
      <c r="H7" s="12"/>
      <c r="I7" s="12"/>
      <c r="J7" s="12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E7" s="212"/>
      <c r="AF7" s="212"/>
      <c r="AG7" s="212"/>
      <c r="AH7" s="212"/>
      <c r="AI7" s="212"/>
      <c r="AJ7" s="212"/>
      <c r="AK7" s="212"/>
      <c r="AL7" s="212"/>
      <c r="AM7" s="212"/>
      <c r="AN7" s="212"/>
      <c r="AO7" s="212"/>
    </row>
    <row r="8" spans="1:41" hidden="1">
      <c r="A8" s="60"/>
      <c r="B8" s="60"/>
      <c r="C8" s="60"/>
      <c r="D8" s="60"/>
      <c r="E8" s="63"/>
      <c r="F8" s="60"/>
      <c r="G8" s="12"/>
      <c r="H8" s="12"/>
      <c r="I8" s="12"/>
      <c r="J8" s="12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E8" s="212"/>
      <c r="AF8" s="212"/>
      <c r="AG8" s="212"/>
      <c r="AH8" s="212"/>
      <c r="AI8" s="212"/>
      <c r="AJ8" s="212"/>
      <c r="AK8" s="212"/>
      <c r="AL8" s="212"/>
      <c r="AM8" s="212"/>
      <c r="AN8" s="212"/>
      <c r="AO8" s="212"/>
    </row>
    <row r="9" spans="1:41" hidden="1">
      <c r="A9" s="61" t="s">
        <v>17</v>
      </c>
      <c r="B9" s="13"/>
      <c r="C9" s="13"/>
      <c r="D9" s="13"/>
      <c r="E9" s="64"/>
      <c r="F9" s="22"/>
      <c r="G9" s="13"/>
      <c r="H9" s="13"/>
      <c r="I9" s="13"/>
      <c r="J9" s="1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E9" s="212"/>
      <c r="AF9" s="212"/>
      <c r="AG9" s="212"/>
      <c r="AH9" s="212"/>
      <c r="AI9" s="212"/>
      <c r="AJ9" s="212"/>
      <c r="AK9" s="212"/>
      <c r="AL9" s="212"/>
      <c r="AM9" s="212"/>
      <c r="AN9" s="212"/>
      <c r="AO9" s="212"/>
    </row>
    <row r="10" spans="1:41" hidden="1">
      <c r="A10" s="58" t="s">
        <v>5</v>
      </c>
      <c r="B10" s="17" t="s">
        <v>4</v>
      </c>
      <c r="C10" s="17" t="s">
        <v>14</v>
      </c>
      <c r="D10" s="17" t="s">
        <v>1</v>
      </c>
      <c r="E10" s="17" t="s">
        <v>3</v>
      </c>
      <c r="F10" s="17" t="s">
        <v>31</v>
      </c>
      <c r="G10" s="17" t="s">
        <v>34</v>
      </c>
      <c r="H10" s="17" t="s">
        <v>33</v>
      </c>
      <c r="I10" s="17" t="s">
        <v>86</v>
      </c>
      <c r="J10" s="17" t="s">
        <v>36</v>
      </c>
      <c r="K10" s="17" t="s">
        <v>37</v>
      </c>
      <c r="L10" s="17" t="s">
        <v>41</v>
      </c>
      <c r="M10" s="17" t="s">
        <v>59</v>
      </c>
      <c r="N10" s="17" t="s">
        <v>60</v>
      </c>
      <c r="O10" s="17" t="s">
        <v>42</v>
      </c>
      <c r="P10" s="17" t="s">
        <v>48</v>
      </c>
      <c r="Q10" s="17" t="s">
        <v>47</v>
      </c>
      <c r="R10" s="17" t="s">
        <v>50</v>
      </c>
      <c r="S10" s="17" t="s">
        <v>49</v>
      </c>
      <c r="T10" s="17" t="s">
        <v>56</v>
      </c>
      <c r="U10" s="17" t="s">
        <v>55</v>
      </c>
      <c r="V10" s="17" t="s">
        <v>58</v>
      </c>
      <c r="W10" s="17" t="s">
        <v>64</v>
      </c>
      <c r="X10" s="17" t="s">
        <v>63</v>
      </c>
      <c r="Y10" s="17" t="s">
        <v>65</v>
      </c>
      <c r="Z10" s="17" t="s">
        <v>81</v>
      </c>
      <c r="AA10" s="17" t="s">
        <v>82</v>
      </c>
      <c r="AB10" s="14"/>
      <c r="AC10" s="14"/>
      <c r="AE10" s="212"/>
      <c r="AF10" s="212"/>
      <c r="AG10" s="212"/>
      <c r="AH10" s="212"/>
      <c r="AI10" s="212"/>
      <c r="AJ10" s="212"/>
      <c r="AK10" s="212"/>
      <c r="AL10" s="212"/>
      <c r="AM10" s="212"/>
      <c r="AN10" s="212"/>
      <c r="AO10" s="212"/>
    </row>
    <row r="11" spans="1:41" s="214" customFormat="1" hidden="1">
      <c r="A11" s="22"/>
      <c r="B11" s="22"/>
      <c r="C11" s="22"/>
      <c r="D11" s="22"/>
      <c r="E11" s="64"/>
      <c r="F11" s="22"/>
      <c r="G11" s="22"/>
      <c r="H11" s="22"/>
      <c r="I11" s="22"/>
      <c r="J11" s="22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</row>
    <row r="12" spans="1:41">
      <c r="M12" s="10"/>
      <c r="R12" s="10"/>
      <c r="S12" s="10"/>
      <c r="U12" s="10"/>
      <c r="V12" s="10"/>
      <c r="W12" s="10"/>
      <c r="X12" s="10"/>
      <c r="Y12" s="10"/>
      <c r="AA12" s="10"/>
      <c r="AB12" s="10"/>
      <c r="AC12" s="10"/>
      <c r="AE12" s="212"/>
      <c r="AF12" s="212"/>
      <c r="AG12" s="212"/>
      <c r="AH12" s="212"/>
      <c r="AI12" s="212"/>
      <c r="AJ12" s="212"/>
      <c r="AK12" s="212"/>
      <c r="AL12" s="212"/>
      <c r="AM12" s="212"/>
      <c r="AN12" s="212"/>
      <c r="AO12" s="212"/>
    </row>
    <row r="13" spans="1:41" ht="21">
      <c r="C13" s="203" t="s">
        <v>88</v>
      </c>
      <c r="D13" s="204"/>
      <c r="E13" s="204"/>
      <c r="M13" s="10"/>
      <c r="R13" s="10"/>
      <c r="S13" s="10"/>
      <c r="U13" s="10"/>
      <c r="V13" s="10"/>
      <c r="W13" s="10"/>
      <c r="X13" s="10"/>
      <c r="Y13" s="10"/>
      <c r="AA13" s="10"/>
      <c r="AB13" s="10"/>
      <c r="AC13" s="10"/>
      <c r="AE13" s="212"/>
      <c r="AF13" s="212"/>
      <c r="AG13" s="212"/>
      <c r="AH13" s="212"/>
      <c r="AI13" s="212"/>
      <c r="AJ13" s="212"/>
      <c r="AK13" s="212"/>
      <c r="AL13" s="212"/>
      <c r="AM13" s="212"/>
      <c r="AN13" s="212"/>
      <c r="AO13" s="212"/>
    </row>
    <row r="14" spans="1:41">
      <c r="M14" s="10"/>
      <c r="R14" s="10"/>
      <c r="S14" s="10"/>
      <c r="U14" s="10"/>
      <c r="V14" s="10"/>
      <c r="W14" s="10"/>
      <c r="X14" s="10"/>
      <c r="Y14" s="10"/>
      <c r="AA14" s="10"/>
      <c r="AB14" s="10"/>
      <c r="AC14" s="10"/>
      <c r="AE14" s="212"/>
      <c r="AF14" s="212"/>
      <c r="AG14" s="212"/>
      <c r="AH14" s="212"/>
      <c r="AI14" s="212"/>
      <c r="AJ14" s="212"/>
      <c r="AK14" s="212"/>
      <c r="AL14" s="212"/>
      <c r="AM14" s="212"/>
      <c r="AN14" s="212"/>
      <c r="AO14" s="212"/>
    </row>
    <row r="15" spans="1:41" s="215" customFormat="1" ht="54" customHeight="1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26</v>
      </c>
      <c r="G15" s="119" t="s">
        <v>67</v>
      </c>
      <c r="H15" s="119" t="s">
        <v>68</v>
      </c>
      <c r="I15" s="119" t="s">
        <v>86</v>
      </c>
      <c r="J15" s="115" t="s">
        <v>70</v>
      </c>
      <c r="K15" s="129" t="s">
        <v>79</v>
      </c>
      <c r="L15" s="116" t="s">
        <v>71</v>
      </c>
      <c r="M15" s="130" t="s">
        <v>45</v>
      </c>
      <c r="N15" s="130" t="s">
        <v>46</v>
      </c>
      <c r="O15" s="130" t="s">
        <v>75</v>
      </c>
      <c r="P15" s="117" t="s">
        <v>73</v>
      </c>
      <c r="Q15" s="132" t="s">
        <v>52</v>
      </c>
      <c r="R15" s="132" t="s">
        <v>69</v>
      </c>
      <c r="S15" s="132" t="s">
        <v>54</v>
      </c>
      <c r="T15" s="118" t="s">
        <v>72</v>
      </c>
      <c r="U15" s="131" t="s">
        <v>76</v>
      </c>
      <c r="V15" s="131" t="s">
        <v>77</v>
      </c>
      <c r="W15" s="133" t="s">
        <v>74</v>
      </c>
      <c r="X15" s="183" t="s">
        <v>66</v>
      </c>
      <c r="Y15" s="184" t="s">
        <v>78</v>
      </c>
      <c r="Z15" s="180" t="s">
        <v>84</v>
      </c>
      <c r="AA15" s="185" t="s">
        <v>85</v>
      </c>
      <c r="AB15" s="25"/>
      <c r="AC15" s="25"/>
    </row>
    <row r="16" spans="1:41">
      <c r="A16" s="122"/>
      <c r="B16" s="123"/>
      <c r="C16" s="123"/>
      <c r="D16" s="123"/>
      <c r="E16" s="124"/>
      <c r="F16" s="125"/>
      <c r="G16" s="126"/>
      <c r="H16" s="127"/>
      <c r="I16" s="127"/>
      <c r="J16" s="128"/>
      <c r="K16" s="126"/>
      <c r="L16" s="128"/>
      <c r="M16" s="126"/>
      <c r="N16" s="126"/>
      <c r="O16" s="126"/>
      <c r="P16" s="128"/>
      <c r="Q16" s="126"/>
      <c r="R16" s="126"/>
      <c r="S16" s="126"/>
      <c r="T16" s="128"/>
      <c r="U16" s="126"/>
      <c r="V16" s="126"/>
      <c r="W16" s="128"/>
      <c r="X16" s="126"/>
      <c r="Y16" s="126"/>
      <c r="Z16" s="128"/>
      <c r="AA16" s="126"/>
      <c r="AB16" s="110"/>
      <c r="AC16" s="110"/>
      <c r="AE16" s="212"/>
      <c r="AF16" s="212"/>
      <c r="AG16" s="212"/>
      <c r="AH16" s="212"/>
      <c r="AI16" s="212"/>
      <c r="AJ16" s="212"/>
      <c r="AK16" s="212"/>
      <c r="AL16" s="212"/>
      <c r="AM16" s="212"/>
      <c r="AN16" s="212"/>
      <c r="AO16" s="212"/>
    </row>
    <row r="17" spans="28:41">
      <c r="AB17" s="110"/>
      <c r="AC17" s="110"/>
      <c r="AE17" s="212"/>
      <c r="AF17" s="212"/>
      <c r="AG17" s="212"/>
      <c r="AH17" s="212"/>
      <c r="AI17" s="212"/>
      <c r="AJ17" s="212"/>
      <c r="AK17" s="212"/>
      <c r="AL17" s="212"/>
      <c r="AM17" s="212"/>
      <c r="AN17" s="212"/>
      <c r="AO17" s="212"/>
    </row>
    <row r="18" spans="28:41">
      <c r="AB18" s="110"/>
      <c r="AC18" s="110"/>
      <c r="AE18" s="212"/>
      <c r="AF18" s="212"/>
      <c r="AG18" s="212"/>
      <c r="AH18" s="212"/>
      <c r="AI18" s="212"/>
      <c r="AJ18" s="212"/>
      <c r="AK18" s="212"/>
      <c r="AL18" s="212"/>
      <c r="AM18" s="212"/>
      <c r="AN18" s="212"/>
      <c r="AO18" s="212"/>
    </row>
    <row r="19" spans="28:41">
      <c r="AB19" s="110"/>
      <c r="AC19" s="110"/>
      <c r="AE19" s="212"/>
      <c r="AF19" s="212"/>
      <c r="AG19" s="212"/>
      <c r="AH19" s="212"/>
      <c r="AI19" s="212"/>
      <c r="AJ19" s="212"/>
      <c r="AK19" s="212"/>
      <c r="AL19" s="212"/>
      <c r="AM19" s="212"/>
      <c r="AN19" s="212"/>
      <c r="AO19" s="212"/>
    </row>
    <row r="20" spans="28:41">
      <c r="AB20" s="110"/>
      <c r="AC20" s="110"/>
      <c r="AE20" s="212"/>
      <c r="AF20" s="212"/>
      <c r="AG20" s="212"/>
      <c r="AH20" s="212"/>
      <c r="AI20" s="212"/>
      <c r="AJ20" s="212"/>
      <c r="AK20" s="212"/>
      <c r="AL20" s="212"/>
      <c r="AM20" s="212"/>
      <c r="AN20" s="212"/>
      <c r="AO20" s="212"/>
    </row>
    <row r="21" spans="28:41">
      <c r="AB21" s="110"/>
      <c r="AC21" s="110"/>
      <c r="AE21" s="212"/>
      <c r="AF21" s="212"/>
      <c r="AG21" s="212"/>
      <c r="AH21" s="212"/>
      <c r="AI21" s="212"/>
      <c r="AJ21" s="212"/>
      <c r="AK21" s="212"/>
      <c r="AL21" s="212"/>
      <c r="AM21" s="212"/>
      <c r="AN21" s="212"/>
      <c r="AO21" s="212"/>
    </row>
    <row r="22" spans="28:41">
      <c r="AB22" s="110"/>
      <c r="AC22" s="110"/>
      <c r="AE22" s="212"/>
      <c r="AF22" s="212"/>
      <c r="AG22" s="212"/>
      <c r="AH22" s="212"/>
      <c r="AI22" s="212"/>
      <c r="AJ22" s="212"/>
      <c r="AK22" s="212"/>
      <c r="AL22" s="212"/>
      <c r="AM22" s="212"/>
      <c r="AN22" s="212"/>
      <c r="AO22" s="212"/>
    </row>
    <row r="23" spans="28:41">
      <c r="AB23" s="110"/>
      <c r="AC23" s="110"/>
      <c r="AE23" s="212"/>
      <c r="AF23" s="212"/>
      <c r="AG23" s="212"/>
      <c r="AH23" s="212"/>
      <c r="AI23" s="212"/>
      <c r="AJ23" s="212"/>
      <c r="AK23" s="212"/>
      <c r="AL23" s="212"/>
      <c r="AM23" s="212"/>
      <c r="AN23" s="212"/>
      <c r="AO23" s="212"/>
    </row>
    <row r="24" spans="28:41">
      <c r="AB24" s="110"/>
      <c r="AC24" s="110"/>
      <c r="AE24" s="212"/>
      <c r="AF24" s="212"/>
      <c r="AG24" s="212"/>
      <c r="AH24" s="212"/>
      <c r="AI24" s="212"/>
      <c r="AJ24" s="212"/>
      <c r="AK24" s="212"/>
      <c r="AL24" s="212"/>
      <c r="AM24" s="212"/>
      <c r="AN24" s="212"/>
      <c r="AO24" s="212"/>
    </row>
    <row r="25" spans="28:41">
      <c r="AB25" s="110"/>
      <c r="AC25" s="110"/>
      <c r="AE25" s="212"/>
      <c r="AF25" s="212"/>
      <c r="AG25" s="212"/>
      <c r="AH25" s="212"/>
      <c r="AI25" s="212"/>
      <c r="AJ25" s="212"/>
      <c r="AK25" s="212"/>
      <c r="AL25" s="212"/>
      <c r="AM25" s="212"/>
      <c r="AN25" s="212"/>
      <c r="AO25" s="212"/>
    </row>
    <row r="26" spans="28:41">
      <c r="AB26" s="110"/>
      <c r="AC26" s="110"/>
      <c r="AE26" s="212"/>
      <c r="AF26" s="212"/>
      <c r="AG26" s="212"/>
      <c r="AH26" s="212"/>
      <c r="AI26" s="212"/>
      <c r="AJ26" s="212"/>
      <c r="AK26" s="212"/>
      <c r="AL26" s="212"/>
      <c r="AM26" s="212"/>
      <c r="AN26" s="212"/>
      <c r="AO26" s="212"/>
    </row>
    <row r="27" spans="28:41">
      <c r="AB27" s="110"/>
      <c r="AC27" s="110"/>
      <c r="AE27" s="212"/>
      <c r="AF27" s="212"/>
      <c r="AG27" s="212"/>
      <c r="AH27" s="212"/>
      <c r="AI27" s="212"/>
      <c r="AJ27" s="212"/>
      <c r="AK27" s="212"/>
      <c r="AL27" s="212"/>
      <c r="AM27" s="212"/>
      <c r="AN27" s="212"/>
      <c r="AO27" s="212"/>
    </row>
    <row r="28" spans="28:41">
      <c r="AB28" s="110"/>
      <c r="AC28" s="110"/>
      <c r="AE28" s="212"/>
      <c r="AF28" s="212"/>
      <c r="AG28" s="212"/>
      <c r="AH28" s="212"/>
      <c r="AI28" s="212"/>
      <c r="AJ28" s="212"/>
      <c r="AK28" s="212"/>
      <c r="AL28" s="212"/>
      <c r="AM28" s="212"/>
      <c r="AN28" s="212"/>
      <c r="AO28" s="212"/>
    </row>
    <row r="29" spans="28:41">
      <c r="AB29" s="110"/>
      <c r="AC29" s="110"/>
      <c r="AE29" s="212"/>
      <c r="AF29" s="212"/>
      <c r="AG29" s="212"/>
      <c r="AH29" s="212"/>
      <c r="AI29" s="212"/>
      <c r="AJ29" s="212"/>
      <c r="AK29" s="212"/>
      <c r="AL29" s="212"/>
      <c r="AM29" s="212"/>
      <c r="AN29" s="212"/>
      <c r="AO29" s="212"/>
    </row>
    <row r="30" spans="28:41">
      <c r="AB30" s="110"/>
      <c r="AC30" s="110"/>
      <c r="AE30" s="212"/>
      <c r="AF30" s="212"/>
      <c r="AG30" s="212"/>
      <c r="AH30" s="212"/>
      <c r="AI30" s="212"/>
      <c r="AJ30" s="212"/>
      <c r="AK30" s="212"/>
      <c r="AL30" s="212"/>
      <c r="AM30" s="212"/>
      <c r="AN30" s="212"/>
      <c r="AO30" s="212"/>
    </row>
    <row r="31" spans="28:41">
      <c r="AB31" s="110"/>
      <c r="AC31" s="110"/>
      <c r="AE31" s="212"/>
      <c r="AF31" s="212"/>
      <c r="AG31" s="212"/>
      <c r="AH31" s="212"/>
      <c r="AI31" s="212"/>
      <c r="AJ31" s="212"/>
      <c r="AK31" s="212"/>
      <c r="AL31" s="212"/>
      <c r="AM31" s="212"/>
      <c r="AN31" s="212"/>
      <c r="AO31" s="212"/>
    </row>
    <row r="32" spans="28:41">
      <c r="AB32" s="110"/>
      <c r="AC32" s="110"/>
      <c r="AE32" s="212"/>
      <c r="AF32" s="212"/>
      <c r="AG32" s="212"/>
      <c r="AH32" s="212"/>
      <c r="AI32" s="212"/>
      <c r="AJ32" s="212"/>
      <c r="AK32" s="212"/>
      <c r="AL32" s="212"/>
      <c r="AM32" s="212"/>
      <c r="AN32" s="212"/>
      <c r="AO32" s="212"/>
    </row>
    <row r="33" spans="28:41">
      <c r="AB33" s="110"/>
      <c r="AC33" s="110"/>
      <c r="AE33" s="212"/>
      <c r="AF33" s="212"/>
      <c r="AG33" s="212"/>
      <c r="AH33" s="212"/>
      <c r="AI33" s="212"/>
      <c r="AJ33" s="212"/>
      <c r="AK33" s="212"/>
      <c r="AL33" s="212"/>
      <c r="AM33" s="212"/>
      <c r="AN33" s="212"/>
      <c r="AO33" s="212"/>
    </row>
    <row r="34" spans="28:41">
      <c r="AB34" s="110"/>
      <c r="AC34" s="110"/>
      <c r="AE34" s="212"/>
      <c r="AF34" s="212"/>
      <c r="AG34" s="212"/>
      <c r="AH34" s="212"/>
      <c r="AI34" s="212"/>
      <c r="AJ34" s="212"/>
      <c r="AK34" s="212"/>
      <c r="AL34" s="212"/>
      <c r="AM34" s="212"/>
      <c r="AN34" s="212"/>
      <c r="AO34" s="212"/>
    </row>
    <row r="35" spans="28:41">
      <c r="AB35" s="110"/>
      <c r="AC35" s="110"/>
      <c r="AE35" s="212"/>
      <c r="AF35" s="212"/>
      <c r="AG35" s="212"/>
      <c r="AH35" s="212"/>
      <c r="AI35" s="212"/>
      <c r="AJ35" s="212"/>
      <c r="AK35" s="212"/>
      <c r="AL35" s="212"/>
      <c r="AM35" s="212"/>
      <c r="AN35" s="212"/>
      <c r="AO35" s="212"/>
    </row>
    <row r="36" spans="28:41">
      <c r="AB36" s="110"/>
      <c r="AC36" s="110"/>
      <c r="AE36" s="212"/>
      <c r="AF36" s="212"/>
      <c r="AG36" s="212"/>
      <c r="AH36" s="212"/>
      <c r="AI36" s="212"/>
      <c r="AJ36" s="212"/>
      <c r="AK36" s="212"/>
      <c r="AL36" s="212"/>
      <c r="AM36" s="212"/>
      <c r="AN36" s="212"/>
      <c r="AO36" s="212"/>
    </row>
    <row r="37" spans="28:41">
      <c r="AB37" s="110"/>
      <c r="AC37" s="110"/>
      <c r="AE37" s="212"/>
      <c r="AF37" s="212"/>
      <c r="AG37" s="212"/>
      <c r="AH37" s="212"/>
      <c r="AI37" s="212"/>
      <c r="AJ37" s="212"/>
      <c r="AK37" s="212"/>
      <c r="AL37" s="212"/>
      <c r="AM37" s="212"/>
      <c r="AN37" s="212"/>
      <c r="AO37" s="212"/>
    </row>
    <row r="38" spans="28:41">
      <c r="AB38" s="110"/>
      <c r="AC38" s="110"/>
      <c r="AE38" s="212"/>
      <c r="AF38" s="212"/>
      <c r="AG38" s="212"/>
      <c r="AH38" s="212"/>
      <c r="AI38" s="212"/>
      <c r="AJ38" s="212"/>
      <c r="AK38" s="212"/>
      <c r="AL38" s="212"/>
      <c r="AM38" s="212"/>
      <c r="AN38" s="212"/>
      <c r="AO38" s="212"/>
    </row>
    <row r="39" spans="28:41">
      <c r="AB39" s="110"/>
      <c r="AC39" s="110"/>
      <c r="AE39" s="212"/>
      <c r="AF39" s="212"/>
      <c r="AG39" s="212"/>
      <c r="AH39" s="212"/>
      <c r="AI39" s="212"/>
      <c r="AJ39" s="212"/>
      <c r="AK39" s="212"/>
      <c r="AL39" s="212"/>
      <c r="AM39" s="212"/>
      <c r="AN39" s="212"/>
      <c r="AO39" s="212"/>
    </row>
    <row r="40" spans="28:41">
      <c r="AB40" s="110"/>
      <c r="AC40" s="110"/>
      <c r="AE40" s="212"/>
      <c r="AF40" s="212"/>
      <c r="AG40" s="212"/>
      <c r="AH40" s="212"/>
      <c r="AI40" s="212"/>
      <c r="AJ40" s="212"/>
      <c r="AK40" s="212"/>
      <c r="AL40" s="212"/>
      <c r="AM40" s="212"/>
      <c r="AN40" s="212"/>
      <c r="AO40" s="212"/>
    </row>
    <row r="41" spans="28:41">
      <c r="AB41" s="110"/>
      <c r="AC41" s="110"/>
      <c r="AE41" s="212"/>
      <c r="AF41" s="212"/>
      <c r="AG41" s="212"/>
      <c r="AH41" s="212"/>
      <c r="AI41" s="212"/>
      <c r="AJ41" s="212"/>
      <c r="AK41" s="212"/>
      <c r="AL41" s="212"/>
      <c r="AM41" s="212"/>
      <c r="AN41" s="212"/>
      <c r="AO41" s="212"/>
    </row>
    <row r="42" spans="28:41">
      <c r="AB42" s="110"/>
      <c r="AC42" s="110"/>
      <c r="AE42" s="212"/>
      <c r="AF42" s="212"/>
      <c r="AG42" s="212"/>
      <c r="AH42" s="212"/>
      <c r="AI42" s="212"/>
      <c r="AJ42" s="212"/>
      <c r="AK42" s="212"/>
      <c r="AL42" s="212"/>
      <c r="AM42" s="212"/>
      <c r="AN42" s="212"/>
      <c r="AO42" s="212"/>
    </row>
    <row r="43" spans="28:41">
      <c r="AB43" s="110"/>
      <c r="AC43" s="110"/>
      <c r="AE43" s="212"/>
      <c r="AF43" s="212"/>
      <c r="AG43" s="212"/>
      <c r="AH43" s="212"/>
      <c r="AI43" s="212"/>
      <c r="AJ43" s="212"/>
      <c r="AK43" s="212"/>
      <c r="AL43" s="212"/>
      <c r="AM43" s="212"/>
      <c r="AN43" s="212"/>
      <c r="AO43" s="212"/>
    </row>
    <row r="44" spans="28:41">
      <c r="AB44" s="110"/>
      <c r="AC44" s="110"/>
      <c r="AE44" s="212"/>
      <c r="AF44" s="212"/>
      <c r="AG44" s="212"/>
      <c r="AH44" s="212"/>
      <c r="AI44" s="212"/>
      <c r="AJ44" s="212"/>
      <c r="AK44" s="212"/>
      <c r="AL44" s="212"/>
      <c r="AM44" s="212"/>
      <c r="AN44" s="212"/>
      <c r="AO44" s="212"/>
    </row>
    <row r="45" spans="28:41">
      <c r="AB45" s="110"/>
      <c r="AC45" s="110"/>
      <c r="AE45" s="212"/>
      <c r="AF45" s="212"/>
      <c r="AG45" s="212"/>
      <c r="AH45" s="212"/>
      <c r="AI45" s="212"/>
      <c r="AJ45" s="212"/>
      <c r="AK45" s="212"/>
      <c r="AL45" s="212"/>
      <c r="AM45" s="212"/>
      <c r="AN45" s="212"/>
      <c r="AO45" s="212"/>
    </row>
    <row r="46" spans="28:41">
      <c r="AB46" s="110"/>
      <c r="AC46" s="110"/>
      <c r="AE46" s="212"/>
      <c r="AF46" s="212"/>
      <c r="AG46" s="212"/>
      <c r="AH46" s="212"/>
      <c r="AI46" s="212"/>
      <c r="AJ46" s="212"/>
      <c r="AK46" s="212"/>
      <c r="AL46" s="212"/>
      <c r="AM46" s="212"/>
      <c r="AN46" s="212"/>
      <c r="AO46" s="212"/>
    </row>
    <row r="47" spans="28:41">
      <c r="AB47" s="110"/>
      <c r="AC47" s="110"/>
      <c r="AE47" s="212"/>
      <c r="AF47" s="212"/>
      <c r="AG47" s="212"/>
      <c r="AH47" s="212"/>
      <c r="AI47" s="212"/>
      <c r="AJ47" s="212"/>
      <c r="AK47" s="212"/>
      <c r="AL47" s="212"/>
      <c r="AM47" s="212"/>
      <c r="AN47" s="212"/>
      <c r="AO47" s="212"/>
    </row>
    <row r="48" spans="28:41">
      <c r="AB48" s="110"/>
      <c r="AC48" s="110"/>
      <c r="AE48" s="212"/>
      <c r="AF48" s="212"/>
      <c r="AG48" s="212"/>
      <c r="AH48" s="212"/>
      <c r="AI48" s="212"/>
      <c r="AJ48" s="212"/>
      <c r="AK48" s="212"/>
      <c r="AL48" s="212"/>
      <c r="AM48" s="212"/>
      <c r="AN48" s="212"/>
      <c r="AO48" s="212"/>
    </row>
    <row r="49" spans="28:41">
      <c r="AB49" s="110"/>
      <c r="AC49" s="110"/>
      <c r="AE49" s="212"/>
      <c r="AF49" s="212"/>
      <c r="AG49" s="212"/>
      <c r="AH49" s="212"/>
      <c r="AI49" s="212"/>
      <c r="AJ49" s="212"/>
      <c r="AK49" s="212"/>
      <c r="AL49" s="212"/>
      <c r="AM49" s="212"/>
      <c r="AN49" s="212"/>
      <c r="AO49" s="212"/>
    </row>
    <row r="50" spans="28:41">
      <c r="AB50" s="110"/>
      <c r="AC50" s="110"/>
      <c r="AE50" s="212"/>
      <c r="AF50" s="212"/>
      <c r="AG50" s="212"/>
      <c r="AH50" s="212"/>
      <c r="AI50" s="212"/>
      <c r="AJ50" s="212"/>
      <c r="AK50" s="212"/>
      <c r="AL50" s="212"/>
      <c r="AM50" s="212"/>
      <c r="AN50" s="212"/>
      <c r="AO50" s="212"/>
    </row>
    <row r="51" spans="28:41">
      <c r="AB51" s="110"/>
      <c r="AC51" s="110"/>
      <c r="AE51" s="212"/>
      <c r="AF51" s="212"/>
      <c r="AG51" s="212"/>
      <c r="AH51" s="212"/>
      <c r="AI51" s="212"/>
      <c r="AJ51" s="212"/>
      <c r="AK51" s="212"/>
      <c r="AL51" s="212"/>
      <c r="AM51" s="212"/>
      <c r="AN51" s="212"/>
      <c r="AO51" s="212"/>
    </row>
    <row r="52" spans="28:41">
      <c r="AB52" s="110"/>
      <c r="AC52" s="110"/>
      <c r="AE52" s="212"/>
      <c r="AF52" s="212"/>
      <c r="AG52" s="212"/>
      <c r="AH52" s="212"/>
      <c r="AI52" s="212"/>
      <c r="AJ52" s="212"/>
      <c r="AK52" s="212"/>
      <c r="AL52" s="212"/>
      <c r="AM52" s="212"/>
      <c r="AN52" s="212"/>
      <c r="AO52" s="212"/>
    </row>
    <row r="53" spans="28:41">
      <c r="AB53" s="110"/>
      <c r="AC53" s="110"/>
      <c r="AE53" s="212"/>
      <c r="AF53" s="212"/>
      <c r="AG53" s="212"/>
      <c r="AH53" s="212"/>
      <c r="AI53" s="212"/>
      <c r="AJ53" s="212"/>
      <c r="AK53" s="212"/>
      <c r="AL53" s="212"/>
      <c r="AM53" s="212"/>
      <c r="AN53" s="212"/>
      <c r="AO53" s="212"/>
    </row>
    <row r="54" spans="28:41">
      <c r="AB54" s="110"/>
      <c r="AC54" s="110"/>
      <c r="AE54" s="212"/>
      <c r="AF54" s="212"/>
      <c r="AG54" s="212"/>
      <c r="AH54" s="212"/>
      <c r="AI54" s="212"/>
      <c r="AJ54" s="212"/>
      <c r="AK54" s="212"/>
      <c r="AL54" s="212"/>
      <c r="AM54" s="212"/>
      <c r="AN54" s="212"/>
      <c r="AO54" s="212"/>
    </row>
    <row r="55" spans="28:41">
      <c r="AB55" s="110"/>
      <c r="AC55" s="110"/>
      <c r="AE55" s="212"/>
      <c r="AF55" s="212"/>
      <c r="AG55" s="212"/>
      <c r="AH55" s="212"/>
      <c r="AI55" s="212"/>
      <c r="AJ55" s="212"/>
      <c r="AK55" s="212"/>
      <c r="AL55" s="212"/>
      <c r="AM55" s="212"/>
      <c r="AN55" s="212"/>
      <c r="AO55" s="212"/>
    </row>
    <row r="56" spans="28:41">
      <c r="AB56" s="110"/>
      <c r="AC56" s="110"/>
      <c r="AE56" s="212"/>
      <c r="AF56" s="212"/>
      <c r="AG56" s="212"/>
      <c r="AH56" s="212"/>
      <c r="AI56" s="212"/>
      <c r="AJ56" s="212"/>
      <c r="AK56" s="212"/>
      <c r="AL56" s="212"/>
      <c r="AM56" s="212"/>
      <c r="AN56" s="212"/>
      <c r="AO56" s="212"/>
    </row>
    <row r="57" spans="28:41">
      <c r="AB57" s="10"/>
      <c r="AC57" s="10"/>
      <c r="AE57" s="212"/>
      <c r="AF57" s="212"/>
      <c r="AG57" s="212"/>
      <c r="AH57" s="212"/>
      <c r="AI57" s="212"/>
      <c r="AJ57" s="212"/>
      <c r="AK57" s="212"/>
      <c r="AL57" s="212"/>
      <c r="AM57" s="212"/>
      <c r="AN57" s="212"/>
      <c r="AO57" s="212"/>
    </row>
    <row r="58" spans="28:41">
      <c r="AB58" s="10"/>
      <c r="AC58" s="10"/>
      <c r="AE58" s="212"/>
      <c r="AF58" s="212"/>
      <c r="AG58" s="212"/>
      <c r="AH58" s="212"/>
      <c r="AI58" s="212"/>
      <c r="AJ58" s="212"/>
      <c r="AK58" s="212"/>
      <c r="AL58" s="212"/>
      <c r="AM58" s="212"/>
      <c r="AN58" s="212"/>
      <c r="AO58" s="212"/>
    </row>
    <row r="59" spans="28:41">
      <c r="AB59" s="10"/>
      <c r="AC59" s="10"/>
      <c r="AE59" s="212"/>
      <c r="AF59" s="212"/>
      <c r="AG59" s="212"/>
      <c r="AH59" s="212"/>
      <c r="AI59" s="212"/>
      <c r="AJ59" s="212"/>
      <c r="AK59" s="212"/>
      <c r="AL59" s="212"/>
      <c r="AM59" s="212"/>
      <c r="AN59" s="212"/>
      <c r="AO59" s="212"/>
    </row>
    <row r="60" spans="28:41">
      <c r="AB60" s="10"/>
      <c r="AC60" s="10"/>
      <c r="AE60" s="212"/>
      <c r="AF60" s="212"/>
      <c r="AG60" s="212"/>
      <c r="AH60" s="212"/>
      <c r="AI60" s="212"/>
      <c r="AJ60" s="212"/>
      <c r="AK60" s="212"/>
      <c r="AL60" s="212"/>
      <c r="AM60" s="212"/>
      <c r="AN60" s="212"/>
      <c r="AO60" s="212"/>
    </row>
    <row r="61" spans="28:41">
      <c r="AB61" s="10"/>
      <c r="AC61" s="10"/>
      <c r="AE61" s="212"/>
      <c r="AF61" s="212"/>
      <c r="AG61" s="212"/>
      <c r="AH61" s="212"/>
      <c r="AI61" s="212"/>
      <c r="AJ61" s="212"/>
      <c r="AK61" s="212"/>
      <c r="AL61" s="212"/>
      <c r="AM61" s="212"/>
      <c r="AN61" s="212"/>
      <c r="AO61" s="212"/>
    </row>
    <row r="62" spans="28:41">
      <c r="AB62" s="10"/>
      <c r="AC62" s="10"/>
      <c r="AE62" s="212"/>
      <c r="AF62" s="212"/>
      <c r="AG62" s="212"/>
      <c r="AH62" s="212"/>
      <c r="AI62" s="212"/>
      <c r="AJ62" s="212"/>
      <c r="AK62" s="212"/>
      <c r="AL62" s="212"/>
      <c r="AM62" s="212"/>
      <c r="AN62" s="212"/>
      <c r="AO62" s="212"/>
    </row>
    <row r="63" spans="28:41">
      <c r="AB63" s="10"/>
      <c r="AC63" s="10"/>
      <c r="AE63" s="212"/>
      <c r="AF63" s="212"/>
      <c r="AG63" s="212"/>
      <c r="AH63" s="212"/>
      <c r="AI63" s="212"/>
      <c r="AJ63" s="212"/>
      <c r="AK63" s="212"/>
      <c r="AL63" s="212"/>
      <c r="AM63" s="212"/>
      <c r="AN63" s="212"/>
      <c r="AO63" s="212"/>
    </row>
    <row r="64" spans="28:41">
      <c r="AB64" s="10"/>
      <c r="AC64" s="10"/>
      <c r="AE64" s="212"/>
      <c r="AF64" s="212"/>
      <c r="AG64" s="212"/>
      <c r="AH64" s="212"/>
      <c r="AI64" s="212"/>
      <c r="AJ64" s="212"/>
      <c r="AK64" s="212"/>
      <c r="AL64" s="212"/>
      <c r="AM64" s="212"/>
      <c r="AN64" s="212"/>
      <c r="AO64" s="212"/>
    </row>
    <row r="65" spans="28:41">
      <c r="AB65" s="10"/>
      <c r="AC65" s="10"/>
      <c r="AE65" s="212"/>
      <c r="AF65" s="212"/>
      <c r="AG65" s="212"/>
      <c r="AH65" s="212"/>
      <c r="AI65" s="212"/>
      <c r="AJ65" s="212"/>
      <c r="AK65" s="212"/>
      <c r="AL65" s="212"/>
      <c r="AM65" s="212"/>
      <c r="AN65" s="212"/>
      <c r="AO65" s="212"/>
    </row>
    <row r="66" spans="28:41">
      <c r="AB66" s="10"/>
      <c r="AC66" s="10"/>
      <c r="AE66" s="212"/>
      <c r="AF66" s="212"/>
      <c r="AG66" s="212"/>
      <c r="AH66" s="212"/>
      <c r="AI66" s="212"/>
      <c r="AJ66" s="212"/>
      <c r="AK66" s="212"/>
      <c r="AL66" s="212"/>
      <c r="AM66" s="212"/>
      <c r="AN66" s="212"/>
      <c r="AO66" s="212"/>
    </row>
    <row r="67" spans="28:41">
      <c r="AB67" s="10"/>
      <c r="AC67" s="10"/>
      <c r="AE67" s="212"/>
      <c r="AF67" s="212"/>
      <c r="AG67" s="212"/>
      <c r="AH67" s="212"/>
      <c r="AI67" s="212"/>
      <c r="AJ67" s="212"/>
      <c r="AK67" s="212"/>
      <c r="AL67" s="212"/>
      <c r="AM67" s="212"/>
      <c r="AN67" s="212"/>
      <c r="AO67" s="212"/>
    </row>
    <row r="68" spans="28:41">
      <c r="AB68" s="10"/>
      <c r="AC68" s="10"/>
      <c r="AE68" s="212"/>
      <c r="AF68" s="212"/>
      <c r="AG68" s="212"/>
      <c r="AH68" s="212"/>
      <c r="AI68" s="212"/>
      <c r="AJ68" s="212"/>
      <c r="AK68" s="212"/>
      <c r="AL68" s="212"/>
      <c r="AM68" s="212"/>
      <c r="AN68" s="212"/>
      <c r="AO68" s="212"/>
    </row>
    <row r="69" spans="28:41">
      <c r="AB69" s="10"/>
      <c r="AC69" s="10"/>
      <c r="AE69" s="212"/>
      <c r="AF69" s="212"/>
      <c r="AG69" s="212"/>
      <c r="AH69" s="212"/>
      <c r="AI69" s="212"/>
      <c r="AJ69" s="212"/>
      <c r="AK69" s="212"/>
      <c r="AL69" s="212"/>
      <c r="AM69" s="212"/>
      <c r="AN69" s="212"/>
      <c r="AO69" s="212"/>
    </row>
    <row r="70" spans="28:41">
      <c r="AB70" s="10"/>
      <c r="AC70" s="10"/>
      <c r="AE70" s="212"/>
      <c r="AF70" s="212"/>
      <c r="AG70" s="212"/>
      <c r="AH70" s="212"/>
      <c r="AI70" s="212"/>
      <c r="AJ70" s="212"/>
      <c r="AK70" s="212"/>
      <c r="AL70" s="212"/>
      <c r="AM70" s="212"/>
      <c r="AN70" s="212"/>
      <c r="AO70" s="212"/>
    </row>
    <row r="71" spans="28:41">
      <c r="AB71" s="10"/>
      <c r="AC71" s="10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</row>
    <row r="72" spans="28:41">
      <c r="AB72" s="10"/>
      <c r="AC72" s="10"/>
      <c r="AE72" s="212"/>
      <c r="AF72" s="212"/>
      <c r="AG72" s="212"/>
      <c r="AH72" s="212"/>
      <c r="AI72" s="212"/>
      <c r="AJ72" s="212"/>
      <c r="AK72" s="212"/>
      <c r="AL72" s="212"/>
      <c r="AM72" s="212"/>
      <c r="AN72" s="212"/>
      <c r="AO72" s="212"/>
    </row>
    <row r="73" spans="28:41">
      <c r="AB73" s="10"/>
      <c r="AC73" s="10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</row>
  </sheetData>
  <mergeCells count="1">
    <mergeCell ref="C13:E13"/>
  </mergeCells>
  <conditionalFormatting sqref="J16 L16 P16 T16 W16 Z16">
    <cfRule type="containsText" dxfId="67" priority="13" operator="containsText" text="Rejected">
      <formula>NOT(ISERROR(SEARCH("Rejected",J16)))</formula>
    </cfRule>
    <cfRule type="containsText" dxfId="66" priority="14" operator="containsText" text="Review">
      <formula>NOT(ISERROR(SEARCH("Review",J16)))</formula>
    </cfRule>
    <cfRule type="containsText" dxfId="65" priority="15" operator="containsText" text="OK">
      <formula>NOT(ISERROR(SEARCH("OK",J16)))</formula>
    </cfRule>
    <cfRule type="duplicateValues" dxfId="64" priority="16"/>
  </conditionalFormatting>
  <conditionalFormatting sqref="C16">
    <cfRule type="duplicateValues" dxfId="63" priority="1"/>
  </conditionalFormatting>
  <dataValidations count="1">
    <dataValidation type="list" allowBlank="1" showInputMessage="1" showErrorMessage="1" sqref="I16" xr:uid="{CF10B382-FDD8-453A-A148-0D322F6B9039}">
      <formula1>"In Process,Approved,Rejected"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533400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UpdatePrevalidation">
                <anchor>
                  <from>
                    <xdr:col>7</xdr:col>
                    <xdr:colOff>57150</xdr:colOff>
                    <xdr:row>11</xdr:row>
                    <xdr:rowOff>142875</xdr:rowOff>
                  </from>
                  <to>
                    <xdr:col>9</xdr:col>
                    <xdr:colOff>19050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04AC4-B4AB-4BDB-B812-7493484C0446}">
  <sheetPr codeName="Sheet19">
    <tabColor theme="9" tint="0.39997558519241921"/>
    <outlinePr summaryBelow="0" summaryRight="0"/>
  </sheetPr>
  <dimension ref="A1:AO73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RowHeight="15" outlineLevelCol="1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6" width="11.7109375" style="2" customWidth="1"/>
    <col min="7" max="7" width="10.28515625" customWidth="1"/>
    <col min="8" max="8" width="8.140625" customWidth="1"/>
    <col min="9" max="9" width="12.42578125" customWidth="1"/>
    <col min="10" max="10" width="4.28515625" customWidth="1" collapsed="1"/>
    <col min="11" max="11" width="77.42578125" style="10" hidden="1" customWidth="1" outlineLevel="1"/>
    <col min="12" max="12" width="4.28515625" style="10" customWidth="1" collapsed="1"/>
    <col min="13" max="13" width="11.28515625" hidden="1" customWidth="1" outlineLevel="1"/>
    <col min="14" max="14" width="13.5703125" style="10" hidden="1" customWidth="1" outlineLevel="1"/>
    <col min="15" max="15" width="58.42578125" style="10" hidden="1" customWidth="1" outlineLevel="1"/>
    <col min="16" max="16" width="4.28515625" style="10" customWidth="1" collapsed="1"/>
    <col min="17" max="17" width="12" style="10" hidden="1" customWidth="1" outlineLevel="1"/>
    <col min="18" max="18" width="23" hidden="1" customWidth="1" outlineLevel="1"/>
    <col min="19" max="19" width="67.42578125" hidden="1" customWidth="1" outlineLevel="1"/>
    <col min="20" max="20" width="4.28515625" style="10" customWidth="1" collapsed="1"/>
    <col min="21" max="21" width="11.28515625" hidden="1" customWidth="1" outlineLevel="1"/>
    <col min="22" max="22" width="48.5703125" hidden="1" customWidth="1" outlineLevel="1"/>
    <col min="23" max="23" width="4.28515625" customWidth="1" collapsed="1"/>
    <col min="24" max="24" width="11.5703125" hidden="1" customWidth="1" outlineLevel="1"/>
    <col min="25" max="25" width="76.7109375" hidden="1" customWidth="1" outlineLevel="1"/>
    <col min="26" max="26" width="4.28515625" style="10" customWidth="1" collapsed="1"/>
    <col min="27" max="27" width="47.7109375" hidden="1" customWidth="1" outlineLevel="1"/>
    <col min="30" max="30" width="62.140625" style="212" customWidth="1"/>
    <col min="31" max="31" width="58.42578125" style="211" customWidth="1"/>
    <col min="32" max="32" width="10" style="211" customWidth="1"/>
    <col min="33" max="33" width="41.85546875" style="211" customWidth="1"/>
    <col min="34" max="34" width="12.5703125" style="211" customWidth="1"/>
    <col min="35" max="35" width="19.42578125" style="211" customWidth="1"/>
    <col min="36" max="36" width="57.42578125" style="211" customWidth="1"/>
    <col min="37" max="37" width="22.28515625" style="211" customWidth="1"/>
    <col min="38" max="38" width="30.140625" style="211" customWidth="1"/>
    <col min="39" max="39" width="47.7109375" style="211" customWidth="1"/>
    <col min="40" max="41" width="9.140625" style="211"/>
    <col min="42" max="16384" width="9.140625" style="212"/>
  </cols>
  <sheetData>
    <row r="1" spans="1:41" s="208" customFormat="1" hidden="1">
      <c r="A1" s="56" t="s">
        <v>10</v>
      </c>
      <c r="B1" s="15" t="s">
        <v>12</v>
      </c>
      <c r="C1" s="15"/>
      <c r="D1" s="15"/>
      <c r="E1" s="62"/>
      <c r="F1" s="67"/>
      <c r="G1" s="15"/>
      <c r="H1" s="15"/>
      <c r="I1" s="15"/>
      <c r="J1" s="15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</row>
    <row r="2" spans="1:41" s="208" customFormat="1" hidden="1">
      <c r="A2" s="57" t="s">
        <v>18</v>
      </c>
      <c r="B2" s="7"/>
      <c r="C2" s="7"/>
      <c r="D2" s="7"/>
      <c r="E2" s="31"/>
      <c r="F2" s="19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</row>
    <row r="3" spans="1:41" s="208" customFormat="1" hidden="1">
      <c r="A3" s="58" t="s">
        <v>5</v>
      </c>
      <c r="B3" s="5" t="s">
        <v>14</v>
      </c>
      <c r="C3" s="5" t="s">
        <v>31</v>
      </c>
      <c r="D3" s="5" t="s">
        <v>86</v>
      </c>
      <c r="E3" s="31"/>
      <c r="F3" s="19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</row>
    <row r="4" spans="1:41" s="210" customFormat="1" hidden="1">
      <c r="A4" s="18">
        <f>MATCH(A3,10:10,0)</f>
        <v>1</v>
      </c>
      <c r="B4" s="18">
        <f>MATCH(B3,10:10,0)</f>
        <v>3</v>
      </c>
      <c r="C4" s="18">
        <f>MATCH(C3,10:10,0)</f>
        <v>6</v>
      </c>
      <c r="D4" s="18">
        <f>MATCH(D3,10:10,0)</f>
        <v>9</v>
      </c>
      <c r="E4" s="31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</row>
    <row r="5" spans="1:41" s="210" customFormat="1" hidden="1">
      <c r="A5" s="18">
        <v>59</v>
      </c>
      <c r="B5" s="6" t="e">
        <f>IF(VLOOKUP($A$5,Table352102[],B4,FALSE)&lt;&gt;0,VLOOKUP($A$5,Table352102[],B4,FALSE),"")</f>
        <v>#N/A</v>
      </c>
      <c r="C5" s="18" t="e">
        <f>IF(VLOOKUP($A$5,Table352102[],C4,FALSE)&lt;&gt;0,VLOOKUP($A$5,Table352102[],C4,FALSE),"")</f>
        <v>#N/A</v>
      </c>
      <c r="D5" s="18" t="e">
        <f>IF(VLOOKUP($A$5,Table352102[],D4,FALSE)&lt;&gt;0,VLOOKUP($A$5,Table352102[],D4,FALSE),"")</f>
        <v>#N/A</v>
      </c>
      <c r="E5" s="31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</row>
    <row r="6" spans="1:41" hidden="1">
      <c r="A6" s="59" t="s">
        <v>16</v>
      </c>
      <c r="B6" s="12"/>
      <c r="C6" s="12"/>
      <c r="D6" s="12"/>
      <c r="E6" s="63"/>
      <c r="F6" s="60"/>
      <c r="G6" s="12"/>
      <c r="H6" s="12"/>
      <c r="I6" s="12"/>
      <c r="J6" s="12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E6" s="212"/>
      <c r="AF6" s="212"/>
      <c r="AG6" s="212"/>
      <c r="AH6" s="212"/>
      <c r="AI6" s="212"/>
      <c r="AJ6" s="212"/>
      <c r="AK6" s="212"/>
      <c r="AL6" s="212"/>
      <c r="AM6" s="212"/>
      <c r="AN6" s="212"/>
      <c r="AO6" s="212"/>
    </row>
    <row r="7" spans="1:41" hidden="1">
      <c r="A7" s="60"/>
      <c r="B7" s="60"/>
      <c r="C7" s="60"/>
      <c r="D7" s="60"/>
      <c r="E7" s="63"/>
      <c r="F7" s="60"/>
      <c r="G7" s="12"/>
      <c r="H7" s="12"/>
      <c r="I7" s="12"/>
      <c r="J7" s="12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E7" s="212"/>
      <c r="AF7" s="212"/>
      <c r="AG7" s="212"/>
      <c r="AH7" s="212"/>
      <c r="AI7" s="212"/>
      <c r="AJ7" s="212"/>
      <c r="AK7" s="212"/>
      <c r="AL7" s="212"/>
      <c r="AM7" s="212"/>
      <c r="AN7" s="212"/>
      <c r="AO7" s="212"/>
    </row>
    <row r="8" spans="1:41" hidden="1">
      <c r="A8" s="60"/>
      <c r="B8" s="60"/>
      <c r="C8" s="60"/>
      <c r="D8" s="60"/>
      <c r="E8" s="63"/>
      <c r="F8" s="60"/>
      <c r="G8" s="12"/>
      <c r="H8" s="12"/>
      <c r="I8" s="12"/>
      <c r="J8" s="12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E8" s="212"/>
      <c r="AF8" s="212"/>
      <c r="AG8" s="212"/>
      <c r="AH8" s="212"/>
      <c r="AI8" s="212"/>
      <c r="AJ8" s="212"/>
      <c r="AK8" s="212"/>
      <c r="AL8" s="212"/>
      <c r="AM8" s="212"/>
      <c r="AN8" s="212"/>
      <c r="AO8" s="212"/>
    </row>
    <row r="9" spans="1:41" hidden="1">
      <c r="A9" s="61" t="s">
        <v>17</v>
      </c>
      <c r="B9" s="13"/>
      <c r="C9" s="13"/>
      <c r="D9" s="13"/>
      <c r="E9" s="64"/>
      <c r="F9" s="22"/>
      <c r="G9" s="13"/>
      <c r="H9" s="13"/>
      <c r="I9" s="13"/>
      <c r="J9" s="1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E9" s="212"/>
      <c r="AF9" s="212"/>
      <c r="AG9" s="212"/>
      <c r="AH9" s="212"/>
      <c r="AI9" s="212"/>
      <c r="AJ9" s="212"/>
      <c r="AK9" s="212"/>
      <c r="AL9" s="212"/>
      <c r="AM9" s="212"/>
      <c r="AN9" s="212"/>
      <c r="AO9" s="212"/>
    </row>
    <row r="10" spans="1:41" hidden="1">
      <c r="A10" s="58" t="s">
        <v>5</v>
      </c>
      <c r="B10" s="17" t="s">
        <v>4</v>
      </c>
      <c r="C10" s="17" t="s">
        <v>14</v>
      </c>
      <c r="D10" s="17" t="s">
        <v>1</v>
      </c>
      <c r="E10" s="17" t="s">
        <v>3</v>
      </c>
      <c r="F10" s="17" t="s">
        <v>31</v>
      </c>
      <c r="G10" s="17" t="s">
        <v>34</v>
      </c>
      <c r="H10" s="17" t="s">
        <v>33</v>
      </c>
      <c r="I10" s="17" t="s">
        <v>86</v>
      </c>
      <c r="J10" s="17" t="s">
        <v>36</v>
      </c>
      <c r="K10" s="17" t="s">
        <v>37</v>
      </c>
      <c r="L10" s="17" t="s">
        <v>41</v>
      </c>
      <c r="M10" s="17" t="s">
        <v>59</v>
      </c>
      <c r="N10" s="17" t="s">
        <v>60</v>
      </c>
      <c r="O10" s="17" t="s">
        <v>42</v>
      </c>
      <c r="P10" s="17" t="s">
        <v>48</v>
      </c>
      <c r="Q10" s="17" t="s">
        <v>47</v>
      </c>
      <c r="R10" s="17" t="s">
        <v>50</v>
      </c>
      <c r="S10" s="17" t="s">
        <v>49</v>
      </c>
      <c r="T10" s="17" t="s">
        <v>56</v>
      </c>
      <c r="U10" s="17" t="s">
        <v>55</v>
      </c>
      <c r="V10" s="17" t="s">
        <v>58</v>
      </c>
      <c r="W10" s="17" t="s">
        <v>64</v>
      </c>
      <c r="X10" s="17" t="s">
        <v>63</v>
      </c>
      <c r="Y10" s="17" t="s">
        <v>65</v>
      </c>
      <c r="Z10" s="17" t="s">
        <v>81</v>
      </c>
      <c r="AA10" s="17" t="s">
        <v>82</v>
      </c>
      <c r="AB10" s="14"/>
      <c r="AC10" s="14"/>
      <c r="AE10" s="212"/>
      <c r="AF10" s="212"/>
      <c r="AG10" s="212"/>
      <c r="AH10" s="212"/>
      <c r="AI10" s="212"/>
      <c r="AJ10" s="212"/>
      <c r="AK10" s="212"/>
      <c r="AL10" s="212"/>
      <c r="AM10" s="212"/>
      <c r="AN10" s="212"/>
      <c r="AO10" s="212"/>
    </row>
    <row r="11" spans="1:41" s="214" customFormat="1" hidden="1">
      <c r="A11" s="22"/>
      <c r="B11" s="22"/>
      <c r="C11" s="22"/>
      <c r="D11" s="22"/>
      <c r="E11" s="64"/>
      <c r="F11" s="22"/>
      <c r="G11" s="22"/>
      <c r="H11" s="22"/>
      <c r="I11" s="22"/>
      <c r="J11" s="22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</row>
    <row r="12" spans="1:41">
      <c r="M12" s="10"/>
      <c r="R12" s="10"/>
      <c r="S12" s="10"/>
      <c r="U12" s="10"/>
      <c r="V12" s="10"/>
      <c r="W12" s="10"/>
      <c r="X12" s="10"/>
      <c r="Y12" s="10"/>
      <c r="AA12" s="10"/>
      <c r="AB12" s="10"/>
      <c r="AC12" s="10"/>
      <c r="AE12" s="212"/>
      <c r="AF12" s="212"/>
      <c r="AG12" s="212"/>
      <c r="AH12" s="212"/>
      <c r="AI12" s="212"/>
      <c r="AJ12" s="212"/>
      <c r="AK12" s="212"/>
      <c r="AL12" s="212"/>
      <c r="AM12" s="212"/>
      <c r="AN12" s="212"/>
      <c r="AO12" s="212"/>
    </row>
    <row r="13" spans="1:41" ht="21">
      <c r="C13" s="203" t="s">
        <v>88</v>
      </c>
      <c r="D13" s="204"/>
      <c r="E13" s="204"/>
      <c r="M13" s="10"/>
      <c r="R13" s="10"/>
      <c r="S13" s="10"/>
      <c r="U13" s="10"/>
      <c r="V13" s="10"/>
      <c r="W13" s="10"/>
      <c r="X13" s="10"/>
      <c r="Y13" s="10"/>
      <c r="AA13" s="10"/>
      <c r="AB13" s="10"/>
      <c r="AC13" s="10"/>
      <c r="AE13" s="212"/>
      <c r="AF13" s="212"/>
      <c r="AG13" s="212"/>
      <c r="AH13" s="212"/>
      <c r="AI13" s="212"/>
      <c r="AJ13" s="212"/>
      <c r="AK13" s="212"/>
      <c r="AL13" s="212"/>
      <c r="AM13" s="212"/>
      <c r="AN13" s="212"/>
      <c r="AO13" s="212"/>
    </row>
    <row r="14" spans="1:41">
      <c r="M14" s="10"/>
      <c r="R14" s="10"/>
      <c r="S14" s="10"/>
      <c r="U14" s="10"/>
      <c r="V14" s="10"/>
      <c r="W14" s="10"/>
      <c r="X14" s="10"/>
      <c r="Y14" s="10"/>
      <c r="AA14" s="10"/>
      <c r="AB14" s="10"/>
      <c r="AC14" s="10"/>
      <c r="AE14" s="212"/>
      <c r="AF14" s="212"/>
      <c r="AG14" s="212"/>
      <c r="AH14" s="212"/>
      <c r="AI14" s="212"/>
      <c r="AJ14" s="212"/>
      <c r="AK14" s="212"/>
      <c r="AL14" s="212"/>
      <c r="AM14" s="212"/>
      <c r="AN14" s="212"/>
      <c r="AO14" s="212"/>
    </row>
    <row r="15" spans="1:41" s="215" customFormat="1" ht="54" customHeight="1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26</v>
      </c>
      <c r="G15" s="119" t="s">
        <v>67</v>
      </c>
      <c r="H15" s="119" t="s">
        <v>68</v>
      </c>
      <c r="I15" s="119" t="s">
        <v>86</v>
      </c>
      <c r="J15" s="115" t="s">
        <v>70</v>
      </c>
      <c r="K15" s="129" t="s">
        <v>79</v>
      </c>
      <c r="L15" s="116" t="s">
        <v>71</v>
      </c>
      <c r="M15" s="130" t="s">
        <v>45</v>
      </c>
      <c r="N15" s="130" t="s">
        <v>46</v>
      </c>
      <c r="O15" s="130" t="s">
        <v>75</v>
      </c>
      <c r="P15" s="117" t="s">
        <v>73</v>
      </c>
      <c r="Q15" s="132" t="s">
        <v>52</v>
      </c>
      <c r="R15" s="132" t="s">
        <v>69</v>
      </c>
      <c r="S15" s="132" t="s">
        <v>54</v>
      </c>
      <c r="T15" s="118" t="s">
        <v>72</v>
      </c>
      <c r="U15" s="131" t="s">
        <v>76</v>
      </c>
      <c r="V15" s="131" t="s">
        <v>77</v>
      </c>
      <c r="W15" s="133" t="s">
        <v>74</v>
      </c>
      <c r="X15" s="183" t="s">
        <v>66</v>
      </c>
      <c r="Y15" s="184" t="s">
        <v>78</v>
      </c>
      <c r="Z15" s="180" t="s">
        <v>84</v>
      </c>
      <c r="AA15" s="185" t="s">
        <v>85</v>
      </c>
      <c r="AB15" s="25"/>
      <c r="AC15" s="25"/>
    </row>
    <row r="16" spans="1:41">
      <c r="A16" s="122"/>
      <c r="B16" s="123"/>
      <c r="C16" s="123"/>
      <c r="D16" s="123"/>
      <c r="E16" s="124"/>
      <c r="F16" s="125"/>
      <c r="G16" s="126"/>
      <c r="H16" s="127"/>
      <c r="I16" s="127"/>
      <c r="J16" s="128"/>
      <c r="K16" s="126"/>
      <c r="L16" s="128"/>
      <c r="M16" s="126"/>
      <c r="N16" s="126"/>
      <c r="O16" s="126"/>
      <c r="P16" s="128"/>
      <c r="Q16" s="126"/>
      <c r="R16" s="126"/>
      <c r="S16" s="126"/>
      <c r="T16" s="128"/>
      <c r="U16" s="126"/>
      <c r="V16" s="126"/>
      <c r="W16" s="128"/>
      <c r="X16" s="126"/>
      <c r="Y16" s="126"/>
      <c r="Z16" s="128"/>
      <c r="AA16" s="126"/>
      <c r="AB16" s="110"/>
      <c r="AC16" s="110"/>
      <c r="AE16" s="212"/>
      <c r="AF16" s="212"/>
      <c r="AG16" s="212"/>
      <c r="AH16" s="212"/>
      <c r="AI16" s="212"/>
      <c r="AJ16" s="212"/>
      <c r="AK16" s="212"/>
      <c r="AL16" s="212"/>
      <c r="AM16" s="212"/>
      <c r="AN16" s="212"/>
      <c r="AO16" s="212"/>
    </row>
    <row r="17" spans="28:41">
      <c r="AB17" s="110"/>
      <c r="AC17" s="110"/>
      <c r="AE17" s="212"/>
      <c r="AF17" s="212"/>
      <c r="AG17" s="212"/>
      <c r="AH17" s="212"/>
      <c r="AI17" s="212"/>
      <c r="AJ17" s="212"/>
      <c r="AK17" s="212"/>
      <c r="AL17" s="212"/>
      <c r="AM17" s="212"/>
      <c r="AN17" s="212"/>
      <c r="AO17" s="212"/>
    </row>
    <row r="18" spans="28:41">
      <c r="AB18" s="110"/>
      <c r="AC18" s="110"/>
      <c r="AE18" s="212"/>
      <c r="AF18" s="212"/>
      <c r="AG18" s="212"/>
      <c r="AH18" s="212"/>
      <c r="AI18" s="212"/>
      <c r="AJ18" s="212"/>
      <c r="AK18" s="212"/>
      <c r="AL18" s="212"/>
      <c r="AM18" s="212"/>
      <c r="AN18" s="212"/>
      <c r="AO18" s="212"/>
    </row>
    <row r="19" spans="28:41">
      <c r="AB19" s="110"/>
      <c r="AC19" s="110"/>
      <c r="AE19" s="212"/>
      <c r="AF19" s="212"/>
      <c r="AG19" s="212"/>
      <c r="AH19" s="212"/>
      <c r="AI19" s="212"/>
      <c r="AJ19" s="212"/>
      <c r="AK19" s="212"/>
      <c r="AL19" s="212"/>
      <c r="AM19" s="212"/>
      <c r="AN19" s="212"/>
      <c r="AO19" s="212"/>
    </row>
    <row r="20" spans="28:41">
      <c r="AB20" s="110"/>
      <c r="AC20" s="110"/>
      <c r="AE20" s="212"/>
      <c r="AF20" s="212"/>
      <c r="AG20" s="212"/>
      <c r="AH20" s="212"/>
      <c r="AI20" s="212"/>
      <c r="AJ20" s="212"/>
      <c r="AK20" s="212"/>
      <c r="AL20" s="212"/>
      <c r="AM20" s="212"/>
      <c r="AN20" s="212"/>
      <c r="AO20" s="212"/>
    </row>
    <row r="21" spans="28:41">
      <c r="AB21" s="110"/>
      <c r="AC21" s="110"/>
      <c r="AE21" s="212"/>
      <c r="AF21" s="212"/>
      <c r="AG21" s="212"/>
      <c r="AH21" s="212"/>
      <c r="AI21" s="212"/>
      <c r="AJ21" s="212"/>
      <c r="AK21" s="212"/>
      <c r="AL21" s="212"/>
      <c r="AM21" s="212"/>
      <c r="AN21" s="212"/>
      <c r="AO21" s="212"/>
    </row>
    <row r="22" spans="28:41">
      <c r="AB22" s="110"/>
      <c r="AC22" s="110"/>
      <c r="AE22" s="212"/>
      <c r="AF22" s="212"/>
      <c r="AG22" s="212"/>
      <c r="AH22" s="212"/>
      <c r="AI22" s="212"/>
      <c r="AJ22" s="212"/>
      <c r="AK22" s="212"/>
      <c r="AL22" s="212"/>
      <c r="AM22" s="212"/>
      <c r="AN22" s="212"/>
      <c r="AO22" s="212"/>
    </row>
    <row r="23" spans="28:41">
      <c r="AB23" s="110"/>
      <c r="AC23" s="110"/>
      <c r="AE23" s="212"/>
      <c r="AF23" s="212"/>
      <c r="AG23" s="212"/>
      <c r="AH23" s="212"/>
      <c r="AI23" s="212"/>
      <c r="AJ23" s="212"/>
      <c r="AK23" s="212"/>
      <c r="AL23" s="212"/>
      <c r="AM23" s="212"/>
      <c r="AN23" s="212"/>
      <c r="AO23" s="212"/>
    </row>
    <row r="24" spans="28:41">
      <c r="AB24" s="110"/>
      <c r="AC24" s="110"/>
      <c r="AE24" s="212"/>
      <c r="AF24" s="212"/>
      <c r="AG24" s="212"/>
      <c r="AH24" s="212"/>
      <c r="AI24" s="212"/>
      <c r="AJ24" s="212"/>
      <c r="AK24" s="212"/>
      <c r="AL24" s="212"/>
      <c r="AM24" s="212"/>
      <c r="AN24" s="212"/>
      <c r="AO24" s="212"/>
    </row>
    <row r="25" spans="28:41">
      <c r="AB25" s="110"/>
      <c r="AC25" s="110"/>
      <c r="AE25" s="212"/>
      <c r="AF25" s="212"/>
      <c r="AG25" s="212"/>
      <c r="AH25" s="212"/>
      <c r="AI25" s="212"/>
      <c r="AJ25" s="212"/>
      <c r="AK25" s="212"/>
      <c r="AL25" s="212"/>
      <c r="AM25" s="212"/>
      <c r="AN25" s="212"/>
      <c r="AO25" s="212"/>
    </row>
    <row r="26" spans="28:41">
      <c r="AB26" s="110"/>
      <c r="AC26" s="110"/>
      <c r="AE26" s="212"/>
      <c r="AF26" s="212"/>
      <c r="AG26" s="212"/>
      <c r="AH26" s="212"/>
      <c r="AI26" s="212"/>
      <c r="AJ26" s="212"/>
      <c r="AK26" s="212"/>
      <c r="AL26" s="212"/>
      <c r="AM26" s="212"/>
      <c r="AN26" s="212"/>
      <c r="AO26" s="212"/>
    </row>
    <row r="27" spans="28:41">
      <c r="AB27" s="110"/>
      <c r="AC27" s="110"/>
      <c r="AE27" s="212"/>
      <c r="AF27" s="212"/>
      <c r="AG27" s="212"/>
      <c r="AH27" s="212"/>
      <c r="AI27" s="212"/>
      <c r="AJ27" s="212"/>
      <c r="AK27" s="212"/>
      <c r="AL27" s="212"/>
      <c r="AM27" s="212"/>
      <c r="AN27" s="212"/>
      <c r="AO27" s="212"/>
    </row>
    <row r="28" spans="28:41">
      <c r="AB28" s="110"/>
      <c r="AC28" s="110"/>
      <c r="AE28" s="212"/>
      <c r="AF28" s="212"/>
      <c r="AG28" s="212"/>
      <c r="AH28" s="212"/>
      <c r="AI28" s="212"/>
      <c r="AJ28" s="212"/>
      <c r="AK28" s="212"/>
      <c r="AL28" s="212"/>
      <c r="AM28" s="212"/>
      <c r="AN28" s="212"/>
      <c r="AO28" s="212"/>
    </row>
    <row r="29" spans="28:41">
      <c r="AB29" s="110"/>
      <c r="AC29" s="110"/>
      <c r="AE29" s="212"/>
      <c r="AF29" s="212"/>
      <c r="AG29" s="212"/>
      <c r="AH29" s="212"/>
      <c r="AI29" s="212"/>
      <c r="AJ29" s="212"/>
      <c r="AK29" s="212"/>
      <c r="AL29" s="212"/>
      <c r="AM29" s="212"/>
      <c r="AN29" s="212"/>
      <c r="AO29" s="212"/>
    </row>
    <row r="30" spans="28:41">
      <c r="AB30" s="110"/>
      <c r="AC30" s="110"/>
      <c r="AE30" s="212"/>
      <c r="AF30" s="212"/>
      <c r="AG30" s="212"/>
      <c r="AH30" s="212"/>
      <c r="AI30" s="212"/>
      <c r="AJ30" s="212"/>
      <c r="AK30" s="212"/>
      <c r="AL30" s="212"/>
      <c r="AM30" s="212"/>
      <c r="AN30" s="212"/>
      <c r="AO30" s="212"/>
    </row>
    <row r="31" spans="28:41">
      <c r="AB31" s="110"/>
      <c r="AC31" s="110"/>
      <c r="AE31" s="212"/>
      <c r="AF31" s="212"/>
      <c r="AG31" s="212"/>
      <c r="AH31" s="212"/>
      <c r="AI31" s="212"/>
      <c r="AJ31" s="212"/>
      <c r="AK31" s="212"/>
      <c r="AL31" s="212"/>
      <c r="AM31" s="212"/>
      <c r="AN31" s="212"/>
      <c r="AO31" s="212"/>
    </row>
    <row r="32" spans="28:41">
      <c r="AB32" s="110"/>
      <c r="AC32" s="110"/>
      <c r="AE32" s="212"/>
      <c r="AF32" s="212"/>
      <c r="AG32" s="212"/>
      <c r="AH32" s="212"/>
      <c r="AI32" s="212"/>
      <c r="AJ32" s="212"/>
      <c r="AK32" s="212"/>
      <c r="AL32" s="212"/>
      <c r="AM32" s="212"/>
      <c r="AN32" s="212"/>
      <c r="AO32" s="212"/>
    </row>
    <row r="33" spans="28:41">
      <c r="AB33" s="110"/>
      <c r="AC33" s="110"/>
      <c r="AE33" s="212"/>
      <c r="AF33" s="212"/>
      <c r="AG33" s="212"/>
      <c r="AH33" s="212"/>
      <c r="AI33" s="212"/>
      <c r="AJ33" s="212"/>
      <c r="AK33" s="212"/>
      <c r="AL33" s="212"/>
      <c r="AM33" s="212"/>
      <c r="AN33" s="212"/>
      <c r="AO33" s="212"/>
    </row>
    <row r="34" spans="28:41">
      <c r="AB34" s="110"/>
      <c r="AC34" s="110"/>
      <c r="AE34" s="212"/>
      <c r="AF34" s="212"/>
      <c r="AG34" s="212"/>
      <c r="AH34" s="212"/>
      <c r="AI34" s="212"/>
      <c r="AJ34" s="212"/>
      <c r="AK34" s="212"/>
      <c r="AL34" s="212"/>
      <c r="AM34" s="212"/>
      <c r="AN34" s="212"/>
      <c r="AO34" s="212"/>
    </row>
    <row r="35" spans="28:41">
      <c r="AB35" s="110"/>
      <c r="AC35" s="110"/>
      <c r="AE35" s="212"/>
      <c r="AF35" s="212"/>
      <c r="AG35" s="212"/>
      <c r="AH35" s="212"/>
      <c r="AI35" s="212"/>
      <c r="AJ35" s="212"/>
      <c r="AK35" s="212"/>
      <c r="AL35" s="212"/>
      <c r="AM35" s="212"/>
      <c r="AN35" s="212"/>
      <c r="AO35" s="212"/>
    </row>
    <row r="36" spans="28:41">
      <c r="AB36" s="110"/>
      <c r="AC36" s="110"/>
      <c r="AE36" s="212"/>
      <c r="AF36" s="212"/>
      <c r="AG36" s="212"/>
      <c r="AH36" s="212"/>
      <c r="AI36" s="212"/>
      <c r="AJ36" s="212"/>
      <c r="AK36" s="212"/>
      <c r="AL36" s="212"/>
      <c r="AM36" s="212"/>
      <c r="AN36" s="212"/>
      <c r="AO36" s="212"/>
    </row>
    <row r="37" spans="28:41">
      <c r="AB37" s="110"/>
      <c r="AC37" s="110"/>
      <c r="AE37" s="212"/>
      <c r="AF37" s="212"/>
      <c r="AG37" s="212"/>
      <c r="AH37" s="212"/>
      <c r="AI37" s="212"/>
      <c r="AJ37" s="212"/>
      <c r="AK37" s="212"/>
      <c r="AL37" s="212"/>
      <c r="AM37" s="212"/>
      <c r="AN37" s="212"/>
      <c r="AO37" s="212"/>
    </row>
    <row r="38" spans="28:41">
      <c r="AB38" s="110"/>
      <c r="AC38" s="110"/>
      <c r="AE38" s="212"/>
      <c r="AF38" s="212"/>
      <c r="AG38" s="212"/>
      <c r="AH38" s="212"/>
      <c r="AI38" s="212"/>
      <c r="AJ38" s="212"/>
      <c r="AK38" s="212"/>
      <c r="AL38" s="212"/>
      <c r="AM38" s="212"/>
      <c r="AN38" s="212"/>
      <c r="AO38" s="212"/>
    </row>
    <row r="39" spans="28:41">
      <c r="AB39" s="110"/>
      <c r="AC39" s="110"/>
      <c r="AE39" s="212"/>
      <c r="AF39" s="212"/>
      <c r="AG39" s="212"/>
      <c r="AH39" s="212"/>
      <c r="AI39" s="212"/>
      <c r="AJ39" s="212"/>
      <c r="AK39" s="212"/>
      <c r="AL39" s="212"/>
      <c r="AM39" s="212"/>
      <c r="AN39" s="212"/>
      <c r="AO39" s="212"/>
    </row>
    <row r="40" spans="28:41">
      <c r="AB40" s="110"/>
      <c r="AC40" s="110"/>
      <c r="AE40" s="212"/>
      <c r="AF40" s="212"/>
      <c r="AG40" s="212"/>
      <c r="AH40" s="212"/>
      <c r="AI40" s="212"/>
      <c r="AJ40" s="212"/>
      <c r="AK40" s="212"/>
      <c r="AL40" s="212"/>
      <c r="AM40" s="212"/>
      <c r="AN40" s="212"/>
      <c r="AO40" s="212"/>
    </row>
    <row r="41" spans="28:41">
      <c r="AB41" s="110"/>
      <c r="AC41" s="110"/>
      <c r="AE41" s="212"/>
      <c r="AF41" s="212"/>
      <c r="AG41" s="212"/>
      <c r="AH41" s="212"/>
      <c r="AI41" s="212"/>
      <c r="AJ41" s="212"/>
      <c r="AK41" s="212"/>
      <c r="AL41" s="212"/>
      <c r="AM41" s="212"/>
      <c r="AN41" s="212"/>
      <c r="AO41" s="212"/>
    </row>
    <row r="42" spans="28:41">
      <c r="AB42" s="110"/>
      <c r="AC42" s="110"/>
      <c r="AE42" s="212"/>
      <c r="AF42" s="212"/>
      <c r="AG42" s="212"/>
      <c r="AH42" s="212"/>
      <c r="AI42" s="212"/>
      <c r="AJ42" s="212"/>
      <c r="AK42" s="212"/>
      <c r="AL42" s="212"/>
      <c r="AM42" s="212"/>
      <c r="AN42" s="212"/>
      <c r="AO42" s="212"/>
    </row>
    <row r="43" spans="28:41">
      <c r="AB43" s="110"/>
      <c r="AC43" s="110"/>
      <c r="AE43" s="212"/>
      <c r="AF43" s="212"/>
      <c r="AG43" s="212"/>
      <c r="AH43" s="212"/>
      <c r="AI43" s="212"/>
      <c r="AJ43" s="212"/>
      <c r="AK43" s="212"/>
      <c r="AL43" s="212"/>
      <c r="AM43" s="212"/>
      <c r="AN43" s="212"/>
      <c r="AO43" s="212"/>
    </row>
    <row r="44" spans="28:41">
      <c r="AB44" s="110"/>
      <c r="AC44" s="110"/>
      <c r="AE44" s="212"/>
      <c r="AF44" s="212"/>
      <c r="AG44" s="212"/>
      <c r="AH44" s="212"/>
      <c r="AI44" s="212"/>
      <c r="AJ44" s="212"/>
      <c r="AK44" s="212"/>
      <c r="AL44" s="212"/>
      <c r="AM44" s="212"/>
      <c r="AN44" s="212"/>
      <c r="AO44" s="212"/>
    </row>
    <row r="45" spans="28:41">
      <c r="AB45" s="110"/>
      <c r="AC45" s="110"/>
      <c r="AE45" s="212"/>
      <c r="AF45" s="212"/>
      <c r="AG45" s="212"/>
      <c r="AH45" s="212"/>
      <c r="AI45" s="212"/>
      <c r="AJ45" s="212"/>
      <c r="AK45" s="212"/>
      <c r="AL45" s="212"/>
      <c r="AM45" s="212"/>
      <c r="AN45" s="212"/>
      <c r="AO45" s="212"/>
    </row>
    <row r="46" spans="28:41">
      <c r="AB46" s="110"/>
      <c r="AC46" s="110"/>
      <c r="AE46" s="212"/>
      <c r="AF46" s="212"/>
      <c r="AG46" s="212"/>
      <c r="AH46" s="212"/>
      <c r="AI46" s="212"/>
      <c r="AJ46" s="212"/>
      <c r="AK46" s="212"/>
      <c r="AL46" s="212"/>
      <c r="AM46" s="212"/>
      <c r="AN46" s="212"/>
      <c r="AO46" s="212"/>
    </row>
    <row r="47" spans="28:41">
      <c r="AB47" s="110"/>
      <c r="AC47" s="110"/>
      <c r="AE47" s="212"/>
      <c r="AF47" s="212"/>
      <c r="AG47" s="212"/>
      <c r="AH47" s="212"/>
      <c r="AI47" s="212"/>
      <c r="AJ47" s="212"/>
      <c r="AK47" s="212"/>
      <c r="AL47" s="212"/>
      <c r="AM47" s="212"/>
      <c r="AN47" s="212"/>
      <c r="AO47" s="212"/>
    </row>
    <row r="48" spans="28:41">
      <c r="AB48" s="110"/>
      <c r="AC48" s="110"/>
      <c r="AE48" s="212"/>
      <c r="AF48" s="212"/>
      <c r="AG48" s="212"/>
      <c r="AH48" s="212"/>
      <c r="AI48" s="212"/>
      <c r="AJ48" s="212"/>
      <c r="AK48" s="212"/>
      <c r="AL48" s="212"/>
      <c r="AM48" s="212"/>
      <c r="AN48" s="212"/>
      <c r="AO48" s="212"/>
    </row>
    <row r="49" spans="28:41">
      <c r="AB49" s="110"/>
      <c r="AC49" s="110"/>
      <c r="AE49" s="212"/>
      <c r="AF49" s="212"/>
      <c r="AG49" s="212"/>
      <c r="AH49" s="212"/>
      <c r="AI49" s="212"/>
      <c r="AJ49" s="212"/>
      <c r="AK49" s="212"/>
      <c r="AL49" s="212"/>
      <c r="AM49" s="212"/>
      <c r="AN49" s="212"/>
      <c r="AO49" s="212"/>
    </row>
    <row r="50" spans="28:41">
      <c r="AB50" s="110"/>
      <c r="AC50" s="110"/>
      <c r="AE50" s="212"/>
      <c r="AF50" s="212"/>
      <c r="AG50" s="212"/>
      <c r="AH50" s="212"/>
      <c r="AI50" s="212"/>
      <c r="AJ50" s="212"/>
      <c r="AK50" s="212"/>
      <c r="AL50" s="212"/>
      <c r="AM50" s="212"/>
      <c r="AN50" s="212"/>
      <c r="AO50" s="212"/>
    </row>
    <row r="51" spans="28:41">
      <c r="AB51" s="110"/>
      <c r="AC51" s="110"/>
      <c r="AE51" s="212"/>
      <c r="AF51" s="212"/>
      <c r="AG51" s="212"/>
      <c r="AH51" s="212"/>
      <c r="AI51" s="212"/>
      <c r="AJ51" s="212"/>
      <c r="AK51" s="212"/>
      <c r="AL51" s="212"/>
      <c r="AM51" s="212"/>
      <c r="AN51" s="212"/>
      <c r="AO51" s="212"/>
    </row>
    <row r="52" spans="28:41">
      <c r="AB52" s="110"/>
      <c r="AC52" s="110"/>
      <c r="AE52" s="212"/>
      <c r="AF52" s="212"/>
      <c r="AG52" s="212"/>
      <c r="AH52" s="212"/>
      <c r="AI52" s="212"/>
      <c r="AJ52" s="212"/>
      <c r="AK52" s="212"/>
      <c r="AL52" s="212"/>
      <c r="AM52" s="212"/>
      <c r="AN52" s="212"/>
      <c r="AO52" s="212"/>
    </row>
    <row r="53" spans="28:41">
      <c r="AB53" s="110"/>
      <c r="AC53" s="110"/>
      <c r="AE53" s="212"/>
      <c r="AF53" s="212"/>
      <c r="AG53" s="212"/>
      <c r="AH53" s="212"/>
      <c r="AI53" s="212"/>
      <c r="AJ53" s="212"/>
      <c r="AK53" s="212"/>
      <c r="AL53" s="212"/>
      <c r="AM53" s="212"/>
      <c r="AN53" s="212"/>
      <c r="AO53" s="212"/>
    </row>
    <row r="54" spans="28:41">
      <c r="AB54" s="110"/>
      <c r="AC54" s="110"/>
      <c r="AE54" s="212"/>
      <c r="AF54" s="212"/>
      <c r="AG54" s="212"/>
      <c r="AH54" s="212"/>
      <c r="AI54" s="212"/>
      <c r="AJ54" s="212"/>
      <c r="AK54" s="212"/>
      <c r="AL54" s="212"/>
      <c r="AM54" s="212"/>
      <c r="AN54" s="212"/>
      <c r="AO54" s="212"/>
    </row>
    <row r="55" spans="28:41">
      <c r="AB55" s="110"/>
      <c r="AC55" s="110"/>
      <c r="AE55" s="212"/>
      <c r="AF55" s="212"/>
      <c r="AG55" s="212"/>
      <c r="AH55" s="212"/>
      <c r="AI55" s="212"/>
      <c r="AJ55" s="212"/>
      <c r="AK55" s="212"/>
      <c r="AL55" s="212"/>
      <c r="AM55" s="212"/>
      <c r="AN55" s="212"/>
      <c r="AO55" s="212"/>
    </row>
    <row r="56" spans="28:41">
      <c r="AB56" s="110"/>
      <c r="AC56" s="110"/>
      <c r="AE56" s="212"/>
      <c r="AF56" s="212"/>
      <c r="AG56" s="212"/>
      <c r="AH56" s="212"/>
      <c r="AI56" s="212"/>
      <c r="AJ56" s="212"/>
      <c r="AK56" s="212"/>
      <c r="AL56" s="212"/>
      <c r="AM56" s="212"/>
      <c r="AN56" s="212"/>
      <c r="AO56" s="212"/>
    </row>
    <row r="57" spans="28:41">
      <c r="AB57" s="10"/>
      <c r="AC57" s="10"/>
      <c r="AE57" s="212"/>
      <c r="AF57" s="212"/>
      <c r="AG57" s="212"/>
      <c r="AH57" s="212"/>
      <c r="AI57" s="212"/>
      <c r="AJ57" s="212"/>
      <c r="AK57" s="212"/>
      <c r="AL57" s="212"/>
      <c r="AM57" s="212"/>
      <c r="AN57" s="212"/>
      <c r="AO57" s="212"/>
    </row>
    <row r="58" spans="28:41">
      <c r="AB58" s="10"/>
      <c r="AC58" s="10"/>
      <c r="AE58" s="212"/>
      <c r="AF58" s="212"/>
      <c r="AG58" s="212"/>
      <c r="AH58" s="212"/>
      <c r="AI58" s="212"/>
      <c r="AJ58" s="212"/>
      <c r="AK58" s="212"/>
      <c r="AL58" s="212"/>
      <c r="AM58" s="212"/>
      <c r="AN58" s="212"/>
      <c r="AO58" s="212"/>
    </row>
    <row r="59" spans="28:41">
      <c r="AB59" s="10"/>
      <c r="AC59" s="10"/>
      <c r="AE59" s="212"/>
      <c r="AF59" s="212"/>
      <c r="AG59" s="212"/>
      <c r="AH59" s="212"/>
      <c r="AI59" s="212"/>
      <c r="AJ59" s="212"/>
      <c r="AK59" s="212"/>
      <c r="AL59" s="212"/>
      <c r="AM59" s="212"/>
      <c r="AN59" s="212"/>
      <c r="AO59" s="212"/>
    </row>
    <row r="60" spans="28:41">
      <c r="AB60" s="10"/>
      <c r="AC60" s="10"/>
      <c r="AE60" s="212"/>
      <c r="AF60" s="212"/>
      <c r="AG60" s="212"/>
      <c r="AH60" s="212"/>
      <c r="AI60" s="212"/>
      <c r="AJ60" s="212"/>
      <c r="AK60" s="212"/>
      <c r="AL60" s="212"/>
      <c r="AM60" s="212"/>
      <c r="AN60" s="212"/>
      <c r="AO60" s="212"/>
    </row>
    <row r="61" spans="28:41">
      <c r="AB61" s="10"/>
      <c r="AC61" s="10"/>
      <c r="AE61" s="212"/>
      <c r="AF61" s="212"/>
      <c r="AG61" s="212"/>
      <c r="AH61" s="212"/>
      <c r="AI61" s="212"/>
      <c r="AJ61" s="212"/>
      <c r="AK61" s="212"/>
      <c r="AL61" s="212"/>
      <c r="AM61" s="212"/>
      <c r="AN61" s="212"/>
      <c r="AO61" s="212"/>
    </row>
    <row r="62" spans="28:41">
      <c r="AB62" s="10"/>
      <c r="AC62" s="10"/>
      <c r="AE62" s="212"/>
      <c r="AF62" s="212"/>
      <c r="AG62" s="212"/>
      <c r="AH62" s="212"/>
      <c r="AI62" s="212"/>
      <c r="AJ62" s="212"/>
      <c r="AK62" s="212"/>
      <c r="AL62" s="212"/>
      <c r="AM62" s="212"/>
      <c r="AN62" s="212"/>
      <c r="AO62" s="212"/>
    </row>
    <row r="63" spans="28:41">
      <c r="AB63" s="10"/>
      <c r="AC63" s="10"/>
      <c r="AE63" s="212"/>
      <c r="AF63" s="212"/>
      <c r="AG63" s="212"/>
      <c r="AH63" s="212"/>
      <c r="AI63" s="212"/>
      <c r="AJ63" s="212"/>
      <c r="AK63" s="212"/>
      <c r="AL63" s="212"/>
      <c r="AM63" s="212"/>
      <c r="AN63" s="212"/>
      <c r="AO63" s="212"/>
    </row>
    <row r="64" spans="28:41">
      <c r="AB64" s="10"/>
      <c r="AC64" s="10"/>
      <c r="AE64" s="212"/>
      <c r="AF64" s="212"/>
      <c r="AG64" s="212"/>
      <c r="AH64" s="212"/>
      <c r="AI64" s="212"/>
      <c r="AJ64" s="212"/>
      <c r="AK64" s="212"/>
      <c r="AL64" s="212"/>
      <c r="AM64" s="212"/>
      <c r="AN64" s="212"/>
      <c r="AO64" s="212"/>
    </row>
    <row r="65" spans="28:41">
      <c r="AB65" s="10"/>
      <c r="AC65" s="10"/>
      <c r="AE65" s="212"/>
      <c r="AF65" s="212"/>
      <c r="AG65" s="212"/>
      <c r="AH65" s="212"/>
      <c r="AI65" s="212"/>
      <c r="AJ65" s="212"/>
      <c r="AK65" s="212"/>
      <c r="AL65" s="212"/>
      <c r="AM65" s="212"/>
      <c r="AN65" s="212"/>
      <c r="AO65" s="212"/>
    </row>
    <row r="66" spans="28:41">
      <c r="AB66" s="10"/>
      <c r="AC66" s="10"/>
      <c r="AE66" s="212"/>
      <c r="AF66" s="212"/>
      <c r="AG66" s="212"/>
      <c r="AH66" s="212"/>
      <c r="AI66" s="212"/>
      <c r="AJ66" s="212"/>
      <c r="AK66" s="212"/>
      <c r="AL66" s="212"/>
      <c r="AM66" s="212"/>
      <c r="AN66" s="212"/>
      <c r="AO66" s="212"/>
    </row>
    <row r="67" spans="28:41">
      <c r="AB67" s="10"/>
      <c r="AC67" s="10"/>
      <c r="AE67" s="212"/>
      <c r="AF67" s="212"/>
      <c r="AG67" s="212"/>
      <c r="AH67" s="212"/>
      <c r="AI67" s="212"/>
      <c r="AJ67" s="212"/>
      <c r="AK67" s="212"/>
      <c r="AL67" s="212"/>
      <c r="AM67" s="212"/>
      <c r="AN67" s="212"/>
      <c r="AO67" s="212"/>
    </row>
    <row r="68" spans="28:41">
      <c r="AB68" s="10"/>
      <c r="AC68" s="10"/>
      <c r="AE68" s="212"/>
      <c r="AF68" s="212"/>
      <c r="AG68" s="212"/>
      <c r="AH68" s="212"/>
      <c r="AI68" s="212"/>
      <c r="AJ68" s="212"/>
      <c r="AK68" s="212"/>
      <c r="AL68" s="212"/>
      <c r="AM68" s="212"/>
      <c r="AN68" s="212"/>
      <c r="AO68" s="212"/>
    </row>
    <row r="69" spans="28:41">
      <c r="AB69" s="10"/>
      <c r="AC69" s="10"/>
      <c r="AE69" s="212"/>
      <c r="AF69" s="212"/>
      <c r="AG69" s="212"/>
      <c r="AH69" s="212"/>
      <c r="AI69" s="212"/>
      <c r="AJ69" s="212"/>
      <c r="AK69" s="212"/>
      <c r="AL69" s="212"/>
      <c r="AM69" s="212"/>
      <c r="AN69" s="212"/>
      <c r="AO69" s="212"/>
    </row>
    <row r="70" spans="28:41">
      <c r="AB70" s="10"/>
      <c r="AC70" s="10"/>
      <c r="AE70" s="212"/>
      <c r="AF70" s="212"/>
      <c r="AG70" s="212"/>
      <c r="AH70" s="212"/>
      <c r="AI70" s="212"/>
      <c r="AJ70" s="212"/>
      <c r="AK70" s="212"/>
      <c r="AL70" s="212"/>
      <c r="AM70" s="212"/>
      <c r="AN70" s="212"/>
      <c r="AO70" s="212"/>
    </row>
    <row r="71" spans="28:41">
      <c r="AB71" s="10"/>
      <c r="AC71" s="10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</row>
    <row r="72" spans="28:41">
      <c r="AB72" s="10"/>
      <c r="AC72" s="10"/>
      <c r="AE72" s="212"/>
      <c r="AF72" s="212"/>
      <c r="AG72" s="212"/>
      <c r="AH72" s="212"/>
      <c r="AI72" s="212"/>
      <c r="AJ72" s="212"/>
      <c r="AK72" s="212"/>
      <c r="AL72" s="212"/>
      <c r="AM72" s="212"/>
      <c r="AN72" s="212"/>
      <c r="AO72" s="212"/>
    </row>
    <row r="73" spans="28:41">
      <c r="AB73" s="10"/>
      <c r="AC73" s="10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</row>
  </sheetData>
  <mergeCells count="1">
    <mergeCell ref="C13:E13"/>
  </mergeCells>
  <conditionalFormatting sqref="J16 L16 P16 T16 W16 Z16">
    <cfRule type="containsText" dxfId="33" priority="22" operator="containsText" text="Rejected">
      <formula>NOT(ISERROR(SEARCH("Rejected",J16)))</formula>
    </cfRule>
    <cfRule type="containsText" dxfId="32" priority="23" operator="containsText" text="Review">
      <formula>NOT(ISERROR(SEARCH("Review",J16)))</formula>
    </cfRule>
    <cfRule type="containsText" dxfId="31" priority="24" operator="containsText" text="OK">
      <formula>NOT(ISERROR(SEARCH("OK",J16)))</formula>
    </cfRule>
    <cfRule type="duplicateValues" dxfId="30" priority="25"/>
  </conditionalFormatting>
  <conditionalFormatting sqref="C16">
    <cfRule type="duplicateValues" dxfId="29" priority="46"/>
  </conditionalFormatting>
  <dataValidations count="1">
    <dataValidation type="list" allowBlank="1" showInputMessage="1" showErrorMessage="1" sqref="I16" xr:uid="{C26CBA05-EBA4-4D43-AC5A-03BF2BF4CCFB}">
      <formula1>"In Process,Approved,Rejected"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533400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B065E-43E6-4E06-B9E1-EACF6441CB47}">
  <sheetPr codeName="Sheet3">
    <tabColor rgb="FFFFFF00"/>
  </sheetPr>
  <dimension ref="A1:A2468"/>
  <sheetViews>
    <sheetView workbookViewId="0">
      <selection activeCell="A8" sqref="A8"/>
    </sheetView>
  </sheetViews>
  <sheetFormatPr defaultRowHeight="15"/>
  <cols>
    <col min="1" max="1" width="11.7109375" bestFit="1" customWidth="1"/>
  </cols>
  <sheetData>
    <row r="1" spans="1:1">
      <c r="A1" s="199" t="s">
        <v>0</v>
      </c>
    </row>
    <row r="2" spans="1:1">
      <c r="A2" s="200" t="s">
        <v>151</v>
      </c>
    </row>
    <row r="3" spans="1:1">
      <c r="A3" s="200" t="s">
        <v>152</v>
      </c>
    </row>
    <row r="4" spans="1:1">
      <c r="A4" s="200" t="s">
        <v>153</v>
      </c>
    </row>
    <row r="5" spans="1:1">
      <c r="A5" s="200" t="s">
        <v>154</v>
      </c>
    </row>
    <row r="6" spans="1:1">
      <c r="A6" s="200" t="s">
        <v>155</v>
      </c>
    </row>
    <row r="7" spans="1:1">
      <c r="A7" s="200" t="s">
        <v>156</v>
      </c>
    </row>
    <row r="8" spans="1:1">
      <c r="A8" s="200" t="s">
        <v>157</v>
      </c>
    </row>
    <row r="9" spans="1:1">
      <c r="A9" s="200" t="s">
        <v>158</v>
      </c>
    </row>
    <row r="10" spans="1:1">
      <c r="A10" s="200" t="s">
        <v>159</v>
      </c>
    </row>
    <row r="11" spans="1:1">
      <c r="A11" s="200" t="s">
        <v>160</v>
      </c>
    </row>
    <row r="12" spans="1:1">
      <c r="A12" s="200" t="s">
        <v>161</v>
      </c>
    </row>
    <row r="13" spans="1:1">
      <c r="A13" s="200" t="s">
        <v>162</v>
      </c>
    </row>
    <row r="14" spans="1:1">
      <c r="A14" s="200" t="s">
        <v>163</v>
      </c>
    </row>
    <row r="15" spans="1:1">
      <c r="A15" s="200" t="s">
        <v>164</v>
      </c>
    </row>
    <row r="16" spans="1:1">
      <c r="A16" s="200" t="s">
        <v>165</v>
      </c>
    </row>
    <row r="17" spans="1:1">
      <c r="A17" s="200" t="s">
        <v>166</v>
      </c>
    </row>
    <row r="18" spans="1:1">
      <c r="A18" s="200" t="s">
        <v>167</v>
      </c>
    </row>
    <row r="19" spans="1:1">
      <c r="A19" s="200" t="s">
        <v>168</v>
      </c>
    </row>
    <row r="20" spans="1:1">
      <c r="A20" s="200" t="s">
        <v>169</v>
      </c>
    </row>
    <row r="21" spans="1:1">
      <c r="A21" s="200" t="s">
        <v>170</v>
      </c>
    </row>
    <row r="22" spans="1:1">
      <c r="A22" s="200" t="s">
        <v>171</v>
      </c>
    </row>
    <row r="23" spans="1:1">
      <c r="A23" s="200" t="s">
        <v>172</v>
      </c>
    </row>
    <row r="24" spans="1:1">
      <c r="A24" s="200" t="s">
        <v>173</v>
      </c>
    </row>
    <row r="25" spans="1:1">
      <c r="A25" s="200" t="s">
        <v>174</v>
      </c>
    </row>
    <row r="26" spans="1:1">
      <c r="A26" s="200" t="s">
        <v>175</v>
      </c>
    </row>
    <row r="27" spans="1:1">
      <c r="A27" s="200" t="s">
        <v>176</v>
      </c>
    </row>
    <row r="28" spans="1:1">
      <c r="A28" s="200" t="s">
        <v>177</v>
      </c>
    </row>
    <row r="29" spans="1:1">
      <c r="A29" s="200" t="s">
        <v>178</v>
      </c>
    </row>
    <row r="30" spans="1:1">
      <c r="A30" s="200" t="s">
        <v>179</v>
      </c>
    </row>
    <row r="31" spans="1:1">
      <c r="A31" s="200" t="s">
        <v>180</v>
      </c>
    </row>
    <row r="32" spans="1:1">
      <c r="A32" s="200" t="s">
        <v>181</v>
      </c>
    </row>
    <row r="33" spans="1:1">
      <c r="A33" s="200" t="s">
        <v>182</v>
      </c>
    </row>
    <row r="34" spans="1:1">
      <c r="A34" s="200" t="s">
        <v>183</v>
      </c>
    </row>
    <row r="35" spans="1:1">
      <c r="A35" s="200" t="s">
        <v>184</v>
      </c>
    </row>
    <row r="36" spans="1:1">
      <c r="A36" s="200" t="s">
        <v>185</v>
      </c>
    </row>
    <row r="37" spans="1:1">
      <c r="A37" s="200" t="s">
        <v>186</v>
      </c>
    </row>
    <row r="38" spans="1:1">
      <c r="A38" s="200" t="s">
        <v>187</v>
      </c>
    </row>
    <row r="39" spans="1:1">
      <c r="A39" s="200" t="s">
        <v>188</v>
      </c>
    </row>
    <row r="40" spans="1:1">
      <c r="A40" s="200" t="s">
        <v>189</v>
      </c>
    </row>
    <row r="41" spans="1:1">
      <c r="A41" s="200" t="s">
        <v>190</v>
      </c>
    </row>
    <row r="42" spans="1:1">
      <c r="A42" s="200" t="s">
        <v>191</v>
      </c>
    </row>
    <row r="43" spans="1:1">
      <c r="A43" s="200" t="s">
        <v>192</v>
      </c>
    </row>
    <row r="44" spans="1:1">
      <c r="A44" s="200" t="s">
        <v>193</v>
      </c>
    </row>
    <row r="45" spans="1:1">
      <c r="A45" s="200" t="s">
        <v>194</v>
      </c>
    </row>
    <row r="46" spans="1:1">
      <c r="A46" s="200" t="s">
        <v>195</v>
      </c>
    </row>
    <row r="47" spans="1:1">
      <c r="A47" s="200" t="s">
        <v>196</v>
      </c>
    </row>
    <row r="48" spans="1:1">
      <c r="A48" s="200" t="s">
        <v>197</v>
      </c>
    </row>
    <row r="49" spans="1:1">
      <c r="A49" s="200" t="s">
        <v>198</v>
      </c>
    </row>
    <row r="50" spans="1:1">
      <c r="A50" s="200" t="s">
        <v>199</v>
      </c>
    </row>
    <row r="51" spans="1:1">
      <c r="A51" s="200" t="s">
        <v>200</v>
      </c>
    </row>
    <row r="52" spans="1:1">
      <c r="A52" s="200" t="s">
        <v>201</v>
      </c>
    </row>
    <row r="53" spans="1:1">
      <c r="A53" s="200" t="s">
        <v>202</v>
      </c>
    </row>
    <row r="54" spans="1:1">
      <c r="A54" s="200" t="s">
        <v>203</v>
      </c>
    </row>
    <row r="55" spans="1:1">
      <c r="A55" s="200" t="s">
        <v>204</v>
      </c>
    </row>
    <row r="56" spans="1:1">
      <c r="A56" s="200" t="s">
        <v>205</v>
      </c>
    </row>
    <row r="57" spans="1:1">
      <c r="A57" s="200" t="s">
        <v>206</v>
      </c>
    </row>
    <row r="58" spans="1:1">
      <c r="A58" s="200" t="s">
        <v>207</v>
      </c>
    </row>
    <row r="59" spans="1:1">
      <c r="A59" s="200" t="s">
        <v>208</v>
      </c>
    </row>
    <row r="60" spans="1:1">
      <c r="A60" s="200" t="s">
        <v>209</v>
      </c>
    </row>
    <row r="61" spans="1:1">
      <c r="A61" s="200" t="s">
        <v>210</v>
      </c>
    </row>
    <row r="62" spans="1:1">
      <c r="A62" s="200" t="s">
        <v>211</v>
      </c>
    </row>
    <row r="63" spans="1:1">
      <c r="A63" s="200" t="s">
        <v>212</v>
      </c>
    </row>
    <row r="64" spans="1:1">
      <c r="A64" s="200" t="s">
        <v>213</v>
      </c>
    </row>
    <row r="65" spans="1:1">
      <c r="A65" s="200" t="s">
        <v>214</v>
      </c>
    </row>
    <row r="66" spans="1:1">
      <c r="A66" s="200" t="s">
        <v>215</v>
      </c>
    </row>
    <row r="67" spans="1:1">
      <c r="A67" s="200" t="s">
        <v>216</v>
      </c>
    </row>
    <row r="68" spans="1:1">
      <c r="A68" s="200" t="s">
        <v>217</v>
      </c>
    </row>
    <row r="69" spans="1:1">
      <c r="A69" s="200" t="s">
        <v>218</v>
      </c>
    </row>
    <row r="70" spans="1:1">
      <c r="A70" s="200" t="s">
        <v>219</v>
      </c>
    </row>
    <row r="71" spans="1:1">
      <c r="A71" s="200" t="s">
        <v>220</v>
      </c>
    </row>
    <row r="72" spans="1:1">
      <c r="A72" s="200" t="s">
        <v>221</v>
      </c>
    </row>
    <row r="73" spans="1:1">
      <c r="A73" s="200" t="s">
        <v>222</v>
      </c>
    </row>
    <row r="74" spans="1:1">
      <c r="A74" s="200" t="s">
        <v>223</v>
      </c>
    </row>
    <row r="75" spans="1:1">
      <c r="A75" s="200" t="s">
        <v>224</v>
      </c>
    </row>
    <row r="76" spans="1:1">
      <c r="A76" s="200" t="s">
        <v>225</v>
      </c>
    </row>
    <row r="77" spans="1:1">
      <c r="A77" s="200" t="s">
        <v>226</v>
      </c>
    </row>
    <row r="78" spans="1:1">
      <c r="A78" s="200" t="s">
        <v>227</v>
      </c>
    </row>
    <row r="79" spans="1:1">
      <c r="A79" s="200" t="s">
        <v>228</v>
      </c>
    </row>
    <row r="80" spans="1:1">
      <c r="A80" s="200" t="s">
        <v>229</v>
      </c>
    </row>
    <row r="81" spans="1:1">
      <c r="A81" s="200" t="s">
        <v>230</v>
      </c>
    </row>
    <row r="82" spans="1:1">
      <c r="A82" s="200" t="s">
        <v>231</v>
      </c>
    </row>
    <row r="83" spans="1:1">
      <c r="A83" s="200" t="s">
        <v>232</v>
      </c>
    </row>
    <row r="84" spans="1:1">
      <c r="A84" s="200" t="s">
        <v>233</v>
      </c>
    </row>
    <row r="85" spans="1:1">
      <c r="A85" s="200" t="s">
        <v>234</v>
      </c>
    </row>
    <row r="86" spans="1:1">
      <c r="A86" s="200" t="s">
        <v>235</v>
      </c>
    </row>
    <row r="87" spans="1:1">
      <c r="A87" s="200" t="s">
        <v>236</v>
      </c>
    </row>
    <row r="88" spans="1:1">
      <c r="A88" s="200" t="s">
        <v>237</v>
      </c>
    </row>
    <row r="89" spans="1:1">
      <c r="A89" s="200" t="s">
        <v>238</v>
      </c>
    </row>
    <row r="90" spans="1:1">
      <c r="A90" s="200" t="s">
        <v>239</v>
      </c>
    </row>
    <row r="91" spans="1:1">
      <c r="A91" s="200" t="s">
        <v>240</v>
      </c>
    </row>
    <row r="92" spans="1:1">
      <c r="A92" s="200" t="s">
        <v>241</v>
      </c>
    </row>
    <row r="93" spans="1:1">
      <c r="A93" s="200" t="s">
        <v>242</v>
      </c>
    </row>
    <row r="94" spans="1:1">
      <c r="A94" s="200" t="s">
        <v>243</v>
      </c>
    </row>
    <row r="95" spans="1:1">
      <c r="A95" s="200" t="s">
        <v>244</v>
      </c>
    </row>
    <row r="96" spans="1:1">
      <c r="A96" s="200" t="s">
        <v>245</v>
      </c>
    </row>
    <row r="97" spans="1:1">
      <c r="A97" s="200" t="s">
        <v>246</v>
      </c>
    </row>
    <row r="98" spans="1:1">
      <c r="A98" s="200" t="s">
        <v>247</v>
      </c>
    </row>
    <row r="99" spans="1:1">
      <c r="A99" s="200" t="s">
        <v>248</v>
      </c>
    </row>
    <row r="100" spans="1:1">
      <c r="A100" s="200" t="s">
        <v>249</v>
      </c>
    </row>
    <row r="101" spans="1:1">
      <c r="A101" s="200" t="s">
        <v>250</v>
      </c>
    </row>
    <row r="102" spans="1:1">
      <c r="A102" s="200" t="s">
        <v>251</v>
      </c>
    </row>
    <row r="103" spans="1:1">
      <c r="A103" s="200" t="s">
        <v>252</v>
      </c>
    </row>
    <row r="104" spans="1:1">
      <c r="A104" s="200" t="s">
        <v>253</v>
      </c>
    </row>
    <row r="105" spans="1:1">
      <c r="A105" s="200" t="s">
        <v>254</v>
      </c>
    </row>
    <row r="106" spans="1:1">
      <c r="A106" s="200" t="s">
        <v>255</v>
      </c>
    </row>
    <row r="107" spans="1:1">
      <c r="A107" s="200" t="s">
        <v>256</v>
      </c>
    </row>
    <row r="108" spans="1:1">
      <c r="A108" s="200" t="s">
        <v>257</v>
      </c>
    </row>
    <row r="109" spans="1:1">
      <c r="A109" s="200" t="s">
        <v>258</v>
      </c>
    </row>
    <row r="110" spans="1:1">
      <c r="A110" s="200" t="s">
        <v>259</v>
      </c>
    </row>
    <row r="111" spans="1:1">
      <c r="A111" s="200" t="s">
        <v>260</v>
      </c>
    </row>
    <row r="112" spans="1:1">
      <c r="A112" s="200" t="s">
        <v>261</v>
      </c>
    </row>
    <row r="113" spans="1:1">
      <c r="A113" s="200" t="s">
        <v>262</v>
      </c>
    </row>
    <row r="114" spans="1:1">
      <c r="A114" s="200" t="s">
        <v>263</v>
      </c>
    </row>
    <row r="115" spans="1:1">
      <c r="A115" s="200" t="s">
        <v>264</v>
      </c>
    </row>
    <row r="116" spans="1:1">
      <c r="A116" s="200" t="s">
        <v>265</v>
      </c>
    </row>
    <row r="117" spans="1:1">
      <c r="A117" s="200" t="s">
        <v>266</v>
      </c>
    </row>
    <row r="118" spans="1:1">
      <c r="A118" s="200" t="s">
        <v>267</v>
      </c>
    </row>
    <row r="119" spans="1:1">
      <c r="A119" s="200" t="s">
        <v>268</v>
      </c>
    </row>
    <row r="120" spans="1:1">
      <c r="A120" s="200" t="s">
        <v>269</v>
      </c>
    </row>
    <row r="121" spans="1:1">
      <c r="A121" s="200" t="s">
        <v>270</v>
      </c>
    </row>
    <row r="122" spans="1:1">
      <c r="A122" s="200" t="s">
        <v>271</v>
      </c>
    </row>
    <row r="123" spans="1:1">
      <c r="A123" s="200" t="s">
        <v>272</v>
      </c>
    </row>
    <row r="124" spans="1:1">
      <c r="A124" s="200" t="s">
        <v>273</v>
      </c>
    </row>
    <row r="125" spans="1:1">
      <c r="A125" s="200" t="s">
        <v>274</v>
      </c>
    </row>
    <row r="126" spans="1:1">
      <c r="A126" s="200" t="s">
        <v>275</v>
      </c>
    </row>
    <row r="127" spans="1:1">
      <c r="A127" s="200" t="s">
        <v>276</v>
      </c>
    </row>
    <row r="128" spans="1:1">
      <c r="A128" s="200" t="s">
        <v>277</v>
      </c>
    </row>
    <row r="129" spans="1:1">
      <c r="A129" s="200" t="s">
        <v>278</v>
      </c>
    </row>
    <row r="130" spans="1:1">
      <c r="A130" s="200" t="s">
        <v>279</v>
      </c>
    </row>
    <row r="131" spans="1:1">
      <c r="A131" s="200" t="s">
        <v>280</v>
      </c>
    </row>
    <row r="132" spans="1:1">
      <c r="A132" s="200" t="s">
        <v>281</v>
      </c>
    </row>
    <row r="133" spans="1:1">
      <c r="A133" s="200" t="s">
        <v>282</v>
      </c>
    </row>
    <row r="134" spans="1:1">
      <c r="A134" s="200" t="s">
        <v>283</v>
      </c>
    </row>
    <row r="135" spans="1:1">
      <c r="A135" s="200" t="s">
        <v>284</v>
      </c>
    </row>
    <row r="136" spans="1:1">
      <c r="A136" s="200" t="s">
        <v>285</v>
      </c>
    </row>
    <row r="137" spans="1:1">
      <c r="A137" s="200" t="s">
        <v>286</v>
      </c>
    </row>
    <row r="138" spans="1:1">
      <c r="A138" s="200" t="s">
        <v>287</v>
      </c>
    </row>
    <row r="139" spans="1:1">
      <c r="A139" s="200" t="s">
        <v>288</v>
      </c>
    </row>
    <row r="140" spans="1:1">
      <c r="A140" s="200" t="s">
        <v>289</v>
      </c>
    </row>
    <row r="141" spans="1:1">
      <c r="A141" s="200" t="s">
        <v>290</v>
      </c>
    </row>
    <row r="142" spans="1:1">
      <c r="A142" s="200" t="s">
        <v>291</v>
      </c>
    </row>
    <row r="143" spans="1:1">
      <c r="A143" s="200" t="s">
        <v>292</v>
      </c>
    </row>
    <row r="144" spans="1:1">
      <c r="A144" s="200" t="s">
        <v>293</v>
      </c>
    </row>
    <row r="145" spans="1:1">
      <c r="A145" s="200" t="s">
        <v>294</v>
      </c>
    </row>
    <row r="146" spans="1:1">
      <c r="A146" s="200" t="s">
        <v>295</v>
      </c>
    </row>
    <row r="147" spans="1:1">
      <c r="A147" s="200" t="s">
        <v>296</v>
      </c>
    </row>
    <row r="148" spans="1:1">
      <c r="A148" s="200" t="s">
        <v>297</v>
      </c>
    </row>
    <row r="149" spans="1:1">
      <c r="A149" s="200" t="s">
        <v>298</v>
      </c>
    </row>
    <row r="150" spans="1:1">
      <c r="A150" s="200" t="s">
        <v>299</v>
      </c>
    </row>
    <row r="151" spans="1:1">
      <c r="A151" s="200" t="s">
        <v>300</v>
      </c>
    </row>
    <row r="152" spans="1:1">
      <c r="A152" s="200" t="s">
        <v>301</v>
      </c>
    </row>
    <row r="153" spans="1:1">
      <c r="A153" s="200" t="s">
        <v>302</v>
      </c>
    </row>
    <row r="154" spans="1:1">
      <c r="A154" s="200" t="s">
        <v>303</v>
      </c>
    </row>
    <row r="155" spans="1:1">
      <c r="A155" s="200" t="s">
        <v>304</v>
      </c>
    </row>
    <row r="156" spans="1:1">
      <c r="A156" s="200" t="s">
        <v>305</v>
      </c>
    </row>
    <row r="157" spans="1:1">
      <c r="A157" s="200" t="s">
        <v>306</v>
      </c>
    </row>
    <row r="158" spans="1:1">
      <c r="A158" s="200" t="s">
        <v>307</v>
      </c>
    </row>
    <row r="159" spans="1:1">
      <c r="A159" s="200" t="s">
        <v>308</v>
      </c>
    </row>
    <row r="160" spans="1:1">
      <c r="A160" s="200" t="s">
        <v>309</v>
      </c>
    </row>
    <row r="161" spans="1:1">
      <c r="A161" s="200" t="s">
        <v>310</v>
      </c>
    </row>
    <row r="162" spans="1:1">
      <c r="A162" s="200" t="s">
        <v>311</v>
      </c>
    </row>
    <row r="163" spans="1:1">
      <c r="A163" s="200" t="s">
        <v>312</v>
      </c>
    </row>
    <row r="164" spans="1:1">
      <c r="A164" s="200" t="s">
        <v>313</v>
      </c>
    </row>
    <row r="165" spans="1:1">
      <c r="A165" s="200" t="s">
        <v>314</v>
      </c>
    </row>
    <row r="166" spans="1:1">
      <c r="A166" s="200" t="s">
        <v>315</v>
      </c>
    </row>
    <row r="167" spans="1:1">
      <c r="A167" s="200" t="s">
        <v>316</v>
      </c>
    </row>
    <row r="168" spans="1:1">
      <c r="A168" s="200" t="s">
        <v>317</v>
      </c>
    </row>
    <row r="169" spans="1:1">
      <c r="A169" s="200" t="s">
        <v>318</v>
      </c>
    </row>
    <row r="170" spans="1:1">
      <c r="A170" s="200" t="s">
        <v>319</v>
      </c>
    </row>
    <row r="171" spans="1:1">
      <c r="A171" s="200" t="s">
        <v>320</v>
      </c>
    </row>
    <row r="172" spans="1:1">
      <c r="A172" s="200" t="s">
        <v>321</v>
      </c>
    </row>
    <row r="173" spans="1:1">
      <c r="A173" s="200" t="s">
        <v>322</v>
      </c>
    </row>
    <row r="174" spans="1:1">
      <c r="A174" s="200" t="s">
        <v>323</v>
      </c>
    </row>
    <row r="175" spans="1:1">
      <c r="A175" s="200" t="s">
        <v>324</v>
      </c>
    </row>
    <row r="176" spans="1:1">
      <c r="A176" s="200" t="s">
        <v>325</v>
      </c>
    </row>
    <row r="177" spans="1:1">
      <c r="A177" s="200" t="s">
        <v>326</v>
      </c>
    </row>
    <row r="178" spans="1:1">
      <c r="A178" s="200" t="s">
        <v>327</v>
      </c>
    </row>
    <row r="179" spans="1:1">
      <c r="A179" s="200" t="s">
        <v>328</v>
      </c>
    </row>
    <row r="180" spans="1:1">
      <c r="A180" s="200" t="s">
        <v>329</v>
      </c>
    </row>
    <row r="181" spans="1:1">
      <c r="A181" s="200" t="s">
        <v>330</v>
      </c>
    </row>
    <row r="182" spans="1:1">
      <c r="A182" s="200" t="s">
        <v>331</v>
      </c>
    </row>
    <row r="183" spans="1:1">
      <c r="A183" s="200" t="s">
        <v>332</v>
      </c>
    </row>
    <row r="184" spans="1:1">
      <c r="A184" s="200" t="s">
        <v>333</v>
      </c>
    </row>
    <row r="185" spans="1:1">
      <c r="A185" s="200" t="s">
        <v>334</v>
      </c>
    </row>
    <row r="186" spans="1:1">
      <c r="A186" s="200" t="s">
        <v>335</v>
      </c>
    </row>
    <row r="187" spans="1:1">
      <c r="A187" s="200" t="s">
        <v>336</v>
      </c>
    </row>
    <row r="188" spans="1:1">
      <c r="A188" s="200" t="s">
        <v>337</v>
      </c>
    </row>
    <row r="189" spans="1:1">
      <c r="A189" s="200" t="s">
        <v>338</v>
      </c>
    </row>
    <row r="190" spans="1:1">
      <c r="A190" s="200" t="s">
        <v>339</v>
      </c>
    </row>
    <row r="191" spans="1:1">
      <c r="A191" s="200" t="s">
        <v>340</v>
      </c>
    </row>
    <row r="192" spans="1:1">
      <c r="A192" s="200" t="s">
        <v>341</v>
      </c>
    </row>
    <row r="193" spans="1:1">
      <c r="A193" s="200" t="s">
        <v>342</v>
      </c>
    </row>
    <row r="194" spans="1:1">
      <c r="A194" s="200" t="s">
        <v>343</v>
      </c>
    </row>
    <row r="195" spans="1:1">
      <c r="A195" s="200" t="s">
        <v>344</v>
      </c>
    </row>
    <row r="196" spans="1:1">
      <c r="A196" s="200" t="s">
        <v>345</v>
      </c>
    </row>
    <row r="197" spans="1:1">
      <c r="A197" s="200" t="s">
        <v>346</v>
      </c>
    </row>
    <row r="198" spans="1:1">
      <c r="A198" s="200" t="s">
        <v>347</v>
      </c>
    </row>
    <row r="199" spans="1:1">
      <c r="A199" s="200" t="s">
        <v>348</v>
      </c>
    </row>
    <row r="200" spans="1:1">
      <c r="A200" s="200" t="s">
        <v>349</v>
      </c>
    </row>
    <row r="201" spans="1:1">
      <c r="A201" s="200" t="s">
        <v>350</v>
      </c>
    </row>
    <row r="202" spans="1:1">
      <c r="A202" s="200" t="s">
        <v>351</v>
      </c>
    </row>
    <row r="203" spans="1:1">
      <c r="A203" s="200" t="s">
        <v>352</v>
      </c>
    </row>
    <row r="204" spans="1:1">
      <c r="A204" s="200" t="s">
        <v>353</v>
      </c>
    </row>
    <row r="205" spans="1:1">
      <c r="A205" s="200" t="s">
        <v>354</v>
      </c>
    </row>
    <row r="206" spans="1:1">
      <c r="A206" s="200" t="s">
        <v>355</v>
      </c>
    </row>
    <row r="207" spans="1:1">
      <c r="A207" s="200" t="s">
        <v>356</v>
      </c>
    </row>
    <row r="208" spans="1:1">
      <c r="A208" s="200" t="s">
        <v>357</v>
      </c>
    </row>
    <row r="209" spans="1:1">
      <c r="A209" s="200" t="s">
        <v>358</v>
      </c>
    </row>
    <row r="210" spans="1:1">
      <c r="A210" s="200" t="s">
        <v>359</v>
      </c>
    </row>
    <row r="211" spans="1:1">
      <c r="A211" s="200" t="s">
        <v>132</v>
      </c>
    </row>
    <row r="212" spans="1:1">
      <c r="A212" s="200" t="s">
        <v>360</v>
      </c>
    </row>
    <row r="213" spans="1:1">
      <c r="A213" s="200" t="s">
        <v>361</v>
      </c>
    </row>
    <row r="214" spans="1:1">
      <c r="A214" s="200" t="s">
        <v>362</v>
      </c>
    </row>
    <row r="215" spans="1:1">
      <c r="A215" s="200" t="s">
        <v>363</v>
      </c>
    </row>
    <row r="216" spans="1:1">
      <c r="A216" s="200" t="s">
        <v>364</v>
      </c>
    </row>
    <row r="217" spans="1:1">
      <c r="A217" s="200" t="s">
        <v>365</v>
      </c>
    </row>
    <row r="218" spans="1:1">
      <c r="A218" s="200" t="s">
        <v>366</v>
      </c>
    </row>
    <row r="219" spans="1:1">
      <c r="A219" s="200" t="s">
        <v>367</v>
      </c>
    </row>
    <row r="220" spans="1:1">
      <c r="A220" s="200" t="s">
        <v>368</v>
      </c>
    </row>
    <row r="221" spans="1:1">
      <c r="A221" s="200" t="s">
        <v>369</v>
      </c>
    </row>
    <row r="222" spans="1:1">
      <c r="A222" s="200" t="s">
        <v>370</v>
      </c>
    </row>
    <row r="223" spans="1:1">
      <c r="A223" s="200" t="s">
        <v>371</v>
      </c>
    </row>
    <row r="224" spans="1:1">
      <c r="A224" s="200" t="s">
        <v>372</v>
      </c>
    </row>
    <row r="225" spans="1:1">
      <c r="A225" s="200" t="s">
        <v>373</v>
      </c>
    </row>
    <row r="226" spans="1:1">
      <c r="A226" s="200" t="s">
        <v>136</v>
      </c>
    </row>
    <row r="227" spans="1:1">
      <c r="A227" s="200" t="s">
        <v>374</v>
      </c>
    </row>
    <row r="228" spans="1:1">
      <c r="A228" s="200" t="s">
        <v>375</v>
      </c>
    </row>
    <row r="229" spans="1:1">
      <c r="A229" s="200" t="s">
        <v>376</v>
      </c>
    </row>
    <row r="230" spans="1:1">
      <c r="A230" s="200" t="s">
        <v>377</v>
      </c>
    </row>
    <row r="231" spans="1:1">
      <c r="A231" s="200" t="s">
        <v>378</v>
      </c>
    </row>
    <row r="232" spans="1:1">
      <c r="A232" s="200" t="s">
        <v>135</v>
      </c>
    </row>
    <row r="233" spans="1:1">
      <c r="A233" s="200" t="s">
        <v>379</v>
      </c>
    </row>
    <row r="234" spans="1:1">
      <c r="A234" s="200" t="s">
        <v>134</v>
      </c>
    </row>
    <row r="235" spans="1:1">
      <c r="A235" s="200" t="s">
        <v>380</v>
      </c>
    </row>
    <row r="236" spans="1:1">
      <c r="A236" s="200" t="s">
        <v>381</v>
      </c>
    </row>
    <row r="237" spans="1:1">
      <c r="A237" s="200" t="s">
        <v>382</v>
      </c>
    </row>
    <row r="238" spans="1:1">
      <c r="A238" s="200" t="s">
        <v>383</v>
      </c>
    </row>
    <row r="239" spans="1:1">
      <c r="A239" s="200" t="s">
        <v>384</v>
      </c>
    </row>
    <row r="240" spans="1:1">
      <c r="A240" s="200" t="s">
        <v>385</v>
      </c>
    </row>
    <row r="241" spans="1:1">
      <c r="A241" s="200" t="s">
        <v>386</v>
      </c>
    </row>
    <row r="242" spans="1:1">
      <c r="A242" s="200" t="s">
        <v>387</v>
      </c>
    </row>
    <row r="243" spans="1:1">
      <c r="A243" s="200" t="s">
        <v>388</v>
      </c>
    </row>
    <row r="244" spans="1:1">
      <c r="A244" s="200" t="s">
        <v>389</v>
      </c>
    </row>
    <row r="245" spans="1:1">
      <c r="A245" s="200" t="s">
        <v>390</v>
      </c>
    </row>
    <row r="246" spans="1:1">
      <c r="A246" s="200" t="s">
        <v>391</v>
      </c>
    </row>
    <row r="247" spans="1:1">
      <c r="A247" s="200" t="s">
        <v>392</v>
      </c>
    </row>
    <row r="248" spans="1:1">
      <c r="A248" s="200" t="s">
        <v>393</v>
      </c>
    </row>
    <row r="249" spans="1:1">
      <c r="A249" s="200" t="s">
        <v>394</v>
      </c>
    </row>
    <row r="250" spans="1:1">
      <c r="A250" s="200" t="s">
        <v>395</v>
      </c>
    </row>
    <row r="251" spans="1:1">
      <c r="A251" s="200" t="s">
        <v>396</v>
      </c>
    </row>
    <row r="252" spans="1:1">
      <c r="A252" s="200" t="s">
        <v>397</v>
      </c>
    </row>
    <row r="253" spans="1:1">
      <c r="A253" s="200" t="s">
        <v>398</v>
      </c>
    </row>
    <row r="254" spans="1:1">
      <c r="A254" s="200" t="s">
        <v>399</v>
      </c>
    </row>
    <row r="255" spans="1:1">
      <c r="A255" s="200" t="s">
        <v>400</v>
      </c>
    </row>
    <row r="256" spans="1:1">
      <c r="A256" s="200" t="s">
        <v>401</v>
      </c>
    </row>
    <row r="257" spans="1:1">
      <c r="A257" s="200" t="s">
        <v>402</v>
      </c>
    </row>
    <row r="258" spans="1:1">
      <c r="A258" s="200" t="s">
        <v>403</v>
      </c>
    </row>
    <row r="259" spans="1:1">
      <c r="A259" s="200" t="s">
        <v>404</v>
      </c>
    </row>
    <row r="260" spans="1:1">
      <c r="A260" s="200" t="s">
        <v>405</v>
      </c>
    </row>
    <row r="261" spans="1:1">
      <c r="A261" s="200" t="s">
        <v>406</v>
      </c>
    </row>
    <row r="262" spans="1:1">
      <c r="A262" s="200" t="s">
        <v>407</v>
      </c>
    </row>
    <row r="263" spans="1:1">
      <c r="A263" s="200" t="s">
        <v>408</v>
      </c>
    </row>
    <row r="264" spans="1:1">
      <c r="A264" s="200" t="s">
        <v>409</v>
      </c>
    </row>
    <row r="265" spans="1:1">
      <c r="A265" s="200" t="s">
        <v>410</v>
      </c>
    </row>
    <row r="266" spans="1:1">
      <c r="A266" s="200" t="s">
        <v>411</v>
      </c>
    </row>
    <row r="267" spans="1:1">
      <c r="A267" s="200" t="s">
        <v>412</v>
      </c>
    </row>
    <row r="268" spans="1:1">
      <c r="A268" s="200" t="s">
        <v>413</v>
      </c>
    </row>
    <row r="269" spans="1:1">
      <c r="A269" s="200" t="s">
        <v>414</v>
      </c>
    </row>
    <row r="270" spans="1:1">
      <c r="A270" s="200" t="s">
        <v>415</v>
      </c>
    </row>
    <row r="271" spans="1:1">
      <c r="A271" s="200" t="s">
        <v>416</v>
      </c>
    </row>
    <row r="272" spans="1:1">
      <c r="A272" s="200" t="s">
        <v>417</v>
      </c>
    </row>
    <row r="273" spans="1:1">
      <c r="A273" s="200" t="s">
        <v>418</v>
      </c>
    </row>
    <row r="274" spans="1:1">
      <c r="A274" s="200" t="s">
        <v>419</v>
      </c>
    </row>
    <row r="275" spans="1:1">
      <c r="A275" s="200" t="s">
        <v>420</v>
      </c>
    </row>
    <row r="276" spans="1:1">
      <c r="A276" s="200" t="s">
        <v>421</v>
      </c>
    </row>
    <row r="277" spans="1:1">
      <c r="A277" s="200" t="s">
        <v>133</v>
      </c>
    </row>
    <row r="278" spans="1:1">
      <c r="A278" s="200" t="s">
        <v>422</v>
      </c>
    </row>
    <row r="279" spans="1:1">
      <c r="A279" s="200" t="s">
        <v>423</v>
      </c>
    </row>
    <row r="280" spans="1:1">
      <c r="A280" s="200" t="s">
        <v>424</v>
      </c>
    </row>
    <row r="281" spans="1:1">
      <c r="A281" s="200" t="s">
        <v>425</v>
      </c>
    </row>
    <row r="282" spans="1:1">
      <c r="A282" s="200" t="s">
        <v>426</v>
      </c>
    </row>
    <row r="283" spans="1:1">
      <c r="A283" s="200" t="s">
        <v>137</v>
      </c>
    </row>
    <row r="284" spans="1:1">
      <c r="A284" s="200" t="s">
        <v>427</v>
      </c>
    </row>
    <row r="285" spans="1:1">
      <c r="A285" s="200" t="s">
        <v>428</v>
      </c>
    </row>
    <row r="286" spans="1:1">
      <c r="A286" s="200" t="s">
        <v>429</v>
      </c>
    </row>
    <row r="287" spans="1:1">
      <c r="A287" s="200" t="s">
        <v>430</v>
      </c>
    </row>
    <row r="288" spans="1:1">
      <c r="A288" s="200" t="s">
        <v>431</v>
      </c>
    </row>
    <row r="289" spans="1:1">
      <c r="A289" s="200" t="s">
        <v>432</v>
      </c>
    </row>
    <row r="290" spans="1:1">
      <c r="A290" s="200" t="s">
        <v>433</v>
      </c>
    </row>
    <row r="291" spans="1:1">
      <c r="A291" s="200" t="s">
        <v>434</v>
      </c>
    </row>
    <row r="292" spans="1:1">
      <c r="A292" s="200" t="s">
        <v>435</v>
      </c>
    </row>
    <row r="293" spans="1:1">
      <c r="A293" s="200" t="s">
        <v>436</v>
      </c>
    </row>
    <row r="294" spans="1:1">
      <c r="A294" s="200" t="s">
        <v>437</v>
      </c>
    </row>
    <row r="295" spans="1:1">
      <c r="A295" s="200" t="s">
        <v>438</v>
      </c>
    </row>
    <row r="296" spans="1:1">
      <c r="A296" s="200" t="s">
        <v>439</v>
      </c>
    </row>
    <row r="297" spans="1:1">
      <c r="A297" s="200" t="s">
        <v>440</v>
      </c>
    </row>
    <row r="298" spans="1:1">
      <c r="A298" s="200" t="s">
        <v>441</v>
      </c>
    </row>
    <row r="299" spans="1:1">
      <c r="A299" s="200" t="s">
        <v>442</v>
      </c>
    </row>
    <row r="300" spans="1:1">
      <c r="A300" s="200" t="s">
        <v>443</v>
      </c>
    </row>
    <row r="301" spans="1:1">
      <c r="A301" s="200" t="s">
        <v>444</v>
      </c>
    </row>
    <row r="302" spans="1:1">
      <c r="A302" s="200" t="s">
        <v>445</v>
      </c>
    </row>
    <row r="303" spans="1:1">
      <c r="A303" s="200" t="s">
        <v>446</v>
      </c>
    </row>
    <row r="304" spans="1:1">
      <c r="A304" s="200" t="s">
        <v>447</v>
      </c>
    </row>
    <row r="305" spans="1:1">
      <c r="A305" s="200" t="s">
        <v>448</v>
      </c>
    </row>
    <row r="306" spans="1:1">
      <c r="A306" s="200" t="s">
        <v>449</v>
      </c>
    </row>
    <row r="307" spans="1:1">
      <c r="A307" s="200" t="s">
        <v>450</v>
      </c>
    </row>
    <row r="308" spans="1:1">
      <c r="A308" s="200" t="s">
        <v>451</v>
      </c>
    </row>
    <row r="309" spans="1:1">
      <c r="A309" s="200" t="s">
        <v>452</v>
      </c>
    </row>
    <row r="310" spans="1:1">
      <c r="A310" s="200" t="s">
        <v>453</v>
      </c>
    </row>
    <row r="311" spans="1:1">
      <c r="A311" s="200" t="s">
        <v>454</v>
      </c>
    </row>
    <row r="312" spans="1:1">
      <c r="A312" s="200" t="s">
        <v>455</v>
      </c>
    </row>
    <row r="313" spans="1:1">
      <c r="A313" s="200" t="s">
        <v>456</v>
      </c>
    </row>
    <row r="314" spans="1:1">
      <c r="A314" s="200" t="s">
        <v>457</v>
      </c>
    </row>
    <row r="315" spans="1:1">
      <c r="A315" s="200" t="s">
        <v>458</v>
      </c>
    </row>
    <row r="316" spans="1:1">
      <c r="A316" s="200" t="s">
        <v>459</v>
      </c>
    </row>
    <row r="317" spans="1:1">
      <c r="A317" s="200" t="s">
        <v>460</v>
      </c>
    </row>
    <row r="318" spans="1:1">
      <c r="A318" s="200" t="s">
        <v>461</v>
      </c>
    </row>
    <row r="319" spans="1:1">
      <c r="A319" s="200" t="s">
        <v>462</v>
      </c>
    </row>
    <row r="320" spans="1:1">
      <c r="A320" s="200" t="s">
        <v>463</v>
      </c>
    </row>
    <row r="321" spans="1:1">
      <c r="A321" s="200" t="s">
        <v>464</v>
      </c>
    </row>
    <row r="322" spans="1:1">
      <c r="A322" s="200" t="s">
        <v>465</v>
      </c>
    </row>
    <row r="323" spans="1:1">
      <c r="A323" s="200" t="s">
        <v>466</v>
      </c>
    </row>
    <row r="324" spans="1:1">
      <c r="A324" s="200" t="s">
        <v>467</v>
      </c>
    </row>
    <row r="325" spans="1:1">
      <c r="A325" s="200" t="s">
        <v>468</v>
      </c>
    </row>
    <row r="326" spans="1:1">
      <c r="A326" s="200" t="s">
        <v>469</v>
      </c>
    </row>
    <row r="327" spans="1:1">
      <c r="A327" s="200" t="s">
        <v>470</v>
      </c>
    </row>
    <row r="328" spans="1:1">
      <c r="A328" s="200" t="s">
        <v>471</v>
      </c>
    </row>
    <row r="329" spans="1:1">
      <c r="A329" s="200" t="s">
        <v>472</v>
      </c>
    </row>
    <row r="330" spans="1:1">
      <c r="A330" s="200" t="s">
        <v>473</v>
      </c>
    </row>
    <row r="331" spans="1:1">
      <c r="A331" s="200" t="s">
        <v>474</v>
      </c>
    </row>
    <row r="332" spans="1:1">
      <c r="A332" s="200" t="s">
        <v>475</v>
      </c>
    </row>
    <row r="333" spans="1:1">
      <c r="A333" s="200" t="s">
        <v>476</v>
      </c>
    </row>
    <row r="334" spans="1:1">
      <c r="A334" s="200" t="s">
        <v>477</v>
      </c>
    </row>
    <row r="335" spans="1:1">
      <c r="A335" s="200" t="s">
        <v>478</v>
      </c>
    </row>
    <row r="336" spans="1:1">
      <c r="A336" s="200" t="s">
        <v>479</v>
      </c>
    </row>
    <row r="337" spans="1:1">
      <c r="A337" s="200" t="s">
        <v>480</v>
      </c>
    </row>
    <row r="338" spans="1:1">
      <c r="A338" s="200" t="s">
        <v>481</v>
      </c>
    </row>
    <row r="339" spans="1:1">
      <c r="A339" s="200" t="s">
        <v>482</v>
      </c>
    </row>
    <row r="340" spans="1:1">
      <c r="A340" s="200" t="s">
        <v>483</v>
      </c>
    </row>
    <row r="341" spans="1:1">
      <c r="A341" s="200" t="s">
        <v>484</v>
      </c>
    </row>
    <row r="342" spans="1:1">
      <c r="A342" s="200" t="s">
        <v>485</v>
      </c>
    </row>
    <row r="343" spans="1:1">
      <c r="A343" s="200" t="s">
        <v>486</v>
      </c>
    </row>
    <row r="344" spans="1:1">
      <c r="A344" s="200" t="s">
        <v>487</v>
      </c>
    </row>
    <row r="345" spans="1:1">
      <c r="A345" s="200" t="s">
        <v>488</v>
      </c>
    </row>
    <row r="346" spans="1:1">
      <c r="A346" s="200" t="s">
        <v>489</v>
      </c>
    </row>
    <row r="347" spans="1:1">
      <c r="A347" s="200" t="s">
        <v>490</v>
      </c>
    </row>
    <row r="348" spans="1:1">
      <c r="A348" s="200" t="s">
        <v>491</v>
      </c>
    </row>
    <row r="349" spans="1:1">
      <c r="A349" s="200" t="s">
        <v>492</v>
      </c>
    </row>
    <row r="350" spans="1:1">
      <c r="A350" s="200" t="s">
        <v>493</v>
      </c>
    </row>
    <row r="351" spans="1:1">
      <c r="A351" s="200" t="s">
        <v>494</v>
      </c>
    </row>
    <row r="352" spans="1:1">
      <c r="A352" s="200" t="s">
        <v>495</v>
      </c>
    </row>
    <row r="353" spans="1:1">
      <c r="A353" s="200" t="s">
        <v>496</v>
      </c>
    </row>
    <row r="354" spans="1:1">
      <c r="A354" s="200" t="s">
        <v>497</v>
      </c>
    </row>
    <row r="355" spans="1:1">
      <c r="A355" s="200" t="s">
        <v>498</v>
      </c>
    </row>
    <row r="356" spans="1:1">
      <c r="A356" s="200" t="s">
        <v>499</v>
      </c>
    </row>
    <row r="357" spans="1:1">
      <c r="A357" s="200" t="s">
        <v>500</v>
      </c>
    </row>
    <row r="358" spans="1:1">
      <c r="A358" s="200" t="s">
        <v>501</v>
      </c>
    </row>
    <row r="359" spans="1:1">
      <c r="A359" s="200" t="s">
        <v>502</v>
      </c>
    </row>
    <row r="360" spans="1:1">
      <c r="A360" s="200" t="s">
        <v>503</v>
      </c>
    </row>
    <row r="361" spans="1:1">
      <c r="A361" s="200" t="s">
        <v>504</v>
      </c>
    </row>
    <row r="362" spans="1:1">
      <c r="A362" s="200" t="s">
        <v>505</v>
      </c>
    </row>
    <row r="363" spans="1:1">
      <c r="A363" s="200" t="s">
        <v>506</v>
      </c>
    </row>
    <row r="364" spans="1:1">
      <c r="A364" s="200" t="s">
        <v>507</v>
      </c>
    </row>
    <row r="365" spans="1:1">
      <c r="A365" s="200" t="s">
        <v>508</v>
      </c>
    </row>
    <row r="366" spans="1:1">
      <c r="A366" s="200" t="s">
        <v>509</v>
      </c>
    </row>
    <row r="367" spans="1:1">
      <c r="A367" s="200" t="s">
        <v>510</v>
      </c>
    </row>
    <row r="368" spans="1:1">
      <c r="A368" s="200" t="s">
        <v>511</v>
      </c>
    </row>
    <row r="369" spans="1:1">
      <c r="A369" s="200" t="s">
        <v>512</v>
      </c>
    </row>
    <row r="370" spans="1:1">
      <c r="A370" s="200" t="s">
        <v>513</v>
      </c>
    </row>
    <row r="371" spans="1:1">
      <c r="A371" s="200" t="s">
        <v>514</v>
      </c>
    </row>
    <row r="372" spans="1:1">
      <c r="A372" s="200" t="s">
        <v>515</v>
      </c>
    </row>
    <row r="373" spans="1:1">
      <c r="A373" s="200" t="s">
        <v>516</v>
      </c>
    </row>
    <row r="374" spans="1:1">
      <c r="A374" s="200" t="s">
        <v>517</v>
      </c>
    </row>
    <row r="375" spans="1:1">
      <c r="A375" s="200" t="s">
        <v>518</v>
      </c>
    </row>
    <row r="376" spans="1:1">
      <c r="A376" s="200" t="s">
        <v>519</v>
      </c>
    </row>
    <row r="377" spans="1:1">
      <c r="A377" s="200" t="s">
        <v>520</v>
      </c>
    </row>
    <row r="378" spans="1:1">
      <c r="A378" s="200" t="s">
        <v>521</v>
      </c>
    </row>
    <row r="379" spans="1:1">
      <c r="A379" s="200" t="s">
        <v>522</v>
      </c>
    </row>
    <row r="380" spans="1:1">
      <c r="A380" s="200" t="s">
        <v>523</v>
      </c>
    </row>
    <row r="381" spans="1:1">
      <c r="A381" s="200" t="s">
        <v>524</v>
      </c>
    </row>
    <row r="382" spans="1:1">
      <c r="A382" s="200" t="s">
        <v>525</v>
      </c>
    </row>
    <row r="383" spans="1:1">
      <c r="A383" s="200" t="s">
        <v>526</v>
      </c>
    </row>
    <row r="384" spans="1:1">
      <c r="A384" s="200" t="s">
        <v>527</v>
      </c>
    </row>
    <row r="385" spans="1:1">
      <c r="A385" s="200" t="s">
        <v>528</v>
      </c>
    </row>
    <row r="386" spans="1:1">
      <c r="A386" s="200" t="s">
        <v>529</v>
      </c>
    </row>
    <row r="387" spans="1:1">
      <c r="A387" s="200" t="s">
        <v>530</v>
      </c>
    </row>
    <row r="388" spans="1:1">
      <c r="A388" s="200" t="s">
        <v>531</v>
      </c>
    </row>
    <row r="389" spans="1:1">
      <c r="A389" s="200" t="s">
        <v>532</v>
      </c>
    </row>
    <row r="390" spans="1:1">
      <c r="A390" s="200" t="s">
        <v>533</v>
      </c>
    </row>
    <row r="391" spans="1:1">
      <c r="A391" s="200" t="s">
        <v>534</v>
      </c>
    </row>
    <row r="392" spans="1:1">
      <c r="A392" s="200" t="s">
        <v>535</v>
      </c>
    </row>
    <row r="393" spans="1:1">
      <c r="A393" s="200" t="s">
        <v>536</v>
      </c>
    </row>
    <row r="394" spans="1:1">
      <c r="A394" s="200" t="s">
        <v>537</v>
      </c>
    </row>
    <row r="395" spans="1:1">
      <c r="A395" s="200" t="s">
        <v>538</v>
      </c>
    </row>
    <row r="396" spans="1:1">
      <c r="A396" s="200" t="s">
        <v>539</v>
      </c>
    </row>
    <row r="397" spans="1:1">
      <c r="A397" s="200" t="s">
        <v>540</v>
      </c>
    </row>
    <row r="398" spans="1:1">
      <c r="A398" s="200" t="s">
        <v>541</v>
      </c>
    </row>
    <row r="399" spans="1:1">
      <c r="A399" s="200" t="s">
        <v>542</v>
      </c>
    </row>
    <row r="400" spans="1:1">
      <c r="A400" s="200" t="s">
        <v>543</v>
      </c>
    </row>
    <row r="401" spans="1:1">
      <c r="A401" s="200" t="s">
        <v>544</v>
      </c>
    </row>
    <row r="402" spans="1:1">
      <c r="A402" s="200" t="s">
        <v>545</v>
      </c>
    </row>
    <row r="403" spans="1:1">
      <c r="A403" s="200" t="s">
        <v>546</v>
      </c>
    </row>
    <row r="404" spans="1:1">
      <c r="A404" s="200" t="s">
        <v>547</v>
      </c>
    </row>
    <row r="405" spans="1:1">
      <c r="A405" s="200" t="s">
        <v>548</v>
      </c>
    </row>
    <row r="406" spans="1:1">
      <c r="A406" s="200" t="s">
        <v>549</v>
      </c>
    </row>
    <row r="407" spans="1:1">
      <c r="A407" s="200" t="s">
        <v>550</v>
      </c>
    </row>
    <row r="408" spans="1:1">
      <c r="A408" s="200" t="s">
        <v>551</v>
      </c>
    </row>
    <row r="409" spans="1:1">
      <c r="A409" s="200" t="s">
        <v>552</v>
      </c>
    </row>
    <row r="410" spans="1:1">
      <c r="A410" s="200" t="s">
        <v>553</v>
      </c>
    </row>
    <row r="411" spans="1:1">
      <c r="A411" s="200" t="s">
        <v>554</v>
      </c>
    </row>
    <row r="412" spans="1:1">
      <c r="A412" s="200" t="s">
        <v>555</v>
      </c>
    </row>
    <row r="413" spans="1:1">
      <c r="A413" s="200" t="s">
        <v>556</v>
      </c>
    </row>
    <row r="414" spans="1:1">
      <c r="A414" s="200" t="s">
        <v>557</v>
      </c>
    </row>
    <row r="415" spans="1:1">
      <c r="A415" s="200" t="s">
        <v>558</v>
      </c>
    </row>
    <row r="416" spans="1:1">
      <c r="A416" s="200" t="s">
        <v>559</v>
      </c>
    </row>
    <row r="417" spans="1:1">
      <c r="A417" s="200" t="s">
        <v>560</v>
      </c>
    </row>
    <row r="418" spans="1:1">
      <c r="A418" s="200" t="s">
        <v>561</v>
      </c>
    </row>
    <row r="419" spans="1:1">
      <c r="A419" s="200" t="s">
        <v>562</v>
      </c>
    </row>
    <row r="420" spans="1:1">
      <c r="A420" s="200" t="s">
        <v>563</v>
      </c>
    </row>
    <row r="421" spans="1:1">
      <c r="A421" s="200" t="s">
        <v>564</v>
      </c>
    </row>
    <row r="422" spans="1:1">
      <c r="A422" s="200" t="s">
        <v>565</v>
      </c>
    </row>
    <row r="423" spans="1:1">
      <c r="A423" s="200" t="s">
        <v>566</v>
      </c>
    </row>
    <row r="424" spans="1:1">
      <c r="A424" s="200" t="s">
        <v>567</v>
      </c>
    </row>
    <row r="425" spans="1:1">
      <c r="A425" s="200" t="s">
        <v>568</v>
      </c>
    </row>
    <row r="426" spans="1:1">
      <c r="A426" s="200" t="s">
        <v>569</v>
      </c>
    </row>
    <row r="427" spans="1:1">
      <c r="A427" s="200" t="s">
        <v>570</v>
      </c>
    </row>
    <row r="428" spans="1:1">
      <c r="A428" s="200" t="s">
        <v>571</v>
      </c>
    </row>
    <row r="429" spans="1:1">
      <c r="A429" s="200" t="s">
        <v>572</v>
      </c>
    </row>
    <row r="430" spans="1:1">
      <c r="A430" s="200" t="s">
        <v>573</v>
      </c>
    </row>
    <row r="431" spans="1:1">
      <c r="A431" s="200" t="s">
        <v>574</v>
      </c>
    </row>
    <row r="432" spans="1:1">
      <c r="A432" s="200" t="s">
        <v>575</v>
      </c>
    </row>
    <row r="433" spans="1:1">
      <c r="A433" s="200" t="s">
        <v>576</v>
      </c>
    </row>
    <row r="434" spans="1:1">
      <c r="A434" s="200" t="s">
        <v>577</v>
      </c>
    </row>
    <row r="435" spans="1:1">
      <c r="A435" s="200" t="s">
        <v>578</v>
      </c>
    </row>
    <row r="436" spans="1:1">
      <c r="A436" s="200" t="s">
        <v>579</v>
      </c>
    </row>
    <row r="437" spans="1:1">
      <c r="A437" s="200" t="s">
        <v>580</v>
      </c>
    </row>
    <row r="438" spans="1:1">
      <c r="A438" s="200" t="s">
        <v>581</v>
      </c>
    </row>
    <row r="439" spans="1:1">
      <c r="A439" s="200" t="s">
        <v>582</v>
      </c>
    </row>
    <row r="440" spans="1:1">
      <c r="A440" s="200" t="s">
        <v>583</v>
      </c>
    </row>
    <row r="441" spans="1:1">
      <c r="A441" s="200" t="s">
        <v>584</v>
      </c>
    </row>
    <row r="442" spans="1:1">
      <c r="A442" s="200" t="s">
        <v>585</v>
      </c>
    </row>
    <row r="443" spans="1:1">
      <c r="A443" s="200" t="s">
        <v>586</v>
      </c>
    </row>
    <row r="444" spans="1:1">
      <c r="A444" s="200" t="s">
        <v>587</v>
      </c>
    </row>
    <row r="445" spans="1:1">
      <c r="A445" s="200" t="s">
        <v>588</v>
      </c>
    </row>
    <row r="446" spans="1:1">
      <c r="A446" s="200" t="s">
        <v>589</v>
      </c>
    </row>
    <row r="447" spans="1:1">
      <c r="A447" s="200" t="s">
        <v>590</v>
      </c>
    </row>
    <row r="448" spans="1:1">
      <c r="A448" s="200" t="s">
        <v>591</v>
      </c>
    </row>
    <row r="449" spans="1:1">
      <c r="A449" s="200" t="s">
        <v>592</v>
      </c>
    </row>
    <row r="450" spans="1:1">
      <c r="A450" s="200" t="s">
        <v>593</v>
      </c>
    </row>
    <row r="451" spans="1:1">
      <c r="A451" s="200" t="s">
        <v>594</v>
      </c>
    </row>
    <row r="452" spans="1:1">
      <c r="A452" s="200" t="s">
        <v>595</v>
      </c>
    </row>
    <row r="453" spans="1:1">
      <c r="A453" s="200" t="s">
        <v>596</v>
      </c>
    </row>
    <row r="454" spans="1:1">
      <c r="A454" s="200" t="s">
        <v>597</v>
      </c>
    </row>
    <row r="455" spans="1:1">
      <c r="A455" s="200" t="s">
        <v>598</v>
      </c>
    </row>
    <row r="456" spans="1:1">
      <c r="A456" s="200" t="s">
        <v>599</v>
      </c>
    </row>
    <row r="457" spans="1:1">
      <c r="A457" s="200" t="s">
        <v>600</v>
      </c>
    </row>
    <row r="458" spans="1:1">
      <c r="A458" s="200" t="s">
        <v>601</v>
      </c>
    </row>
    <row r="459" spans="1:1">
      <c r="A459" s="200" t="s">
        <v>602</v>
      </c>
    </row>
    <row r="460" spans="1:1">
      <c r="A460" s="200" t="s">
        <v>603</v>
      </c>
    </row>
    <row r="461" spans="1:1">
      <c r="A461" s="200" t="s">
        <v>604</v>
      </c>
    </row>
    <row r="462" spans="1:1">
      <c r="A462" s="200" t="s">
        <v>605</v>
      </c>
    </row>
    <row r="463" spans="1:1">
      <c r="A463" s="200" t="s">
        <v>606</v>
      </c>
    </row>
    <row r="464" spans="1:1">
      <c r="A464" s="200" t="s">
        <v>607</v>
      </c>
    </row>
    <row r="465" spans="1:1">
      <c r="A465" s="200" t="s">
        <v>608</v>
      </c>
    </row>
    <row r="466" spans="1:1">
      <c r="A466" s="200" t="s">
        <v>609</v>
      </c>
    </row>
    <row r="467" spans="1:1">
      <c r="A467" s="200" t="s">
        <v>610</v>
      </c>
    </row>
    <row r="468" spans="1:1">
      <c r="A468" s="200" t="s">
        <v>611</v>
      </c>
    </row>
    <row r="469" spans="1:1">
      <c r="A469" s="200" t="s">
        <v>612</v>
      </c>
    </row>
    <row r="470" spans="1:1">
      <c r="A470" s="200" t="s">
        <v>613</v>
      </c>
    </row>
    <row r="471" spans="1:1">
      <c r="A471" s="200" t="s">
        <v>614</v>
      </c>
    </row>
    <row r="472" spans="1:1">
      <c r="A472" s="200" t="s">
        <v>615</v>
      </c>
    </row>
    <row r="473" spans="1:1">
      <c r="A473" s="200" t="s">
        <v>616</v>
      </c>
    </row>
    <row r="474" spans="1:1">
      <c r="A474" s="200" t="s">
        <v>617</v>
      </c>
    </row>
    <row r="475" spans="1:1">
      <c r="A475" s="200" t="s">
        <v>618</v>
      </c>
    </row>
    <row r="476" spans="1:1">
      <c r="A476" s="200" t="s">
        <v>619</v>
      </c>
    </row>
    <row r="477" spans="1:1">
      <c r="A477" s="200" t="s">
        <v>620</v>
      </c>
    </row>
    <row r="478" spans="1:1">
      <c r="A478" s="200" t="s">
        <v>621</v>
      </c>
    </row>
    <row r="479" spans="1:1">
      <c r="A479" s="200" t="s">
        <v>622</v>
      </c>
    </row>
    <row r="480" spans="1:1">
      <c r="A480" s="200" t="s">
        <v>89</v>
      </c>
    </row>
    <row r="481" spans="1:1">
      <c r="A481" s="200" t="s">
        <v>623</v>
      </c>
    </row>
    <row r="482" spans="1:1">
      <c r="A482" s="200" t="s">
        <v>624</v>
      </c>
    </row>
    <row r="483" spans="1:1">
      <c r="A483" s="200" t="s">
        <v>625</v>
      </c>
    </row>
    <row r="484" spans="1:1">
      <c r="A484" s="200" t="s">
        <v>626</v>
      </c>
    </row>
    <row r="485" spans="1:1">
      <c r="A485" s="200" t="s">
        <v>627</v>
      </c>
    </row>
    <row r="486" spans="1:1">
      <c r="A486" s="200" t="s">
        <v>628</v>
      </c>
    </row>
    <row r="487" spans="1:1">
      <c r="A487" s="200" t="s">
        <v>629</v>
      </c>
    </row>
    <row r="488" spans="1:1">
      <c r="A488" s="200" t="s">
        <v>630</v>
      </c>
    </row>
    <row r="489" spans="1:1">
      <c r="A489" s="200" t="s">
        <v>631</v>
      </c>
    </row>
    <row r="490" spans="1:1">
      <c r="A490" s="200" t="s">
        <v>632</v>
      </c>
    </row>
    <row r="491" spans="1:1">
      <c r="A491" s="200" t="s">
        <v>633</v>
      </c>
    </row>
    <row r="492" spans="1:1">
      <c r="A492" s="200" t="s">
        <v>634</v>
      </c>
    </row>
    <row r="493" spans="1:1">
      <c r="A493" s="200" t="s">
        <v>635</v>
      </c>
    </row>
    <row r="494" spans="1:1">
      <c r="A494" s="200" t="s">
        <v>636</v>
      </c>
    </row>
    <row r="495" spans="1:1">
      <c r="A495" s="200" t="s">
        <v>637</v>
      </c>
    </row>
    <row r="496" spans="1:1">
      <c r="A496" s="200" t="s">
        <v>638</v>
      </c>
    </row>
    <row r="497" spans="1:1">
      <c r="A497" s="200" t="s">
        <v>639</v>
      </c>
    </row>
    <row r="498" spans="1:1">
      <c r="A498" s="200" t="s">
        <v>640</v>
      </c>
    </row>
    <row r="499" spans="1:1">
      <c r="A499" s="200" t="s">
        <v>641</v>
      </c>
    </row>
    <row r="500" spans="1:1">
      <c r="A500" s="200" t="s">
        <v>642</v>
      </c>
    </row>
    <row r="501" spans="1:1">
      <c r="A501" s="200" t="s">
        <v>643</v>
      </c>
    </row>
    <row r="502" spans="1:1">
      <c r="A502" s="200" t="s">
        <v>644</v>
      </c>
    </row>
    <row r="503" spans="1:1">
      <c r="A503" s="200" t="s">
        <v>645</v>
      </c>
    </row>
    <row r="504" spans="1:1">
      <c r="A504" s="200" t="s">
        <v>646</v>
      </c>
    </row>
    <row r="505" spans="1:1">
      <c r="A505" s="200" t="s">
        <v>647</v>
      </c>
    </row>
    <row r="506" spans="1:1">
      <c r="A506" s="200" t="s">
        <v>648</v>
      </c>
    </row>
    <row r="507" spans="1:1">
      <c r="A507" s="200" t="s">
        <v>649</v>
      </c>
    </row>
    <row r="508" spans="1:1">
      <c r="A508" s="200" t="s">
        <v>650</v>
      </c>
    </row>
    <row r="509" spans="1:1">
      <c r="A509" s="200" t="s">
        <v>651</v>
      </c>
    </row>
    <row r="510" spans="1:1">
      <c r="A510" s="200" t="s">
        <v>91</v>
      </c>
    </row>
    <row r="511" spans="1:1">
      <c r="A511" s="200" t="s">
        <v>652</v>
      </c>
    </row>
    <row r="512" spans="1:1">
      <c r="A512" s="200" t="s">
        <v>126</v>
      </c>
    </row>
    <row r="513" spans="1:1">
      <c r="A513" s="200" t="s">
        <v>653</v>
      </c>
    </row>
    <row r="514" spans="1:1">
      <c r="A514" s="200" t="s">
        <v>654</v>
      </c>
    </row>
    <row r="515" spans="1:1">
      <c r="A515" s="200" t="s">
        <v>655</v>
      </c>
    </row>
    <row r="516" spans="1:1">
      <c r="A516" s="200" t="s">
        <v>656</v>
      </c>
    </row>
    <row r="517" spans="1:1">
      <c r="A517" s="200" t="s">
        <v>657</v>
      </c>
    </row>
    <row r="518" spans="1:1">
      <c r="A518" s="200" t="s">
        <v>658</v>
      </c>
    </row>
    <row r="519" spans="1:1">
      <c r="A519" s="200" t="s">
        <v>659</v>
      </c>
    </row>
    <row r="520" spans="1:1">
      <c r="A520" s="200" t="s">
        <v>660</v>
      </c>
    </row>
    <row r="521" spans="1:1">
      <c r="A521" s="200" t="s">
        <v>661</v>
      </c>
    </row>
    <row r="522" spans="1:1">
      <c r="A522" s="200" t="s">
        <v>662</v>
      </c>
    </row>
    <row r="523" spans="1:1">
      <c r="A523" s="200" t="s">
        <v>663</v>
      </c>
    </row>
    <row r="524" spans="1:1">
      <c r="A524" s="200" t="s">
        <v>664</v>
      </c>
    </row>
    <row r="525" spans="1:1">
      <c r="A525" s="200" t="s">
        <v>665</v>
      </c>
    </row>
    <row r="526" spans="1:1">
      <c r="A526" s="200" t="s">
        <v>666</v>
      </c>
    </row>
    <row r="527" spans="1:1">
      <c r="A527" s="200" t="s">
        <v>667</v>
      </c>
    </row>
    <row r="528" spans="1:1">
      <c r="A528" s="200" t="s">
        <v>668</v>
      </c>
    </row>
    <row r="529" spans="1:1">
      <c r="A529" s="200" t="s">
        <v>669</v>
      </c>
    </row>
    <row r="530" spans="1:1">
      <c r="A530" s="200" t="s">
        <v>670</v>
      </c>
    </row>
    <row r="531" spans="1:1">
      <c r="A531" s="200" t="s">
        <v>671</v>
      </c>
    </row>
    <row r="532" spans="1:1">
      <c r="A532" s="200" t="s">
        <v>672</v>
      </c>
    </row>
    <row r="533" spans="1:1">
      <c r="A533" s="200" t="s">
        <v>673</v>
      </c>
    </row>
    <row r="534" spans="1:1">
      <c r="A534" s="200" t="s">
        <v>674</v>
      </c>
    </row>
    <row r="535" spans="1:1">
      <c r="A535" s="200" t="s">
        <v>675</v>
      </c>
    </row>
    <row r="536" spans="1:1">
      <c r="A536" s="200" t="s">
        <v>676</v>
      </c>
    </row>
    <row r="537" spans="1:1">
      <c r="A537" s="200" t="s">
        <v>677</v>
      </c>
    </row>
    <row r="538" spans="1:1">
      <c r="A538" s="200" t="s">
        <v>678</v>
      </c>
    </row>
    <row r="539" spans="1:1">
      <c r="A539" s="200" t="s">
        <v>679</v>
      </c>
    </row>
    <row r="540" spans="1:1">
      <c r="A540" s="200" t="s">
        <v>680</v>
      </c>
    </row>
    <row r="541" spans="1:1">
      <c r="A541" s="200" t="s">
        <v>681</v>
      </c>
    </row>
    <row r="542" spans="1:1">
      <c r="A542" s="200" t="s">
        <v>145</v>
      </c>
    </row>
    <row r="543" spans="1:1">
      <c r="A543" s="200" t="s">
        <v>682</v>
      </c>
    </row>
    <row r="544" spans="1:1">
      <c r="A544" s="200" t="s">
        <v>683</v>
      </c>
    </row>
    <row r="545" spans="1:1">
      <c r="A545" s="200" t="s">
        <v>684</v>
      </c>
    </row>
    <row r="546" spans="1:1">
      <c r="A546" s="200" t="s">
        <v>685</v>
      </c>
    </row>
    <row r="547" spans="1:1">
      <c r="A547" s="200" t="s">
        <v>686</v>
      </c>
    </row>
    <row r="548" spans="1:1">
      <c r="A548" s="200" t="s">
        <v>687</v>
      </c>
    </row>
    <row r="549" spans="1:1">
      <c r="A549" s="200" t="s">
        <v>688</v>
      </c>
    </row>
    <row r="550" spans="1:1">
      <c r="A550" s="200" t="s">
        <v>689</v>
      </c>
    </row>
    <row r="551" spans="1:1">
      <c r="A551" s="200" t="s">
        <v>690</v>
      </c>
    </row>
    <row r="552" spans="1:1">
      <c r="A552" s="200" t="s">
        <v>691</v>
      </c>
    </row>
    <row r="553" spans="1:1">
      <c r="A553" s="200" t="s">
        <v>692</v>
      </c>
    </row>
    <row r="554" spans="1:1">
      <c r="A554" s="200" t="s">
        <v>693</v>
      </c>
    </row>
    <row r="555" spans="1:1">
      <c r="A555" s="200" t="s">
        <v>694</v>
      </c>
    </row>
    <row r="556" spans="1:1">
      <c r="A556" s="200" t="s">
        <v>695</v>
      </c>
    </row>
    <row r="557" spans="1:1">
      <c r="A557" s="200" t="s">
        <v>696</v>
      </c>
    </row>
    <row r="558" spans="1:1">
      <c r="A558" s="200" t="s">
        <v>697</v>
      </c>
    </row>
    <row r="559" spans="1:1">
      <c r="A559" s="200" t="s">
        <v>698</v>
      </c>
    </row>
    <row r="560" spans="1:1">
      <c r="A560" s="200" t="s">
        <v>699</v>
      </c>
    </row>
    <row r="561" spans="1:1">
      <c r="A561" s="200" t="s">
        <v>700</v>
      </c>
    </row>
    <row r="562" spans="1:1">
      <c r="A562" s="200" t="s">
        <v>701</v>
      </c>
    </row>
    <row r="563" spans="1:1">
      <c r="A563" s="200" t="s">
        <v>702</v>
      </c>
    </row>
    <row r="564" spans="1:1">
      <c r="A564" s="200" t="s">
        <v>703</v>
      </c>
    </row>
    <row r="565" spans="1:1">
      <c r="A565" s="200" t="s">
        <v>704</v>
      </c>
    </row>
    <row r="566" spans="1:1">
      <c r="A566" s="200" t="s">
        <v>705</v>
      </c>
    </row>
    <row r="567" spans="1:1">
      <c r="A567" s="200" t="s">
        <v>706</v>
      </c>
    </row>
    <row r="568" spans="1:1">
      <c r="A568" s="200" t="s">
        <v>707</v>
      </c>
    </row>
    <row r="569" spans="1:1">
      <c r="A569" s="200" t="s">
        <v>708</v>
      </c>
    </row>
    <row r="570" spans="1:1">
      <c r="A570" s="200" t="s">
        <v>709</v>
      </c>
    </row>
    <row r="571" spans="1:1">
      <c r="A571" s="200" t="s">
        <v>710</v>
      </c>
    </row>
    <row r="572" spans="1:1">
      <c r="A572" s="200" t="s">
        <v>711</v>
      </c>
    </row>
    <row r="573" spans="1:1">
      <c r="A573" s="200" t="s">
        <v>712</v>
      </c>
    </row>
    <row r="574" spans="1:1">
      <c r="A574" s="200" t="s">
        <v>713</v>
      </c>
    </row>
    <row r="575" spans="1:1">
      <c r="A575" s="200" t="s">
        <v>714</v>
      </c>
    </row>
    <row r="576" spans="1:1">
      <c r="A576" s="200" t="s">
        <v>715</v>
      </c>
    </row>
    <row r="577" spans="1:1">
      <c r="A577" s="200" t="s">
        <v>716</v>
      </c>
    </row>
    <row r="578" spans="1:1">
      <c r="A578" s="200" t="s">
        <v>717</v>
      </c>
    </row>
    <row r="579" spans="1:1">
      <c r="A579" s="200" t="s">
        <v>718</v>
      </c>
    </row>
    <row r="580" spans="1:1">
      <c r="A580" s="200" t="s">
        <v>719</v>
      </c>
    </row>
    <row r="581" spans="1:1">
      <c r="A581" s="200" t="s">
        <v>720</v>
      </c>
    </row>
    <row r="582" spans="1:1">
      <c r="A582" s="200" t="s">
        <v>721</v>
      </c>
    </row>
    <row r="583" spans="1:1">
      <c r="A583" s="200" t="s">
        <v>722</v>
      </c>
    </row>
    <row r="584" spans="1:1">
      <c r="A584" s="200" t="s">
        <v>723</v>
      </c>
    </row>
    <row r="585" spans="1:1">
      <c r="A585" s="200" t="s">
        <v>92</v>
      </c>
    </row>
    <row r="586" spans="1:1">
      <c r="A586" s="200" t="s">
        <v>724</v>
      </c>
    </row>
    <row r="587" spans="1:1">
      <c r="A587" s="200" t="s">
        <v>725</v>
      </c>
    </row>
    <row r="588" spans="1:1">
      <c r="A588" s="200" t="s">
        <v>726</v>
      </c>
    </row>
    <row r="589" spans="1:1">
      <c r="A589" s="200" t="s">
        <v>727</v>
      </c>
    </row>
    <row r="590" spans="1:1">
      <c r="A590" s="200" t="s">
        <v>728</v>
      </c>
    </row>
    <row r="591" spans="1:1">
      <c r="A591" s="200" t="s">
        <v>729</v>
      </c>
    </row>
    <row r="592" spans="1:1">
      <c r="A592" s="200" t="s">
        <v>730</v>
      </c>
    </row>
    <row r="593" spans="1:1">
      <c r="A593" s="200" t="s">
        <v>127</v>
      </c>
    </row>
    <row r="594" spans="1:1">
      <c r="A594" s="200" t="s">
        <v>731</v>
      </c>
    </row>
    <row r="595" spans="1:1">
      <c r="A595" s="200" t="s">
        <v>732</v>
      </c>
    </row>
    <row r="596" spans="1:1">
      <c r="A596" s="200" t="s">
        <v>733</v>
      </c>
    </row>
    <row r="597" spans="1:1">
      <c r="A597" s="200" t="s">
        <v>734</v>
      </c>
    </row>
    <row r="598" spans="1:1">
      <c r="A598" s="200" t="s">
        <v>735</v>
      </c>
    </row>
    <row r="599" spans="1:1">
      <c r="A599" s="200" t="s">
        <v>736</v>
      </c>
    </row>
    <row r="600" spans="1:1">
      <c r="A600" s="200" t="s">
        <v>144</v>
      </c>
    </row>
    <row r="601" spans="1:1">
      <c r="A601" s="200" t="s">
        <v>737</v>
      </c>
    </row>
    <row r="602" spans="1:1">
      <c r="A602" s="200" t="s">
        <v>738</v>
      </c>
    </row>
    <row r="603" spans="1:1">
      <c r="A603" s="200" t="s">
        <v>739</v>
      </c>
    </row>
    <row r="604" spans="1:1">
      <c r="A604" s="200" t="s">
        <v>740</v>
      </c>
    </row>
    <row r="605" spans="1:1">
      <c r="A605" s="200" t="s">
        <v>741</v>
      </c>
    </row>
    <row r="606" spans="1:1">
      <c r="A606" s="200" t="s">
        <v>742</v>
      </c>
    </row>
    <row r="607" spans="1:1">
      <c r="A607" s="200" t="s">
        <v>743</v>
      </c>
    </row>
    <row r="608" spans="1:1">
      <c r="A608" s="200" t="s">
        <v>128</v>
      </c>
    </row>
    <row r="609" spans="1:1">
      <c r="A609" s="200" t="s">
        <v>744</v>
      </c>
    </row>
    <row r="610" spans="1:1">
      <c r="A610" s="200" t="s">
        <v>745</v>
      </c>
    </row>
    <row r="611" spans="1:1">
      <c r="A611" s="200" t="s">
        <v>746</v>
      </c>
    </row>
    <row r="612" spans="1:1">
      <c r="A612" s="200" t="s">
        <v>747</v>
      </c>
    </row>
    <row r="613" spans="1:1">
      <c r="A613" s="200" t="s">
        <v>748</v>
      </c>
    </row>
    <row r="614" spans="1:1">
      <c r="A614" s="200" t="s">
        <v>749</v>
      </c>
    </row>
    <row r="615" spans="1:1">
      <c r="A615" s="200" t="s">
        <v>750</v>
      </c>
    </row>
    <row r="616" spans="1:1">
      <c r="A616" s="200" t="s">
        <v>751</v>
      </c>
    </row>
    <row r="617" spans="1:1">
      <c r="A617" s="200" t="s">
        <v>752</v>
      </c>
    </row>
    <row r="618" spans="1:1">
      <c r="A618" s="200" t="s">
        <v>753</v>
      </c>
    </row>
    <row r="619" spans="1:1">
      <c r="A619" s="200" t="s">
        <v>754</v>
      </c>
    </row>
    <row r="620" spans="1:1">
      <c r="A620" s="200" t="s">
        <v>755</v>
      </c>
    </row>
    <row r="621" spans="1:1">
      <c r="A621" s="200" t="s">
        <v>756</v>
      </c>
    </row>
    <row r="622" spans="1:1">
      <c r="A622" s="200" t="s">
        <v>757</v>
      </c>
    </row>
    <row r="623" spans="1:1">
      <c r="A623" s="200" t="s">
        <v>758</v>
      </c>
    </row>
    <row r="624" spans="1:1">
      <c r="A624" s="200" t="s">
        <v>759</v>
      </c>
    </row>
    <row r="625" spans="1:1">
      <c r="A625" s="200" t="s">
        <v>760</v>
      </c>
    </row>
    <row r="626" spans="1:1">
      <c r="A626" s="200" t="s">
        <v>761</v>
      </c>
    </row>
    <row r="627" spans="1:1">
      <c r="A627" s="200" t="s">
        <v>762</v>
      </c>
    </row>
    <row r="628" spans="1:1">
      <c r="A628" s="200" t="s">
        <v>763</v>
      </c>
    </row>
    <row r="629" spans="1:1">
      <c r="A629" s="200" t="s">
        <v>764</v>
      </c>
    </row>
    <row r="630" spans="1:1">
      <c r="A630" s="200" t="s">
        <v>765</v>
      </c>
    </row>
    <row r="631" spans="1:1">
      <c r="A631" s="200" t="s">
        <v>766</v>
      </c>
    </row>
    <row r="632" spans="1:1">
      <c r="A632" s="200" t="s">
        <v>767</v>
      </c>
    </row>
    <row r="633" spans="1:1">
      <c r="A633" s="200" t="s">
        <v>768</v>
      </c>
    </row>
    <row r="634" spans="1:1">
      <c r="A634" s="200" t="s">
        <v>769</v>
      </c>
    </row>
    <row r="635" spans="1:1">
      <c r="A635" s="200" t="s">
        <v>770</v>
      </c>
    </row>
    <row r="636" spans="1:1">
      <c r="A636" s="200" t="s">
        <v>771</v>
      </c>
    </row>
    <row r="637" spans="1:1">
      <c r="A637" s="200" t="s">
        <v>772</v>
      </c>
    </row>
    <row r="638" spans="1:1">
      <c r="A638" s="200" t="s">
        <v>773</v>
      </c>
    </row>
    <row r="639" spans="1:1">
      <c r="A639" s="200" t="s">
        <v>93</v>
      </c>
    </row>
    <row r="640" spans="1:1">
      <c r="A640" s="200" t="s">
        <v>774</v>
      </c>
    </row>
    <row r="641" spans="1:1">
      <c r="A641" s="200" t="s">
        <v>775</v>
      </c>
    </row>
    <row r="642" spans="1:1">
      <c r="A642" s="200" t="s">
        <v>142</v>
      </c>
    </row>
    <row r="643" spans="1:1">
      <c r="A643" s="200" t="s">
        <v>776</v>
      </c>
    </row>
    <row r="644" spans="1:1">
      <c r="A644" s="200" t="s">
        <v>777</v>
      </c>
    </row>
    <row r="645" spans="1:1">
      <c r="A645" s="200" t="s">
        <v>778</v>
      </c>
    </row>
    <row r="646" spans="1:1">
      <c r="A646" s="200" t="s">
        <v>779</v>
      </c>
    </row>
    <row r="647" spans="1:1">
      <c r="A647" s="200" t="s">
        <v>780</v>
      </c>
    </row>
    <row r="648" spans="1:1">
      <c r="A648" s="200" t="s">
        <v>781</v>
      </c>
    </row>
    <row r="649" spans="1:1">
      <c r="A649" s="200" t="s">
        <v>782</v>
      </c>
    </row>
    <row r="650" spans="1:1">
      <c r="A650" s="200" t="s">
        <v>783</v>
      </c>
    </row>
    <row r="651" spans="1:1">
      <c r="A651" s="200" t="s">
        <v>784</v>
      </c>
    </row>
    <row r="652" spans="1:1">
      <c r="A652" s="200" t="s">
        <v>785</v>
      </c>
    </row>
    <row r="653" spans="1:1">
      <c r="A653" s="200" t="s">
        <v>786</v>
      </c>
    </row>
    <row r="654" spans="1:1">
      <c r="A654" s="200" t="s">
        <v>787</v>
      </c>
    </row>
    <row r="655" spans="1:1">
      <c r="A655" s="200" t="s">
        <v>788</v>
      </c>
    </row>
    <row r="656" spans="1:1">
      <c r="A656" s="200" t="s">
        <v>789</v>
      </c>
    </row>
    <row r="657" spans="1:1">
      <c r="A657" s="200" t="s">
        <v>790</v>
      </c>
    </row>
    <row r="658" spans="1:1">
      <c r="A658" s="200" t="s">
        <v>791</v>
      </c>
    </row>
    <row r="659" spans="1:1">
      <c r="A659" s="200" t="s">
        <v>792</v>
      </c>
    </row>
    <row r="660" spans="1:1">
      <c r="A660" s="200" t="s">
        <v>793</v>
      </c>
    </row>
    <row r="661" spans="1:1">
      <c r="A661" s="200" t="s">
        <v>794</v>
      </c>
    </row>
    <row r="662" spans="1:1">
      <c r="A662" s="200" t="s">
        <v>795</v>
      </c>
    </row>
    <row r="663" spans="1:1">
      <c r="A663" s="200" t="s">
        <v>796</v>
      </c>
    </row>
    <row r="664" spans="1:1">
      <c r="A664" s="200" t="s">
        <v>797</v>
      </c>
    </row>
    <row r="665" spans="1:1">
      <c r="A665" s="200" t="s">
        <v>798</v>
      </c>
    </row>
    <row r="666" spans="1:1">
      <c r="A666" s="200" t="s">
        <v>799</v>
      </c>
    </row>
    <row r="667" spans="1:1">
      <c r="A667" s="200" t="s">
        <v>800</v>
      </c>
    </row>
    <row r="668" spans="1:1">
      <c r="A668" s="200" t="s">
        <v>94</v>
      </c>
    </row>
    <row r="669" spans="1:1">
      <c r="A669" s="200" t="s">
        <v>801</v>
      </c>
    </row>
    <row r="670" spans="1:1">
      <c r="A670" s="200" t="s">
        <v>802</v>
      </c>
    </row>
    <row r="671" spans="1:1">
      <c r="A671" s="200" t="s">
        <v>803</v>
      </c>
    </row>
    <row r="672" spans="1:1">
      <c r="A672" s="200" t="s">
        <v>804</v>
      </c>
    </row>
    <row r="673" spans="1:1">
      <c r="A673" s="200" t="s">
        <v>805</v>
      </c>
    </row>
    <row r="674" spans="1:1">
      <c r="A674" s="200" t="s">
        <v>806</v>
      </c>
    </row>
    <row r="675" spans="1:1">
      <c r="A675" s="200" t="s">
        <v>807</v>
      </c>
    </row>
    <row r="676" spans="1:1">
      <c r="A676" s="200" t="s">
        <v>808</v>
      </c>
    </row>
    <row r="677" spans="1:1">
      <c r="A677" s="200" t="s">
        <v>809</v>
      </c>
    </row>
    <row r="678" spans="1:1">
      <c r="A678" s="200" t="s">
        <v>810</v>
      </c>
    </row>
    <row r="679" spans="1:1">
      <c r="A679" s="200" t="s">
        <v>811</v>
      </c>
    </row>
    <row r="680" spans="1:1">
      <c r="A680" s="200" t="s">
        <v>812</v>
      </c>
    </row>
    <row r="681" spans="1:1">
      <c r="A681" s="200" t="s">
        <v>813</v>
      </c>
    </row>
    <row r="682" spans="1:1">
      <c r="A682" s="200" t="s">
        <v>814</v>
      </c>
    </row>
    <row r="683" spans="1:1">
      <c r="A683" s="200" t="s">
        <v>815</v>
      </c>
    </row>
    <row r="684" spans="1:1">
      <c r="A684" s="200" t="s">
        <v>816</v>
      </c>
    </row>
    <row r="685" spans="1:1">
      <c r="A685" s="200" t="s">
        <v>143</v>
      </c>
    </row>
    <row r="686" spans="1:1">
      <c r="A686" s="200" t="s">
        <v>817</v>
      </c>
    </row>
    <row r="687" spans="1:1">
      <c r="A687" s="200" t="s">
        <v>818</v>
      </c>
    </row>
    <row r="688" spans="1:1">
      <c r="A688" s="200" t="s">
        <v>819</v>
      </c>
    </row>
    <row r="689" spans="1:1">
      <c r="A689" s="200" t="s">
        <v>820</v>
      </c>
    </row>
    <row r="690" spans="1:1">
      <c r="A690" s="200" t="s">
        <v>821</v>
      </c>
    </row>
    <row r="691" spans="1:1">
      <c r="A691" s="200" t="s">
        <v>822</v>
      </c>
    </row>
    <row r="692" spans="1:1">
      <c r="A692" s="200" t="s">
        <v>823</v>
      </c>
    </row>
    <row r="693" spans="1:1">
      <c r="A693" s="200" t="s">
        <v>95</v>
      </c>
    </row>
    <row r="694" spans="1:1">
      <c r="A694" s="200" t="s">
        <v>824</v>
      </c>
    </row>
    <row r="695" spans="1:1">
      <c r="A695" s="200" t="s">
        <v>825</v>
      </c>
    </row>
    <row r="696" spans="1:1">
      <c r="A696" s="200" t="s">
        <v>826</v>
      </c>
    </row>
    <row r="697" spans="1:1">
      <c r="A697" s="200" t="s">
        <v>827</v>
      </c>
    </row>
    <row r="698" spans="1:1">
      <c r="A698" s="200" t="s">
        <v>828</v>
      </c>
    </row>
    <row r="699" spans="1:1">
      <c r="A699" s="200" t="s">
        <v>829</v>
      </c>
    </row>
    <row r="700" spans="1:1">
      <c r="A700" s="200" t="s">
        <v>830</v>
      </c>
    </row>
    <row r="701" spans="1:1">
      <c r="A701" s="200" t="s">
        <v>831</v>
      </c>
    </row>
    <row r="702" spans="1:1">
      <c r="A702" s="200" t="s">
        <v>832</v>
      </c>
    </row>
    <row r="703" spans="1:1">
      <c r="A703" s="200" t="s">
        <v>833</v>
      </c>
    </row>
    <row r="704" spans="1:1">
      <c r="A704" s="200" t="s">
        <v>834</v>
      </c>
    </row>
    <row r="705" spans="1:1">
      <c r="A705" s="200" t="s">
        <v>835</v>
      </c>
    </row>
    <row r="706" spans="1:1">
      <c r="A706" s="200" t="s">
        <v>836</v>
      </c>
    </row>
    <row r="707" spans="1:1">
      <c r="A707" s="200" t="s">
        <v>837</v>
      </c>
    </row>
    <row r="708" spans="1:1">
      <c r="A708" s="200" t="s">
        <v>838</v>
      </c>
    </row>
    <row r="709" spans="1:1">
      <c r="A709" s="200" t="s">
        <v>839</v>
      </c>
    </row>
    <row r="710" spans="1:1">
      <c r="A710" s="200" t="s">
        <v>840</v>
      </c>
    </row>
    <row r="711" spans="1:1">
      <c r="A711" s="200" t="s">
        <v>841</v>
      </c>
    </row>
    <row r="712" spans="1:1">
      <c r="A712" s="200" t="s">
        <v>842</v>
      </c>
    </row>
    <row r="713" spans="1:1">
      <c r="A713" s="200" t="s">
        <v>843</v>
      </c>
    </row>
    <row r="714" spans="1:1">
      <c r="A714" s="200" t="s">
        <v>844</v>
      </c>
    </row>
    <row r="715" spans="1:1">
      <c r="A715" s="200" t="s">
        <v>845</v>
      </c>
    </row>
    <row r="716" spans="1:1">
      <c r="A716" s="200" t="s">
        <v>846</v>
      </c>
    </row>
    <row r="717" spans="1:1">
      <c r="A717" s="200" t="s">
        <v>847</v>
      </c>
    </row>
    <row r="718" spans="1:1">
      <c r="A718" s="200" t="s">
        <v>848</v>
      </c>
    </row>
    <row r="719" spans="1:1">
      <c r="A719" s="200" t="s">
        <v>849</v>
      </c>
    </row>
    <row r="720" spans="1:1">
      <c r="A720" s="200" t="s">
        <v>850</v>
      </c>
    </row>
    <row r="721" spans="1:1">
      <c r="A721" s="200" t="s">
        <v>851</v>
      </c>
    </row>
    <row r="722" spans="1:1">
      <c r="A722" s="200" t="s">
        <v>852</v>
      </c>
    </row>
    <row r="723" spans="1:1">
      <c r="A723" s="200" t="s">
        <v>853</v>
      </c>
    </row>
    <row r="724" spans="1:1">
      <c r="A724" s="200" t="s">
        <v>854</v>
      </c>
    </row>
    <row r="725" spans="1:1">
      <c r="A725" s="200" t="s">
        <v>855</v>
      </c>
    </row>
    <row r="726" spans="1:1">
      <c r="A726" s="200" t="s">
        <v>856</v>
      </c>
    </row>
    <row r="727" spans="1:1">
      <c r="A727" s="200" t="s">
        <v>857</v>
      </c>
    </row>
    <row r="728" spans="1:1">
      <c r="A728" s="200" t="s">
        <v>858</v>
      </c>
    </row>
    <row r="729" spans="1:1">
      <c r="A729" s="200" t="s">
        <v>859</v>
      </c>
    </row>
    <row r="730" spans="1:1">
      <c r="A730" s="200" t="s">
        <v>860</v>
      </c>
    </row>
    <row r="731" spans="1:1">
      <c r="A731" s="200" t="s">
        <v>861</v>
      </c>
    </row>
    <row r="732" spans="1:1">
      <c r="A732" s="200" t="s">
        <v>862</v>
      </c>
    </row>
    <row r="733" spans="1:1">
      <c r="A733" s="200" t="s">
        <v>863</v>
      </c>
    </row>
    <row r="734" spans="1:1">
      <c r="A734" s="200" t="s">
        <v>864</v>
      </c>
    </row>
    <row r="735" spans="1:1">
      <c r="A735" s="200" t="s">
        <v>865</v>
      </c>
    </row>
    <row r="736" spans="1:1">
      <c r="A736" s="200" t="s">
        <v>866</v>
      </c>
    </row>
    <row r="737" spans="1:1">
      <c r="A737" s="200" t="s">
        <v>867</v>
      </c>
    </row>
    <row r="738" spans="1:1">
      <c r="A738" s="200" t="s">
        <v>868</v>
      </c>
    </row>
    <row r="739" spans="1:1">
      <c r="A739" s="200" t="s">
        <v>869</v>
      </c>
    </row>
    <row r="740" spans="1:1">
      <c r="A740" s="200" t="s">
        <v>870</v>
      </c>
    </row>
    <row r="741" spans="1:1">
      <c r="A741" s="200" t="s">
        <v>871</v>
      </c>
    </row>
    <row r="742" spans="1:1">
      <c r="A742" s="200" t="s">
        <v>872</v>
      </c>
    </row>
    <row r="743" spans="1:1">
      <c r="A743" s="200" t="s">
        <v>116</v>
      </c>
    </row>
    <row r="744" spans="1:1">
      <c r="A744" s="200" t="s">
        <v>873</v>
      </c>
    </row>
    <row r="745" spans="1:1">
      <c r="A745" s="200" t="s">
        <v>874</v>
      </c>
    </row>
    <row r="746" spans="1:1">
      <c r="A746" s="200" t="s">
        <v>875</v>
      </c>
    </row>
    <row r="747" spans="1:1">
      <c r="A747" s="200" t="s">
        <v>876</v>
      </c>
    </row>
    <row r="748" spans="1:1">
      <c r="A748" s="200" t="s">
        <v>877</v>
      </c>
    </row>
    <row r="749" spans="1:1">
      <c r="A749" s="200" t="s">
        <v>878</v>
      </c>
    </row>
    <row r="750" spans="1:1">
      <c r="A750" s="200" t="s">
        <v>879</v>
      </c>
    </row>
    <row r="751" spans="1:1">
      <c r="A751" s="200" t="s">
        <v>880</v>
      </c>
    </row>
    <row r="752" spans="1:1">
      <c r="A752" s="200" t="s">
        <v>881</v>
      </c>
    </row>
    <row r="753" spans="1:1">
      <c r="A753" s="200" t="s">
        <v>882</v>
      </c>
    </row>
    <row r="754" spans="1:1">
      <c r="A754" s="200" t="s">
        <v>883</v>
      </c>
    </row>
    <row r="755" spans="1:1">
      <c r="A755" s="200" t="s">
        <v>884</v>
      </c>
    </row>
    <row r="756" spans="1:1">
      <c r="A756" s="200" t="s">
        <v>885</v>
      </c>
    </row>
    <row r="757" spans="1:1">
      <c r="A757" s="200" t="s">
        <v>886</v>
      </c>
    </row>
    <row r="758" spans="1:1">
      <c r="A758" s="200" t="s">
        <v>887</v>
      </c>
    </row>
    <row r="759" spans="1:1">
      <c r="A759" s="200" t="s">
        <v>888</v>
      </c>
    </row>
    <row r="760" spans="1:1">
      <c r="A760" s="200" t="s">
        <v>889</v>
      </c>
    </row>
    <row r="761" spans="1:1">
      <c r="A761" s="200" t="s">
        <v>890</v>
      </c>
    </row>
    <row r="762" spans="1:1">
      <c r="A762" s="200" t="s">
        <v>891</v>
      </c>
    </row>
    <row r="763" spans="1:1">
      <c r="A763" s="200" t="s">
        <v>892</v>
      </c>
    </row>
    <row r="764" spans="1:1">
      <c r="A764" s="200" t="s">
        <v>893</v>
      </c>
    </row>
    <row r="765" spans="1:1">
      <c r="A765" s="200" t="s">
        <v>894</v>
      </c>
    </row>
    <row r="766" spans="1:1">
      <c r="A766" s="200" t="s">
        <v>895</v>
      </c>
    </row>
    <row r="767" spans="1:1">
      <c r="A767" s="200" t="s">
        <v>896</v>
      </c>
    </row>
    <row r="768" spans="1:1">
      <c r="A768" s="200" t="s">
        <v>897</v>
      </c>
    </row>
    <row r="769" spans="1:1">
      <c r="A769" s="200" t="s">
        <v>898</v>
      </c>
    </row>
    <row r="770" spans="1:1">
      <c r="A770" s="200" t="s">
        <v>899</v>
      </c>
    </row>
    <row r="771" spans="1:1">
      <c r="A771" s="200" t="s">
        <v>900</v>
      </c>
    </row>
    <row r="772" spans="1:1">
      <c r="A772" s="200" t="s">
        <v>901</v>
      </c>
    </row>
    <row r="773" spans="1:1">
      <c r="A773" s="200" t="s">
        <v>902</v>
      </c>
    </row>
    <row r="774" spans="1:1">
      <c r="A774" s="200" t="s">
        <v>903</v>
      </c>
    </row>
    <row r="775" spans="1:1">
      <c r="A775" s="200" t="s">
        <v>904</v>
      </c>
    </row>
    <row r="776" spans="1:1">
      <c r="A776" s="200" t="s">
        <v>905</v>
      </c>
    </row>
    <row r="777" spans="1:1">
      <c r="A777" s="200" t="s">
        <v>906</v>
      </c>
    </row>
    <row r="778" spans="1:1">
      <c r="A778" s="200" t="s">
        <v>907</v>
      </c>
    </row>
    <row r="779" spans="1:1">
      <c r="A779" s="200" t="s">
        <v>908</v>
      </c>
    </row>
    <row r="780" spans="1:1">
      <c r="A780" s="200" t="s">
        <v>909</v>
      </c>
    </row>
    <row r="781" spans="1:1">
      <c r="A781" s="200" t="s">
        <v>910</v>
      </c>
    </row>
    <row r="782" spans="1:1">
      <c r="A782" s="200" t="s">
        <v>911</v>
      </c>
    </row>
    <row r="783" spans="1:1">
      <c r="A783" s="200" t="s">
        <v>912</v>
      </c>
    </row>
    <row r="784" spans="1:1">
      <c r="A784" s="200" t="s">
        <v>913</v>
      </c>
    </row>
    <row r="785" spans="1:1">
      <c r="A785" s="200" t="s">
        <v>914</v>
      </c>
    </row>
    <row r="786" spans="1:1">
      <c r="A786" s="200" t="s">
        <v>915</v>
      </c>
    </row>
    <row r="787" spans="1:1">
      <c r="A787" s="200" t="s">
        <v>916</v>
      </c>
    </row>
    <row r="788" spans="1:1">
      <c r="A788" s="200" t="s">
        <v>917</v>
      </c>
    </row>
    <row r="789" spans="1:1">
      <c r="A789" s="200" t="s">
        <v>109</v>
      </c>
    </row>
    <row r="790" spans="1:1">
      <c r="A790" s="200" t="s">
        <v>918</v>
      </c>
    </row>
    <row r="791" spans="1:1">
      <c r="A791" s="200" t="s">
        <v>919</v>
      </c>
    </row>
    <row r="792" spans="1:1">
      <c r="A792" s="200" t="s">
        <v>920</v>
      </c>
    </row>
    <row r="793" spans="1:1">
      <c r="A793" s="200" t="s">
        <v>921</v>
      </c>
    </row>
    <row r="794" spans="1:1">
      <c r="A794" s="200" t="s">
        <v>922</v>
      </c>
    </row>
    <row r="795" spans="1:1">
      <c r="A795" s="200" t="s">
        <v>923</v>
      </c>
    </row>
    <row r="796" spans="1:1">
      <c r="A796" s="200" t="s">
        <v>924</v>
      </c>
    </row>
    <row r="797" spans="1:1">
      <c r="A797" s="200" t="s">
        <v>925</v>
      </c>
    </row>
    <row r="798" spans="1:1">
      <c r="A798" s="200" t="s">
        <v>926</v>
      </c>
    </row>
    <row r="799" spans="1:1">
      <c r="A799" s="200" t="s">
        <v>927</v>
      </c>
    </row>
    <row r="800" spans="1:1">
      <c r="A800" s="200" t="s">
        <v>928</v>
      </c>
    </row>
    <row r="801" spans="1:1">
      <c r="A801" s="200" t="s">
        <v>929</v>
      </c>
    </row>
    <row r="802" spans="1:1">
      <c r="A802" s="200" t="s">
        <v>930</v>
      </c>
    </row>
    <row r="803" spans="1:1">
      <c r="A803" s="200" t="s">
        <v>931</v>
      </c>
    </row>
    <row r="804" spans="1:1">
      <c r="A804" s="200" t="s">
        <v>932</v>
      </c>
    </row>
    <row r="805" spans="1:1">
      <c r="A805" s="200" t="s">
        <v>933</v>
      </c>
    </row>
    <row r="806" spans="1:1">
      <c r="A806" s="200" t="s">
        <v>934</v>
      </c>
    </row>
    <row r="807" spans="1:1">
      <c r="A807" s="200" t="s">
        <v>935</v>
      </c>
    </row>
    <row r="808" spans="1:1">
      <c r="A808" s="200" t="s">
        <v>936</v>
      </c>
    </row>
    <row r="809" spans="1:1">
      <c r="A809" s="200" t="s">
        <v>937</v>
      </c>
    </row>
    <row r="810" spans="1:1">
      <c r="A810" s="200" t="s">
        <v>938</v>
      </c>
    </row>
    <row r="811" spans="1:1">
      <c r="A811" s="200" t="s">
        <v>939</v>
      </c>
    </row>
    <row r="812" spans="1:1">
      <c r="A812" s="200" t="s">
        <v>940</v>
      </c>
    </row>
    <row r="813" spans="1:1">
      <c r="A813" s="200" t="s">
        <v>941</v>
      </c>
    </row>
    <row r="814" spans="1:1">
      <c r="A814" s="200" t="s">
        <v>942</v>
      </c>
    </row>
    <row r="815" spans="1:1">
      <c r="A815" s="200" t="s">
        <v>943</v>
      </c>
    </row>
    <row r="816" spans="1:1">
      <c r="A816" s="200" t="s">
        <v>944</v>
      </c>
    </row>
    <row r="817" spans="1:1">
      <c r="A817" s="200" t="s">
        <v>945</v>
      </c>
    </row>
    <row r="818" spans="1:1">
      <c r="A818" s="200" t="s">
        <v>946</v>
      </c>
    </row>
    <row r="819" spans="1:1">
      <c r="A819" s="200" t="s">
        <v>947</v>
      </c>
    </row>
    <row r="820" spans="1:1">
      <c r="A820" s="200" t="s">
        <v>948</v>
      </c>
    </row>
    <row r="821" spans="1:1">
      <c r="A821" s="200" t="s">
        <v>949</v>
      </c>
    </row>
    <row r="822" spans="1:1">
      <c r="A822" s="200" t="s">
        <v>950</v>
      </c>
    </row>
    <row r="823" spans="1:1">
      <c r="A823" s="200" t="s">
        <v>951</v>
      </c>
    </row>
    <row r="824" spans="1:1">
      <c r="A824" s="200" t="s">
        <v>952</v>
      </c>
    </row>
    <row r="825" spans="1:1">
      <c r="A825" s="200" t="s">
        <v>953</v>
      </c>
    </row>
    <row r="826" spans="1:1">
      <c r="A826" s="200" t="s">
        <v>954</v>
      </c>
    </row>
    <row r="827" spans="1:1">
      <c r="A827" s="200" t="s">
        <v>955</v>
      </c>
    </row>
    <row r="828" spans="1:1">
      <c r="A828" s="200" t="s">
        <v>956</v>
      </c>
    </row>
    <row r="829" spans="1:1">
      <c r="A829" s="200" t="s">
        <v>957</v>
      </c>
    </row>
    <row r="830" spans="1:1">
      <c r="A830" s="200" t="s">
        <v>958</v>
      </c>
    </row>
    <row r="831" spans="1:1">
      <c r="A831" s="200" t="s">
        <v>959</v>
      </c>
    </row>
    <row r="832" spans="1:1">
      <c r="A832" s="200" t="s">
        <v>960</v>
      </c>
    </row>
    <row r="833" spans="1:1">
      <c r="A833" s="200" t="s">
        <v>129</v>
      </c>
    </row>
    <row r="834" spans="1:1">
      <c r="A834" s="200" t="s">
        <v>961</v>
      </c>
    </row>
    <row r="835" spans="1:1">
      <c r="A835" s="200" t="s">
        <v>962</v>
      </c>
    </row>
    <row r="836" spans="1:1">
      <c r="A836" s="200" t="s">
        <v>963</v>
      </c>
    </row>
    <row r="837" spans="1:1">
      <c r="A837" s="200" t="s">
        <v>964</v>
      </c>
    </row>
    <row r="838" spans="1:1">
      <c r="A838" s="200" t="s">
        <v>965</v>
      </c>
    </row>
    <row r="839" spans="1:1">
      <c r="A839" s="200" t="s">
        <v>966</v>
      </c>
    </row>
    <row r="840" spans="1:1">
      <c r="A840" s="200" t="s">
        <v>967</v>
      </c>
    </row>
    <row r="841" spans="1:1">
      <c r="A841" s="200" t="s">
        <v>968</v>
      </c>
    </row>
    <row r="842" spans="1:1">
      <c r="A842" s="200" t="s">
        <v>969</v>
      </c>
    </row>
    <row r="843" spans="1:1">
      <c r="A843" s="200" t="s">
        <v>970</v>
      </c>
    </row>
    <row r="844" spans="1:1">
      <c r="A844" s="200" t="s">
        <v>971</v>
      </c>
    </row>
    <row r="845" spans="1:1">
      <c r="A845" s="200" t="s">
        <v>972</v>
      </c>
    </row>
    <row r="846" spans="1:1">
      <c r="A846" s="200" t="s">
        <v>973</v>
      </c>
    </row>
    <row r="847" spans="1:1">
      <c r="A847" s="200" t="s">
        <v>974</v>
      </c>
    </row>
    <row r="848" spans="1:1">
      <c r="A848" s="200" t="s">
        <v>975</v>
      </c>
    </row>
    <row r="849" spans="1:1">
      <c r="A849" s="200" t="s">
        <v>976</v>
      </c>
    </row>
    <row r="850" spans="1:1">
      <c r="A850" s="200" t="s">
        <v>977</v>
      </c>
    </row>
    <row r="851" spans="1:1">
      <c r="A851" s="200" t="s">
        <v>978</v>
      </c>
    </row>
    <row r="852" spans="1:1">
      <c r="A852" s="200" t="s">
        <v>979</v>
      </c>
    </row>
    <row r="853" spans="1:1">
      <c r="A853" s="200" t="s">
        <v>980</v>
      </c>
    </row>
    <row r="854" spans="1:1">
      <c r="A854" s="200" t="s">
        <v>981</v>
      </c>
    </row>
    <row r="855" spans="1:1">
      <c r="A855" s="200" t="s">
        <v>982</v>
      </c>
    </row>
    <row r="856" spans="1:1">
      <c r="A856" s="200" t="s">
        <v>983</v>
      </c>
    </row>
    <row r="857" spans="1:1">
      <c r="A857" s="200" t="s">
        <v>984</v>
      </c>
    </row>
    <row r="858" spans="1:1">
      <c r="A858" s="200" t="s">
        <v>985</v>
      </c>
    </row>
    <row r="859" spans="1:1">
      <c r="A859" s="200" t="s">
        <v>986</v>
      </c>
    </row>
    <row r="860" spans="1:1">
      <c r="A860" s="200" t="s">
        <v>987</v>
      </c>
    </row>
    <row r="861" spans="1:1">
      <c r="A861" s="200" t="s">
        <v>988</v>
      </c>
    </row>
    <row r="862" spans="1:1">
      <c r="A862" s="200" t="s">
        <v>989</v>
      </c>
    </row>
    <row r="863" spans="1:1">
      <c r="A863" s="200" t="s">
        <v>990</v>
      </c>
    </row>
    <row r="864" spans="1:1">
      <c r="A864" s="200" t="s">
        <v>991</v>
      </c>
    </row>
    <row r="865" spans="1:1">
      <c r="A865" s="200" t="s">
        <v>992</v>
      </c>
    </row>
    <row r="866" spans="1:1">
      <c r="A866" s="200" t="s">
        <v>993</v>
      </c>
    </row>
    <row r="867" spans="1:1">
      <c r="A867" s="200" t="s">
        <v>994</v>
      </c>
    </row>
    <row r="868" spans="1:1">
      <c r="A868" s="200" t="s">
        <v>995</v>
      </c>
    </row>
    <row r="869" spans="1:1">
      <c r="A869" s="200" t="s">
        <v>996</v>
      </c>
    </row>
    <row r="870" spans="1:1">
      <c r="A870" s="200" t="s">
        <v>997</v>
      </c>
    </row>
    <row r="871" spans="1:1">
      <c r="A871" s="200" t="s">
        <v>998</v>
      </c>
    </row>
    <row r="872" spans="1:1">
      <c r="A872" s="200" t="s">
        <v>999</v>
      </c>
    </row>
    <row r="873" spans="1:1">
      <c r="A873" s="200" t="s">
        <v>1000</v>
      </c>
    </row>
    <row r="874" spans="1:1">
      <c r="A874" s="200" t="s">
        <v>1001</v>
      </c>
    </row>
    <row r="875" spans="1:1">
      <c r="A875" s="200" t="s">
        <v>1002</v>
      </c>
    </row>
    <row r="876" spans="1:1">
      <c r="A876" s="200" t="s">
        <v>1003</v>
      </c>
    </row>
    <row r="877" spans="1:1">
      <c r="A877" s="200" t="s">
        <v>1004</v>
      </c>
    </row>
    <row r="878" spans="1:1">
      <c r="A878" s="200" t="s">
        <v>1005</v>
      </c>
    </row>
    <row r="879" spans="1:1">
      <c r="A879" s="200" t="s">
        <v>1006</v>
      </c>
    </row>
    <row r="880" spans="1:1">
      <c r="A880" s="200" t="s">
        <v>1007</v>
      </c>
    </row>
    <row r="881" spans="1:1">
      <c r="A881" s="200" t="s">
        <v>1008</v>
      </c>
    </row>
    <row r="882" spans="1:1">
      <c r="A882" s="200" t="s">
        <v>1009</v>
      </c>
    </row>
    <row r="883" spans="1:1">
      <c r="A883" s="200" t="s">
        <v>1010</v>
      </c>
    </row>
    <row r="884" spans="1:1">
      <c r="A884" s="200" t="s">
        <v>1011</v>
      </c>
    </row>
    <row r="885" spans="1:1">
      <c r="A885" s="200" t="s">
        <v>1012</v>
      </c>
    </row>
    <row r="886" spans="1:1">
      <c r="A886" s="200" t="s">
        <v>1013</v>
      </c>
    </row>
    <row r="887" spans="1:1">
      <c r="A887" s="200" t="s">
        <v>1014</v>
      </c>
    </row>
    <row r="888" spans="1:1">
      <c r="A888" s="200" t="s">
        <v>1015</v>
      </c>
    </row>
    <row r="889" spans="1:1">
      <c r="A889" s="200" t="s">
        <v>1016</v>
      </c>
    </row>
    <row r="890" spans="1:1">
      <c r="A890" s="200" t="s">
        <v>1017</v>
      </c>
    </row>
    <row r="891" spans="1:1">
      <c r="A891" s="200" t="s">
        <v>1018</v>
      </c>
    </row>
    <row r="892" spans="1:1">
      <c r="A892" s="200" t="s">
        <v>1019</v>
      </c>
    </row>
    <row r="893" spans="1:1">
      <c r="A893" s="200" t="s">
        <v>1020</v>
      </c>
    </row>
    <row r="894" spans="1:1">
      <c r="A894" s="200" t="s">
        <v>1021</v>
      </c>
    </row>
    <row r="895" spans="1:1">
      <c r="A895" s="200" t="s">
        <v>1022</v>
      </c>
    </row>
    <row r="896" spans="1:1">
      <c r="A896" s="200" t="s">
        <v>1023</v>
      </c>
    </row>
    <row r="897" spans="1:1">
      <c r="A897" s="200" t="s">
        <v>1024</v>
      </c>
    </row>
    <row r="898" spans="1:1">
      <c r="A898" s="200" t="s">
        <v>1025</v>
      </c>
    </row>
    <row r="899" spans="1:1">
      <c r="A899" s="200" t="s">
        <v>1026</v>
      </c>
    </row>
    <row r="900" spans="1:1">
      <c r="A900" s="200" t="s">
        <v>1027</v>
      </c>
    </row>
    <row r="901" spans="1:1">
      <c r="A901" s="200" t="s">
        <v>1028</v>
      </c>
    </row>
    <row r="902" spans="1:1">
      <c r="A902" s="200" t="s">
        <v>1029</v>
      </c>
    </row>
    <row r="903" spans="1:1">
      <c r="A903" s="200" t="s">
        <v>1030</v>
      </c>
    </row>
    <row r="904" spans="1:1">
      <c r="A904" s="200" t="s">
        <v>1031</v>
      </c>
    </row>
    <row r="905" spans="1:1">
      <c r="A905" s="200" t="s">
        <v>1032</v>
      </c>
    </row>
    <row r="906" spans="1:1">
      <c r="A906" s="200" t="s">
        <v>1033</v>
      </c>
    </row>
    <row r="907" spans="1:1">
      <c r="A907" s="200" t="s">
        <v>1034</v>
      </c>
    </row>
    <row r="908" spans="1:1">
      <c r="A908" s="200" t="s">
        <v>1035</v>
      </c>
    </row>
    <row r="909" spans="1:1">
      <c r="A909" s="200" t="s">
        <v>1036</v>
      </c>
    </row>
    <row r="910" spans="1:1">
      <c r="A910" s="200" t="s">
        <v>1037</v>
      </c>
    </row>
    <row r="911" spans="1:1">
      <c r="A911" s="200" t="s">
        <v>1038</v>
      </c>
    </row>
    <row r="912" spans="1:1">
      <c r="A912" s="200" t="s">
        <v>1039</v>
      </c>
    </row>
    <row r="913" spans="1:1">
      <c r="A913" s="200" t="s">
        <v>1040</v>
      </c>
    </row>
    <row r="914" spans="1:1">
      <c r="A914" s="200" t="s">
        <v>1041</v>
      </c>
    </row>
    <row r="915" spans="1:1">
      <c r="A915" s="200" t="s">
        <v>1042</v>
      </c>
    </row>
    <row r="916" spans="1:1">
      <c r="A916" s="200" t="s">
        <v>1043</v>
      </c>
    </row>
    <row r="917" spans="1:1">
      <c r="A917" s="200" t="s">
        <v>1044</v>
      </c>
    </row>
    <row r="918" spans="1:1">
      <c r="A918" s="200" t="s">
        <v>1045</v>
      </c>
    </row>
    <row r="919" spans="1:1">
      <c r="A919" s="200" t="s">
        <v>1046</v>
      </c>
    </row>
    <row r="920" spans="1:1">
      <c r="A920" s="200" t="s">
        <v>1047</v>
      </c>
    </row>
    <row r="921" spans="1:1">
      <c r="A921" s="200" t="s">
        <v>1048</v>
      </c>
    </row>
    <row r="922" spans="1:1">
      <c r="A922" s="200" t="s">
        <v>1049</v>
      </c>
    </row>
    <row r="923" spans="1:1">
      <c r="A923" s="200" t="s">
        <v>1050</v>
      </c>
    </row>
    <row r="924" spans="1:1">
      <c r="A924" s="200" t="s">
        <v>1051</v>
      </c>
    </row>
    <row r="925" spans="1:1">
      <c r="A925" s="200" t="s">
        <v>1052</v>
      </c>
    </row>
    <row r="926" spans="1:1">
      <c r="A926" s="200" t="s">
        <v>1053</v>
      </c>
    </row>
    <row r="927" spans="1:1">
      <c r="A927" s="200" t="s">
        <v>1054</v>
      </c>
    </row>
    <row r="928" spans="1:1">
      <c r="A928" s="200" t="s">
        <v>1055</v>
      </c>
    </row>
    <row r="929" spans="1:1">
      <c r="A929" s="200" t="s">
        <v>1056</v>
      </c>
    </row>
    <row r="930" spans="1:1">
      <c r="A930" s="200" t="s">
        <v>1057</v>
      </c>
    </row>
    <row r="931" spans="1:1">
      <c r="A931" s="200" t="s">
        <v>1058</v>
      </c>
    </row>
    <row r="932" spans="1:1">
      <c r="A932" s="200" t="s">
        <v>1059</v>
      </c>
    </row>
    <row r="933" spans="1:1">
      <c r="A933" s="200" t="s">
        <v>1060</v>
      </c>
    </row>
    <row r="934" spans="1:1">
      <c r="A934" s="200" t="s">
        <v>1061</v>
      </c>
    </row>
    <row r="935" spans="1:1">
      <c r="A935" s="200" t="s">
        <v>1062</v>
      </c>
    </row>
    <row r="936" spans="1:1">
      <c r="A936" s="200" t="s">
        <v>1063</v>
      </c>
    </row>
    <row r="937" spans="1:1">
      <c r="A937" s="200" t="s">
        <v>1064</v>
      </c>
    </row>
    <row r="938" spans="1:1">
      <c r="A938" s="200" t="s">
        <v>1065</v>
      </c>
    </row>
    <row r="939" spans="1:1">
      <c r="A939" s="200" t="s">
        <v>1066</v>
      </c>
    </row>
    <row r="940" spans="1:1">
      <c r="A940" s="200" t="s">
        <v>1067</v>
      </c>
    </row>
    <row r="941" spans="1:1">
      <c r="A941" s="200" t="s">
        <v>1068</v>
      </c>
    </row>
    <row r="942" spans="1:1">
      <c r="A942" s="200" t="s">
        <v>1069</v>
      </c>
    </row>
    <row r="943" spans="1:1">
      <c r="A943" s="200" t="s">
        <v>1070</v>
      </c>
    </row>
    <row r="944" spans="1:1">
      <c r="A944" s="200" t="s">
        <v>1071</v>
      </c>
    </row>
    <row r="945" spans="1:1">
      <c r="A945" s="200" t="s">
        <v>1072</v>
      </c>
    </row>
    <row r="946" spans="1:1">
      <c r="A946" s="200" t="s">
        <v>1073</v>
      </c>
    </row>
    <row r="947" spans="1:1">
      <c r="A947" s="200" t="s">
        <v>1074</v>
      </c>
    </row>
    <row r="948" spans="1:1">
      <c r="A948" s="200" t="s">
        <v>1075</v>
      </c>
    </row>
    <row r="949" spans="1:1">
      <c r="A949" s="200" t="s">
        <v>1076</v>
      </c>
    </row>
    <row r="950" spans="1:1">
      <c r="A950" s="200" t="s">
        <v>1077</v>
      </c>
    </row>
    <row r="951" spans="1:1">
      <c r="A951" s="200" t="s">
        <v>1078</v>
      </c>
    </row>
    <row r="952" spans="1:1">
      <c r="A952" s="200" t="s">
        <v>1079</v>
      </c>
    </row>
    <row r="953" spans="1:1">
      <c r="A953" s="200" t="s">
        <v>1080</v>
      </c>
    </row>
    <row r="954" spans="1:1">
      <c r="A954" s="200" t="s">
        <v>1081</v>
      </c>
    </row>
    <row r="955" spans="1:1">
      <c r="A955" s="200" t="s">
        <v>1082</v>
      </c>
    </row>
    <row r="956" spans="1:1">
      <c r="A956" s="200" t="s">
        <v>1083</v>
      </c>
    </row>
    <row r="957" spans="1:1">
      <c r="A957" s="200" t="s">
        <v>1084</v>
      </c>
    </row>
    <row r="958" spans="1:1">
      <c r="A958" s="200" t="s">
        <v>1085</v>
      </c>
    </row>
    <row r="959" spans="1:1">
      <c r="A959" s="200" t="s">
        <v>1086</v>
      </c>
    </row>
    <row r="960" spans="1:1">
      <c r="A960" s="200" t="s">
        <v>1087</v>
      </c>
    </row>
    <row r="961" spans="1:1">
      <c r="A961" s="200" t="s">
        <v>1088</v>
      </c>
    </row>
    <row r="962" spans="1:1">
      <c r="A962" s="200" t="s">
        <v>1089</v>
      </c>
    </row>
    <row r="963" spans="1:1">
      <c r="A963" s="200" t="s">
        <v>1090</v>
      </c>
    </row>
    <row r="964" spans="1:1">
      <c r="A964" s="200" t="s">
        <v>1091</v>
      </c>
    </row>
    <row r="965" spans="1:1">
      <c r="A965" s="200" t="s">
        <v>1092</v>
      </c>
    </row>
    <row r="966" spans="1:1">
      <c r="A966" s="200" t="s">
        <v>1093</v>
      </c>
    </row>
    <row r="967" spans="1:1">
      <c r="A967" s="200" t="s">
        <v>1094</v>
      </c>
    </row>
    <row r="968" spans="1:1">
      <c r="A968" s="200" t="s">
        <v>1095</v>
      </c>
    </row>
    <row r="969" spans="1:1">
      <c r="A969" s="200" t="s">
        <v>1096</v>
      </c>
    </row>
    <row r="970" spans="1:1">
      <c r="A970" s="200" t="s">
        <v>1097</v>
      </c>
    </row>
    <row r="971" spans="1:1">
      <c r="A971" s="200" t="s">
        <v>1098</v>
      </c>
    </row>
    <row r="972" spans="1:1">
      <c r="A972" s="200" t="s">
        <v>1099</v>
      </c>
    </row>
    <row r="973" spans="1:1">
      <c r="A973" s="200" t="s">
        <v>1100</v>
      </c>
    </row>
    <row r="974" spans="1:1">
      <c r="A974" s="200" t="s">
        <v>130</v>
      </c>
    </row>
    <row r="975" spans="1:1">
      <c r="A975" s="200" t="s">
        <v>1101</v>
      </c>
    </row>
    <row r="976" spans="1:1">
      <c r="A976" s="200" t="s">
        <v>1102</v>
      </c>
    </row>
    <row r="977" spans="1:1">
      <c r="A977" s="200" t="s">
        <v>1103</v>
      </c>
    </row>
    <row r="978" spans="1:1">
      <c r="A978" s="200" t="s">
        <v>1104</v>
      </c>
    </row>
    <row r="979" spans="1:1">
      <c r="A979" s="200" t="s">
        <v>1105</v>
      </c>
    </row>
    <row r="980" spans="1:1">
      <c r="A980" s="200" t="s">
        <v>1106</v>
      </c>
    </row>
    <row r="981" spans="1:1">
      <c r="A981" s="200" t="s">
        <v>1107</v>
      </c>
    </row>
    <row r="982" spans="1:1">
      <c r="A982" s="200" t="s">
        <v>1108</v>
      </c>
    </row>
    <row r="983" spans="1:1">
      <c r="A983" s="200" t="s">
        <v>1109</v>
      </c>
    </row>
    <row r="984" spans="1:1">
      <c r="A984" s="200" t="s">
        <v>1110</v>
      </c>
    </row>
    <row r="985" spans="1:1">
      <c r="A985" s="200" t="s">
        <v>1111</v>
      </c>
    </row>
    <row r="986" spans="1:1">
      <c r="A986" s="200" t="s">
        <v>1112</v>
      </c>
    </row>
    <row r="987" spans="1:1">
      <c r="A987" s="200" t="s">
        <v>1113</v>
      </c>
    </row>
    <row r="988" spans="1:1">
      <c r="A988" s="200" t="s">
        <v>1114</v>
      </c>
    </row>
    <row r="989" spans="1:1">
      <c r="A989" s="200" t="s">
        <v>1115</v>
      </c>
    </row>
    <row r="990" spans="1:1">
      <c r="A990" s="200" t="s">
        <v>1116</v>
      </c>
    </row>
    <row r="991" spans="1:1">
      <c r="A991" s="200" t="s">
        <v>1117</v>
      </c>
    </row>
    <row r="992" spans="1:1">
      <c r="A992" s="200" t="s">
        <v>1118</v>
      </c>
    </row>
    <row r="993" spans="1:1">
      <c r="A993" s="200" t="s">
        <v>1119</v>
      </c>
    </row>
    <row r="994" spans="1:1">
      <c r="A994" s="200" t="s">
        <v>1120</v>
      </c>
    </row>
    <row r="995" spans="1:1">
      <c r="A995" s="200" t="s">
        <v>1121</v>
      </c>
    </row>
    <row r="996" spans="1:1">
      <c r="A996" s="200" t="s">
        <v>1122</v>
      </c>
    </row>
    <row r="997" spans="1:1">
      <c r="A997" s="200" t="s">
        <v>1123</v>
      </c>
    </row>
    <row r="998" spans="1:1">
      <c r="A998" s="200" t="s">
        <v>1124</v>
      </c>
    </row>
    <row r="999" spans="1:1">
      <c r="A999" s="200" t="s">
        <v>1125</v>
      </c>
    </row>
    <row r="1000" spans="1:1">
      <c r="A1000" s="200" t="s">
        <v>1126</v>
      </c>
    </row>
    <row r="1001" spans="1:1">
      <c r="A1001" s="200" t="s">
        <v>1127</v>
      </c>
    </row>
    <row r="1002" spans="1:1">
      <c r="A1002" s="200" t="s">
        <v>1128</v>
      </c>
    </row>
    <row r="1003" spans="1:1">
      <c r="A1003" s="200" t="s">
        <v>1129</v>
      </c>
    </row>
    <row r="1004" spans="1:1">
      <c r="A1004" s="200" t="s">
        <v>1130</v>
      </c>
    </row>
    <row r="1005" spans="1:1">
      <c r="A1005" s="200" t="s">
        <v>1131</v>
      </c>
    </row>
    <row r="1006" spans="1:1">
      <c r="A1006" s="200" t="s">
        <v>1132</v>
      </c>
    </row>
    <row r="1007" spans="1:1">
      <c r="A1007" s="200" t="s">
        <v>1133</v>
      </c>
    </row>
    <row r="1008" spans="1:1">
      <c r="A1008" s="200" t="s">
        <v>1134</v>
      </c>
    </row>
    <row r="1009" spans="1:1">
      <c r="A1009" s="200" t="s">
        <v>1135</v>
      </c>
    </row>
    <row r="1010" spans="1:1">
      <c r="A1010" s="200" t="s">
        <v>1136</v>
      </c>
    </row>
    <row r="1011" spans="1:1">
      <c r="A1011" s="200" t="s">
        <v>1137</v>
      </c>
    </row>
    <row r="1012" spans="1:1">
      <c r="A1012" s="200" t="s">
        <v>1138</v>
      </c>
    </row>
    <row r="1013" spans="1:1">
      <c r="A1013" s="200" t="s">
        <v>1139</v>
      </c>
    </row>
    <row r="1014" spans="1:1">
      <c r="A1014" s="200" t="s">
        <v>1140</v>
      </c>
    </row>
    <row r="1015" spans="1:1">
      <c r="A1015" s="200" t="s">
        <v>1141</v>
      </c>
    </row>
    <row r="1016" spans="1:1">
      <c r="A1016" s="200" t="s">
        <v>1142</v>
      </c>
    </row>
    <row r="1017" spans="1:1">
      <c r="A1017" s="200" t="s">
        <v>1143</v>
      </c>
    </row>
    <row r="1018" spans="1:1">
      <c r="A1018" s="200" t="s">
        <v>1144</v>
      </c>
    </row>
    <row r="1019" spans="1:1">
      <c r="A1019" s="200" t="s">
        <v>1145</v>
      </c>
    </row>
    <row r="1020" spans="1:1">
      <c r="A1020" s="200" t="s">
        <v>1146</v>
      </c>
    </row>
    <row r="1021" spans="1:1">
      <c r="A1021" s="200" t="s">
        <v>1147</v>
      </c>
    </row>
    <row r="1022" spans="1:1">
      <c r="A1022" s="200" t="s">
        <v>1148</v>
      </c>
    </row>
    <row r="1023" spans="1:1">
      <c r="A1023" s="200" t="s">
        <v>1149</v>
      </c>
    </row>
    <row r="1024" spans="1:1">
      <c r="A1024" s="200" t="s">
        <v>1150</v>
      </c>
    </row>
    <row r="1025" spans="1:1">
      <c r="A1025" s="200" t="s">
        <v>139</v>
      </c>
    </row>
    <row r="1026" spans="1:1">
      <c r="A1026" s="200" t="s">
        <v>1151</v>
      </c>
    </row>
    <row r="1027" spans="1:1">
      <c r="A1027" s="200" t="s">
        <v>138</v>
      </c>
    </row>
    <row r="1028" spans="1:1">
      <c r="A1028" s="200" t="s">
        <v>1152</v>
      </c>
    </row>
    <row r="1029" spans="1:1">
      <c r="A1029" s="200" t="s">
        <v>1153</v>
      </c>
    </row>
    <row r="1030" spans="1:1">
      <c r="A1030" s="200" t="s">
        <v>1154</v>
      </c>
    </row>
    <row r="1031" spans="1:1">
      <c r="A1031" s="200" t="s">
        <v>1155</v>
      </c>
    </row>
    <row r="1032" spans="1:1">
      <c r="A1032" s="200" t="s">
        <v>1156</v>
      </c>
    </row>
    <row r="1033" spans="1:1">
      <c r="A1033" s="200" t="s">
        <v>1157</v>
      </c>
    </row>
    <row r="1034" spans="1:1">
      <c r="A1034" s="200" t="s">
        <v>1158</v>
      </c>
    </row>
    <row r="1035" spans="1:1">
      <c r="A1035" s="200" t="s">
        <v>1159</v>
      </c>
    </row>
    <row r="1036" spans="1:1">
      <c r="A1036" s="200" t="s">
        <v>124</v>
      </c>
    </row>
    <row r="1037" spans="1:1">
      <c r="A1037" s="200" t="s">
        <v>1160</v>
      </c>
    </row>
    <row r="1038" spans="1:1">
      <c r="A1038" s="200" t="s">
        <v>1161</v>
      </c>
    </row>
    <row r="1039" spans="1:1">
      <c r="A1039" s="200" t="s">
        <v>1162</v>
      </c>
    </row>
    <row r="1040" spans="1:1">
      <c r="A1040" s="200" t="s">
        <v>1163</v>
      </c>
    </row>
    <row r="1041" spans="1:1">
      <c r="A1041" s="200" t="s">
        <v>1164</v>
      </c>
    </row>
    <row r="1042" spans="1:1">
      <c r="A1042" s="200" t="s">
        <v>1165</v>
      </c>
    </row>
    <row r="1043" spans="1:1">
      <c r="A1043" s="200" t="s">
        <v>1166</v>
      </c>
    </row>
    <row r="1044" spans="1:1">
      <c r="A1044" s="200" t="s">
        <v>1167</v>
      </c>
    </row>
    <row r="1045" spans="1:1">
      <c r="A1045" s="200" t="s">
        <v>1168</v>
      </c>
    </row>
    <row r="1046" spans="1:1">
      <c r="A1046" s="200" t="s">
        <v>1169</v>
      </c>
    </row>
    <row r="1047" spans="1:1">
      <c r="A1047" s="200" t="s">
        <v>1170</v>
      </c>
    </row>
    <row r="1048" spans="1:1">
      <c r="A1048" s="200" t="s">
        <v>1171</v>
      </c>
    </row>
    <row r="1049" spans="1:1">
      <c r="A1049" s="200" t="s">
        <v>1172</v>
      </c>
    </row>
    <row r="1050" spans="1:1">
      <c r="A1050" s="200" t="s">
        <v>1173</v>
      </c>
    </row>
    <row r="1051" spans="1:1">
      <c r="A1051" s="200" t="s">
        <v>1174</v>
      </c>
    </row>
    <row r="1052" spans="1:1">
      <c r="A1052" s="200" t="s">
        <v>1175</v>
      </c>
    </row>
    <row r="1053" spans="1:1">
      <c r="A1053" s="200" t="s">
        <v>1176</v>
      </c>
    </row>
    <row r="1054" spans="1:1">
      <c r="A1054" s="200" t="s">
        <v>1177</v>
      </c>
    </row>
    <row r="1055" spans="1:1">
      <c r="A1055" s="200" t="s">
        <v>1178</v>
      </c>
    </row>
    <row r="1056" spans="1:1">
      <c r="A1056" s="200" t="s">
        <v>1179</v>
      </c>
    </row>
    <row r="1057" spans="1:1">
      <c r="A1057" s="200" t="s">
        <v>1180</v>
      </c>
    </row>
    <row r="1058" spans="1:1">
      <c r="A1058" s="200" t="s">
        <v>1181</v>
      </c>
    </row>
    <row r="1059" spans="1:1">
      <c r="A1059" s="200" t="s">
        <v>1182</v>
      </c>
    </row>
    <row r="1060" spans="1:1">
      <c r="A1060" s="200" t="s">
        <v>1183</v>
      </c>
    </row>
    <row r="1061" spans="1:1">
      <c r="A1061" s="200" t="s">
        <v>1184</v>
      </c>
    </row>
    <row r="1062" spans="1:1">
      <c r="A1062" s="200" t="s">
        <v>1185</v>
      </c>
    </row>
    <row r="1063" spans="1:1">
      <c r="A1063" s="200" t="s">
        <v>1186</v>
      </c>
    </row>
    <row r="1064" spans="1:1">
      <c r="A1064" s="200" t="s">
        <v>1187</v>
      </c>
    </row>
    <row r="1065" spans="1:1">
      <c r="A1065" s="200" t="s">
        <v>1188</v>
      </c>
    </row>
    <row r="1066" spans="1:1">
      <c r="A1066" s="200" t="s">
        <v>1189</v>
      </c>
    </row>
    <row r="1067" spans="1:1">
      <c r="A1067" s="200" t="s">
        <v>1190</v>
      </c>
    </row>
    <row r="1068" spans="1:1">
      <c r="A1068" s="200" t="s">
        <v>1191</v>
      </c>
    </row>
    <row r="1069" spans="1:1">
      <c r="A1069" s="200" t="s">
        <v>1192</v>
      </c>
    </row>
    <row r="1070" spans="1:1">
      <c r="A1070" s="200" t="s">
        <v>1193</v>
      </c>
    </row>
    <row r="1071" spans="1:1">
      <c r="A1071" s="200" t="s">
        <v>1194</v>
      </c>
    </row>
    <row r="1072" spans="1:1">
      <c r="A1072" s="200" t="s">
        <v>1195</v>
      </c>
    </row>
    <row r="1073" spans="1:1">
      <c r="A1073" s="200" t="s">
        <v>1196</v>
      </c>
    </row>
    <row r="1074" spans="1:1">
      <c r="A1074" s="200" t="s">
        <v>1197</v>
      </c>
    </row>
    <row r="1075" spans="1:1">
      <c r="A1075" s="200" t="s">
        <v>1198</v>
      </c>
    </row>
    <row r="1076" spans="1:1">
      <c r="A1076" s="200" t="s">
        <v>1199</v>
      </c>
    </row>
    <row r="1077" spans="1:1">
      <c r="A1077" s="200" t="s">
        <v>1200</v>
      </c>
    </row>
    <row r="1078" spans="1:1">
      <c r="A1078" s="200" t="s">
        <v>1201</v>
      </c>
    </row>
    <row r="1079" spans="1:1">
      <c r="A1079" s="200" t="s">
        <v>1202</v>
      </c>
    </row>
    <row r="1080" spans="1:1">
      <c r="A1080" s="200" t="s">
        <v>1203</v>
      </c>
    </row>
    <row r="1081" spans="1:1">
      <c r="A1081" s="200" t="s">
        <v>1204</v>
      </c>
    </row>
    <row r="1082" spans="1:1">
      <c r="A1082" s="200" t="s">
        <v>1205</v>
      </c>
    </row>
    <row r="1083" spans="1:1">
      <c r="A1083" s="200" t="s">
        <v>1206</v>
      </c>
    </row>
    <row r="1084" spans="1:1">
      <c r="A1084" s="200" t="s">
        <v>1207</v>
      </c>
    </row>
    <row r="1085" spans="1:1">
      <c r="A1085" s="200" t="s">
        <v>1208</v>
      </c>
    </row>
    <row r="1086" spans="1:1">
      <c r="A1086" s="200" t="s">
        <v>1209</v>
      </c>
    </row>
    <row r="1087" spans="1:1">
      <c r="A1087" s="200" t="s">
        <v>1210</v>
      </c>
    </row>
    <row r="1088" spans="1:1">
      <c r="A1088" s="200" t="s">
        <v>1211</v>
      </c>
    </row>
    <row r="1089" spans="1:1">
      <c r="A1089" s="200" t="s">
        <v>1212</v>
      </c>
    </row>
    <row r="1090" spans="1:1">
      <c r="A1090" s="200" t="s">
        <v>1213</v>
      </c>
    </row>
    <row r="1091" spans="1:1">
      <c r="A1091" s="200" t="s">
        <v>1214</v>
      </c>
    </row>
    <row r="1092" spans="1:1">
      <c r="A1092" s="200" t="s">
        <v>1215</v>
      </c>
    </row>
    <row r="1093" spans="1:1">
      <c r="A1093" s="200" t="s">
        <v>1216</v>
      </c>
    </row>
    <row r="1094" spans="1:1">
      <c r="A1094" s="200" t="s">
        <v>1217</v>
      </c>
    </row>
    <row r="1095" spans="1:1">
      <c r="A1095" s="200" t="s">
        <v>1218</v>
      </c>
    </row>
    <row r="1096" spans="1:1">
      <c r="A1096" s="200" t="s">
        <v>1219</v>
      </c>
    </row>
    <row r="1097" spans="1:1">
      <c r="A1097" s="200" t="s">
        <v>1220</v>
      </c>
    </row>
    <row r="1098" spans="1:1">
      <c r="A1098" s="200" t="s">
        <v>1221</v>
      </c>
    </row>
    <row r="1099" spans="1:1">
      <c r="A1099" s="200" t="s">
        <v>1222</v>
      </c>
    </row>
    <row r="1100" spans="1:1">
      <c r="A1100" s="200" t="s">
        <v>1223</v>
      </c>
    </row>
    <row r="1101" spans="1:1">
      <c r="A1101" s="200" t="s">
        <v>1224</v>
      </c>
    </row>
    <row r="1102" spans="1:1">
      <c r="A1102" s="200" t="s">
        <v>1225</v>
      </c>
    </row>
    <row r="1103" spans="1:1">
      <c r="A1103" s="200" t="s">
        <v>1226</v>
      </c>
    </row>
    <row r="1104" spans="1:1">
      <c r="A1104" s="200" t="s">
        <v>1227</v>
      </c>
    </row>
    <row r="1105" spans="1:1">
      <c r="A1105" s="200" t="s">
        <v>1228</v>
      </c>
    </row>
    <row r="1106" spans="1:1">
      <c r="A1106" s="200" t="s">
        <v>1229</v>
      </c>
    </row>
    <row r="1107" spans="1:1">
      <c r="A1107" s="200" t="s">
        <v>1230</v>
      </c>
    </row>
    <row r="1108" spans="1:1">
      <c r="A1108" s="200" t="s">
        <v>1231</v>
      </c>
    </row>
    <row r="1109" spans="1:1">
      <c r="A1109" s="200" t="s">
        <v>1232</v>
      </c>
    </row>
    <row r="1110" spans="1:1">
      <c r="A1110" s="200" t="s">
        <v>1233</v>
      </c>
    </row>
    <row r="1111" spans="1:1">
      <c r="A1111" s="200" t="s">
        <v>1234</v>
      </c>
    </row>
    <row r="1112" spans="1:1">
      <c r="A1112" s="200" t="s">
        <v>1235</v>
      </c>
    </row>
    <row r="1113" spans="1:1">
      <c r="A1113" s="200" t="s">
        <v>1236</v>
      </c>
    </row>
    <row r="1114" spans="1:1">
      <c r="A1114" s="200" t="s">
        <v>1237</v>
      </c>
    </row>
    <row r="1115" spans="1:1">
      <c r="A1115" s="200" t="s">
        <v>1238</v>
      </c>
    </row>
    <row r="1116" spans="1:1">
      <c r="A1116" s="200" t="s">
        <v>1239</v>
      </c>
    </row>
    <row r="1117" spans="1:1">
      <c r="A1117" s="200" t="s">
        <v>1240</v>
      </c>
    </row>
    <row r="1118" spans="1:1">
      <c r="A1118" s="200" t="s">
        <v>1241</v>
      </c>
    </row>
    <row r="1119" spans="1:1">
      <c r="A1119" s="200" t="s">
        <v>1242</v>
      </c>
    </row>
    <row r="1120" spans="1:1">
      <c r="A1120" s="200" t="s">
        <v>1243</v>
      </c>
    </row>
    <row r="1121" spans="1:1">
      <c r="A1121" s="200" t="s">
        <v>1244</v>
      </c>
    </row>
    <row r="1122" spans="1:1">
      <c r="A1122" s="200" t="s">
        <v>1245</v>
      </c>
    </row>
    <row r="1123" spans="1:1">
      <c r="A1123" s="200" t="s">
        <v>1246</v>
      </c>
    </row>
    <row r="1124" spans="1:1">
      <c r="A1124" s="200" t="s">
        <v>1247</v>
      </c>
    </row>
    <row r="1125" spans="1:1">
      <c r="A1125" s="200" t="s">
        <v>1248</v>
      </c>
    </row>
    <row r="1126" spans="1:1">
      <c r="A1126" s="200" t="s">
        <v>1249</v>
      </c>
    </row>
    <row r="1127" spans="1:1">
      <c r="A1127" s="200" t="s">
        <v>1250</v>
      </c>
    </row>
    <row r="1128" spans="1:1">
      <c r="A1128" s="200" t="s">
        <v>1251</v>
      </c>
    </row>
    <row r="1129" spans="1:1">
      <c r="A1129" s="200" t="s">
        <v>1252</v>
      </c>
    </row>
    <row r="1130" spans="1:1">
      <c r="A1130" s="200" t="s">
        <v>1253</v>
      </c>
    </row>
    <row r="1131" spans="1:1">
      <c r="A1131" s="200" t="s">
        <v>1254</v>
      </c>
    </row>
    <row r="1132" spans="1:1">
      <c r="A1132" s="200" t="s">
        <v>1255</v>
      </c>
    </row>
    <row r="1133" spans="1:1">
      <c r="A1133" s="200" t="s">
        <v>1256</v>
      </c>
    </row>
    <row r="1134" spans="1:1">
      <c r="A1134" s="200" t="s">
        <v>1257</v>
      </c>
    </row>
    <row r="1135" spans="1:1">
      <c r="A1135" s="200" t="s">
        <v>1258</v>
      </c>
    </row>
    <row r="1136" spans="1:1">
      <c r="A1136" s="200" t="s">
        <v>1259</v>
      </c>
    </row>
    <row r="1137" spans="1:1">
      <c r="A1137" s="200" t="s">
        <v>1260</v>
      </c>
    </row>
    <row r="1138" spans="1:1">
      <c r="A1138" s="200" t="s">
        <v>1261</v>
      </c>
    </row>
    <row r="1139" spans="1:1">
      <c r="A1139" s="200" t="s">
        <v>1262</v>
      </c>
    </row>
    <row r="1140" spans="1:1">
      <c r="A1140" s="200" t="s">
        <v>1263</v>
      </c>
    </row>
    <row r="1141" spans="1:1">
      <c r="A1141" s="200" t="s">
        <v>1264</v>
      </c>
    </row>
    <row r="1142" spans="1:1">
      <c r="A1142" s="200" t="s">
        <v>1265</v>
      </c>
    </row>
    <row r="1143" spans="1:1">
      <c r="A1143" s="200" t="s">
        <v>1266</v>
      </c>
    </row>
    <row r="1144" spans="1:1">
      <c r="A1144" s="200" t="s">
        <v>1267</v>
      </c>
    </row>
    <row r="1145" spans="1:1">
      <c r="A1145" s="200" t="s">
        <v>1268</v>
      </c>
    </row>
    <row r="1146" spans="1:1">
      <c r="A1146" s="200" t="s">
        <v>1269</v>
      </c>
    </row>
    <row r="1147" spans="1:1">
      <c r="A1147" s="200" t="s">
        <v>1270</v>
      </c>
    </row>
    <row r="1148" spans="1:1">
      <c r="A1148" s="200" t="s">
        <v>1271</v>
      </c>
    </row>
    <row r="1149" spans="1:1">
      <c r="A1149" s="200" t="s">
        <v>1272</v>
      </c>
    </row>
    <row r="1150" spans="1:1">
      <c r="A1150" s="200" t="s">
        <v>1273</v>
      </c>
    </row>
    <row r="1151" spans="1:1">
      <c r="A1151" s="200" t="s">
        <v>1274</v>
      </c>
    </row>
    <row r="1152" spans="1:1">
      <c r="A1152" s="200" t="s">
        <v>1275</v>
      </c>
    </row>
    <row r="1153" spans="1:1">
      <c r="A1153" s="200" t="s">
        <v>1276</v>
      </c>
    </row>
    <row r="1154" spans="1:1">
      <c r="A1154" s="200" t="s">
        <v>1277</v>
      </c>
    </row>
    <row r="1155" spans="1:1">
      <c r="A1155" s="200" t="s">
        <v>1278</v>
      </c>
    </row>
    <row r="1156" spans="1:1">
      <c r="A1156" s="200" t="s">
        <v>1279</v>
      </c>
    </row>
    <row r="1157" spans="1:1">
      <c r="A1157" s="200" t="s">
        <v>1280</v>
      </c>
    </row>
    <row r="1158" spans="1:1">
      <c r="A1158" s="200" t="s">
        <v>1281</v>
      </c>
    </row>
    <row r="1159" spans="1:1">
      <c r="A1159" s="200" t="s">
        <v>1282</v>
      </c>
    </row>
    <row r="1160" spans="1:1">
      <c r="A1160" s="200" t="s">
        <v>1283</v>
      </c>
    </row>
    <row r="1161" spans="1:1">
      <c r="A1161" s="200" t="s">
        <v>1284</v>
      </c>
    </row>
    <row r="1162" spans="1:1">
      <c r="A1162" s="200" t="s">
        <v>1285</v>
      </c>
    </row>
    <row r="1163" spans="1:1">
      <c r="A1163" s="200" t="s">
        <v>1286</v>
      </c>
    </row>
    <row r="1164" spans="1:1">
      <c r="A1164" s="200" t="s">
        <v>1287</v>
      </c>
    </row>
    <row r="1165" spans="1:1">
      <c r="A1165" s="200" t="s">
        <v>1288</v>
      </c>
    </row>
    <row r="1166" spans="1:1">
      <c r="A1166" s="200" t="s">
        <v>1289</v>
      </c>
    </row>
    <row r="1167" spans="1:1">
      <c r="A1167" s="200" t="s">
        <v>1290</v>
      </c>
    </row>
    <row r="1168" spans="1:1">
      <c r="A1168" s="200" t="s">
        <v>1291</v>
      </c>
    </row>
    <row r="1169" spans="1:1">
      <c r="A1169" s="200" t="s">
        <v>1292</v>
      </c>
    </row>
    <row r="1170" spans="1:1">
      <c r="A1170" s="200" t="s">
        <v>1293</v>
      </c>
    </row>
    <row r="1171" spans="1:1">
      <c r="A1171" s="200" t="s">
        <v>1294</v>
      </c>
    </row>
    <row r="1172" spans="1:1">
      <c r="A1172" s="200" t="s">
        <v>1295</v>
      </c>
    </row>
    <row r="1173" spans="1:1">
      <c r="A1173" s="200" t="s">
        <v>1296</v>
      </c>
    </row>
    <row r="1174" spans="1:1">
      <c r="A1174" s="200" t="s">
        <v>1297</v>
      </c>
    </row>
    <row r="1175" spans="1:1">
      <c r="A1175" s="200" t="s">
        <v>1298</v>
      </c>
    </row>
    <row r="1176" spans="1:1">
      <c r="A1176" s="200" t="s">
        <v>1299</v>
      </c>
    </row>
    <row r="1177" spans="1:1">
      <c r="A1177" s="200" t="s">
        <v>1300</v>
      </c>
    </row>
    <row r="1178" spans="1:1">
      <c r="A1178" s="200" t="s">
        <v>1301</v>
      </c>
    </row>
    <row r="1179" spans="1:1">
      <c r="A1179" s="200" t="s">
        <v>1302</v>
      </c>
    </row>
    <row r="1180" spans="1:1">
      <c r="A1180" s="200" t="s">
        <v>1303</v>
      </c>
    </row>
    <row r="1181" spans="1:1">
      <c r="A1181" s="200" t="s">
        <v>1304</v>
      </c>
    </row>
    <row r="1182" spans="1:1">
      <c r="A1182" s="200" t="s">
        <v>1305</v>
      </c>
    </row>
    <row r="1183" spans="1:1">
      <c r="A1183" s="200" t="s">
        <v>1306</v>
      </c>
    </row>
    <row r="1184" spans="1:1">
      <c r="A1184" s="200" t="s">
        <v>1307</v>
      </c>
    </row>
    <row r="1185" spans="1:1">
      <c r="A1185" s="200" t="s">
        <v>1308</v>
      </c>
    </row>
    <row r="1186" spans="1:1">
      <c r="A1186" s="200" t="s">
        <v>1309</v>
      </c>
    </row>
    <row r="1187" spans="1:1">
      <c r="A1187" s="200" t="s">
        <v>1310</v>
      </c>
    </row>
    <row r="1188" spans="1:1">
      <c r="A1188" s="200" t="s">
        <v>1311</v>
      </c>
    </row>
    <row r="1189" spans="1:1">
      <c r="A1189" s="200" t="s">
        <v>123</v>
      </c>
    </row>
    <row r="1190" spans="1:1">
      <c r="A1190" s="200" t="s">
        <v>96</v>
      </c>
    </row>
    <row r="1191" spans="1:1">
      <c r="A1191" s="200" t="s">
        <v>1312</v>
      </c>
    </row>
    <row r="1192" spans="1:1">
      <c r="A1192" s="200" t="s">
        <v>1313</v>
      </c>
    </row>
    <row r="1193" spans="1:1">
      <c r="A1193" s="200" t="s">
        <v>1314</v>
      </c>
    </row>
    <row r="1194" spans="1:1">
      <c r="A1194" s="200" t="s">
        <v>1315</v>
      </c>
    </row>
    <row r="1195" spans="1:1">
      <c r="A1195" s="200" t="s">
        <v>1316</v>
      </c>
    </row>
    <row r="1196" spans="1:1">
      <c r="A1196" s="200" t="s">
        <v>1317</v>
      </c>
    </row>
    <row r="1197" spans="1:1">
      <c r="A1197" s="200" t="s">
        <v>1318</v>
      </c>
    </row>
    <row r="1198" spans="1:1">
      <c r="A1198" s="200" t="s">
        <v>1319</v>
      </c>
    </row>
    <row r="1199" spans="1:1">
      <c r="A1199" s="200" t="s">
        <v>1320</v>
      </c>
    </row>
    <row r="1200" spans="1:1">
      <c r="A1200" s="200" t="s">
        <v>1321</v>
      </c>
    </row>
    <row r="1201" spans="1:1">
      <c r="A1201" s="200" t="s">
        <v>113</v>
      </c>
    </row>
    <row r="1202" spans="1:1">
      <c r="A1202" s="200" t="s">
        <v>1322</v>
      </c>
    </row>
    <row r="1203" spans="1:1">
      <c r="A1203" s="200" t="s">
        <v>1323</v>
      </c>
    </row>
    <row r="1204" spans="1:1">
      <c r="A1204" s="200" t="s">
        <v>1324</v>
      </c>
    </row>
    <row r="1205" spans="1:1">
      <c r="A1205" s="200" t="s">
        <v>1325</v>
      </c>
    </row>
    <row r="1206" spans="1:1">
      <c r="A1206" s="200" t="s">
        <v>1326</v>
      </c>
    </row>
    <row r="1207" spans="1:1">
      <c r="A1207" s="200" t="s">
        <v>1327</v>
      </c>
    </row>
    <row r="1208" spans="1:1">
      <c r="A1208" s="200" t="s">
        <v>97</v>
      </c>
    </row>
    <row r="1209" spans="1:1">
      <c r="A1209" s="200" t="s">
        <v>1328</v>
      </c>
    </row>
    <row r="1210" spans="1:1">
      <c r="A1210" s="200" t="s">
        <v>1329</v>
      </c>
    </row>
    <row r="1211" spans="1:1">
      <c r="A1211" s="200" t="s">
        <v>1330</v>
      </c>
    </row>
    <row r="1212" spans="1:1">
      <c r="A1212" s="200" t="s">
        <v>1331</v>
      </c>
    </row>
    <row r="1213" spans="1:1">
      <c r="A1213" s="200" t="s">
        <v>1332</v>
      </c>
    </row>
    <row r="1214" spans="1:1">
      <c r="A1214" s="200" t="s">
        <v>1333</v>
      </c>
    </row>
    <row r="1215" spans="1:1">
      <c r="A1215" s="200" t="s">
        <v>1334</v>
      </c>
    </row>
    <row r="1216" spans="1:1">
      <c r="A1216" s="200" t="s">
        <v>1335</v>
      </c>
    </row>
    <row r="1217" spans="1:1">
      <c r="A1217" s="200" t="s">
        <v>1336</v>
      </c>
    </row>
    <row r="1218" spans="1:1">
      <c r="A1218" s="200" t="s">
        <v>1337</v>
      </c>
    </row>
    <row r="1219" spans="1:1">
      <c r="A1219" s="200" t="s">
        <v>1338</v>
      </c>
    </row>
    <row r="1220" spans="1:1">
      <c r="A1220" s="200" t="s">
        <v>1339</v>
      </c>
    </row>
    <row r="1221" spans="1:1">
      <c r="A1221" s="200" t="s">
        <v>1340</v>
      </c>
    </row>
    <row r="1222" spans="1:1">
      <c r="A1222" s="200" t="s">
        <v>1341</v>
      </c>
    </row>
    <row r="1223" spans="1:1">
      <c r="A1223" s="200" t="s">
        <v>1342</v>
      </c>
    </row>
    <row r="1224" spans="1:1">
      <c r="A1224" s="200" t="s">
        <v>1343</v>
      </c>
    </row>
    <row r="1225" spans="1:1">
      <c r="A1225" s="200" t="s">
        <v>122</v>
      </c>
    </row>
    <row r="1226" spans="1:1">
      <c r="A1226" s="200" t="s">
        <v>1344</v>
      </c>
    </row>
    <row r="1227" spans="1:1">
      <c r="A1227" s="200" t="s">
        <v>1345</v>
      </c>
    </row>
    <row r="1228" spans="1:1">
      <c r="A1228" s="200" t="s">
        <v>1346</v>
      </c>
    </row>
    <row r="1229" spans="1:1">
      <c r="A1229" s="200" t="s">
        <v>1347</v>
      </c>
    </row>
    <row r="1230" spans="1:1">
      <c r="A1230" s="200" t="s">
        <v>1348</v>
      </c>
    </row>
    <row r="1231" spans="1:1">
      <c r="A1231" s="200" t="s">
        <v>1349</v>
      </c>
    </row>
    <row r="1232" spans="1:1">
      <c r="A1232" s="200" t="s">
        <v>1350</v>
      </c>
    </row>
    <row r="1233" spans="1:1">
      <c r="A1233" s="200" t="s">
        <v>1351</v>
      </c>
    </row>
    <row r="1234" spans="1:1">
      <c r="A1234" s="200" t="s">
        <v>1352</v>
      </c>
    </row>
    <row r="1235" spans="1:1">
      <c r="A1235" s="200" t="s">
        <v>1353</v>
      </c>
    </row>
    <row r="1236" spans="1:1">
      <c r="A1236" s="200" t="s">
        <v>1354</v>
      </c>
    </row>
    <row r="1237" spans="1:1">
      <c r="A1237" s="200" t="s">
        <v>1355</v>
      </c>
    </row>
    <row r="1238" spans="1:1">
      <c r="A1238" s="200" t="s">
        <v>1356</v>
      </c>
    </row>
    <row r="1239" spans="1:1">
      <c r="A1239" s="200" t="s">
        <v>1357</v>
      </c>
    </row>
    <row r="1240" spans="1:1">
      <c r="A1240" s="200" t="s">
        <v>1358</v>
      </c>
    </row>
    <row r="1241" spans="1:1">
      <c r="A1241" s="200" t="s">
        <v>1359</v>
      </c>
    </row>
    <row r="1242" spans="1:1">
      <c r="A1242" s="200" t="s">
        <v>1360</v>
      </c>
    </row>
    <row r="1243" spans="1:1">
      <c r="A1243" s="200" t="s">
        <v>1361</v>
      </c>
    </row>
    <row r="1244" spans="1:1">
      <c r="A1244" s="200" t="s">
        <v>1362</v>
      </c>
    </row>
    <row r="1245" spans="1:1">
      <c r="A1245" s="200" t="s">
        <v>1363</v>
      </c>
    </row>
    <row r="1246" spans="1:1">
      <c r="A1246" s="200" t="s">
        <v>1364</v>
      </c>
    </row>
    <row r="1247" spans="1:1">
      <c r="A1247" s="200" t="s">
        <v>1365</v>
      </c>
    </row>
    <row r="1248" spans="1:1">
      <c r="A1248" s="200" t="s">
        <v>1366</v>
      </c>
    </row>
    <row r="1249" spans="1:1">
      <c r="A1249" s="200" t="s">
        <v>1367</v>
      </c>
    </row>
    <row r="1250" spans="1:1">
      <c r="A1250" s="200" t="s">
        <v>1368</v>
      </c>
    </row>
    <row r="1251" spans="1:1">
      <c r="A1251" s="200" t="s">
        <v>1369</v>
      </c>
    </row>
    <row r="1252" spans="1:1">
      <c r="A1252" s="200" t="s">
        <v>1370</v>
      </c>
    </row>
    <row r="1253" spans="1:1">
      <c r="A1253" s="200" t="s">
        <v>1371</v>
      </c>
    </row>
    <row r="1254" spans="1:1">
      <c r="A1254" s="200" t="s">
        <v>1372</v>
      </c>
    </row>
    <row r="1255" spans="1:1">
      <c r="A1255" s="200" t="s">
        <v>1373</v>
      </c>
    </row>
    <row r="1256" spans="1:1">
      <c r="A1256" s="200" t="s">
        <v>1374</v>
      </c>
    </row>
    <row r="1257" spans="1:1">
      <c r="A1257" s="200" t="s">
        <v>1375</v>
      </c>
    </row>
    <row r="1258" spans="1:1">
      <c r="A1258" s="200" t="s">
        <v>1376</v>
      </c>
    </row>
    <row r="1259" spans="1:1">
      <c r="A1259" s="200" t="s">
        <v>1377</v>
      </c>
    </row>
    <row r="1260" spans="1:1">
      <c r="A1260" s="200" t="s">
        <v>1378</v>
      </c>
    </row>
    <row r="1261" spans="1:1">
      <c r="A1261" s="200" t="s">
        <v>1379</v>
      </c>
    </row>
    <row r="1262" spans="1:1">
      <c r="A1262" s="200" t="s">
        <v>1380</v>
      </c>
    </row>
    <row r="1263" spans="1:1">
      <c r="A1263" s="200" t="s">
        <v>1381</v>
      </c>
    </row>
    <row r="1264" spans="1:1">
      <c r="A1264" s="200" t="s">
        <v>1382</v>
      </c>
    </row>
    <row r="1265" spans="1:1">
      <c r="A1265" s="200" t="s">
        <v>1383</v>
      </c>
    </row>
    <row r="1266" spans="1:1">
      <c r="A1266" s="200" t="s">
        <v>1384</v>
      </c>
    </row>
    <row r="1267" spans="1:1">
      <c r="A1267" s="200" t="s">
        <v>1385</v>
      </c>
    </row>
    <row r="1268" spans="1:1">
      <c r="A1268" s="200" t="s">
        <v>1386</v>
      </c>
    </row>
    <row r="1269" spans="1:1">
      <c r="A1269" s="200" t="s">
        <v>1387</v>
      </c>
    </row>
    <row r="1270" spans="1:1">
      <c r="A1270" s="200" t="s">
        <v>1388</v>
      </c>
    </row>
    <row r="1271" spans="1:1">
      <c r="A1271" s="200" t="s">
        <v>1389</v>
      </c>
    </row>
    <row r="1272" spans="1:1">
      <c r="A1272" s="200" t="s">
        <v>1390</v>
      </c>
    </row>
    <row r="1273" spans="1:1">
      <c r="A1273" s="200" t="s">
        <v>1391</v>
      </c>
    </row>
    <row r="1274" spans="1:1">
      <c r="A1274" s="200" t="s">
        <v>1392</v>
      </c>
    </row>
    <row r="1275" spans="1:1">
      <c r="A1275" s="200" t="s">
        <v>1393</v>
      </c>
    </row>
    <row r="1276" spans="1:1">
      <c r="A1276" s="200" t="s">
        <v>1394</v>
      </c>
    </row>
    <row r="1277" spans="1:1">
      <c r="A1277" s="200" t="s">
        <v>1395</v>
      </c>
    </row>
    <row r="1278" spans="1:1">
      <c r="A1278" s="200" t="s">
        <v>1396</v>
      </c>
    </row>
    <row r="1279" spans="1:1">
      <c r="A1279" s="200" t="s">
        <v>1397</v>
      </c>
    </row>
    <row r="1280" spans="1:1">
      <c r="A1280" s="200" t="s">
        <v>1398</v>
      </c>
    </row>
    <row r="1281" spans="1:1">
      <c r="A1281" s="200" t="s">
        <v>1399</v>
      </c>
    </row>
    <row r="1282" spans="1:1">
      <c r="A1282" s="200" t="s">
        <v>1400</v>
      </c>
    </row>
    <row r="1283" spans="1:1">
      <c r="A1283" s="200" t="s">
        <v>1401</v>
      </c>
    </row>
    <row r="1284" spans="1:1">
      <c r="A1284" s="200" t="s">
        <v>1402</v>
      </c>
    </row>
    <row r="1285" spans="1:1">
      <c r="A1285" s="200" t="s">
        <v>1403</v>
      </c>
    </row>
    <row r="1286" spans="1:1">
      <c r="A1286" s="200" t="s">
        <v>1404</v>
      </c>
    </row>
    <row r="1287" spans="1:1">
      <c r="A1287" s="200" t="s">
        <v>1405</v>
      </c>
    </row>
    <row r="1288" spans="1:1">
      <c r="A1288" s="200" t="s">
        <v>1406</v>
      </c>
    </row>
    <row r="1289" spans="1:1">
      <c r="A1289" s="200" t="s">
        <v>1407</v>
      </c>
    </row>
    <row r="1290" spans="1:1">
      <c r="A1290" s="200" t="s">
        <v>1408</v>
      </c>
    </row>
    <row r="1291" spans="1:1">
      <c r="A1291" s="200" t="s">
        <v>1409</v>
      </c>
    </row>
    <row r="1292" spans="1:1">
      <c r="A1292" s="200" t="s">
        <v>1410</v>
      </c>
    </row>
    <row r="1293" spans="1:1">
      <c r="A1293" s="200" t="s">
        <v>1411</v>
      </c>
    </row>
    <row r="1294" spans="1:1">
      <c r="A1294" s="200" t="s">
        <v>1412</v>
      </c>
    </row>
    <row r="1295" spans="1:1">
      <c r="A1295" s="200" t="s">
        <v>1413</v>
      </c>
    </row>
    <row r="1296" spans="1:1">
      <c r="A1296" s="200" t="s">
        <v>1414</v>
      </c>
    </row>
    <row r="1297" spans="1:1">
      <c r="A1297" s="200" t="s">
        <v>1415</v>
      </c>
    </row>
    <row r="1298" spans="1:1">
      <c r="A1298" s="200" t="s">
        <v>1416</v>
      </c>
    </row>
    <row r="1299" spans="1:1">
      <c r="A1299" s="200" t="s">
        <v>1417</v>
      </c>
    </row>
    <row r="1300" spans="1:1">
      <c r="A1300" s="200" t="s">
        <v>1418</v>
      </c>
    </row>
    <row r="1301" spans="1:1">
      <c r="A1301" s="200" t="s">
        <v>1419</v>
      </c>
    </row>
    <row r="1302" spans="1:1">
      <c r="A1302" s="200" t="s">
        <v>1420</v>
      </c>
    </row>
    <row r="1303" spans="1:1">
      <c r="A1303" s="200" t="s">
        <v>1421</v>
      </c>
    </row>
    <row r="1304" spans="1:1">
      <c r="A1304" s="200" t="s">
        <v>1422</v>
      </c>
    </row>
    <row r="1305" spans="1:1">
      <c r="A1305" s="200" t="s">
        <v>1423</v>
      </c>
    </row>
    <row r="1306" spans="1:1">
      <c r="A1306" s="200" t="s">
        <v>1424</v>
      </c>
    </row>
    <row r="1307" spans="1:1">
      <c r="A1307" s="200" t="s">
        <v>1425</v>
      </c>
    </row>
    <row r="1308" spans="1:1">
      <c r="A1308" s="200" t="s">
        <v>1426</v>
      </c>
    </row>
    <row r="1309" spans="1:1">
      <c r="A1309" s="200" t="s">
        <v>1427</v>
      </c>
    </row>
    <row r="1310" spans="1:1">
      <c r="A1310" s="200" t="s">
        <v>1428</v>
      </c>
    </row>
    <row r="1311" spans="1:1">
      <c r="A1311" s="200" t="s">
        <v>1429</v>
      </c>
    </row>
    <row r="1312" spans="1:1">
      <c r="A1312" s="200" t="s">
        <v>1430</v>
      </c>
    </row>
    <row r="1313" spans="1:1">
      <c r="A1313" s="200" t="s">
        <v>1431</v>
      </c>
    </row>
    <row r="1314" spans="1:1">
      <c r="A1314" s="200" t="s">
        <v>1432</v>
      </c>
    </row>
    <row r="1315" spans="1:1">
      <c r="A1315" s="200" t="s">
        <v>1433</v>
      </c>
    </row>
    <row r="1316" spans="1:1">
      <c r="A1316" s="200" t="s">
        <v>1434</v>
      </c>
    </row>
    <row r="1317" spans="1:1">
      <c r="A1317" s="200" t="s">
        <v>1435</v>
      </c>
    </row>
    <row r="1318" spans="1:1">
      <c r="A1318" s="200" t="s">
        <v>1436</v>
      </c>
    </row>
    <row r="1319" spans="1:1">
      <c r="A1319" s="200" t="s">
        <v>1437</v>
      </c>
    </row>
    <row r="1320" spans="1:1">
      <c r="A1320" s="200" t="s">
        <v>1438</v>
      </c>
    </row>
    <row r="1321" spans="1:1">
      <c r="A1321" s="200" t="s">
        <v>1439</v>
      </c>
    </row>
    <row r="1322" spans="1:1">
      <c r="A1322" s="200" t="s">
        <v>1440</v>
      </c>
    </row>
    <row r="1323" spans="1:1">
      <c r="A1323" s="200" t="s">
        <v>1441</v>
      </c>
    </row>
    <row r="1324" spans="1:1">
      <c r="A1324" s="200" t="s">
        <v>1442</v>
      </c>
    </row>
    <row r="1325" spans="1:1">
      <c r="A1325" s="200" t="s">
        <v>1443</v>
      </c>
    </row>
    <row r="1326" spans="1:1">
      <c r="A1326" s="200" t="s">
        <v>1444</v>
      </c>
    </row>
    <row r="1327" spans="1:1">
      <c r="A1327" s="200" t="s">
        <v>1445</v>
      </c>
    </row>
    <row r="1328" spans="1:1">
      <c r="A1328" s="200" t="s">
        <v>1446</v>
      </c>
    </row>
    <row r="1329" spans="1:1">
      <c r="A1329" s="200" t="s">
        <v>1447</v>
      </c>
    </row>
    <row r="1330" spans="1:1">
      <c r="A1330" s="200" t="s">
        <v>1448</v>
      </c>
    </row>
    <row r="1331" spans="1:1">
      <c r="A1331" s="200" t="s">
        <v>1449</v>
      </c>
    </row>
    <row r="1332" spans="1:1">
      <c r="A1332" s="200" t="s">
        <v>1450</v>
      </c>
    </row>
    <row r="1333" spans="1:1">
      <c r="A1333" s="200" t="s">
        <v>1451</v>
      </c>
    </row>
    <row r="1334" spans="1:1">
      <c r="A1334" s="200" t="s">
        <v>1452</v>
      </c>
    </row>
    <row r="1335" spans="1:1">
      <c r="A1335" s="200" t="s">
        <v>1453</v>
      </c>
    </row>
    <row r="1336" spans="1:1">
      <c r="A1336" s="200" t="s">
        <v>1454</v>
      </c>
    </row>
    <row r="1337" spans="1:1">
      <c r="A1337" s="200" t="s">
        <v>1455</v>
      </c>
    </row>
    <row r="1338" spans="1:1">
      <c r="A1338" s="200" t="s">
        <v>1456</v>
      </c>
    </row>
    <row r="1339" spans="1:1">
      <c r="A1339" s="200" t="s">
        <v>1457</v>
      </c>
    </row>
    <row r="1340" spans="1:1">
      <c r="A1340" s="200" t="s">
        <v>1458</v>
      </c>
    </row>
    <row r="1341" spans="1:1">
      <c r="A1341" s="200" t="s">
        <v>1459</v>
      </c>
    </row>
    <row r="1342" spans="1:1">
      <c r="A1342" s="200" t="s">
        <v>1460</v>
      </c>
    </row>
    <row r="1343" spans="1:1">
      <c r="A1343" s="200" t="s">
        <v>1461</v>
      </c>
    </row>
    <row r="1344" spans="1:1">
      <c r="A1344" s="200" t="s">
        <v>1462</v>
      </c>
    </row>
    <row r="1345" spans="1:1">
      <c r="A1345" s="200" t="s">
        <v>1463</v>
      </c>
    </row>
    <row r="1346" spans="1:1">
      <c r="A1346" s="200" t="s">
        <v>1464</v>
      </c>
    </row>
    <row r="1347" spans="1:1">
      <c r="A1347" s="200" t="s">
        <v>1465</v>
      </c>
    </row>
    <row r="1348" spans="1:1">
      <c r="A1348" s="200" t="s">
        <v>1466</v>
      </c>
    </row>
    <row r="1349" spans="1:1">
      <c r="A1349" s="200" t="s">
        <v>1467</v>
      </c>
    </row>
    <row r="1350" spans="1:1">
      <c r="A1350" s="200" t="s">
        <v>1468</v>
      </c>
    </row>
    <row r="1351" spans="1:1">
      <c r="A1351" s="200" t="s">
        <v>1469</v>
      </c>
    </row>
    <row r="1352" spans="1:1">
      <c r="A1352" s="200" t="s">
        <v>1470</v>
      </c>
    </row>
    <row r="1353" spans="1:1">
      <c r="A1353" s="200" t="s">
        <v>1471</v>
      </c>
    </row>
    <row r="1354" spans="1:1">
      <c r="A1354" s="200" t="s">
        <v>1472</v>
      </c>
    </row>
    <row r="1355" spans="1:1">
      <c r="A1355" s="200" t="s">
        <v>1473</v>
      </c>
    </row>
    <row r="1356" spans="1:1">
      <c r="A1356" s="200" t="s">
        <v>1474</v>
      </c>
    </row>
    <row r="1357" spans="1:1">
      <c r="A1357" s="200" t="s">
        <v>1475</v>
      </c>
    </row>
    <row r="1358" spans="1:1">
      <c r="A1358" s="200" t="s">
        <v>1476</v>
      </c>
    </row>
    <row r="1359" spans="1:1">
      <c r="A1359" s="200" t="s">
        <v>1477</v>
      </c>
    </row>
    <row r="1360" spans="1:1">
      <c r="A1360" s="200" t="s">
        <v>1478</v>
      </c>
    </row>
    <row r="1361" spans="1:1">
      <c r="A1361" s="200" t="s">
        <v>1479</v>
      </c>
    </row>
    <row r="1362" spans="1:1">
      <c r="A1362" s="200" t="s">
        <v>1480</v>
      </c>
    </row>
    <row r="1363" spans="1:1">
      <c r="A1363" s="200" t="s">
        <v>1481</v>
      </c>
    </row>
    <row r="1364" spans="1:1">
      <c r="A1364" s="200" t="s">
        <v>1482</v>
      </c>
    </row>
    <row r="1365" spans="1:1">
      <c r="A1365" s="200" t="s">
        <v>1483</v>
      </c>
    </row>
    <row r="1366" spans="1:1">
      <c r="A1366" s="200" t="s">
        <v>1484</v>
      </c>
    </row>
    <row r="1367" spans="1:1">
      <c r="A1367" s="200" t="s">
        <v>1485</v>
      </c>
    </row>
    <row r="1368" spans="1:1">
      <c r="A1368" s="200" t="s">
        <v>1486</v>
      </c>
    </row>
    <row r="1369" spans="1:1">
      <c r="A1369" s="200" t="s">
        <v>1487</v>
      </c>
    </row>
    <row r="1370" spans="1:1">
      <c r="A1370" s="200" t="s">
        <v>1488</v>
      </c>
    </row>
    <row r="1371" spans="1:1">
      <c r="A1371" s="200" t="s">
        <v>1489</v>
      </c>
    </row>
    <row r="1372" spans="1:1">
      <c r="A1372" s="200" t="s">
        <v>1490</v>
      </c>
    </row>
    <row r="1373" spans="1:1">
      <c r="A1373" s="200" t="s">
        <v>98</v>
      </c>
    </row>
    <row r="1374" spans="1:1">
      <c r="A1374" s="200" t="s">
        <v>1491</v>
      </c>
    </row>
    <row r="1375" spans="1:1">
      <c r="A1375" s="200" t="s">
        <v>1492</v>
      </c>
    </row>
    <row r="1376" spans="1:1">
      <c r="A1376" s="200" t="s">
        <v>1493</v>
      </c>
    </row>
    <row r="1377" spans="1:1">
      <c r="A1377" s="200" t="s">
        <v>1494</v>
      </c>
    </row>
    <row r="1378" spans="1:1">
      <c r="A1378" s="200" t="s">
        <v>1495</v>
      </c>
    </row>
    <row r="1379" spans="1:1">
      <c r="A1379" s="200" t="s">
        <v>1496</v>
      </c>
    </row>
    <row r="1380" spans="1:1">
      <c r="A1380" s="200" t="s">
        <v>1497</v>
      </c>
    </row>
    <row r="1381" spans="1:1">
      <c r="A1381" s="200" t="s">
        <v>1498</v>
      </c>
    </row>
    <row r="1382" spans="1:1">
      <c r="A1382" s="200" t="s">
        <v>1499</v>
      </c>
    </row>
    <row r="1383" spans="1:1">
      <c r="A1383" s="200" t="s">
        <v>141</v>
      </c>
    </row>
    <row r="1384" spans="1:1">
      <c r="A1384" s="200" t="s">
        <v>1500</v>
      </c>
    </row>
    <row r="1385" spans="1:1">
      <c r="A1385" s="200" t="s">
        <v>1501</v>
      </c>
    </row>
    <row r="1386" spans="1:1">
      <c r="A1386" s="200" t="s">
        <v>1502</v>
      </c>
    </row>
    <row r="1387" spans="1:1">
      <c r="A1387" s="200" t="s">
        <v>1503</v>
      </c>
    </row>
    <row r="1388" spans="1:1">
      <c r="A1388" s="200" t="s">
        <v>1504</v>
      </c>
    </row>
    <row r="1389" spans="1:1">
      <c r="A1389" s="200" t="s">
        <v>1505</v>
      </c>
    </row>
    <row r="1390" spans="1:1">
      <c r="A1390" s="200" t="s">
        <v>1506</v>
      </c>
    </row>
    <row r="1391" spans="1:1">
      <c r="A1391" s="200" t="s">
        <v>1507</v>
      </c>
    </row>
    <row r="1392" spans="1:1">
      <c r="A1392" s="200" t="s">
        <v>1508</v>
      </c>
    </row>
    <row r="1393" spans="1:1">
      <c r="A1393" s="200" t="s">
        <v>1509</v>
      </c>
    </row>
    <row r="1394" spans="1:1">
      <c r="A1394" s="200" t="s">
        <v>1510</v>
      </c>
    </row>
    <row r="1395" spans="1:1">
      <c r="A1395" s="200" t="s">
        <v>1511</v>
      </c>
    </row>
    <row r="1396" spans="1:1">
      <c r="A1396" s="200" t="s">
        <v>1512</v>
      </c>
    </row>
    <row r="1397" spans="1:1">
      <c r="A1397" s="200" t="s">
        <v>1513</v>
      </c>
    </row>
    <row r="1398" spans="1:1">
      <c r="A1398" s="200" t="s">
        <v>1514</v>
      </c>
    </row>
    <row r="1399" spans="1:1">
      <c r="A1399" s="200" t="s">
        <v>1515</v>
      </c>
    </row>
    <row r="1400" spans="1:1">
      <c r="A1400" s="200" t="s">
        <v>1516</v>
      </c>
    </row>
    <row r="1401" spans="1:1">
      <c r="A1401" s="200" t="s">
        <v>131</v>
      </c>
    </row>
    <row r="1402" spans="1:1">
      <c r="A1402" s="200" t="s">
        <v>1517</v>
      </c>
    </row>
    <row r="1403" spans="1:1">
      <c r="A1403" s="200" t="s">
        <v>1518</v>
      </c>
    </row>
    <row r="1404" spans="1:1">
      <c r="A1404" s="200" t="s">
        <v>1519</v>
      </c>
    </row>
    <row r="1405" spans="1:1">
      <c r="A1405" s="200" t="s">
        <v>1520</v>
      </c>
    </row>
    <row r="1406" spans="1:1">
      <c r="A1406" s="200" t="s">
        <v>1521</v>
      </c>
    </row>
    <row r="1407" spans="1:1">
      <c r="A1407" s="200" t="s">
        <v>1522</v>
      </c>
    </row>
    <row r="1408" spans="1:1">
      <c r="A1408" s="200" t="s">
        <v>1523</v>
      </c>
    </row>
    <row r="1409" spans="1:1">
      <c r="A1409" s="200" t="s">
        <v>1524</v>
      </c>
    </row>
    <row r="1410" spans="1:1">
      <c r="A1410" s="200" t="s">
        <v>1525</v>
      </c>
    </row>
    <row r="1411" spans="1:1">
      <c r="A1411" s="200" t="s">
        <v>1526</v>
      </c>
    </row>
    <row r="1412" spans="1:1">
      <c r="A1412" s="200" t="s">
        <v>1527</v>
      </c>
    </row>
    <row r="1413" spans="1:1">
      <c r="A1413" s="200" t="s">
        <v>1528</v>
      </c>
    </row>
    <row r="1414" spans="1:1">
      <c r="A1414" s="200" t="s">
        <v>1529</v>
      </c>
    </row>
    <row r="1415" spans="1:1">
      <c r="A1415" s="200" t="s">
        <v>1530</v>
      </c>
    </row>
    <row r="1416" spans="1:1">
      <c r="A1416" s="200" t="s">
        <v>1531</v>
      </c>
    </row>
    <row r="1417" spans="1:1">
      <c r="A1417" s="200" t="s">
        <v>1532</v>
      </c>
    </row>
    <row r="1418" spans="1:1">
      <c r="A1418" s="200" t="s">
        <v>1533</v>
      </c>
    </row>
    <row r="1419" spans="1:1">
      <c r="A1419" s="200" t="s">
        <v>1534</v>
      </c>
    </row>
    <row r="1420" spans="1:1">
      <c r="A1420" s="200" t="s">
        <v>1535</v>
      </c>
    </row>
    <row r="1421" spans="1:1">
      <c r="A1421" s="200" t="s">
        <v>1536</v>
      </c>
    </row>
    <row r="1422" spans="1:1">
      <c r="A1422" s="200" t="s">
        <v>1537</v>
      </c>
    </row>
    <row r="1423" spans="1:1">
      <c r="A1423" s="200" t="s">
        <v>1538</v>
      </c>
    </row>
    <row r="1424" spans="1:1">
      <c r="A1424" s="200" t="s">
        <v>1539</v>
      </c>
    </row>
    <row r="1425" spans="1:1">
      <c r="A1425" s="200" t="s">
        <v>1540</v>
      </c>
    </row>
    <row r="1426" spans="1:1">
      <c r="A1426" s="200" t="s">
        <v>1541</v>
      </c>
    </row>
    <row r="1427" spans="1:1">
      <c r="A1427" s="200" t="s">
        <v>1542</v>
      </c>
    </row>
    <row r="1428" spans="1:1">
      <c r="A1428" s="200" t="s">
        <v>1543</v>
      </c>
    </row>
    <row r="1429" spans="1:1">
      <c r="A1429" s="200" t="s">
        <v>1544</v>
      </c>
    </row>
    <row r="1430" spans="1:1">
      <c r="A1430" s="200" t="s">
        <v>1545</v>
      </c>
    </row>
    <row r="1431" spans="1:1">
      <c r="A1431" s="200" t="s">
        <v>1546</v>
      </c>
    </row>
    <row r="1432" spans="1:1">
      <c r="A1432" s="200" t="s">
        <v>1547</v>
      </c>
    </row>
    <row r="1433" spans="1:1">
      <c r="A1433" s="200" t="s">
        <v>1548</v>
      </c>
    </row>
    <row r="1434" spans="1:1">
      <c r="A1434" s="200" t="s">
        <v>1549</v>
      </c>
    </row>
    <row r="1435" spans="1:1">
      <c r="A1435" s="200" t="s">
        <v>1550</v>
      </c>
    </row>
    <row r="1436" spans="1:1">
      <c r="A1436" s="200" t="s">
        <v>1551</v>
      </c>
    </row>
    <row r="1437" spans="1:1">
      <c r="A1437" s="200" t="s">
        <v>1552</v>
      </c>
    </row>
    <row r="1438" spans="1:1">
      <c r="A1438" s="200" t="s">
        <v>1553</v>
      </c>
    </row>
    <row r="1439" spans="1:1">
      <c r="A1439" s="200" t="s">
        <v>1554</v>
      </c>
    </row>
    <row r="1440" spans="1:1">
      <c r="A1440" s="200" t="s">
        <v>1555</v>
      </c>
    </row>
    <row r="1441" spans="1:1">
      <c r="A1441" s="200" t="s">
        <v>1556</v>
      </c>
    </row>
    <row r="1442" spans="1:1">
      <c r="A1442" s="200" t="s">
        <v>1557</v>
      </c>
    </row>
    <row r="1443" spans="1:1">
      <c r="A1443" s="200" t="s">
        <v>1558</v>
      </c>
    </row>
    <row r="1444" spans="1:1">
      <c r="A1444" s="200" t="s">
        <v>1559</v>
      </c>
    </row>
    <row r="1445" spans="1:1">
      <c r="A1445" s="200" t="s">
        <v>1560</v>
      </c>
    </row>
    <row r="1446" spans="1:1">
      <c r="A1446" s="200" t="s">
        <v>1561</v>
      </c>
    </row>
    <row r="1447" spans="1:1">
      <c r="A1447" s="200" t="s">
        <v>1562</v>
      </c>
    </row>
    <row r="1448" spans="1:1">
      <c r="A1448" s="200" t="s">
        <v>1563</v>
      </c>
    </row>
    <row r="1449" spans="1:1">
      <c r="A1449" s="200" t="s">
        <v>1564</v>
      </c>
    </row>
    <row r="1450" spans="1:1">
      <c r="A1450" s="200" t="s">
        <v>1565</v>
      </c>
    </row>
    <row r="1451" spans="1:1">
      <c r="A1451" s="200" t="s">
        <v>1566</v>
      </c>
    </row>
    <row r="1452" spans="1:1">
      <c r="A1452" s="200" t="s">
        <v>1567</v>
      </c>
    </row>
    <row r="1453" spans="1:1">
      <c r="A1453" s="200" t="s">
        <v>1568</v>
      </c>
    </row>
    <row r="1454" spans="1:1">
      <c r="A1454" s="200" t="s">
        <v>1569</v>
      </c>
    </row>
    <row r="1455" spans="1:1">
      <c r="A1455" s="200" t="s">
        <v>1570</v>
      </c>
    </row>
    <row r="1456" spans="1:1">
      <c r="A1456" s="200" t="s">
        <v>1571</v>
      </c>
    </row>
    <row r="1457" spans="1:1">
      <c r="A1457" s="200" t="s">
        <v>1572</v>
      </c>
    </row>
    <row r="1458" spans="1:1">
      <c r="A1458" s="200" t="s">
        <v>1573</v>
      </c>
    </row>
    <row r="1459" spans="1:1">
      <c r="A1459" s="200" t="s">
        <v>1574</v>
      </c>
    </row>
    <row r="1460" spans="1:1">
      <c r="A1460" s="200" t="s">
        <v>1575</v>
      </c>
    </row>
    <row r="1461" spans="1:1">
      <c r="A1461" s="200" t="s">
        <v>1576</v>
      </c>
    </row>
    <row r="1462" spans="1:1">
      <c r="A1462" s="200" t="s">
        <v>1577</v>
      </c>
    </row>
    <row r="1463" spans="1:1">
      <c r="A1463" s="200" t="s">
        <v>1578</v>
      </c>
    </row>
    <row r="1464" spans="1:1">
      <c r="A1464" s="200" t="s">
        <v>1579</v>
      </c>
    </row>
    <row r="1465" spans="1:1">
      <c r="A1465" s="200" t="s">
        <v>1580</v>
      </c>
    </row>
    <row r="1466" spans="1:1">
      <c r="A1466" s="200" t="s">
        <v>1581</v>
      </c>
    </row>
    <row r="1467" spans="1:1">
      <c r="A1467" s="200" t="s">
        <v>1582</v>
      </c>
    </row>
    <row r="1468" spans="1:1">
      <c r="A1468" s="200" t="s">
        <v>1583</v>
      </c>
    </row>
    <row r="1469" spans="1:1">
      <c r="A1469" s="200" t="s">
        <v>1584</v>
      </c>
    </row>
    <row r="1470" spans="1:1">
      <c r="A1470" s="200" t="s">
        <v>1585</v>
      </c>
    </row>
    <row r="1471" spans="1:1">
      <c r="A1471" s="200" t="s">
        <v>1586</v>
      </c>
    </row>
    <row r="1472" spans="1:1">
      <c r="A1472" s="200" t="s">
        <v>1587</v>
      </c>
    </row>
    <row r="1473" spans="1:1">
      <c r="A1473" s="200" t="s">
        <v>1588</v>
      </c>
    </row>
    <row r="1474" spans="1:1">
      <c r="A1474" s="200" t="s">
        <v>1589</v>
      </c>
    </row>
    <row r="1475" spans="1:1">
      <c r="A1475" s="200" t="s">
        <v>1590</v>
      </c>
    </row>
    <row r="1476" spans="1:1">
      <c r="A1476" s="200" t="s">
        <v>1591</v>
      </c>
    </row>
    <row r="1477" spans="1:1">
      <c r="A1477" s="200" t="s">
        <v>1592</v>
      </c>
    </row>
    <row r="1478" spans="1:1">
      <c r="A1478" s="200" t="s">
        <v>1593</v>
      </c>
    </row>
    <row r="1479" spans="1:1">
      <c r="A1479" s="200" t="s">
        <v>1594</v>
      </c>
    </row>
    <row r="1480" spans="1:1">
      <c r="A1480" s="200" t="s">
        <v>1595</v>
      </c>
    </row>
    <row r="1481" spans="1:1">
      <c r="A1481" s="200" t="s">
        <v>1596</v>
      </c>
    </row>
    <row r="1482" spans="1:1">
      <c r="A1482" s="200" t="s">
        <v>1597</v>
      </c>
    </row>
    <row r="1483" spans="1:1">
      <c r="A1483" s="200" t="s">
        <v>147</v>
      </c>
    </row>
    <row r="1484" spans="1:1">
      <c r="A1484" s="200" t="s">
        <v>1598</v>
      </c>
    </row>
    <row r="1485" spans="1:1">
      <c r="A1485" s="200" t="s">
        <v>1599</v>
      </c>
    </row>
    <row r="1486" spans="1:1">
      <c r="A1486" s="200" t="s">
        <v>1600</v>
      </c>
    </row>
    <row r="1487" spans="1:1">
      <c r="A1487" s="200" t="s">
        <v>1601</v>
      </c>
    </row>
    <row r="1488" spans="1:1">
      <c r="A1488" s="200" t="s">
        <v>1602</v>
      </c>
    </row>
    <row r="1489" spans="1:1">
      <c r="A1489" s="200" t="s">
        <v>1603</v>
      </c>
    </row>
    <row r="1490" spans="1:1">
      <c r="A1490" s="200" t="s">
        <v>1604</v>
      </c>
    </row>
    <row r="1491" spans="1:1">
      <c r="A1491" s="200" t="s">
        <v>1605</v>
      </c>
    </row>
    <row r="1492" spans="1:1">
      <c r="A1492" s="200" t="s">
        <v>1606</v>
      </c>
    </row>
    <row r="1493" spans="1:1">
      <c r="A1493" s="200" t="s">
        <v>1607</v>
      </c>
    </row>
    <row r="1494" spans="1:1">
      <c r="A1494" s="200" t="s">
        <v>1608</v>
      </c>
    </row>
    <row r="1495" spans="1:1">
      <c r="A1495" s="200" t="s">
        <v>1609</v>
      </c>
    </row>
    <row r="1496" spans="1:1">
      <c r="A1496" s="200" t="s">
        <v>99</v>
      </c>
    </row>
    <row r="1497" spans="1:1">
      <c r="A1497" s="200" t="s">
        <v>1610</v>
      </c>
    </row>
    <row r="1498" spans="1:1">
      <c r="A1498" s="200" t="s">
        <v>1611</v>
      </c>
    </row>
    <row r="1499" spans="1:1">
      <c r="A1499" s="200" t="s">
        <v>1612</v>
      </c>
    </row>
    <row r="1500" spans="1:1">
      <c r="A1500" s="200" t="s">
        <v>1613</v>
      </c>
    </row>
    <row r="1501" spans="1:1">
      <c r="A1501" s="200" t="s">
        <v>1614</v>
      </c>
    </row>
    <row r="1502" spans="1:1">
      <c r="A1502" s="200" t="s">
        <v>1615</v>
      </c>
    </row>
    <row r="1503" spans="1:1">
      <c r="A1503" s="200" t="s">
        <v>1616</v>
      </c>
    </row>
    <row r="1504" spans="1:1">
      <c r="A1504" s="200" t="s">
        <v>1617</v>
      </c>
    </row>
    <row r="1505" spans="1:1">
      <c r="A1505" s="200" t="s">
        <v>1618</v>
      </c>
    </row>
    <row r="1506" spans="1:1">
      <c r="A1506" s="200" t="s">
        <v>1619</v>
      </c>
    </row>
    <row r="1507" spans="1:1">
      <c r="A1507" s="200" t="s">
        <v>1620</v>
      </c>
    </row>
    <row r="1508" spans="1:1">
      <c r="A1508" s="200" t="s">
        <v>1621</v>
      </c>
    </row>
    <row r="1509" spans="1:1">
      <c r="A1509" s="200" t="s">
        <v>1622</v>
      </c>
    </row>
    <row r="1510" spans="1:1">
      <c r="A1510" s="200" t="s">
        <v>1623</v>
      </c>
    </row>
    <row r="1511" spans="1:1">
      <c r="A1511" s="200" t="s">
        <v>1624</v>
      </c>
    </row>
    <row r="1512" spans="1:1">
      <c r="A1512" s="200" t="s">
        <v>1625</v>
      </c>
    </row>
    <row r="1513" spans="1:1">
      <c r="A1513" s="200" t="s">
        <v>1626</v>
      </c>
    </row>
    <row r="1514" spans="1:1">
      <c r="A1514" s="200" t="s">
        <v>1627</v>
      </c>
    </row>
    <row r="1515" spans="1:1">
      <c r="A1515" s="200" t="s">
        <v>1628</v>
      </c>
    </row>
    <row r="1516" spans="1:1">
      <c r="A1516" s="200" t="s">
        <v>1629</v>
      </c>
    </row>
    <row r="1517" spans="1:1">
      <c r="A1517" s="200" t="s">
        <v>1630</v>
      </c>
    </row>
    <row r="1518" spans="1:1">
      <c r="A1518" s="200" t="s">
        <v>1631</v>
      </c>
    </row>
    <row r="1519" spans="1:1">
      <c r="A1519" s="200" t="s">
        <v>1632</v>
      </c>
    </row>
    <row r="1520" spans="1:1">
      <c r="A1520" s="200" t="s">
        <v>1633</v>
      </c>
    </row>
    <row r="1521" spans="1:1">
      <c r="A1521" s="200" t="s">
        <v>1634</v>
      </c>
    </row>
    <row r="1522" spans="1:1">
      <c r="A1522" s="200" t="s">
        <v>1635</v>
      </c>
    </row>
    <row r="1523" spans="1:1">
      <c r="A1523" s="200" t="s">
        <v>1636</v>
      </c>
    </row>
    <row r="1524" spans="1:1">
      <c r="A1524" s="200" t="s">
        <v>1637</v>
      </c>
    </row>
    <row r="1525" spans="1:1">
      <c r="A1525" s="200" t="s">
        <v>1638</v>
      </c>
    </row>
    <row r="1526" spans="1:1">
      <c r="A1526" s="200" t="s">
        <v>1639</v>
      </c>
    </row>
    <row r="1527" spans="1:1">
      <c r="A1527" s="200" t="s">
        <v>1640</v>
      </c>
    </row>
    <row r="1528" spans="1:1">
      <c r="A1528" s="200" t="s">
        <v>1641</v>
      </c>
    </row>
    <row r="1529" spans="1:1">
      <c r="A1529" s="200" t="s">
        <v>1642</v>
      </c>
    </row>
    <row r="1530" spans="1:1">
      <c r="A1530" s="200" t="s">
        <v>1643</v>
      </c>
    </row>
    <row r="1531" spans="1:1">
      <c r="A1531" s="200" t="s">
        <v>1644</v>
      </c>
    </row>
    <row r="1532" spans="1:1">
      <c r="A1532" s="200" t="s">
        <v>1645</v>
      </c>
    </row>
    <row r="1533" spans="1:1">
      <c r="A1533" s="200" t="s">
        <v>1646</v>
      </c>
    </row>
    <row r="1534" spans="1:1">
      <c r="A1534" s="200" t="s">
        <v>1647</v>
      </c>
    </row>
    <row r="1535" spans="1:1">
      <c r="A1535" s="200" t="s">
        <v>1648</v>
      </c>
    </row>
    <row r="1536" spans="1:1">
      <c r="A1536" s="200" t="s">
        <v>1649</v>
      </c>
    </row>
    <row r="1537" spans="1:1">
      <c r="A1537" s="200" t="s">
        <v>1650</v>
      </c>
    </row>
    <row r="1538" spans="1:1">
      <c r="A1538" s="200" t="s">
        <v>1651</v>
      </c>
    </row>
    <row r="1539" spans="1:1">
      <c r="A1539" s="200" t="s">
        <v>1652</v>
      </c>
    </row>
    <row r="1540" spans="1:1">
      <c r="A1540" s="200" t="s">
        <v>1653</v>
      </c>
    </row>
    <row r="1541" spans="1:1">
      <c r="A1541" s="200" t="s">
        <v>1654</v>
      </c>
    </row>
    <row r="1542" spans="1:1">
      <c r="A1542" s="200" t="s">
        <v>1655</v>
      </c>
    </row>
    <row r="1543" spans="1:1">
      <c r="A1543" s="200" t="s">
        <v>1656</v>
      </c>
    </row>
    <row r="1544" spans="1:1">
      <c r="A1544" s="200" t="s">
        <v>1657</v>
      </c>
    </row>
    <row r="1545" spans="1:1">
      <c r="A1545" s="200" t="s">
        <v>1658</v>
      </c>
    </row>
    <row r="1546" spans="1:1">
      <c r="A1546" s="200" t="s">
        <v>1659</v>
      </c>
    </row>
    <row r="1547" spans="1:1">
      <c r="A1547" s="200" t="s">
        <v>1660</v>
      </c>
    </row>
    <row r="1548" spans="1:1">
      <c r="A1548" s="200" t="s">
        <v>1661</v>
      </c>
    </row>
    <row r="1549" spans="1:1">
      <c r="A1549" s="200" t="s">
        <v>1662</v>
      </c>
    </row>
    <row r="1550" spans="1:1">
      <c r="A1550" s="200" t="s">
        <v>1663</v>
      </c>
    </row>
    <row r="1551" spans="1:1">
      <c r="A1551" s="200" t="s">
        <v>1664</v>
      </c>
    </row>
    <row r="1552" spans="1:1">
      <c r="A1552" s="200" t="s">
        <v>1665</v>
      </c>
    </row>
    <row r="1553" spans="1:1">
      <c r="A1553" s="200" t="s">
        <v>1666</v>
      </c>
    </row>
    <row r="1554" spans="1:1">
      <c r="A1554" s="200" t="s">
        <v>1667</v>
      </c>
    </row>
    <row r="1555" spans="1:1">
      <c r="A1555" s="200" t="s">
        <v>1668</v>
      </c>
    </row>
    <row r="1556" spans="1:1">
      <c r="A1556" s="200" t="s">
        <v>1669</v>
      </c>
    </row>
    <row r="1557" spans="1:1">
      <c r="A1557" s="200" t="s">
        <v>1670</v>
      </c>
    </row>
    <row r="1558" spans="1:1">
      <c r="A1558" s="200" t="s">
        <v>1671</v>
      </c>
    </row>
    <row r="1559" spans="1:1">
      <c r="A1559" s="200" t="s">
        <v>1672</v>
      </c>
    </row>
    <row r="1560" spans="1:1">
      <c r="A1560" s="200" t="s">
        <v>1673</v>
      </c>
    </row>
    <row r="1561" spans="1:1">
      <c r="A1561" s="200" t="s">
        <v>1674</v>
      </c>
    </row>
    <row r="1562" spans="1:1">
      <c r="A1562" s="200" t="s">
        <v>1675</v>
      </c>
    </row>
    <row r="1563" spans="1:1">
      <c r="A1563" s="200" t="s">
        <v>1676</v>
      </c>
    </row>
    <row r="1564" spans="1:1">
      <c r="A1564" s="200" t="s">
        <v>1677</v>
      </c>
    </row>
    <row r="1565" spans="1:1">
      <c r="A1565" s="200" t="s">
        <v>1678</v>
      </c>
    </row>
    <row r="1566" spans="1:1">
      <c r="A1566" s="200" t="s">
        <v>1679</v>
      </c>
    </row>
    <row r="1567" spans="1:1">
      <c r="A1567" s="200" t="s">
        <v>1680</v>
      </c>
    </row>
    <row r="1568" spans="1:1">
      <c r="A1568" s="200" t="s">
        <v>1681</v>
      </c>
    </row>
    <row r="1569" spans="1:1">
      <c r="A1569" s="200" t="s">
        <v>1682</v>
      </c>
    </row>
    <row r="1570" spans="1:1">
      <c r="A1570" s="200" t="s">
        <v>1683</v>
      </c>
    </row>
    <row r="1571" spans="1:1">
      <c r="A1571" s="200" t="s">
        <v>1684</v>
      </c>
    </row>
    <row r="1572" spans="1:1">
      <c r="A1572" s="200" t="s">
        <v>1685</v>
      </c>
    </row>
    <row r="1573" spans="1:1">
      <c r="A1573" s="200" t="s">
        <v>1686</v>
      </c>
    </row>
    <row r="1574" spans="1:1">
      <c r="A1574" s="200" t="s">
        <v>1687</v>
      </c>
    </row>
    <row r="1575" spans="1:1">
      <c r="A1575" s="200" t="s">
        <v>1688</v>
      </c>
    </row>
    <row r="1576" spans="1:1">
      <c r="A1576" s="200" t="s">
        <v>1689</v>
      </c>
    </row>
    <row r="1577" spans="1:1">
      <c r="A1577" s="200" t="s">
        <v>118</v>
      </c>
    </row>
    <row r="1578" spans="1:1">
      <c r="A1578" s="200" t="s">
        <v>1690</v>
      </c>
    </row>
    <row r="1579" spans="1:1">
      <c r="A1579" s="200" t="s">
        <v>1691</v>
      </c>
    </row>
    <row r="1580" spans="1:1">
      <c r="A1580" s="200" t="s">
        <v>1692</v>
      </c>
    </row>
    <row r="1581" spans="1:1">
      <c r="A1581" s="200" t="s">
        <v>1693</v>
      </c>
    </row>
    <row r="1582" spans="1:1">
      <c r="A1582" s="200" t="s">
        <v>1694</v>
      </c>
    </row>
    <row r="1583" spans="1:1">
      <c r="A1583" s="200" t="s">
        <v>1695</v>
      </c>
    </row>
    <row r="1584" spans="1:1">
      <c r="A1584" s="200" t="s">
        <v>1696</v>
      </c>
    </row>
    <row r="1585" spans="1:1">
      <c r="A1585" s="200" t="s">
        <v>1697</v>
      </c>
    </row>
    <row r="1586" spans="1:1">
      <c r="A1586" s="200" t="s">
        <v>1698</v>
      </c>
    </row>
    <row r="1587" spans="1:1">
      <c r="A1587" s="200" t="s">
        <v>1699</v>
      </c>
    </row>
    <row r="1588" spans="1:1">
      <c r="A1588" s="200" t="s">
        <v>1700</v>
      </c>
    </row>
    <row r="1589" spans="1:1">
      <c r="A1589" s="200" t="s">
        <v>1701</v>
      </c>
    </row>
    <row r="1590" spans="1:1">
      <c r="A1590" s="200" t="s">
        <v>1702</v>
      </c>
    </row>
    <row r="1591" spans="1:1">
      <c r="A1591" s="200" t="s">
        <v>1703</v>
      </c>
    </row>
    <row r="1592" spans="1:1">
      <c r="A1592" s="200" t="s">
        <v>1704</v>
      </c>
    </row>
    <row r="1593" spans="1:1">
      <c r="A1593" s="200" t="s">
        <v>1705</v>
      </c>
    </row>
    <row r="1594" spans="1:1">
      <c r="A1594" s="200" t="s">
        <v>1706</v>
      </c>
    </row>
    <row r="1595" spans="1:1">
      <c r="A1595" s="200" t="s">
        <v>1707</v>
      </c>
    </row>
    <row r="1596" spans="1:1">
      <c r="A1596" s="200" t="s">
        <v>1708</v>
      </c>
    </row>
    <row r="1597" spans="1:1">
      <c r="A1597" s="200" t="s">
        <v>6</v>
      </c>
    </row>
    <row r="1598" spans="1:1">
      <c r="A1598" s="200" t="s">
        <v>1709</v>
      </c>
    </row>
    <row r="1599" spans="1:1">
      <c r="A1599" s="200" t="s">
        <v>1710</v>
      </c>
    </row>
    <row r="1600" spans="1:1">
      <c r="A1600" s="200" t="s">
        <v>1711</v>
      </c>
    </row>
    <row r="1601" spans="1:1">
      <c r="A1601" s="200" t="s">
        <v>1712</v>
      </c>
    </row>
    <row r="1602" spans="1:1">
      <c r="A1602" s="200" t="s">
        <v>1713</v>
      </c>
    </row>
    <row r="1603" spans="1:1">
      <c r="A1603" s="200" t="s">
        <v>1714</v>
      </c>
    </row>
    <row r="1604" spans="1:1">
      <c r="A1604" s="200" t="s">
        <v>1715</v>
      </c>
    </row>
    <row r="1605" spans="1:1">
      <c r="A1605" s="200" t="s">
        <v>1716</v>
      </c>
    </row>
    <row r="1606" spans="1:1">
      <c r="A1606" s="200" t="s">
        <v>1717</v>
      </c>
    </row>
    <row r="1607" spans="1:1">
      <c r="A1607" s="200" t="s">
        <v>1718</v>
      </c>
    </row>
    <row r="1608" spans="1:1">
      <c r="A1608" s="200" t="s">
        <v>1719</v>
      </c>
    </row>
    <row r="1609" spans="1:1">
      <c r="A1609" s="200" t="s">
        <v>1720</v>
      </c>
    </row>
    <row r="1610" spans="1:1">
      <c r="A1610" s="200" t="s">
        <v>1721</v>
      </c>
    </row>
    <row r="1611" spans="1:1">
      <c r="A1611" s="200" t="s">
        <v>1722</v>
      </c>
    </row>
    <row r="1612" spans="1:1">
      <c r="A1612" s="200" t="s">
        <v>1723</v>
      </c>
    </row>
    <row r="1613" spans="1:1">
      <c r="A1613" s="200" t="s">
        <v>1724</v>
      </c>
    </row>
    <row r="1614" spans="1:1">
      <c r="A1614" s="200" t="s">
        <v>1725</v>
      </c>
    </row>
    <row r="1615" spans="1:1">
      <c r="A1615" s="200" t="s">
        <v>1726</v>
      </c>
    </row>
    <row r="1616" spans="1:1">
      <c r="A1616" s="200" t="s">
        <v>140</v>
      </c>
    </row>
    <row r="1617" spans="1:1">
      <c r="A1617" s="200" t="s">
        <v>1727</v>
      </c>
    </row>
    <row r="1618" spans="1:1">
      <c r="A1618" s="200" t="s">
        <v>1728</v>
      </c>
    </row>
    <row r="1619" spans="1:1">
      <c r="A1619" s="200" t="s">
        <v>1729</v>
      </c>
    </row>
    <row r="1620" spans="1:1">
      <c r="A1620" s="200" t="s">
        <v>1730</v>
      </c>
    </row>
    <row r="1621" spans="1:1">
      <c r="A1621" s="200" t="s">
        <v>1731</v>
      </c>
    </row>
    <row r="1622" spans="1:1">
      <c r="A1622" s="200" t="s">
        <v>1732</v>
      </c>
    </row>
    <row r="1623" spans="1:1">
      <c r="A1623" s="200" t="s">
        <v>1733</v>
      </c>
    </row>
    <row r="1624" spans="1:1">
      <c r="A1624" s="200" t="s">
        <v>1734</v>
      </c>
    </row>
    <row r="1625" spans="1:1">
      <c r="A1625" s="200" t="s">
        <v>1735</v>
      </c>
    </row>
    <row r="1626" spans="1:1">
      <c r="A1626" s="200" t="s">
        <v>1736</v>
      </c>
    </row>
    <row r="1627" spans="1:1">
      <c r="A1627" s="200" t="s">
        <v>1737</v>
      </c>
    </row>
    <row r="1628" spans="1:1">
      <c r="A1628" s="200" t="s">
        <v>1738</v>
      </c>
    </row>
    <row r="1629" spans="1:1">
      <c r="A1629" s="200" t="s">
        <v>1739</v>
      </c>
    </row>
    <row r="1630" spans="1:1">
      <c r="A1630" s="200" t="s">
        <v>1740</v>
      </c>
    </row>
    <row r="1631" spans="1:1">
      <c r="A1631" s="200" t="s">
        <v>1741</v>
      </c>
    </row>
    <row r="1632" spans="1:1">
      <c r="A1632" s="200" t="s">
        <v>1742</v>
      </c>
    </row>
    <row r="1633" spans="1:1">
      <c r="A1633" s="200" t="s">
        <v>1743</v>
      </c>
    </row>
    <row r="1634" spans="1:1">
      <c r="A1634" s="200" t="s">
        <v>1744</v>
      </c>
    </row>
    <row r="1635" spans="1:1">
      <c r="A1635" s="200" t="s">
        <v>1745</v>
      </c>
    </row>
    <row r="1636" spans="1:1">
      <c r="A1636" s="200" t="s">
        <v>1746</v>
      </c>
    </row>
    <row r="1637" spans="1:1">
      <c r="A1637" s="200" t="s">
        <v>1747</v>
      </c>
    </row>
    <row r="1638" spans="1:1">
      <c r="A1638" s="200" t="s">
        <v>1748</v>
      </c>
    </row>
    <row r="1639" spans="1:1">
      <c r="A1639" s="200" t="s">
        <v>1749</v>
      </c>
    </row>
    <row r="1640" spans="1:1">
      <c r="A1640" s="200" t="s">
        <v>1750</v>
      </c>
    </row>
    <row r="1641" spans="1:1">
      <c r="A1641" s="200" t="s">
        <v>1751</v>
      </c>
    </row>
    <row r="1642" spans="1:1">
      <c r="A1642" s="200" t="s">
        <v>1752</v>
      </c>
    </row>
    <row r="1643" spans="1:1">
      <c r="A1643" s="200" t="s">
        <v>1753</v>
      </c>
    </row>
    <row r="1644" spans="1:1">
      <c r="A1644" s="200" t="s">
        <v>1754</v>
      </c>
    </row>
    <row r="1645" spans="1:1">
      <c r="A1645" s="200" t="s">
        <v>1755</v>
      </c>
    </row>
    <row r="1646" spans="1:1">
      <c r="A1646" s="200" t="s">
        <v>1756</v>
      </c>
    </row>
    <row r="1647" spans="1:1">
      <c r="A1647" s="200" t="s">
        <v>1757</v>
      </c>
    </row>
    <row r="1648" spans="1:1">
      <c r="A1648" s="200" t="s">
        <v>1758</v>
      </c>
    </row>
    <row r="1649" spans="1:1">
      <c r="A1649" s="200" t="s">
        <v>1759</v>
      </c>
    </row>
    <row r="1650" spans="1:1">
      <c r="A1650" s="200" t="s">
        <v>1760</v>
      </c>
    </row>
    <row r="1651" spans="1:1">
      <c r="A1651" s="200" t="s">
        <v>1761</v>
      </c>
    </row>
    <row r="1652" spans="1:1">
      <c r="A1652" s="200" t="s">
        <v>1762</v>
      </c>
    </row>
    <row r="1653" spans="1:1">
      <c r="A1653" s="200" t="s">
        <v>1763</v>
      </c>
    </row>
    <row r="1654" spans="1:1">
      <c r="A1654" s="200" t="s">
        <v>1764</v>
      </c>
    </row>
    <row r="1655" spans="1:1">
      <c r="A1655" s="200" t="s">
        <v>1765</v>
      </c>
    </row>
    <row r="1656" spans="1:1">
      <c r="A1656" s="200" t="s">
        <v>1766</v>
      </c>
    </row>
    <row r="1657" spans="1:1">
      <c r="A1657" s="200" t="s">
        <v>1767</v>
      </c>
    </row>
    <row r="1658" spans="1:1">
      <c r="A1658" s="200" t="s">
        <v>1768</v>
      </c>
    </row>
    <row r="1659" spans="1:1">
      <c r="A1659" s="200" t="s">
        <v>1769</v>
      </c>
    </row>
    <row r="1660" spans="1:1">
      <c r="A1660" s="200" t="s">
        <v>1770</v>
      </c>
    </row>
    <row r="1661" spans="1:1">
      <c r="A1661" s="200" t="s">
        <v>1771</v>
      </c>
    </row>
    <row r="1662" spans="1:1">
      <c r="A1662" s="200" t="s">
        <v>1772</v>
      </c>
    </row>
    <row r="1663" spans="1:1">
      <c r="A1663" s="200" t="s">
        <v>1773</v>
      </c>
    </row>
    <row r="1664" spans="1:1">
      <c r="A1664" s="200" t="s">
        <v>1774</v>
      </c>
    </row>
    <row r="1665" spans="1:1">
      <c r="A1665" s="200" t="s">
        <v>1775</v>
      </c>
    </row>
    <row r="1666" spans="1:1">
      <c r="A1666" s="200" t="s">
        <v>1776</v>
      </c>
    </row>
    <row r="1667" spans="1:1">
      <c r="A1667" s="200" t="s">
        <v>1777</v>
      </c>
    </row>
    <row r="1668" spans="1:1">
      <c r="A1668" s="200" t="s">
        <v>1778</v>
      </c>
    </row>
    <row r="1669" spans="1:1">
      <c r="A1669" s="200" t="s">
        <v>1779</v>
      </c>
    </row>
    <row r="1670" spans="1:1">
      <c r="A1670" s="200" t="s">
        <v>1780</v>
      </c>
    </row>
    <row r="1671" spans="1:1">
      <c r="A1671" s="200" t="s">
        <v>1781</v>
      </c>
    </row>
    <row r="1672" spans="1:1">
      <c r="A1672" s="200" t="s">
        <v>1782</v>
      </c>
    </row>
    <row r="1673" spans="1:1">
      <c r="A1673" s="200" t="s">
        <v>1783</v>
      </c>
    </row>
    <row r="1674" spans="1:1">
      <c r="A1674" s="200" t="s">
        <v>1784</v>
      </c>
    </row>
    <row r="1675" spans="1:1">
      <c r="A1675" s="200" t="s">
        <v>1785</v>
      </c>
    </row>
    <row r="1676" spans="1:1">
      <c r="A1676" s="200" t="s">
        <v>1786</v>
      </c>
    </row>
    <row r="1677" spans="1:1">
      <c r="A1677" s="200" t="s">
        <v>1787</v>
      </c>
    </row>
    <row r="1678" spans="1:1">
      <c r="A1678" s="200" t="s">
        <v>1788</v>
      </c>
    </row>
    <row r="1679" spans="1:1">
      <c r="A1679" s="200" t="s">
        <v>1789</v>
      </c>
    </row>
    <row r="1680" spans="1:1">
      <c r="A1680" s="200" t="s">
        <v>1790</v>
      </c>
    </row>
    <row r="1681" spans="1:1">
      <c r="A1681" s="200" t="s">
        <v>1791</v>
      </c>
    </row>
    <row r="1682" spans="1:1">
      <c r="A1682" s="200" t="s">
        <v>1792</v>
      </c>
    </row>
    <row r="1683" spans="1:1">
      <c r="A1683" s="200" t="s">
        <v>1793</v>
      </c>
    </row>
    <row r="1684" spans="1:1">
      <c r="A1684" s="200" t="s">
        <v>1794</v>
      </c>
    </row>
    <row r="1685" spans="1:1">
      <c r="A1685" s="200" t="s">
        <v>1795</v>
      </c>
    </row>
    <row r="1686" spans="1:1">
      <c r="A1686" s="200" t="s">
        <v>1796</v>
      </c>
    </row>
    <row r="1687" spans="1:1">
      <c r="A1687" s="200" t="s">
        <v>1797</v>
      </c>
    </row>
    <row r="1688" spans="1:1">
      <c r="A1688" s="200" t="s">
        <v>1798</v>
      </c>
    </row>
    <row r="1689" spans="1:1">
      <c r="A1689" s="200" t="s">
        <v>100</v>
      </c>
    </row>
    <row r="1690" spans="1:1">
      <c r="A1690" s="200" t="s">
        <v>1799</v>
      </c>
    </row>
    <row r="1691" spans="1:1">
      <c r="A1691" s="200" t="s">
        <v>1800</v>
      </c>
    </row>
    <row r="1692" spans="1:1">
      <c r="A1692" s="200" t="s">
        <v>1801</v>
      </c>
    </row>
    <row r="1693" spans="1:1">
      <c r="A1693" s="200" t="s">
        <v>1802</v>
      </c>
    </row>
    <row r="1694" spans="1:1">
      <c r="A1694" s="200" t="s">
        <v>1803</v>
      </c>
    </row>
    <row r="1695" spans="1:1">
      <c r="A1695" s="200" t="s">
        <v>1804</v>
      </c>
    </row>
    <row r="1696" spans="1:1">
      <c r="A1696" s="200" t="s">
        <v>1805</v>
      </c>
    </row>
    <row r="1697" spans="1:1">
      <c r="A1697" s="200" t="s">
        <v>1806</v>
      </c>
    </row>
    <row r="1698" spans="1:1">
      <c r="A1698" s="200" t="s">
        <v>1807</v>
      </c>
    </row>
    <row r="1699" spans="1:1">
      <c r="A1699" s="200" t="s">
        <v>1808</v>
      </c>
    </row>
    <row r="1700" spans="1:1">
      <c r="A1700" s="200" t="s">
        <v>1809</v>
      </c>
    </row>
    <row r="1701" spans="1:1">
      <c r="A1701" s="200" t="s">
        <v>1810</v>
      </c>
    </row>
    <row r="1702" spans="1:1">
      <c r="A1702" s="200" t="s">
        <v>1811</v>
      </c>
    </row>
    <row r="1703" spans="1:1">
      <c r="A1703" s="200" t="s">
        <v>1812</v>
      </c>
    </row>
    <row r="1704" spans="1:1">
      <c r="A1704" s="200" t="s">
        <v>1813</v>
      </c>
    </row>
    <row r="1705" spans="1:1">
      <c r="A1705" s="200" t="s">
        <v>1814</v>
      </c>
    </row>
    <row r="1706" spans="1:1">
      <c r="A1706" s="200" t="s">
        <v>1815</v>
      </c>
    </row>
    <row r="1707" spans="1:1">
      <c r="A1707" s="200" t="s">
        <v>1816</v>
      </c>
    </row>
    <row r="1708" spans="1:1">
      <c r="A1708" s="200" t="s">
        <v>1817</v>
      </c>
    </row>
    <row r="1709" spans="1:1">
      <c r="A1709" s="200" t="s">
        <v>1818</v>
      </c>
    </row>
    <row r="1710" spans="1:1">
      <c r="A1710" s="200" t="s">
        <v>1819</v>
      </c>
    </row>
    <row r="1711" spans="1:1">
      <c r="A1711" s="200" t="s">
        <v>1820</v>
      </c>
    </row>
    <row r="1712" spans="1:1">
      <c r="A1712" s="200" t="s">
        <v>1821</v>
      </c>
    </row>
    <row r="1713" spans="1:1">
      <c r="A1713" s="200" t="s">
        <v>1822</v>
      </c>
    </row>
    <row r="1714" spans="1:1">
      <c r="A1714" s="200" t="s">
        <v>1823</v>
      </c>
    </row>
    <row r="1715" spans="1:1">
      <c r="A1715" s="200" t="s">
        <v>1824</v>
      </c>
    </row>
    <row r="1716" spans="1:1">
      <c r="A1716" s="200" t="s">
        <v>1825</v>
      </c>
    </row>
    <row r="1717" spans="1:1">
      <c r="A1717" s="200" t="s">
        <v>1826</v>
      </c>
    </row>
    <row r="1718" spans="1:1">
      <c r="A1718" s="200" t="s">
        <v>1827</v>
      </c>
    </row>
    <row r="1719" spans="1:1">
      <c r="A1719" s="200" t="s">
        <v>1828</v>
      </c>
    </row>
    <row r="1720" spans="1:1">
      <c r="A1720" s="200" t="s">
        <v>1829</v>
      </c>
    </row>
    <row r="1721" spans="1:1">
      <c r="A1721" s="200" t="s">
        <v>1830</v>
      </c>
    </row>
    <row r="1722" spans="1:1">
      <c r="A1722" s="200" t="s">
        <v>1831</v>
      </c>
    </row>
    <row r="1723" spans="1:1">
      <c r="A1723" s="200" t="s">
        <v>1832</v>
      </c>
    </row>
    <row r="1724" spans="1:1">
      <c r="A1724" s="200" t="s">
        <v>1833</v>
      </c>
    </row>
    <row r="1725" spans="1:1">
      <c r="A1725" s="200" t="s">
        <v>1834</v>
      </c>
    </row>
    <row r="1726" spans="1:1">
      <c r="A1726" s="200" t="s">
        <v>1835</v>
      </c>
    </row>
    <row r="1727" spans="1:1">
      <c r="A1727" s="200" t="s">
        <v>1836</v>
      </c>
    </row>
    <row r="1728" spans="1:1">
      <c r="A1728" s="200" t="s">
        <v>1837</v>
      </c>
    </row>
    <row r="1729" spans="1:1">
      <c r="A1729" s="200" t="s">
        <v>1838</v>
      </c>
    </row>
    <row r="1730" spans="1:1">
      <c r="A1730" s="200" t="s">
        <v>1839</v>
      </c>
    </row>
    <row r="1731" spans="1:1">
      <c r="A1731" s="200" t="s">
        <v>1840</v>
      </c>
    </row>
    <row r="1732" spans="1:1">
      <c r="A1732" s="200" t="s">
        <v>1841</v>
      </c>
    </row>
    <row r="1733" spans="1:1">
      <c r="A1733" s="200" t="s">
        <v>1842</v>
      </c>
    </row>
    <row r="1734" spans="1:1">
      <c r="A1734" s="200" t="s">
        <v>1843</v>
      </c>
    </row>
    <row r="1735" spans="1:1">
      <c r="A1735" s="200" t="s">
        <v>1844</v>
      </c>
    </row>
    <row r="1736" spans="1:1">
      <c r="A1736" s="200" t="s">
        <v>1845</v>
      </c>
    </row>
    <row r="1737" spans="1:1">
      <c r="A1737" s="200" t="s">
        <v>1846</v>
      </c>
    </row>
    <row r="1738" spans="1:1">
      <c r="A1738" s="200" t="s">
        <v>1847</v>
      </c>
    </row>
    <row r="1739" spans="1:1">
      <c r="A1739" s="200" t="s">
        <v>1848</v>
      </c>
    </row>
    <row r="1740" spans="1:1">
      <c r="A1740" s="200" t="s">
        <v>1849</v>
      </c>
    </row>
    <row r="1741" spans="1:1">
      <c r="A1741" s="200" t="s">
        <v>1850</v>
      </c>
    </row>
    <row r="1742" spans="1:1">
      <c r="A1742" s="200" t="s">
        <v>1851</v>
      </c>
    </row>
    <row r="1743" spans="1:1">
      <c r="A1743" s="200" t="s">
        <v>1852</v>
      </c>
    </row>
    <row r="1744" spans="1:1">
      <c r="A1744" s="200" t="s">
        <v>1853</v>
      </c>
    </row>
    <row r="1745" spans="1:1">
      <c r="A1745" s="200" t="s">
        <v>1854</v>
      </c>
    </row>
    <row r="1746" spans="1:1">
      <c r="A1746" s="200" t="s">
        <v>1855</v>
      </c>
    </row>
    <row r="1747" spans="1:1">
      <c r="A1747" s="200" t="s">
        <v>1856</v>
      </c>
    </row>
    <row r="1748" spans="1:1">
      <c r="A1748" s="200" t="s">
        <v>1857</v>
      </c>
    </row>
    <row r="1749" spans="1:1">
      <c r="A1749" s="200" t="s">
        <v>1858</v>
      </c>
    </row>
    <row r="1750" spans="1:1">
      <c r="A1750" s="200" t="s">
        <v>1859</v>
      </c>
    </row>
    <row r="1751" spans="1:1">
      <c r="A1751" s="200" t="s">
        <v>1860</v>
      </c>
    </row>
    <row r="1752" spans="1:1">
      <c r="A1752" s="200" t="s">
        <v>1861</v>
      </c>
    </row>
    <row r="1753" spans="1:1">
      <c r="A1753" s="200" t="s">
        <v>1862</v>
      </c>
    </row>
    <row r="1754" spans="1:1">
      <c r="A1754" s="200" t="s">
        <v>1863</v>
      </c>
    </row>
    <row r="1755" spans="1:1">
      <c r="A1755" s="200" t="s">
        <v>1864</v>
      </c>
    </row>
    <row r="1756" spans="1:1">
      <c r="A1756" s="200" t="s">
        <v>1865</v>
      </c>
    </row>
    <row r="1757" spans="1:1">
      <c r="A1757" s="200" t="s">
        <v>1866</v>
      </c>
    </row>
    <row r="1758" spans="1:1">
      <c r="A1758" s="200" t="s">
        <v>1867</v>
      </c>
    </row>
    <row r="1759" spans="1:1">
      <c r="A1759" s="200" t="s">
        <v>1868</v>
      </c>
    </row>
    <row r="1760" spans="1:1">
      <c r="A1760" s="200" t="s">
        <v>1869</v>
      </c>
    </row>
    <row r="1761" spans="1:1">
      <c r="A1761" s="200" t="s">
        <v>1870</v>
      </c>
    </row>
    <row r="1762" spans="1:1">
      <c r="A1762" s="200" t="s">
        <v>1871</v>
      </c>
    </row>
    <row r="1763" spans="1:1">
      <c r="A1763" s="200" t="s">
        <v>1872</v>
      </c>
    </row>
    <row r="1764" spans="1:1">
      <c r="A1764" s="200" t="s">
        <v>1873</v>
      </c>
    </row>
    <row r="1765" spans="1:1">
      <c r="A1765" s="200" t="s">
        <v>1874</v>
      </c>
    </row>
    <row r="1766" spans="1:1">
      <c r="A1766" s="200" t="s">
        <v>1875</v>
      </c>
    </row>
    <row r="1767" spans="1:1">
      <c r="A1767" s="200" t="s">
        <v>1876</v>
      </c>
    </row>
    <row r="1768" spans="1:1">
      <c r="A1768" s="200" t="s">
        <v>1877</v>
      </c>
    </row>
    <row r="1769" spans="1:1">
      <c r="A1769" s="200" t="s">
        <v>1878</v>
      </c>
    </row>
    <row r="1770" spans="1:1">
      <c r="A1770" s="200" t="s">
        <v>1879</v>
      </c>
    </row>
    <row r="1771" spans="1:1">
      <c r="A1771" s="200" t="s">
        <v>1880</v>
      </c>
    </row>
    <row r="1772" spans="1:1">
      <c r="A1772" s="200" t="s">
        <v>1881</v>
      </c>
    </row>
    <row r="1773" spans="1:1">
      <c r="A1773" s="200" t="s">
        <v>1882</v>
      </c>
    </row>
    <row r="1774" spans="1:1">
      <c r="A1774" s="200" t="s">
        <v>1883</v>
      </c>
    </row>
    <row r="1775" spans="1:1">
      <c r="A1775" s="200" t="s">
        <v>1884</v>
      </c>
    </row>
    <row r="1776" spans="1:1">
      <c r="A1776" s="200" t="s">
        <v>1885</v>
      </c>
    </row>
    <row r="1777" spans="1:1">
      <c r="A1777" s="200" t="s">
        <v>1886</v>
      </c>
    </row>
    <row r="1778" spans="1:1">
      <c r="A1778" s="200" t="s">
        <v>1887</v>
      </c>
    </row>
    <row r="1779" spans="1:1">
      <c r="A1779" s="200" t="s">
        <v>1888</v>
      </c>
    </row>
    <row r="1780" spans="1:1">
      <c r="A1780" s="200" t="s">
        <v>1889</v>
      </c>
    </row>
    <row r="1781" spans="1:1">
      <c r="A1781" s="200" t="s">
        <v>1890</v>
      </c>
    </row>
    <row r="1782" spans="1:1">
      <c r="A1782" s="200" t="s">
        <v>1891</v>
      </c>
    </row>
    <row r="1783" spans="1:1">
      <c r="A1783" s="200" t="s">
        <v>1892</v>
      </c>
    </row>
    <row r="1784" spans="1:1">
      <c r="A1784" s="200" t="s">
        <v>1893</v>
      </c>
    </row>
    <row r="1785" spans="1:1">
      <c r="A1785" s="200" t="s">
        <v>1894</v>
      </c>
    </row>
    <row r="1786" spans="1:1">
      <c r="A1786" s="200" t="s">
        <v>1895</v>
      </c>
    </row>
    <row r="1787" spans="1:1">
      <c r="A1787" s="200" t="s">
        <v>1896</v>
      </c>
    </row>
    <row r="1788" spans="1:1">
      <c r="A1788" s="200" t="s">
        <v>1897</v>
      </c>
    </row>
    <row r="1789" spans="1:1">
      <c r="A1789" s="200" t="s">
        <v>1898</v>
      </c>
    </row>
    <row r="1790" spans="1:1">
      <c r="A1790" s="200" t="s">
        <v>1899</v>
      </c>
    </row>
    <row r="1791" spans="1:1">
      <c r="A1791" s="200" t="s">
        <v>1900</v>
      </c>
    </row>
    <row r="1792" spans="1:1">
      <c r="A1792" s="200" t="s">
        <v>1901</v>
      </c>
    </row>
    <row r="1793" spans="1:1">
      <c r="A1793" s="200" t="s">
        <v>1902</v>
      </c>
    </row>
    <row r="1794" spans="1:1">
      <c r="A1794" s="200" t="s">
        <v>1903</v>
      </c>
    </row>
    <row r="1795" spans="1:1">
      <c r="A1795" s="200" t="s">
        <v>1904</v>
      </c>
    </row>
    <row r="1796" spans="1:1">
      <c r="A1796" s="200" t="s">
        <v>1905</v>
      </c>
    </row>
    <row r="1797" spans="1:1">
      <c r="A1797" s="200" t="s">
        <v>1906</v>
      </c>
    </row>
    <row r="1798" spans="1:1">
      <c r="A1798" s="200" t="s">
        <v>1907</v>
      </c>
    </row>
    <row r="1799" spans="1:1">
      <c r="A1799" s="200" t="s">
        <v>1908</v>
      </c>
    </row>
    <row r="1800" spans="1:1">
      <c r="A1800" s="200" t="s">
        <v>1909</v>
      </c>
    </row>
    <row r="1801" spans="1:1">
      <c r="A1801" s="200" t="s">
        <v>1910</v>
      </c>
    </row>
    <row r="1802" spans="1:1">
      <c r="A1802" s="200" t="s">
        <v>1911</v>
      </c>
    </row>
    <row r="1803" spans="1:1">
      <c r="A1803" s="200" t="s">
        <v>1912</v>
      </c>
    </row>
    <row r="1804" spans="1:1">
      <c r="A1804" s="200" t="s">
        <v>1913</v>
      </c>
    </row>
    <row r="1805" spans="1:1">
      <c r="A1805" s="200" t="s">
        <v>1914</v>
      </c>
    </row>
    <row r="1806" spans="1:1">
      <c r="A1806" s="200" t="s">
        <v>1915</v>
      </c>
    </row>
    <row r="1807" spans="1:1">
      <c r="A1807" s="200" t="s">
        <v>1916</v>
      </c>
    </row>
    <row r="1808" spans="1:1">
      <c r="A1808" s="200" t="s">
        <v>1917</v>
      </c>
    </row>
    <row r="1809" spans="1:1">
      <c r="A1809" s="200" t="s">
        <v>1918</v>
      </c>
    </row>
    <row r="1810" spans="1:1">
      <c r="A1810" s="200" t="s">
        <v>1919</v>
      </c>
    </row>
    <row r="1811" spans="1:1">
      <c r="A1811" s="200" t="s">
        <v>1920</v>
      </c>
    </row>
    <row r="1812" spans="1:1">
      <c r="A1812" s="200" t="s">
        <v>1921</v>
      </c>
    </row>
    <row r="1813" spans="1:1">
      <c r="A1813" s="200" t="s">
        <v>1922</v>
      </c>
    </row>
    <row r="1814" spans="1:1">
      <c r="A1814" s="200" t="s">
        <v>1923</v>
      </c>
    </row>
    <row r="1815" spans="1:1">
      <c r="A1815" s="200" t="s">
        <v>1924</v>
      </c>
    </row>
    <row r="1816" spans="1:1">
      <c r="A1816" s="200" t="s">
        <v>1925</v>
      </c>
    </row>
    <row r="1817" spans="1:1">
      <c r="A1817" s="200" t="s">
        <v>1926</v>
      </c>
    </row>
    <row r="1818" spans="1:1">
      <c r="A1818" s="200" t="s">
        <v>1927</v>
      </c>
    </row>
    <row r="1819" spans="1:1">
      <c r="A1819" s="200" t="s">
        <v>1928</v>
      </c>
    </row>
    <row r="1820" spans="1:1">
      <c r="A1820" s="200" t="s">
        <v>1929</v>
      </c>
    </row>
    <row r="1821" spans="1:1">
      <c r="A1821" s="200" t="s">
        <v>1930</v>
      </c>
    </row>
    <row r="1822" spans="1:1">
      <c r="A1822" s="200" t="s">
        <v>1931</v>
      </c>
    </row>
    <row r="1823" spans="1:1">
      <c r="A1823" s="200" t="s">
        <v>1932</v>
      </c>
    </row>
    <row r="1824" spans="1:1">
      <c r="A1824" s="200" t="s">
        <v>1933</v>
      </c>
    </row>
    <row r="1825" spans="1:1">
      <c r="A1825" s="200" t="s">
        <v>1934</v>
      </c>
    </row>
    <row r="1826" spans="1:1">
      <c r="A1826" s="200" t="s">
        <v>1935</v>
      </c>
    </row>
    <row r="1827" spans="1:1">
      <c r="A1827" s="200" t="s">
        <v>1936</v>
      </c>
    </row>
    <row r="1828" spans="1:1">
      <c r="A1828" s="200" t="s">
        <v>1937</v>
      </c>
    </row>
    <row r="1829" spans="1:1">
      <c r="A1829" s="200" t="s">
        <v>1938</v>
      </c>
    </row>
    <row r="1830" spans="1:1">
      <c r="A1830" s="200" t="s">
        <v>1939</v>
      </c>
    </row>
    <row r="1831" spans="1:1">
      <c r="A1831" s="200" t="s">
        <v>1940</v>
      </c>
    </row>
    <row r="1832" spans="1:1">
      <c r="A1832" s="200" t="s">
        <v>1941</v>
      </c>
    </row>
    <row r="1833" spans="1:1">
      <c r="A1833" s="200" t="s">
        <v>1942</v>
      </c>
    </row>
    <row r="1834" spans="1:1">
      <c r="A1834" s="200" t="s">
        <v>1943</v>
      </c>
    </row>
    <row r="1835" spans="1:1">
      <c r="A1835" s="200" t="s">
        <v>1944</v>
      </c>
    </row>
    <row r="1836" spans="1:1">
      <c r="A1836" s="200" t="s">
        <v>1945</v>
      </c>
    </row>
    <row r="1837" spans="1:1">
      <c r="A1837" s="200" t="s">
        <v>1946</v>
      </c>
    </row>
    <row r="1838" spans="1:1">
      <c r="A1838" s="200" t="s">
        <v>1947</v>
      </c>
    </row>
    <row r="1839" spans="1:1">
      <c r="A1839" s="200" t="s">
        <v>1948</v>
      </c>
    </row>
    <row r="1840" spans="1:1">
      <c r="A1840" s="200" t="s">
        <v>1949</v>
      </c>
    </row>
    <row r="1841" spans="1:1">
      <c r="A1841" s="200" t="s">
        <v>1950</v>
      </c>
    </row>
    <row r="1842" spans="1:1">
      <c r="A1842" s="200" t="s">
        <v>1951</v>
      </c>
    </row>
    <row r="1843" spans="1:1">
      <c r="A1843" s="200" t="s">
        <v>1952</v>
      </c>
    </row>
    <row r="1844" spans="1:1">
      <c r="A1844" s="200" t="s">
        <v>1953</v>
      </c>
    </row>
    <row r="1845" spans="1:1">
      <c r="A1845" s="200" t="s">
        <v>1954</v>
      </c>
    </row>
    <row r="1846" spans="1:1">
      <c r="A1846" s="200" t="s">
        <v>1955</v>
      </c>
    </row>
    <row r="1847" spans="1:1">
      <c r="A1847" s="200" t="s">
        <v>1956</v>
      </c>
    </row>
    <row r="1848" spans="1:1">
      <c r="A1848" s="200" t="s">
        <v>1957</v>
      </c>
    </row>
    <row r="1849" spans="1:1">
      <c r="A1849" s="200" t="s">
        <v>1958</v>
      </c>
    </row>
    <row r="1850" spans="1:1">
      <c r="A1850" s="200" t="s">
        <v>1959</v>
      </c>
    </row>
    <row r="1851" spans="1:1">
      <c r="A1851" s="200" t="s">
        <v>1960</v>
      </c>
    </row>
    <row r="1852" spans="1:1">
      <c r="A1852" s="200" t="s">
        <v>1961</v>
      </c>
    </row>
    <row r="1853" spans="1:1">
      <c r="A1853" s="200" t="s">
        <v>1962</v>
      </c>
    </row>
    <row r="1854" spans="1:1">
      <c r="A1854" s="200" t="s">
        <v>1963</v>
      </c>
    </row>
    <row r="1855" spans="1:1">
      <c r="A1855" s="200" t="s">
        <v>1964</v>
      </c>
    </row>
    <row r="1856" spans="1:1">
      <c r="A1856" s="200" t="s">
        <v>1965</v>
      </c>
    </row>
    <row r="1857" spans="1:1">
      <c r="A1857" s="200" t="s">
        <v>1966</v>
      </c>
    </row>
    <row r="1858" spans="1:1">
      <c r="A1858" s="200" t="s">
        <v>1967</v>
      </c>
    </row>
    <row r="1859" spans="1:1">
      <c r="A1859" s="200" t="s">
        <v>1968</v>
      </c>
    </row>
    <row r="1860" spans="1:1">
      <c r="A1860" s="200" t="s">
        <v>1969</v>
      </c>
    </row>
    <row r="1861" spans="1:1">
      <c r="A1861" s="200" t="s">
        <v>1970</v>
      </c>
    </row>
    <row r="1862" spans="1:1">
      <c r="A1862" s="200" t="s">
        <v>1971</v>
      </c>
    </row>
    <row r="1863" spans="1:1">
      <c r="A1863" s="200" t="s">
        <v>1972</v>
      </c>
    </row>
    <row r="1864" spans="1:1">
      <c r="A1864" s="200" t="s">
        <v>1973</v>
      </c>
    </row>
    <row r="1865" spans="1:1">
      <c r="A1865" s="200" t="s">
        <v>1974</v>
      </c>
    </row>
    <row r="1866" spans="1:1">
      <c r="A1866" s="200" t="s">
        <v>1975</v>
      </c>
    </row>
    <row r="1867" spans="1:1">
      <c r="A1867" s="200" t="s">
        <v>1976</v>
      </c>
    </row>
    <row r="1868" spans="1:1">
      <c r="A1868" s="200" t="s">
        <v>1977</v>
      </c>
    </row>
    <row r="1869" spans="1:1">
      <c r="A1869" s="200" t="s">
        <v>101</v>
      </c>
    </row>
    <row r="1870" spans="1:1">
      <c r="A1870" s="200" t="s">
        <v>1978</v>
      </c>
    </row>
    <row r="1871" spans="1:1">
      <c r="A1871" s="200" t="s">
        <v>1979</v>
      </c>
    </row>
    <row r="1872" spans="1:1">
      <c r="A1872" s="200" t="s">
        <v>1980</v>
      </c>
    </row>
    <row r="1873" spans="1:1">
      <c r="A1873" s="200" t="s">
        <v>114</v>
      </c>
    </row>
    <row r="1874" spans="1:1">
      <c r="A1874" s="200" t="s">
        <v>1981</v>
      </c>
    </row>
    <row r="1875" spans="1:1">
      <c r="A1875" s="200" t="s">
        <v>1982</v>
      </c>
    </row>
    <row r="1876" spans="1:1">
      <c r="A1876" s="200" t="s">
        <v>1983</v>
      </c>
    </row>
    <row r="1877" spans="1:1">
      <c r="A1877" s="200" t="s">
        <v>1984</v>
      </c>
    </row>
    <row r="1878" spans="1:1">
      <c r="A1878" s="200" t="s">
        <v>1985</v>
      </c>
    </row>
    <row r="1879" spans="1:1">
      <c r="A1879" s="200" t="s">
        <v>1986</v>
      </c>
    </row>
    <row r="1880" spans="1:1">
      <c r="A1880" s="200" t="s">
        <v>1987</v>
      </c>
    </row>
    <row r="1881" spans="1:1">
      <c r="A1881" s="200" t="s">
        <v>1988</v>
      </c>
    </row>
    <row r="1882" spans="1:1">
      <c r="A1882" s="200" t="s">
        <v>1989</v>
      </c>
    </row>
    <row r="1883" spans="1:1">
      <c r="A1883" s="200" t="s">
        <v>1990</v>
      </c>
    </row>
    <row r="1884" spans="1:1">
      <c r="A1884" s="200" t="s">
        <v>1991</v>
      </c>
    </row>
    <row r="1885" spans="1:1">
      <c r="A1885" s="200" t="s">
        <v>1992</v>
      </c>
    </row>
    <row r="1886" spans="1:1">
      <c r="A1886" s="200" t="s">
        <v>1993</v>
      </c>
    </row>
    <row r="1887" spans="1:1">
      <c r="A1887" s="200" t="s">
        <v>1994</v>
      </c>
    </row>
    <row r="1888" spans="1:1">
      <c r="A1888" s="200" t="s">
        <v>1995</v>
      </c>
    </row>
    <row r="1889" spans="1:1">
      <c r="A1889" s="200" t="s">
        <v>1996</v>
      </c>
    </row>
    <row r="1890" spans="1:1">
      <c r="A1890" s="200" t="s">
        <v>1997</v>
      </c>
    </row>
    <row r="1891" spans="1:1">
      <c r="A1891" s="200" t="s">
        <v>1998</v>
      </c>
    </row>
    <row r="1892" spans="1:1">
      <c r="A1892" s="200" t="s">
        <v>1999</v>
      </c>
    </row>
    <row r="1893" spans="1:1">
      <c r="A1893" s="200" t="s">
        <v>2000</v>
      </c>
    </row>
    <row r="1894" spans="1:1">
      <c r="A1894" s="200" t="s">
        <v>2001</v>
      </c>
    </row>
    <row r="1895" spans="1:1">
      <c r="A1895" s="200" t="s">
        <v>102</v>
      </c>
    </row>
    <row r="1896" spans="1:1">
      <c r="A1896" s="200" t="s">
        <v>2002</v>
      </c>
    </row>
    <row r="1897" spans="1:1">
      <c r="A1897" s="200" t="s">
        <v>2003</v>
      </c>
    </row>
    <row r="1898" spans="1:1">
      <c r="A1898" s="200" t="s">
        <v>2004</v>
      </c>
    </row>
    <row r="1899" spans="1:1">
      <c r="A1899" s="200" t="s">
        <v>2005</v>
      </c>
    </row>
    <row r="1900" spans="1:1">
      <c r="A1900" s="200" t="s">
        <v>2006</v>
      </c>
    </row>
    <row r="1901" spans="1:1">
      <c r="A1901" s="200" t="s">
        <v>2007</v>
      </c>
    </row>
    <row r="1902" spans="1:1">
      <c r="A1902" s="200" t="s">
        <v>2008</v>
      </c>
    </row>
    <row r="1903" spans="1:1">
      <c r="A1903" s="200" t="s">
        <v>2009</v>
      </c>
    </row>
    <row r="1904" spans="1:1">
      <c r="A1904" s="200" t="s">
        <v>2010</v>
      </c>
    </row>
    <row r="1905" spans="1:1">
      <c r="A1905" s="200" t="s">
        <v>2011</v>
      </c>
    </row>
    <row r="1906" spans="1:1">
      <c r="A1906" s="200" t="s">
        <v>2012</v>
      </c>
    </row>
    <row r="1907" spans="1:1">
      <c r="A1907" s="200" t="s">
        <v>2013</v>
      </c>
    </row>
    <row r="1908" spans="1:1">
      <c r="A1908" s="200" t="s">
        <v>125</v>
      </c>
    </row>
    <row r="1909" spans="1:1">
      <c r="A1909" s="200" t="s">
        <v>2014</v>
      </c>
    </row>
    <row r="1910" spans="1:1">
      <c r="A1910" s="200" t="s">
        <v>2015</v>
      </c>
    </row>
    <row r="1911" spans="1:1">
      <c r="A1911" s="200" t="s">
        <v>2016</v>
      </c>
    </row>
    <row r="1912" spans="1:1">
      <c r="A1912" s="200" t="s">
        <v>2017</v>
      </c>
    </row>
    <row r="1913" spans="1:1">
      <c r="A1913" s="200" t="s">
        <v>2018</v>
      </c>
    </row>
    <row r="1914" spans="1:1">
      <c r="A1914" s="200" t="s">
        <v>2019</v>
      </c>
    </row>
    <row r="1915" spans="1:1">
      <c r="A1915" s="200" t="s">
        <v>2020</v>
      </c>
    </row>
    <row r="1916" spans="1:1">
      <c r="A1916" s="200" t="s">
        <v>2021</v>
      </c>
    </row>
    <row r="1917" spans="1:1">
      <c r="A1917" s="200" t="s">
        <v>2022</v>
      </c>
    </row>
    <row r="1918" spans="1:1">
      <c r="A1918" s="200" t="s">
        <v>2023</v>
      </c>
    </row>
    <row r="1919" spans="1:1">
      <c r="A1919" s="200" t="s">
        <v>2024</v>
      </c>
    </row>
    <row r="1920" spans="1:1">
      <c r="A1920" s="200" t="s">
        <v>2025</v>
      </c>
    </row>
    <row r="1921" spans="1:1">
      <c r="A1921" s="200" t="s">
        <v>103</v>
      </c>
    </row>
    <row r="1922" spans="1:1">
      <c r="A1922" s="200" t="s">
        <v>2026</v>
      </c>
    </row>
    <row r="1923" spans="1:1">
      <c r="A1923" s="200" t="s">
        <v>2027</v>
      </c>
    </row>
    <row r="1924" spans="1:1">
      <c r="A1924" s="200" t="s">
        <v>2028</v>
      </c>
    </row>
    <row r="1925" spans="1:1">
      <c r="A1925" s="200" t="s">
        <v>2029</v>
      </c>
    </row>
    <row r="1926" spans="1:1">
      <c r="A1926" s="200" t="s">
        <v>104</v>
      </c>
    </row>
    <row r="1927" spans="1:1">
      <c r="A1927" s="200" t="s">
        <v>2030</v>
      </c>
    </row>
    <row r="1928" spans="1:1">
      <c r="A1928" s="200" t="s">
        <v>2031</v>
      </c>
    </row>
    <row r="1929" spans="1:1">
      <c r="A1929" s="200" t="s">
        <v>2032</v>
      </c>
    </row>
    <row r="1930" spans="1:1">
      <c r="A1930" s="200" t="s">
        <v>2033</v>
      </c>
    </row>
    <row r="1931" spans="1:1">
      <c r="A1931" s="200" t="s">
        <v>2034</v>
      </c>
    </row>
    <row r="1932" spans="1:1">
      <c r="A1932" s="200" t="s">
        <v>2035</v>
      </c>
    </row>
    <row r="1933" spans="1:1">
      <c r="A1933" s="200" t="s">
        <v>2036</v>
      </c>
    </row>
    <row r="1934" spans="1:1">
      <c r="A1934" s="200" t="s">
        <v>2037</v>
      </c>
    </row>
    <row r="1935" spans="1:1">
      <c r="A1935" s="200" t="s">
        <v>2038</v>
      </c>
    </row>
    <row r="1936" spans="1:1">
      <c r="A1936" s="200" t="s">
        <v>2039</v>
      </c>
    </row>
    <row r="1937" spans="1:1">
      <c r="A1937" s="200" t="s">
        <v>2040</v>
      </c>
    </row>
    <row r="1938" spans="1:1">
      <c r="A1938" s="200" t="s">
        <v>2041</v>
      </c>
    </row>
    <row r="1939" spans="1:1">
      <c r="A1939" s="200" t="s">
        <v>2042</v>
      </c>
    </row>
    <row r="1940" spans="1:1">
      <c r="A1940" s="200" t="s">
        <v>2043</v>
      </c>
    </row>
    <row r="1941" spans="1:1">
      <c r="A1941" s="200" t="s">
        <v>2044</v>
      </c>
    </row>
    <row r="1942" spans="1:1">
      <c r="A1942" s="200" t="s">
        <v>2045</v>
      </c>
    </row>
    <row r="1943" spans="1:1">
      <c r="A1943" s="200" t="s">
        <v>2046</v>
      </c>
    </row>
    <row r="1944" spans="1:1">
      <c r="A1944" s="200" t="s">
        <v>112</v>
      </c>
    </row>
    <row r="1945" spans="1:1">
      <c r="A1945" s="200" t="s">
        <v>2047</v>
      </c>
    </row>
    <row r="1946" spans="1:1">
      <c r="A1946" s="200" t="s">
        <v>2048</v>
      </c>
    </row>
    <row r="1947" spans="1:1">
      <c r="A1947" s="200" t="s">
        <v>2049</v>
      </c>
    </row>
    <row r="1948" spans="1:1">
      <c r="A1948" s="200" t="s">
        <v>2050</v>
      </c>
    </row>
    <row r="1949" spans="1:1">
      <c r="A1949" s="200" t="s">
        <v>2051</v>
      </c>
    </row>
    <row r="1950" spans="1:1">
      <c r="A1950" s="200" t="s">
        <v>2052</v>
      </c>
    </row>
    <row r="1951" spans="1:1">
      <c r="A1951" s="200" t="s">
        <v>2053</v>
      </c>
    </row>
    <row r="1952" spans="1:1">
      <c r="A1952" s="200" t="s">
        <v>2054</v>
      </c>
    </row>
    <row r="1953" spans="1:1">
      <c r="A1953" s="200" t="s">
        <v>2055</v>
      </c>
    </row>
    <row r="1954" spans="1:1">
      <c r="A1954" s="200" t="s">
        <v>2056</v>
      </c>
    </row>
    <row r="1955" spans="1:1">
      <c r="A1955" s="200" t="s">
        <v>2057</v>
      </c>
    </row>
    <row r="1956" spans="1:1">
      <c r="A1956" s="200" t="s">
        <v>2058</v>
      </c>
    </row>
    <row r="1957" spans="1:1">
      <c r="A1957" s="200" t="s">
        <v>2059</v>
      </c>
    </row>
    <row r="1958" spans="1:1">
      <c r="A1958" s="200" t="s">
        <v>2060</v>
      </c>
    </row>
    <row r="1959" spans="1:1">
      <c r="A1959" s="200" t="s">
        <v>2061</v>
      </c>
    </row>
    <row r="1960" spans="1:1">
      <c r="A1960" s="200" t="s">
        <v>2062</v>
      </c>
    </row>
    <row r="1961" spans="1:1">
      <c r="A1961" s="200" t="s">
        <v>2063</v>
      </c>
    </row>
    <row r="1962" spans="1:1">
      <c r="A1962" s="200" t="s">
        <v>2064</v>
      </c>
    </row>
    <row r="1963" spans="1:1">
      <c r="A1963" s="200" t="s">
        <v>2065</v>
      </c>
    </row>
    <row r="1964" spans="1:1">
      <c r="A1964" s="200" t="s">
        <v>2066</v>
      </c>
    </row>
    <row r="1965" spans="1:1">
      <c r="A1965" s="200" t="s">
        <v>2067</v>
      </c>
    </row>
    <row r="1966" spans="1:1">
      <c r="A1966" s="200" t="s">
        <v>2068</v>
      </c>
    </row>
    <row r="1967" spans="1:1">
      <c r="A1967" s="200" t="s">
        <v>2069</v>
      </c>
    </row>
    <row r="1968" spans="1:1">
      <c r="A1968" s="200" t="s">
        <v>2070</v>
      </c>
    </row>
    <row r="1969" spans="1:1">
      <c r="A1969" s="200" t="s">
        <v>2071</v>
      </c>
    </row>
    <row r="1970" spans="1:1">
      <c r="A1970" s="200" t="s">
        <v>2072</v>
      </c>
    </row>
    <row r="1971" spans="1:1">
      <c r="A1971" s="200" t="s">
        <v>2073</v>
      </c>
    </row>
    <row r="1972" spans="1:1">
      <c r="A1972" s="200" t="s">
        <v>2074</v>
      </c>
    </row>
    <row r="1973" spans="1:1">
      <c r="A1973" s="200" t="s">
        <v>2075</v>
      </c>
    </row>
    <row r="1974" spans="1:1">
      <c r="A1974" s="200" t="s">
        <v>2076</v>
      </c>
    </row>
    <row r="1975" spans="1:1">
      <c r="A1975" s="200" t="s">
        <v>2077</v>
      </c>
    </row>
    <row r="1976" spans="1:1">
      <c r="A1976" s="200" t="s">
        <v>2078</v>
      </c>
    </row>
    <row r="1977" spans="1:1">
      <c r="A1977" s="200" t="s">
        <v>2079</v>
      </c>
    </row>
    <row r="1978" spans="1:1">
      <c r="A1978" s="200" t="s">
        <v>2080</v>
      </c>
    </row>
    <row r="1979" spans="1:1">
      <c r="A1979" s="200" t="s">
        <v>2081</v>
      </c>
    </row>
    <row r="1980" spans="1:1">
      <c r="A1980" s="200" t="s">
        <v>2082</v>
      </c>
    </row>
    <row r="1981" spans="1:1">
      <c r="A1981" s="200" t="s">
        <v>2083</v>
      </c>
    </row>
    <row r="1982" spans="1:1">
      <c r="A1982" s="200" t="s">
        <v>2084</v>
      </c>
    </row>
    <row r="1983" spans="1:1">
      <c r="A1983" s="200" t="s">
        <v>2085</v>
      </c>
    </row>
    <row r="1984" spans="1:1">
      <c r="A1984" s="200" t="s">
        <v>2086</v>
      </c>
    </row>
    <row r="1985" spans="1:1">
      <c r="A1985" s="200" t="s">
        <v>2087</v>
      </c>
    </row>
    <row r="1986" spans="1:1">
      <c r="A1986" s="200" t="s">
        <v>2088</v>
      </c>
    </row>
    <row r="1987" spans="1:1">
      <c r="A1987" s="200" t="s">
        <v>2089</v>
      </c>
    </row>
    <row r="1988" spans="1:1">
      <c r="A1988" s="200" t="s">
        <v>2090</v>
      </c>
    </row>
    <row r="1989" spans="1:1">
      <c r="A1989" s="200" t="s">
        <v>2091</v>
      </c>
    </row>
    <row r="1990" spans="1:1">
      <c r="A1990" s="200" t="s">
        <v>2092</v>
      </c>
    </row>
    <row r="1991" spans="1:1">
      <c r="A1991" s="200" t="s">
        <v>2093</v>
      </c>
    </row>
    <row r="1992" spans="1:1">
      <c r="A1992" s="200" t="s">
        <v>2094</v>
      </c>
    </row>
    <row r="1993" spans="1:1">
      <c r="A1993" s="200" t="s">
        <v>2095</v>
      </c>
    </row>
    <row r="1994" spans="1:1">
      <c r="A1994" s="200" t="s">
        <v>2096</v>
      </c>
    </row>
    <row r="1995" spans="1:1">
      <c r="A1995" s="200" t="s">
        <v>2097</v>
      </c>
    </row>
    <row r="1996" spans="1:1">
      <c r="A1996" s="200" t="s">
        <v>2098</v>
      </c>
    </row>
    <row r="1997" spans="1:1">
      <c r="A1997" s="200" t="s">
        <v>2099</v>
      </c>
    </row>
    <row r="1998" spans="1:1">
      <c r="A1998" s="200" t="s">
        <v>2100</v>
      </c>
    </row>
    <row r="1999" spans="1:1">
      <c r="A1999" s="200" t="s">
        <v>2101</v>
      </c>
    </row>
    <row r="2000" spans="1:1">
      <c r="A2000" s="200" t="s">
        <v>2102</v>
      </c>
    </row>
    <row r="2001" spans="1:1">
      <c r="A2001" s="200" t="s">
        <v>2103</v>
      </c>
    </row>
    <row r="2002" spans="1:1">
      <c r="A2002" s="200" t="s">
        <v>2104</v>
      </c>
    </row>
    <row r="2003" spans="1:1">
      <c r="A2003" s="200" t="s">
        <v>2105</v>
      </c>
    </row>
    <row r="2004" spans="1:1">
      <c r="A2004" s="200" t="s">
        <v>2106</v>
      </c>
    </row>
    <row r="2005" spans="1:1">
      <c r="A2005" s="200" t="s">
        <v>2107</v>
      </c>
    </row>
    <row r="2006" spans="1:1">
      <c r="A2006" s="200" t="s">
        <v>2108</v>
      </c>
    </row>
    <row r="2007" spans="1:1">
      <c r="A2007" s="200" t="s">
        <v>2109</v>
      </c>
    </row>
    <row r="2008" spans="1:1">
      <c r="A2008" s="200" t="s">
        <v>2110</v>
      </c>
    </row>
    <row r="2009" spans="1:1">
      <c r="A2009" s="200" t="s">
        <v>2111</v>
      </c>
    </row>
    <row r="2010" spans="1:1">
      <c r="A2010" s="200" t="s">
        <v>2112</v>
      </c>
    </row>
    <row r="2011" spans="1:1">
      <c r="A2011" s="200" t="s">
        <v>2113</v>
      </c>
    </row>
    <row r="2012" spans="1:1">
      <c r="A2012" s="200" t="s">
        <v>2114</v>
      </c>
    </row>
    <row r="2013" spans="1:1">
      <c r="A2013" s="200" t="s">
        <v>2115</v>
      </c>
    </row>
    <row r="2014" spans="1:1">
      <c r="A2014" s="200" t="s">
        <v>2116</v>
      </c>
    </row>
    <row r="2015" spans="1:1">
      <c r="A2015" s="200" t="s">
        <v>2117</v>
      </c>
    </row>
    <row r="2016" spans="1:1">
      <c r="A2016" s="200" t="s">
        <v>2118</v>
      </c>
    </row>
    <row r="2017" spans="1:1">
      <c r="A2017" s="200" t="s">
        <v>2119</v>
      </c>
    </row>
    <row r="2018" spans="1:1">
      <c r="A2018" s="200" t="s">
        <v>2120</v>
      </c>
    </row>
    <row r="2019" spans="1:1">
      <c r="A2019" s="200" t="s">
        <v>2121</v>
      </c>
    </row>
    <row r="2020" spans="1:1">
      <c r="A2020" s="200" t="s">
        <v>2122</v>
      </c>
    </row>
    <row r="2021" spans="1:1">
      <c r="A2021" s="200" t="s">
        <v>2123</v>
      </c>
    </row>
    <row r="2022" spans="1:1">
      <c r="A2022" s="200" t="s">
        <v>2124</v>
      </c>
    </row>
    <row r="2023" spans="1:1">
      <c r="A2023" s="200" t="s">
        <v>115</v>
      </c>
    </row>
    <row r="2024" spans="1:1">
      <c r="A2024" s="200" t="s">
        <v>2125</v>
      </c>
    </row>
    <row r="2025" spans="1:1">
      <c r="A2025" s="200" t="s">
        <v>2126</v>
      </c>
    </row>
    <row r="2026" spans="1:1">
      <c r="A2026" s="200" t="s">
        <v>2127</v>
      </c>
    </row>
    <row r="2027" spans="1:1">
      <c r="A2027" s="200" t="s">
        <v>2128</v>
      </c>
    </row>
    <row r="2028" spans="1:1">
      <c r="A2028" s="200" t="s">
        <v>2129</v>
      </c>
    </row>
    <row r="2029" spans="1:1">
      <c r="A2029" s="200" t="s">
        <v>2130</v>
      </c>
    </row>
    <row r="2030" spans="1:1">
      <c r="A2030" s="200" t="s">
        <v>2131</v>
      </c>
    </row>
    <row r="2031" spans="1:1">
      <c r="A2031" s="200" t="s">
        <v>2132</v>
      </c>
    </row>
    <row r="2032" spans="1:1">
      <c r="A2032" s="200" t="s">
        <v>2133</v>
      </c>
    </row>
    <row r="2033" spans="1:1">
      <c r="A2033" s="200" t="s">
        <v>2134</v>
      </c>
    </row>
    <row r="2034" spans="1:1">
      <c r="A2034" s="200" t="s">
        <v>2135</v>
      </c>
    </row>
    <row r="2035" spans="1:1">
      <c r="A2035" s="200" t="s">
        <v>2136</v>
      </c>
    </row>
    <row r="2036" spans="1:1">
      <c r="A2036" s="200" t="s">
        <v>2137</v>
      </c>
    </row>
    <row r="2037" spans="1:1">
      <c r="A2037" s="200" t="s">
        <v>2138</v>
      </c>
    </row>
    <row r="2038" spans="1:1">
      <c r="A2038" s="200" t="s">
        <v>2139</v>
      </c>
    </row>
    <row r="2039" spans="1:1">
      <c r="A2039" s="200" t="s">
        <v>2140</v>
      </c>
    </row>
    <row r="2040" spans="1:1">
      <c r="A2040" s="200" t="s">
        <v>110</v>
      </c>
    </row>
    <row r="2041" spans="1:1">
      <c r="A2041" s="200" t="s">
        <v>2141</v>
      </c>
    </row>
    <row r="2042" spans="1:1">
      <c r="A2042" s="200" t="s">
        <v>2142</v>
      </c>
    </row>
    <row r="2043" spans="1:1">
      <c r="A2043" s="200" t="s">
        <v>2143</v>
      </c>
    </row>
    <row r="2044" spans="1:1">
      <c r="A2044" s="200" t="s">
        <v>2144</v>
      </c>
    </row>
    <row r="2045" spans="1:1">
      <c r="A2045" s="200" t="s">
        <v>2145</v>
      </c>
    </row>
    <row r="2046" spans="1:1">
      <c r="A2046" s="200" t="s">
        <v>2146</v>
      </c>
    </row>
    <row r="2047" spans="1:1">
      <c r="A2047" s="200" t="s">
        <v>2147</v>
      </c>
    </row>
    <row r="2048" spans="1:1">
      <c r="A2048" s="200" t="s">
        <v>2148</v>
      </c>
    </row>
    <row r="2049" spans="1:1">
      <c r="A2049" s="200" t="s">
        <v>2149</v>
      </c>
    </row>
    <row r="2050" spans="1:1">
      <c r="A2050" s="200" t="s">
        <v>2150</v>
      </c>
    </row>
    <row r="2051" spans="1:1">
      <c r="A2051" s="200" t="s">
        <v>2151</v>
      </c>
    </row>
    <row r="2052" spans="1:1">
      <c r="A2052" s="200" t="s">
        <v>2152</v>
      </c>
    </row>
    <row r="2053" spans="1:1">
      <c r="A2053" s="200" t="s">
        <v>2153</v>
      </c>
    </row>
    <row r="2054" spans="1:1">
      <c r="A2054" s="200" t="s">
        <v>2154</v>
      </c>
    </row>
    <row r="2055" spans="1:1">
      <c r="A2055" s="200" t="s">
        <v>2155</v>
      </c>
    </row>
    <row r="2056" spans="1:1">
      <c r="A2056" s="200" t="s">
        <v>2156</v>
      </c>
    </row>
    <row r="2057" spans="1:1">
      <c r="A2057" s="200" t="s">
        <v>2157</v>
      </c>
    </row>
    <row r="2058" spans="1:1">
      <c r="A2058" s="200" t="s">
        <v>2158</v>
      </c>
    </row>
    <row r="2059" spans="1:1">
      <c r="A2059" s="200" t="s">
        <v>2159</v>
      </c>
    </row>
    <row r="2060" spans="1:1">
      <c r="A2060" s="200" t="s">
        <v>2160</v>
      </c>
    </row>
    <row r="2061" spans="1:1">
      <c r="A2061" s="200" t="s">
        <v>2161</v>
      </c>
    </row>
    <row r="2062" spans="1:1">
      <c r="A2062" s="200" t="s">
        <v>2162</v>
      </c>
    </row>
    <row r="2063" spans="1:1">
      <c r="A2063" s="200" t="s">
        <v>2163</v>
      </c>
    </row>
    <row r="2064" spans="1:1">
      <c r="A2064" s="200" t="s">
        <v>2164</v>
      </c>
    </row>
    <row r="2065" spans="1:1">
      <c r="A2065" s="200" t="s">
        <v>2165</v>
      </c>
    </row>
    <row r="2066" spans="1:1">
      <c r="A2066" s="200" t="s">
        <v>2166</v>
      </c>
    </row>
    <row r="2067" spans="1:1">
      <c r="A2067" s="200" t="s">
        <v>2167</v>
      </c>
    </row>
    <row r="2068" spans="1:1">
      <c r="A2068" s="200" t="s">
        <v>2168</v>
      </c>
    </row>
    <row r="2069" spans="1:1">
      <c r="A2069" s="200" t="s">
        <v>2169</v>
      </c>
    </row>
    <row r="2070" spans="1:1">
      <c r="A2070" s="200" t="s">
        <v>2170</v>
      </c>
    </row>
    <row r="2071" spans="1:1">
      <c r="A2071" s="200" t="s">
        <v>2171</v>
      </c>
    </row>
    <row r="2072" spans="1:1">
      <c r="A2072" s="200" t="s">
        <v>2172</v>
      </c>
    </row>
    <row r="2073" spans="1:1">
      <c r="A2073" s="200" t="s">
        <v>2173</v>
      </c>
    </row>
    <row r="2074" spans="1:1">
      <c r="A2074" s="200" t="s">
        <v>2174</v>
      </c>
    </row>
    <row r="2075" spans="1:1">
      <c r="A2075" s="200" t="s">
        <v>2175</v>
      </c>
    </row>
    <row r="2076" spans="1:1">
      <c r="A2076" s="200" t="s">
        <v>2176</v>
      </c>
    </row>
    <row r="2077" spans="1:1">
      <c r="A2077" s="200" t="s">
        <v>2177</v>
      </c>
    </row>
    <row r="2078" spans="1:1">
      <c r="A2078" s="200" t="s">
        <v>2178</v>
      </c>
    </row>
    <row r="2079" spans="1:1">
      <c r="A2079" s="200" t="s">
        <v>2179</v>
      </c>
    </row>
    <row r="2080" spans="1:1">
      <c r="A2080" s="200" t="s">
        <v>2180</v>
      </c>
    </row>
    <row r="2081" spans="1:1">
      <c r="A2081" s="200" t="s">
        <v>2181</v>
      </c>
    </row>
    <row r="2082" spans="1:1">
      <c r="A2082" s="200" t="s">
        <v>2182</v>
      </c>
    </row>
    <row r="2083" spans="1:1">
      <c r="A2083" s="200" t="s">
        <v>2183</v>
      </c>
    </row>
    <row r="2084" spans="1:1">
      <c r="A2084" s="200" t="s">
        <v>2184</v>
      </c>
    </row>
    <row r="2085" spans="1:1">
      <c r="A2085" s="200" t="s">
        <v>2185</v>
      </c>
    </row>
    <row r="2086" spans="1:1">
      <c r="A2086" s="200" t="s">
        <v>2186</v>
      </c>
    </row>
    <row r="2087" spans="1:1">
      <c r="A2087" s="200" t="s">
        <v>2187</v>
      </c>
    </row>
    <row r="2088" spans="1:1">
      <c r="A2088" s="200" t="s">
        <v>2188</v>
      </c>
    </row>
    <row r="2089" spans="1:1">
      <c r="A2089" s="200" t="s">
        <v>2189</v>
      </c>
    </row>
    <row r="2090" spans="1:1">
      <c r="A2090" s="200" t="s">
        <v>2190</v>
      </c>
    </row>
    <row r="2091" spans="1:1">
      <c r="A2091" s="200" t="s">
        <v>2191</v>
      </c>
    </row>
    <row r="2092" spans="1:1">
      <c r="A2092" s="200" t="s">
        <v>2192</v>
      </c>
    </row>
    <row r="2093" spans="1:1">
      <c r="A2093" s="200" t="s">
        <v>2193</v>
      </c>
    </row>
    <row r="2094" spans="1:1">
      <c r="A2094" s="200" t="s">
        <v>2194</v>
      </c>
    </row>
    <row r="2095" spans="1:1">
      <c r="A2095" s="200" t="s">
        <v>2195</v>
      </c>
    </row>
    <row r="2096" spans="1:1">
      <c r="A2096" s="200" t="s">
        <v>2196</v>
      </c>
    </row>
    <row r="2097" spans="1:1">
      <c r="A2097" s="200" t="s">
        <v>2197</v>
      </c>
    </row>
    <row r="2098" spans="1:1">
      <c r="A2098" s="200" t="s">
        <v>2198</v>
      </c>
    </row>
    <row r="2099" spans="1:1">
      <c r="A2099" s="200" t="s">
        <v>2199</v>
      </c>
    </row>
    <row r="2100" spans="1:1">
      <c r="A2100" s="200" t="s">
        <v>2200</v>
      </c>
    </row>
    <row r="2101" spans="1:1">
      <c r="A2101" s="200" t="s">
        <v>2201</v>
      </c>
    </row>
    <row r="2102" spans="1:1">
      <c r="A2102" s="200" t="s">
        <v>2202</v>
      </c>
    </row>
    <row r="2103" spans="1:1">
      <c r="A2103" s="200" t="s">
        <v>2203</v>
      </c>
    </row>
    <row r="2104" spans="1:1">
      <c r="A2104" s="200" t="s">
        <v>2204</v>
      </c>
    </row>
    <row r="2105" spans="1:1">
      <c r="A2105" s="200" t="s">
        <v>2205</v>
      </c>
    </row>
    <row r="2106" spans="1:1">
      <c r="A2106" s="200" t="s">
        <v>2206</v>
      </c>
    </row>
    <row r="2107" spans="1:1">
      <c r="A2107" s="200" t="s">
        <v>2207</v>
      </c>
    </row>
    <row r="2108" spans="1:1">
      <c r="A2108" s="200" t="s">
        <v>119</v>
      </c>
    </row>
    <row r="2109" spans="1:1">
      <c r="A2109" s="200" t="s">
        <v>2208</v>
      </c>
    </row>
    <row r="2110" spans="1:1">
      <c r="A2110" s="200" t="s">
        <v>2209</v>
      </c>
    </row>
    <row r="2111" spans="1:1">
      <c r="A2111" s="200" t="s">
        <v>2210</v>
      </c>
    </row>
    <row r="2112" spans="1:1">
      <c r="A2112" s="200" t="s">
        <v>2211</v>
      </c>
    </row>
    <row r="2113" spans="1:1">
      <c r="A2113" s="200" t="s">
        <v>2212</v>
      </c>
    </row>
    <row r="2114" spans="1:1">
      <c r="A2114" s="200" t="s">
        <v>2213</v>
      </c>
    </row>
    <row r="2115" spans="1:1">
      <c r="A2115" s="200" t="s">
        <v>2214</v>
      </c>
    </row>
    <row r="2116" spans="1:1">
      <c r="A2116" s="200" t="s">
        <v>2215</v>
      </c>
    </row>
    <row r="2117" spans="1:1">
      <c r="A2117" s="200" t="s">
        <v>2216</v>
      </c>
    </row>
    <row r="2118" spans="1:1">
      <c r="A2118" s="200" t="s">
        <v>2217</v>
      </c>
    </row>
    <row r="2119" spans="1:1">
      <c r="A2119" s="200" t="s">
        <v>2218</v>
      </c>
    </row>
    <row r="2120" spans="1:1">
      <c r="A2120" s="200" t="s">
        <v>2219</v>
      </c>
    </row>
    <row r="2121" spans="1:1">
      <c r="A2121" s="200" t="s">
        <v>2220</v>
      </c>
    </row>
    <row r="2122" spans="1:1">
      <c r="A2122" s="200" t="s">
        <v>2221</v>
      </c>
    </row>
    <row r="2123" spans="1:1">
      <c r="A2123" s="200" t="s">
        <v>2222</v>
      </c>
    </row>
    <row r="2124" spans="1:1">
      <c r="A2124" s="200" t="s">
        <v>2223</v>
      </c>
    </row>
    <row r="2125" spans="1:1">
      <c r="A2125" s="200" t="s">
        <v>2224</v>
      </c>
    </row>
    <row r="2126" spans="1:1">
      <c r="A2126" s="200" t="s">
        <v>2225</v>
      </c>
    </row>
    <row r="2127" spans="1:1">
      <c r="A2127" s="200" t="s">
        <v>2226</v>
      </c>
    </row>
    <row r="2128" spans="1:1">
      <c r="A2128" s="200" t="s">
        <v>2227</v>
      </c>
    </row>
    <row r="2129" spans="1:1">
      <c r="A2129" s="200" t="s">
        <v>2228</v>
      </c>
    </row>
    <row r="2130" spans="1:1">
      <c r="A2130" s="200" t="s">
        <v>2229</v>
      </c>
    </row>
    <row r="2131" spans="1:1">
      <c r="A2131" s="200" t="s">
        <v>2230</v>
      </c>
    </row>
    <row r="2132" spans="1:1">
      <c r="A2132" s="200" t="s">
        <v>105</v>
      </c>
    </row>
    <row r="2133" spans="1:1">
      <c r="A2133" s="200" t="s">
        <v>2231</v>
      </c>
    </row>
    <row r="2134" spans="1:1">
      <c r="A2134" s="200" t="s">
        <v>2232</v>
      </c>
    </row>
    <row r="2135" spans="1:1">
      <c r="A2135" s="200" t="s">
        <v>2233</v>
      </c>
    </row>
    <row r="2136" spans="1:1">
      <c r="A2136" s="200" t="s">
        <v>2234</v>
      </c>
    </row>
    <row r="2137" spans="1:1">
      <c r="A2137" s="200" t="s">
        <v>2235</v>
      </c>
    </row>
    <row r="2138" spans="1:1">
      <c r="A2138" s="200" t="s">
        <v>2236</v>
      </c>
    </row>
    <row r="2139" spans="1:1">
      <c r="A2139" s="200" t="s">
        <v>2237</v>
      </c>
    </row>
    <row r="2140" spans="1:1">
      <c r="A2140" s="200" t="s">
        <v>2238</v>
      </c>
    </row>
    <row r="2141" spans="1:1">
      <c r="A2141" s="200" t="s">
        <v>2239</v>
      </c>
    </row>
    <row r="2142" spans="1:1">
      <c r="A2142" s="200" t="s">
        <v>2240</v>
      </c>
    </row>
    <row r="2143" spans="1:1">
      <c r="A2143" s="200" t="s">
        <v>2241</v>
      </c>
    </row>
    <row r="2144" spans="1:1">
      <c r="A2144" s="200" t="s">
        <v>2242</v>
      </c>
    </row>
    <row r="2145" spans="1:1">
      <c r="A2145" s="200" t="s">
        <v>2243</v>
      </c>
    </row>
    <row r="2146" spans="1:1">
      <c r="A2146" s="200" t="s">
        <v>2244</v>
      </c>
    </row>
    <row r="2147" spans="1:1">
      <c r="A2147" s="200" t="s">
        <v>2245</v>
      </c>
    </row>
    <row r="2148" spans="1:1">
      <c r="A2148" s="200" t="s">
        <v>2246</v>
      </c>
    </row>
    <row r="2149" spans="1:1">
      <c r="A2149" s="200" t="s">
        <v>2247</v>
      </c>
    </row>
    <row r="2150" spans="1:1">
      <c r="A2150" s="200" t="s">
        <v>2248</v>
      </c>
    </row>
    <row r="2151" spans="1:1">
      <c r="A2151" s="200" t="s">
        <v>2249</v>
      </c>
    </row>
    <row r="2152" spans="1:1">
      <c r="A2152" s="200" t="s">
        <v>2250</v>
      </c>
    </row>
    <row r="2153" spans="1:1">
      <c r="A2153" s="200" t="s">
        <v>2251</v>
      </c>
    </row>
    <row r="2154" spans="1:1">
      <c r="A2154" s="200" t="s">
        <v>2252</v>
      </c>
    </row>
    <row r="2155" spans="1:1">
      <c r="A2155" s="200" t="s">
        <v>2253</v>
      </c>
    </row>
    <row r="2156" spans="1:1">
      <c r="A2156" s="200" t="s">
        <v>2254</v>
      </c>
    </row>
    <row r="2157" spans="1:1">
      <c r="A2157" s="200" t="s">
        <v>2255</v>
      </c>
    </row>
    <row r="2158" spans="1:1">
      <c r="A2158" s="200" t="s">
        <v>106</v>
      </c>
    </row>
    <row r="2159" spans="1:1">
      <c r="A2159" s="200" t="s">
        <v>2256</v>
      </c>
    </row>
    <row r="2160" spans="1:1">
      <c r="A2160" s="200" t="s">
        <v>2257</v>
      </c>
    </row>
    <row r="2161" spans="1:1">
      <c r="A2161" s="200" t="s">
        <v>2258</v>
      </c>
    </row>
    <row r="2162" spans="1:1">
      <c r="A2162" s="200" t="s">
        <v>2259</v>
      </c>
    </row>
    <row r="2163" spans="1:1">
      <c r="A2163" s="200" t="s">
        <v>2260</v>
      </c>
    </row>
    <row r="2164" spans="1:1">
      <c r="A2164" s="200" t="s">
        <v>2261</v>
      </c>
    </row>
    <row r="2165" spans="1:1">
      <c r="A2165" s="200" t="s">
        <v>107</v>
      </c>
    </row>
    <row r="2166" spans="1:1">
      <c r="A2166" s="200" t="s">
        <v>2262</v>
      </c>
    </row>
    <row r="2167" spans="1:1">
      <c r="A2167" s="200" t="s">
        <v>2263</v>
      </c>
    </row>
    <row r="2168" spans="1:1">
      <c r="A2168" s="200" t="s">
        <v>2264</v>
      </c>
    </row>
    <row r="2169" spans="1:1">
      <c r="A2169" s="200" t="s">
        <v>2265</v>
      </c>
    </row>
    <row r="2170" spans="1:1">
      <c r="A2170" s="200" t="s">
        <v>2266</v>
      </c>
    </row>
    <row r="2171" spans="1:1">
      <c r="A2171" s="200" t="s">
        <v>2267</v>
      </c>
    </row>
    <row r="2172" spans="1:1">
      <c r="A2172" s="200" t="s">
        <v>2268</v>
      </c>
    </row>
    <row r="2173" spans="1:1">
      <c r="A2173" s="200" t="s">
        <v>2269</v>
      </c>
    </row>
    <row r="2174" spans="1:1">
      <c r="A2174" s="200" t="s">
        <v>2270</v>
      </c>
    </row>
    <row r="2175" spans="1:1">
      <c r="A2175" s="200" t="s">
        <v>2271</v>
      </c>
    </row>
    <row r="2176" spans="1:1">
      <c r="A2176" s="200" t="s">
        <v>2272</v>
      </c>
    </row>
    <row r="2177" spans="1:1">
      <c r="A2177" s="200" t="s">
        <v>2273</v>
      </c>
    </row>
    <row r="2178" spans="1:1">
      <c r="A2178" s="200" t="s">
        <v>2274</v>
      </c>
    </row>
    <row r="2179" spans="1:1">
      <c r="A2179" s="200" t="s">
        <v>2275</v>
      </c>
    </row>
    <row r="2180" spans="1:1">
      <c r="A2180" s="200" t="s">
        <v>2276</v>
      </c>
    </row>
    <row r="2181" spans="1:1">
      <c r="A2181" s="200" t="s">
        <v>2277</v>
      </c>
    </row>
    <row r="2182" spans="1:1">
      <c r="A2182" s="200" t="s">
        <v>2278</v>
      </c>
    </row>
    <row r="2183" spans="1:1">
      <c r="A2183" s="200" t="s">
        <v>2279</v>
      </c>
    </row>
    <row r="2184" spans="1:1">
      <c r="A2184" s="200" t="s">
        <v>2280</v>
      </c>
    </row>
    <row r="2185" spans="1:1">
      <c r="A2185" s="200" t="s">
        <v>2281</v>
      </c>
    </row>
    <row r="2186" spans="1:1">
      <c r="A2186" s="200" t="s">
        <v>2282</v>
      </c>
    </row>
    <row r="2187" spans="1:1">
      <c r="A2187" s="200" t="s">
        <v>2283</v>
      </c>
    </row>
    <row r="2188" spans="1:1">
      <c r="A2188" s="200" t="s">
        <v>2284</v>
      </c>
    </row>
    <row r="2189" spans="1:1">
      <c r="A2189" s="200" t="s">
        <v>2285</v>
      </c>
    </row>
    <row r="2190" spans="1:1">
      <c r="A2190" s="200" t="s">
        <v>2286</v>
      </c>
    </row>
    <row r="2191" spans="1:1">
      <c r="A2191" s="200" t="s">
        <v>2287</v>
      </c>
    </row>
    <row r="2192" spans="1:1">
      <c r="A2192" s="200" t="s">
        <v>2288</v>
      </c>
    </row>
    <row r="2193" spans="1:1">
      <c r="A2193" s="200" t="s">
        <v>2289</v>
      </c>
    </row>
    <row r="2194" spans="1:1">
      <c r="A2194" s="200" t="s">
        <v>2290</v>
      </c>
    </row>
    <row r="2195" spans="1:1">
      <c r="A2195" s="200" t="s">
        <v>2291</v>
      </c>
    </row>
    <row r="2196" spans="1:1">
      <c r="A2196" s="200" t="s">
        <v>2292</v>
      </c>
    </row>
    <row r="2197" spans="1:1">
      <c r="A2197" s="200" t="s">
        <v>2293</v>
      </c>
    </row>
    <row r="2198" spans="1:1">
      <c r="A2198" s="200" t="s">
        <v>2294</v>
      </c>
    </row>
    <row r="2199" spans="1:1">
      <c r="A2199" s="200" t="s">
        <v>2295</v>
      </c>
    </row>
    <row r="2200" spans="1:1">
      <c r="A2200" s="200" t="s">
        <v>2296</v>
      </c>
    </row>
    <row r="2201" spans="1:1">
      <c r="A2201" s="200" t="s">
        <v>2297</v>
      </c>
    </row>
    <row r="2202" spans="1:1">
      <c r="A2202" s="200" t="s">
        <v>2298</v>
      </c>
    </row>
    <row r="2203" spans="1:1">
      <c r="A2203" s="200" t="s">
        <v>2299</v>
      </c>
    </row>
    <row r="2204" spans="1:1">
      <c r="A2204" s="200" t="s">
        <v>2300</v>
      </c>
    </row>
    <row r="2205" spans="1:1">
      <c r="A2205" s="200" t="s">
        <v>2301</v>
      </c>
    </row>
    <row r="2206" spans="1:1">
      <c r="A2206" s="200" t="s">
        <v>2302</v>
      </c>
    </row>
    <row r="2207" spans="1:1">
      <c r="A2207" s="200" t="s">
        <v>2303</v>
      </c>
    </row>
    <row r="2208" spans="1:1">
      <c r="A2208" s="200" t="s">
        <v>2304</v>
      </c>
    </row>
    <row r="2209" spans="1:1">
      <c r="A2209" s="200" t="s">
        <v>2305</v>
      </c>
    </row>
    <row r="2210" spans="1:1">
      <c r="A2210" s="200" t="s">
        <v>2306</v>
      </c>
    </row>
    <row r="2211" spans="1:1">
      <c r="A2211" s="200" t="s">
        <v>2307</v>
      </c>
    </row>
    <row r="2212" spans="1:1">
      <c r="A2212" s="200" t="s">
        <v>2308</v>
      </c>
    </row>
    <row r="2213" spans="1:1">
      <c r="A2213" s="200" t="s">
        <v>2309</v>
      </c>
    </row>
    <row r="2214" spans="1:1">
      <c r="A2214" s="200" t="s">
        <v>2310</v>
      </c>
    </row>
    <row r="2215" spans="1:1">
      <c r="A2215" s="200" t="s">
        <v>2311</v>
      </c>
    </row>
    <row r="2216" spans="1:1">
      <c r="A2216" s="200" t="s">
        <v>2312</v>
      </c>
    </row>
    <row r="2217" spans="1:1">
      <c r="A2217" s="200" t="s">
        <v>2313</v>
      </c>
    </row>
    <row r="2218" spans="1:1">
      <c r="A2218" s="200" t="s">
        <v>2314</v>
      </c>
    </row>
    <row r="2219" spans="1:1">
      <c r="A2219" s="200" t="s">
        <v>2315</v>
      </c>
    </row>
    <row r="2220" spans="1:1">
      <c r="A2220" s="200" t="s">
        <v>2316</v>
      </c>
    </row>
    <row r="2221" spans="1:1">
      <c r="A2221" s="200" t="s">
        <v>2317</v>
      </c>
    </row>
    <row r="2222" spans="1:1">
      <c r="A2222" s="200" t="s">
        <v>2318</v>
      </c>
    </row>
    <row r="2223" spans="1:1">
      <c r="A2223" s="200" t="s">
        <v>2319</v>
      </c>
    </row>
    <row r="2224" spans="1:1">
      <c r="A2224" s="200" t="s">
        <v>2320</v>
      </c>
    </row>
    <row r="2225" spans="1:1">
      <c r="A2225" s="200" t="s">
        <v>2321</v>
      </c>
    </row>
    <row r="2226" spans="1:1">
      <c r="A2226" s="200" t="s">
        <v>2322</v>
      </c>
    </row>
    <row r="2227" spans="1:1">
      <c r="A2227" s="200" t="s">
        <v>2323</v>
      </c>
    </row>
    <row r="2228" spans="1:1">
      <c r="A2228" s="200" t="s">
        <v>2324</v>
      </c>
    </row>
    <row r="2229" spans="1:1">
      <c r="A2229" s="200" t="s">
        <v>2325</v>
      </c>
    </row>
    <row r="2230" spans="1:1">
      <c r="A2230" s="200" t="s">
        <v>2326</v>
      </c>
    </row>
    <row r="2231" spans="1:1">
      <c r="A2231" s="200" t="s">
        <v>2327</v>
      </c>
    </row>
    <row r="2232" spans="1:1">
      <c r="A2232" s="200" t="s">
        <v>2328</v>
      </c>
    </row>
    <row r="2233" spans="1:1">
      <c r="A2233" s="200" t="s">
        <v>2329</v>
      </c>
    </row>
    <row r="2234" spans="1:1">
      <c r="A2234" s="200" t="s">
        <v>2330</v>
      </c>
    </row>
    <row r="2235" spans="1:1">
      <c r="A2235" s="200" t="s">
        <v>2331</v>
      </c>
    </row>
    <row r="2236" spans="1:1">
      <c r="A2236" s="200" t="s">
        <v>2332</v>
      </c>
    </row>
    <row r="2237" spans="1:1">
      <c r="A2237" s="200" t="s">
        <v>2333</v>
      </c>
    </row>
    <row r="2238" spans="1:1">
      <c r="A2238" s="200" t="s">
        <v>2334</v>
      </c>
    </row>
    <row r="2239" spans="1:1">
      <c r="A2239" s="200" t="s">
        <v>2335</v>
      </c>
    </row>
    <row r="2240" spans="1:1">
      <c r="A2240" s="200" t="s">
        <v>2336</v>
      </c>
    </row>
    <row r="2241" spans="1:1">
      <c r="A2241" s="200" t="s">
        <v>2337</v>
      </c>
    </row>
    <row r="2242" spans="1:1">
      <c r="A2242" s="200" t="s">
        <v>2338</v>
      </c>
    </row>
    <row r="2243" spans="1:1">
      <c r="A2243" s="200" t="s">
        <v>2339</v>
      </c>
    </row>
    <row r="2244" spans="1:1">
      <c r="A2244" s="200" t="s">
        <v>2340</v>
      </c>
    </row>
    <row r="2245" spans="1:1">
      <c r="A2245" s="200" t="s">
        <v>2341</v>
      </c>
    </row>
    <row r="2246" spans="1:1">
      <c r="A2246" s="200" t="s">
        <v>2342</v>
      </c>
    </row>
    <row r="2247" spans="1:1">
      <c r="A2247" s="200" t="s">
        <v>2343</v>
      </c>
    </row>
    <row r="2248" spans="1:1">
      <c r="A2248" s="200" t="s">
        <v>2344</v>
      </c>
    </row>
    <row r="2249" spans="1:1">
      <c r="A2249" s="200" t="s">
        <v>2345</v>
      </c>
    </row>
    <row r="2250" spans="1:1">
      <c r="A2250" s="200" t="s">
        <v>2346</v>
      </c>
    </row>
    <row r="2251" spans="1:1">
      <c r="A2251" s="200" t="s">
        <v>2347</v>
      </c>
    </row>
    <row r="2252" spans="1:1">
      <c r="A2252" s="200" t="s">
        <v>2348</v>
      </c>
    </row>
    <row r="2253" spans="1:1">
      <c r="A2253" s="200" t="s">
        <v>2349</v>
      </c>
    </row>
    <row r="2254" spans="1:1">
      <c r="A2254" s="200" t="s">
        <v>2350</v>
      </c>
    </row>
    <row r="2255" spans="1:1">
      <c r="A2255" s="200" t="s">
        <v>2351</v>
      </c>
    </row>
    <row r="2256" spans="1:1">
      <c r="A2256" s="200" t="s">
        <v>2352</v>
      </c>
    </row>
    <row r="2257" spans="1:1">
      <c r="A2257" s="200" t="s">
        <v>2353</v>
      </c>
    </row>
    <row r="2258" spans="1:1">
      <c r="A2258" s="200" t="s">
        <v>2354</v>
      </c>
    </row>
    <row r="2259" spans="1:1">
      <c r="A2259" s="200" t="s">
        <v>2355</v>
      </c>
    </row>
    <row r="2260" spans="1:1">
      <c r="A2260" s="200" t="s">
        <v>2356</v>
      </c>
    </row>
    <row r="2261" spans="1:1">
      <c r="A2261" s="200" t="s">
        <v>2357</v>
      </c>
    </row>
    <row r="2262" spans="1:1">
      <c r="A2262" s="200" t="s">
        <v>2358</v>
      </c>
    </row>
    <row r="2263" spans="1:1">
      <c r="A2263" s="200" t="s">
        <v>2359</v>
      </c>
    </row>
    <row r="2264" spans="1:1">
      <c r="A2264" s="200" t="s">
        <v>2360</v>
      </c>
    </row>
    <row r="2265" spans="1:1">
      <c r="A2265" s="200" t="s">
        <v>2361</v>
      </c>
    </row>
    <row r="2266" spans="1:1">
      <c r="A2266" s="200" t="s">
        <v>2362</v>
      </c>
    </row>
    <row r="2267" spans="1:1">
      <c r="A2267" s="200" t="s">
        <v>2363</v>
      </c>
    </row>
    <row r="2268" spans="1:1">
      <c r="A2268" s="200" t="s">
        <v>2364</v>
      </c>
    </row>
    <row r="2269" spans="1:1">
      <c r="A2269" s="200" t="s">
        <v>2365</v>
      </c>
    </row>
    <row r="2270" spans="1:1">
      <c r="A2270" s="200" t="s">
        <v>2366</v>
      </c>
    </row>
    <row r="2271" spans="1:1">
      <c r="A2271" s="200" t="s">
        <v>2367</v>
      </c>
    </row>
    <row r="2272" spans="1:1">
      <c r="A2272" s="200" t="s">
        <v>2368</v>
      </c>
    </row>
    <row r="2273" spans="1:1">
      <c r="A2273" s="200" t="s">
        <v>2369</v>
      </c>
    </row>
    <row r="2274" spans="1:1">
      <c r="A2274" s="200" t="s">
        <v>2370</v>
      </c>
    </row>
    <row r="2275" spans="1:1">
      <c r="A2275" s="200" t="s">
        <v>2371</v>
      </c>
    </row>
    <row r="2276" spans="1:1">
      <c r="A2276" s="200" t="s">
        <v>2372</v>
      </c>
    </row>
    <row r="2277" spans="1:1">
      <c r="A2277" s="200" t="s">
        <v>2373</v>
      </c>
    </row>
    <row r="2278" spans="1:1">
      <c r="A2278" s="200" t="s">
        <v>2374</v>
      </c>
    </row>
    <row r="2279" spans="1:1">
      <c r="A2279" s="200" t="s">
        <v>2375</v>
      </c>
    </row>
    <row r="2280" spans="1:1">
      <c r="A2280" s="200" t="s">
        <v>2376</v>
      </c>
    </row>
    <row r="2281" spans="1:1">
      <c r="A2281" s="200" t="s">
        <v>2377</v>
      </c>
    </row>
    <row r="2282" spans="1:1">
      <c r="A2282" s="200" t="s">
        <v>2378</v>
      </c>
    </row>
    <row r="2283" spans="1:1">
      <c r="A2283" s="200" t="s">
        <v>2379</v>
      </c>
    </row>
    <row r="2284" spans="1:1">
      <c r="A2284" s="200" t="s">
        <v>2380</v>
      </c>
    </row>
    <row r="2285" spans="1:1">
      <c r="A2285" s="200" t="s">
        <v>2381</v>
      </c>
    </row>
    <row r="2286" spans="1:1">
      <c r="A2286" s="200" t="s">
        <v>2382</v>
      </c>
    </row>
    <row r="2287" spans="1:1">
      <c r="A2287" s="200" t="s">
        <v>2383</v>
      </c>
    </row>
    <row r="2288" spans="1:1">
      <c r="A2288" s="200" t="s">
        <v>2384</v>
      </c>
    </row>
    <row r="2289" spans="1:1">
      <c r="A2289" s="200" t="s">
        <v>2385</v>
      </c>
    </row>
    <row r="2290" spans="1:1">
      <c r="A2290" s="200" t="s">
        <v>2386</v>
      </c>
    </row>
    <row r="2291" spans="1:1">
      <c r="A2291" s="200" t="s">
        <v>2387</v>
      </c>
    </row>
    <row r="2292" spans="1:1">
      <c r="A2292" s="200" t="s">
        <v>2388</v>
      </c>
    </row>
    <row r="2293" spans="1:1">
      <c r="A2293" s="200" t="s">
        <v>2389</v>
      </c>
    </row>
    <row r="2294" spans="1:1">
      <c r="A2294" s="200" t="s">
        <v>2390</v>
      </c>
    </row>
    <row r="2295" spans="1:1">
      <c r="A2295" s="200" t="s">
        <v>2391</v>
      </c>
    </row>
    <row r="2296" spans="1:1">
      <c r="A2296" s="200" t="s">
        <v>146</v>
      </c>
    </row>
    <row r="2297" spans="1:1">
      <c r="A2297" s="200" t="s">
        <v>2392</v>
      </c>
    </row>
    <row r="2298" spans="1:1">
      <c r="A2298" s="200" t="s">
        <v>121</v>
      </c>
    </row>
    <row r="2299" spans="1:1">
      <c r="A2299" s="200" t="s">
        <v>2393</v>
      </c>
    </row>
    <row r="2300" spans="1:1">
      <c r="A2300" s="200" t="s">
        <v>2394</v>
      </c>
    </row>
    <row r="2301" spans="1:1">
      <c r="A2301" s="200" t="s">
        <v>2395</v>
      </c>
    </row>
    <row r="2302" spans="1:1">
      <c r="A2302" s="200" t="s">
        <v>2396</v>
      </c>
    </row>
    <row r="2303" spans="1:1">
      <c r="A2303" s="200" t="s">
        <v>2397</v>
      </c>
    </row>
    <row r="2304" spans="1:1">
      <c r="A2304" s="200" t="s">
        <v>2398</v>
      </c>
    </row>
    <row r="2305" spans="1:1">
      <c r="A2305" s="200" t="s">
        <v>2399</v>
      </c>
    </row>
    <row r="2306" spans="1:1">
      <c r="A2306" s="200" t="s">
        <v>2400</v>
      </c>
    </row>
    <row r="2307" spans="1:1">
      <c r="A2307" s="200" t="s">
        <v>2401</v>
      </c>
    </row>
    <row r="2308" spans="1:1">
      <c r="A2308" s="200" t="s">
        <v>2402</v>
      </c>
    </row>
    <row r="2309" spans="1:1">
      <c r="A2309" s="200" t="s">
        <v>2403</v>
      </c>
    </row>
    <row r="2310" spans="1:1">
      <c r="A2310" s="200" t="s">
        <v>2404</v>
      </c>
    </row>
    <row r="2311" spans="1:1">
      <c r="A2311" s="200" t="s">
        <v>2405</v>
      </c>
    </row>
    <row r="2312" spans="1:1">
      <c r="A2312" s="200" t="s">
        <v>2406</v>
      </c>
    </row>
    <row r="2313" spans="1:1">
      <c r="A2313" s="200" t="s">
        <v>2407</v>
      </c>
    </row>
    <row r="2314" spans="1:1">
      <c r="A2314" s="200" t="s">
        <v>2408</v>
      </c>
    </row>
    <row r="2315" spans="1:1">
      <c r="A2315" s="200" t="s">
        <v>2409</v>
      </c>
    </row>
    <row r="2316" spans="1:1">
      <c r="A2316" s="200" t="s">
        <v>2410</v>
      </c>
    </row>
    <row r="2317" spans="1:1">
      <c r="A2317" s="200" t="s">
        <v>2411</v>
      </c>
    </row>
    <row r="2318" spans="1:1">
      <c r="A2318" s="200" t="s">
        <v>2412</v>
      </c>
    </row>
    <row r="2319" spans="1:1">
      <c r="A2319" s="200" t="s">
        <v>2413</v>
      </c>
    </row>
    <row r="2320" spans="1:1">
      <c r="A2320" s="200" t="s">
        <v>2414</v>
      </c>
    </row>
    <row r="2321" spans="1:1">
      <c r="A2321" s="200" t="s">
        <v>2415</v>
      </c>
    </row>
    <row r="2322" spans="1:1">
      <c r="A2322" s="200" t="s">
        <v>2416</v>
      </c>
    </row>
    <row r="2323" spans="1:1">
      <c r="A2323" s="200" t="s">
        <v>2417</v>
      </c>
    </row>
    <row r="2324" spans="1:1">
      <c r="A2324" s="200" t="s">
        <v>2418</v>
      </c>
    </row>
    <row r="2325" spans="1:1">
      <c r="A2325" s="200" t="s">
        <v>2419</v>
      </c>
    </row>
    <row r="2326" spans="1:1">
      <c r="A2326" s="200" t="s">
        <v>2420</v>
      </c>
    </row>
    <row r="2327" spans="1:1">
      <c r="A2327" s="200" t="s">
        <v>2421</v>
      </c>
    </row>
    <row r="2328" spans="1:1">
      <c r="A2328" s="200" t="s">
        <v>2422</v>
      </c>
    </row>
    <row r="2329" spans="1:1">
      <c r="A2329" s="200" t="s">
        <v>2423</v>
      </c>
    </row>
    <row r="2330" spans="1:1">
      <c r="A2330" s="200" t="s">
        <v>2424</v>
      </c>
    </row>
    <row r="2331" spans="1:1">
      <c r="A2331" s="200" t="s">
        <v>2425</v>
      </c>
    </row>
    <row r="2332" spans="1:1">
      <c r="A2332" s="200" t="s">
        <v>2426</v>
      </c>
    </row>
    <row r="2333" spans="1:1">
      <c r="A2333" s="200" t="s">
        <v>2427</v>
      </c>
    </row>
    <row r="2334" spans="1:1">
      <c r="A2334" s="200" t="s">
        <v>2428</v>
      </c>
    </row>
    <row r="2335" spans="1:1">
      <c r="A2335" s="200" t="s">
        <v>2429</v>
      </c>
    </row>
    <row r="2336" spans="1:1">
      <c r="A2336" s="200" t="s">
        <v>2430</v>
      </c>
    </row>
    <row r="2337" spans="1:1">
      <c r="A2337" s="200" t="s">
        <v>2431</v>
      </c>
    </row>
    <row r="2338" spans="1:1">
      <c r="A2338" s="200" t="s">
        <v>2432</v>
      </c>
    </row>
    <row r="2339" spans="1:1">
      <c r="A2339" s="200" t="s">
        <v>2433</v>
      </c>
    </row>
    <row r="2340" spans="1:1">
      <c r="A2340" s="200" t="s">
        <v>2434</v>
      </c>
    </row>
    <row r="2341" spans="1:1">
      <c r="A2341" s="200" t="s">
        <v>2435</v>
      </c>
    </row>
    <row r="2342" spans="1:1">
      <c r="A2342" s="200" t="s">
        <v>2436</v>
      </c>
    </row>
    <row r="2343" spans="1:1">
      <c r="A2343" s="200" t="s">
        <v>2437</v>
      </c>
    </row>
    <row r="2344" spans="1:1">
      <c r="A2344" s="200" t="s">
        <v>2438</v>
      </c>
    </row>
    <row r="2345" spans="1:1">
      <c r="A2345" s="200" t="s">
        <v>2439</v>
      </c>
    </row>
    <row r="2346" spans="1:1">
      <c r="A2346" s="200" t="s">
        <v>2440</v>
      </c>
    </row>
    <row r="2347" spans="1:1">
      <c r="A2347" s="200" t="s">
        <v>2441</v>
      </c>
    </row>
    <row r="2348" spans="1:1">
      <c r="A2348" s="200" t="s">
        <v>2442</v>
      </c>
    </row>
    <row r="2349" spans="1:1">
      <c r="A2349" s="200" t="s">
        <v>2443</v>
      </c>
    </row>
    <row r="2350" spans="1:1">
      <c r="A2350" s="200" t="s">
        <v>2444</v>
      </c>
    </row>
    <row r="2351" spans="1:1">
      <c r="A2351" s="200" t="s">
        <v>2445</v>
      </c>
    </row>
    <row r="2352" spans="1:1">
      <c r="A2352" s="200" t="s">
        <v>108</v>
      </c>
    </row>
    <row r="2353" spans="1:1">
      <c r="A2353" s="200" t="s">
        <v>2446</v>
      </c>
    </row>
    <row r="2354" spans="1:1">
      <c r="A2354" s="200" t="s">
        <v>2447</v>
      </c>
    </row>
    <row r="2355" spans="1:1">
      <c r="A2355" s="200" t="s">
        <v>2448</v>
      </c>
    </row>
    <row r="2356" spans="1:1">
      <c r="A2356" s="200" t="s">
        <v>2449</v>
      </c>
    </row>
    <row r="2357" spans="1:1">
      <c r="A2357" s="200" t="s">
        <v>2450</v>
      </c>
    </row>
    <row r="2358" spans="1:1">
      <c r="A2358" s="200" t="s">
        <v>2451</v>
      </c>
    </row>
    <row r="2359" spans="1:1">
      <c r="A2359" s="200" t="s">
        <v>2452</v>
      </c>
    </row>
    <row r="2360" spans="1:1">
      <c r="A2360" s="200" t="s">
        <v>2453</v>
      </c>
    </row>
    <row r="2361" spans="1:1">
      <c r="A2361" s="200" t="s">
        <v>2454</v>
      </c>
    </row>
    <row r="2362" spans="1:1">
      <c r="A2362" s="200" t="s">
        <v>2455</v>
      </c>
    </row>
    <row r="2363" spans="1:1">
      <c r="A2363" s="200" t="s">
        <v>2456</v>
      </c>
    </row>
    <row r="2364" spans="1:1">
      <c r="A2364" s="200" t="s">
        <v>2457</v>
      </c>
    </row>
    <row r="2365" spans="1:1">
      <c r="A2365" s="200" t="s">
        <v>2458</v>
      </c>
    </row>
    <row r="2366" spans="1:1">
      <c r="A2366" s="200" t="s">
        <v>2459</v>
      </c>
    </row>
    <row r="2367" spans="1:1">
      <c r="A2367" s="200" t="s">
        <v>2460</v>
      </c>
    </row>
    <row r="2368" spans="1:1">
      <c r="A2368" s="200" t="s">
        <v>2461</v>
      </c>
    </row>
    <row r="2369" spans="1:1">
      <c r="A2369" s="200" t="s">
        <v>2462</v>
      </c>
    </row>
    <row r="2370" spans="1:1">
      <c r="A2370" s="200" t="s">
        <v>2463</v>
      </c>
    </row>
    <row r="2371" spans="1:1">
      <c r="A2371" s="200" t="s">
        <v>2464</v>
      </c>
    </row>
    <row r="2372" spans="1:1">
      <c r="A2372" s="200" t="s">
        <v>2465</v>
      </c>
    </row>
    <row r="2373" spans="1:1">
      <c r="A2373" s="200" t="s">
        <v>2466</v>
      </c>
    </row>
    <row r="2374" spans="1:1">
      <c r="A2374" s="200" t="s">
        <v>2467</v>
      </c>
    </row>
    <row r="2375" spans="1:1">
      <c r="A2375" s="200" t="s">
        <v>2468</v>
      </c>
    </row>
    <row r="2376" spans="1:1">
      <c r="A2376" s="200" t="s">
        <v>2469</v>
      </c>
    </row>
    <row r="2377" spans="1:1">
      <c r="A2377" s="200" t="s">
        <v>2470</v>
      </c>
    </row>
    <row r="2378" spans="1:1">
      <c r="A2378" s="200" t="s">
        <v>2471</v>
      </c>
    </row>
    <row r="2379" spans="1:1">
      <c r="A2379" s="200" t="s">
        <v>2472</v>
      </c>
    </row>
    <row r="2380" spans="1:1">
      <c r="A2380" s="200" t="s">
        <v>120</v>
      </c>
    </row>
    <row r="2381" spans="1:1">
      <c r="A2381" s="200" t="s">
        <v>2473</v>
      </c>
    </row>
    <row r="2382" spans="1:1">
      <c r="A2382" s="200" t="s">
        <v>2474</v>
      </c>
    </row>
    <row r="2383" spans="1:1">
      <c r="A2383" s="200" t="s">
        <v>2475</v>
      </c>
    </row>
    <row r="2384" spans="1:1">
      <c r="A2384" s="200" t="s">
        <v>2476</v>
      </c>
    </row>
    <row r="2385" spans="1:1">
      <c r="A2385" s="200" t="s">
        <v>2477</v>
      </c>
    </row>
    <row r="2386" spans="1:1">
      <c r="A2386" s="200" t="s">
        <v>2478</v>
      </c>
    </row>
    <row r="2387" spans="1:1">
      <c r="A2387" s="200" t="s">
        <v>2479</v>
      </c>
    </row>
    <row r="2388" spans="1:1">
      <c r="A2388" s="200" t="s">
        <v>2480</v>
      </c>
    </row>
    <row r="2389" spans="1:1">
      <c r="A2389" s="200" t="s">
        <v>2481</v>
      </c>
    </row>
    <row r="2390" spans="1:1">
      <c r="A2390" s="200" t="s">
        <v>2482</v>
      </c>
    </row>
    <row r="2391" spans="1:1">
      <c r="A2391" s="200" t="s">
        <v>2483</v>
      </c>
    </row>
    <row r="2392" spans="1:1">
      <c r="A2392" s="200" t="s">
        <v>2484</v>
      </c>
    </row>
    <row r="2393" spans="1:1">
      <c r="A2393" s="200" t="s">
        <v>2485</v>
      </c>
    </row>
    <row r="2394" spans="1:1">
      <c r="A2394" s="200" t="s">
        <v>2486</v>
      </c>
    </row>
    <row r="2395" spans="1:1">
      <c r="A2395" s="200" t="s">
        <v>2487</v>
      </c>
    </row>
    <row r="2396" spans="1:1">
      <c r="A2396" s="200" t="s">
        <v>2488</v>
      </c>
    </row>
    <row r="2397" spans="1:1">
      <c r="A2397" s="200" t="s">
        <v>2489</v>
      </c>
    </row>
    <row r="2398" spans="1:1">
      <c r="A2398" s="200" t="s">
        <v>2490</v>
      </c>
    </row>
    <row r="2399" spans="1:1">
      <c r="A2399" s="200" t="s">
        <v>2491</v>
      </c>
    </row>
    <row r="2400" spans="1:1">
      <c r="A2400" s="200" t="s">
        <v>2492</v>
      </c>
    </row>
    <row r="2401" spans="1:1">
      <c r="A2401" s="200" t="s">
        <v>2493</v>
      </c>
    </row>
    <row r="2402" spans="1:1">
      <c r="A2402" s="200" t="s">
        <v>2494</v>
      </c>
    </row>
    <row r="2403" spans="1:1">
      <c r="A2403" s="200" t="s">
        <v>2495</v>
      </c>
    </row>
    <row r="2404" spans="1:1">
      <c r="A2404" s="200" t="s">
        <v>2496</v>
      </c>
    </row>
    <row r="2405" spans="1:1">
      <c r="A2405" s="200" t="s">
        <v>2497</v>
      </c>
    </row>
    <row r="2406" spans="1:1">
      <c r="A2406" s="200" t="s">
        <v>2498</v>
      </c>
    </row>
    <row r="2407" spans="1:1">
      <c r="A2407" s="200" t="s">
        <v>2499</v>
      </c>
    </row>
    <row r="2408" spans="1:1">
      <c r="A2408" s="200" t="s">
        <v>2500</v>
      </c>
    </row>
    <row r="2409" spans="1:1">
      <c r="A2409" s="200" t="s">
        <v>2501</v>
      </c>
    </row>
    <row r="2410" spans="1:1">
      <c r="A2410" s="200" t="s">
        <v>2502</v>
      </c>
    </row>
    <row r="2411" spans="1:1">
      <c r="A2411" s="200" t="s">
        <v>2503</v>
      </c>
    </row>
    <row r="2412" spans="1:1">
      <c r="A2412" s="200" t="s">
        <v>2504</v>
      </c>
    </row>
    <row r="2413" spans="1:1">
      <c r="A2413" s="200" t="s">
        <v>2505</v>
      </c>
    </row>
    <row r="2414" spans="1:1">
      <c r="A2414" s="200" t="s">
        <v>2506</v>
      </c>
    </row>
    <row r="2415" spans="1:1">
      <c r="A2415" s="200" t="s">
        <v>2507</v>
      </c>
    </row>
    <row r="2416" spans="1:1">
      <c r="A2416" s="200" t="s">
        <v>2508</v>
      </c>
    </row>
    <row r="2417" spans="1:1">
      <c r="A2417" s="200" t="s">
        <v>2509</v>
      </c>
    </row>
    <row r="2418" spans="1:1">
      <c r="A2418" s="200" t="s">
        <v>2510</v>
      </c>
    </row>
    <row r="2419" spans="1:1">
      <c r="A2419" s="200" t="s">
        <v>2511</v>
      </c>
    </row>
    <row r="2420" spans="1:1">
      <c r="A2420" s="200" t="s">
        <v>2512</v>
      </c>
    </row>
    <row r="2421" spans="1:1">
      <c r="A2421" s="200" t="s">
        <v>2513</v>
      </c>
    </row>
    <row r="2422" spans="1:1">
      <c r="A2422" s="200" t="s">
        <v>2514</v>
      </c>
    </row>
    <row r="2423" spans="1:1">
      <c r="A2423" s="200" t="s">
        <v>2515</v>
      </c>
    </row>
    <row r="2424" spans="1:1">
      <c r="A2424" s="200" t="s">
        <v>2516</v>
      </c>
    </row>
    <row r="2425" spans="1:1">
      <c r="A2425" s="200" t="s">
        <v>2517</v>
      </c>
    </row>
    <row r="2426" spans="1:1">
      <c r="A2426" s="200" t="s">
        <v>2518</v>
      </c>
    </row>
    <row r="2427" spans="1:1">
      <c r="A2427" s="200" t="s">
        <v>2519</v>
      </c>
    </row>
    <row r="2428" spans="1:1">
      <c r="A2428" s="200" t="s">
        <v>2520</v>
      </c>
    </row>
    <row r="2429" spans="1:1">
      <c r="A2429" s="200" t="s">
        <v>2521</v>
      </c>
    </row>
    <row r="2430" spans="1:1">
      <c r="A2430" s="200" t="s">
        <v>2522</v>
      </c>
    </row>
    <row r="2431" spans="1:1">
      <c r="A2431" s="200" t="s">
        <v>2523</v>
      </c>
    </row>
    <row r="2432" spans="1:1">
      <c r="A2432" s="200" t="s">
        <v>2524</v>
      </c>
    </row>
    <row r="2433" spans="1:1">
      <c r="A2433" s="200" t="s">
        <v>2525</v>
      </c>
    </row>
    <row r="2434" spans="1:1">
      <c r="A2434" s="200" t="s">
        <v>2526</v>
      </c>
    </row>
    <row r="2435" spans="1:1">
      <c r="A2435" s="200" t="s">
        <v>2527</v>
      </c>
    </row>
    <row r="2436" spans="1:1">
      <c r="A2436" s="200" t="s">
        <v>2528</v>
      </c>
    </row>
    <row r="2437" spans="1:1">
      <c r="A2437" s="200" t="s">
        <v>2529</v>
      </c>
    </row>
    <row r="2438" spans="1:1">
      <c r="A2438" s="200" t="s">
        <v>2530</v>
      </c>
    </row>
    <row r="2439" spans="1:1">
      <c r="A2439" s="200" t="s">
        <v>2531</v>
      </c>
    </row>
    <row r="2440" spans="1:1">
      <c r="A2440" s="200" t="s">
        <v>2532</v>
      </c>
    </row>
    <row r="2441" spans="1:1">
      <c r="A2441" s="200" t="s">
        <v>2533</v>
      </c>
    </row>
    <row r="2442" spans="1:1">
      <c r="A2442" s="200" t="s">
        <v>2534</v>
      </c>
    </row>
    <row r="2443" spans="1:1">
      <c r="A2443" s="200" t="s">
        <v>2535</v>
      </c>
    </row>
    <row r="2444" spans="1:1">
      <c r="A2444" s="200" t="s">
        <v>2536</v>
      </c>
    </row>
    <row r="2445" spans="1:1">
      <c r="A2445" s="200" t="s">
        <v>2537</v>
      </c>
    </row>
    <row r="2446" spans="1:1">
      <c r="A2446" s="200" t="s">
        <v>2538</v>
      </c>
    </row>
    <row r="2447" spans="1:1">
      <c r="A2447" s="200" t="s">
        <v>2539</v>
      </c>
    </row>
    <row r="2448" spans="1:1">
      <c r="A2448" s="200" t="s">
        <v>2540</v>
      </c>
    </row>
    <row r="2449" spans="1:1">
      <c r="A2449" s="200" t="s">
        <v>2541</v>
      </c>
    </row>
    <row r="2450" spans="1:1">
      <c r="A2450" s="200" t="s">
        <v>2542</v>
      </c>
    </row>
    <row r="2451" spans="1:1">
      <c r="A2451" s="200" t="s">
        <v>2543</v>
      </c>
    </row>
    <row r="2452" spans="1:1">
      <c r="A2452" s="200" t="s">
        <v>2544</v>
      </c>
    </row>
    <row r="2453" spans="1:1">
      <c r="A2453" s="200" t="s">
        <v>2545</v>
      </c>
    </row>
    <row r="2454" spans="1:1">
      <c r="A2454" s="200" t="s">
        <v>2546</v>
      </c>
    </row>
    <row r="2455" spans="1:1">
      <c r="A2455" s="200" t="s">
        <v>2547</v>
      </c>
    </row>
    <row r="2456" spans="1:1">
      <c r="A2456" s="200" t="s">
        <v>2548</v>
      </c>
    </row>
    <row r="2457" spans="1:1">
      <c r="A2457" s="200" t="s">
        <v>2549</v>
      </c>
    </row>
    <row r="2458" spans="1:1">
      <c r="A2458" s="200" t="s">
        <v>2550</v>
      </c>
    </row>
    <row r="2459" spans="1:1">
      <c r="A2459" s="200" t="s">
        <v>2551</v>
      </c>
    </row>
    <row r="2460" spans="1:1">
      <c r="A2460" s="200" t="s">
        <v>2552</v>
      </c>
    </row>
    <row r="2461" spans="1:1">
      <c r="A2461" s="200" t="s">
        <v>2553</v>
      </c>
    </row>
    <row r="2462" spans="1:1">
      <c r="A2462" s="200" t="s">
        <v>2554</v>
      </c>
    </row>
    <row r="2463" spans="1:1">
      <c r="A2463" s="200" t="s">
        <v>2555</v>
      </c>
    </row>
    <row r="2464" spans="1:1">
      <c r="A2464" s="200" t="s">
        <v>2556</v>
      </c>
    </row>
    <row r="2465" spans="1:1">
      <c r="A2465" s="200" t="s">
        <v>2557</v>
      </c>
    </row>
    <row r="2466" spans="1:1">
      <c r="A2466" s="200" t="s">
        <v>2558</v>
      </c>
    </row>
    <row r="2467" spans="1:1">
      <c r="A2467" s="200" t="s">
        <v>2559</v>
      </c>
    </row>
    <row r="2468" spans="1:1">
      <c r="A2468" s="200" t="s">
        <v>2560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1EE8249-7A52-46C6-A3BE-51E23387C428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Charles</cp:lastModifiedBy>
  <dcterms:created xsi:type="dcterms:W3CDTF">2018-03-13T03:44:43Z</dcterms:created>
  <dcterms:modified xsi:type="dcterms:W3CDTF">2018-05-16T09:44:23Z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{11EE8249-7A52-46C6-A3BE-51E23387C428}</vt:lpwstr>
  </property>
  <property fmtid="{D5CDD505-2E9C-101B-9397-08002B2CF9AE}" pid="5" name="EditConnectionInfosXmlPartId">
    <vt:lpwstr>{96D16F65-25AF-4051-82E6-9405E905A807}</vt:lpwstr>
  </property>
</Properties>
</file>