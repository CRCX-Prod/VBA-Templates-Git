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0_ncr:8100000_{D5C5C3EB-4F2D-4A67-AFDA-244D28508ADF}" xr6:coauthVersionLast="33" xr6:coauthVersionMax="33" xr10:uidLastSave="{00000000-0000-0000-0000-000000000000}"/>
  <bookViews>
    <workbookView xWindow="0" yWindow="0" windowWidth="20490" windowHeight="7530" tabRatio="710" activeTab="9" xr2:uid="{00000000-000D-0000-FFFF-FFFF00000000}"/>
  </bookViews>
  <sheets>
    <sheet name="Main" sheetId="19" r:id="rId1"/>
    <sheet name="New Colo Form" sheetId="17" r:id="rId2"/>
    <sheet name="SAQ" sheetId="29" r:id="rId3"/>
    <sheet name="RF" sheetId="28" r:id="rId4"/>
    <sheet name="Power" sheetId="30" r:id="rId5"/>
    <sheet name="Structural" sheetId="32" r:id="rId6"/>
    <sheet name="CW" sheetId="33" r:id="rId7"/>
    <sheet name="Community" sheetId="41" r:id="rId8"/>
    <sheet name="Validation" sheetId="66" state="veryHidden" r:id="rId9"/>
    <sheet name="Review List" sheetId="24" r:id="rId10"/>
    <sheet name="Admin" sheetId="64" r:id="rId11"/>
    <sheet name="Sheet1" sheetId="65" state="veryHidden" r:id="rId12"/>
  </sheets>
  <functionGroups builtInGroupCount="19"/>
  <definedNames>
    <definedName name="_xlnm._FilterDatabase" localSheetId="10" hidden="1">Admin!$A$15:$H$15</definedName>
    <definedName name="_xlnm._FilterDatabase" localSheetId="7" hidden="1">Community!$A$15:$G$15</definedName>
    <definedName name="_xlnm._FilterDatabase" localSheetId="6" hidden="1">CW!$A$15:$F$15</definedName>
    <definedName name="_xlnm._FilterDatabase" localSheetId="4" hidden="1">Power!$A$15:$G$15</definedName>
    <definedName name="_xlnm._FilterDatabase" localSheetId="9" hidden="1">'Review List'!$A$15:$H$15</definedName>
    <definedName name="_xlnm._FilterDatabase" localSheetId="3" hidden="1">RF!$A$15:$G$15</definedName>
    <definedName name="_xlnm._FilterDatabase" localSheetId="2" hidden="1">SAQ!$A$15:$G$15</definedName>
    <definedName name="_xlnm._FilterDatabase" localSheetId="5" hidden="1">Structural!$A$15:$G$15</definedName>
    <definedName name="_xlnm._FilterDatabase" localSheetId="8" hidden="1">Validation!$A$15:$H$15</definedName>
    <definedName name="ExternalData_1" localSheetId="0" hidden="1">Main!#REF!</definedName>
    <definedName name="ExternalData_2" localSheetId="0" hidden="1">Main!#REF!</definedName>
  </definedNames>
  <calcPr calcId="162913"/>
</workbook>
</file>

<file path=xl/calcChain.xml><?xml version="1.0" encoding="utf-8"?>
<calcChain xmlns="http://schemas.openxmlformats.org/spreadsheetml/2006/main">
  <c r="D12" i="17" l="1"/>
  <c r="D5" i="66" l="1"/>
  <c r="C5" i="66"/>
  <c r="B5" i="66"/>
  <c r="D4" i="66"/>
  <c r="C4" i="66"/>
  <c r="B4" i="66"/>
  <c r="A4" i="66"/>
  <c r="D5" i="24" l="1"/>
  <c r="D4" i="24"/>
  <c r="C4" i="64" l="1"/>
  <c r="C5" i="64" s="1"/>
  <c r="B4" i="64"/>
  <c r="B5" i="64" s="1"/>
  <c r="A4" i="64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<sst xmlns="http://schemas.openxmlformats.org/spreadsheetml/2006/main" count="1355" uniqueCount="296">
  <si>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</si>
  <si>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</si>
  <si>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</si>
  <si>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</si>
  <si>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</si>
  <si>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</si>
  <si>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</si>
  <si>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</si>
  <si>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</si>
  <si>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</si>
  <si>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</si>
  <si>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</si>
  <si>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</si>
  <si>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</si>
  <si>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</si>
  <si>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</si>
  <si>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</si>
  <si>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</si>
  <si>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</si>
  <si>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</si>
  <si>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</si>
  <si>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</si>
  <si>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</si>
  <si>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</si>
  <si>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</si>
  <si>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</si>
  <si>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</si>
  <si>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</si>
  <si>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</si>
  <si>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</si>
  <si>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</si>
  <si>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</si>
  <si>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</si>
  <si>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</si>
  <si>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</si>
  <si>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</si>
  <si>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</si>
  <si>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</si>
  <si>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</si>
  <si>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</si>
  <si>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</si>
  <si>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</si>
  <si>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</si>
  <si>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</si>
  <si>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</si>
  <si>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</si>
  <si>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</si>
  <si>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</si>
  <si>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</si>
  <si>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</si>
  <si>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</si>
  <si>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</si>
  <si>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</si>
  <si>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</si>
  <si>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</si>
  <si>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</si>
  <si>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</si>
  <si>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</si>
  <si>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</si>
  <si>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</si>
  <si>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</si>
  <si>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</si>
  <si>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</si>
  <si>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</si>
  <si>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</si>
  <si>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</si>
  <si>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</si>
  <si>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</si>
  <si>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</si>
  <si>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</si>
  <si>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</si>
  <si>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</si>
  <si>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</si>
  <si>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</si>
  <si>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</si>
  <si>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</si>
  <si>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</si>
  <si>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</si>
  <si>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</si>
  <si>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</si>
  <si>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</si>
  <si>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</si>
  <si>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</si>
  <si>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</si>
  <si>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</si>
  <si>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Password</t>
  </si>
  <si>
    <t>New Colo Form</t>
  </si>
  <si>
    <t>Community</t>
  </si>
  <si>
    <t>06id</t>
  </si>
  <si>
    <t>Login</t>
  </si>
  <si>
    <t>Admin</t>
  </si>
  <si>
    <t>06preva_admin</t>
  </si>
  <si>
    <t>New_Colo_Form</t>
  </si>
  <si>
    <t>Community Remarks</t>
  </si>
  <si>
    <t>Status</t>
  </si>
  <si>
    <t>ACRK_0023</t>
  </si>
  <si>
    <t>Mytel</t>
  </si>
  <si>
    <t>OK</t>
  </si>
  <si>
    <t>04-Apr-18: Okay for TI installation,  Lease hike request may raise while TI installation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</si>
  <si>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</si>
  <si>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</si>
  <si>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</si>
  <si>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</si>
  <si>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</si>
  <si>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</si>
  <si>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</si>
  <si>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</si>
  <si>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</si>
  <si>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</si>
  <si>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</si>
  <si>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</si>
  <si>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</si>
  <si>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</si>
  <si>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</si>
  <si>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</si>
  <si>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</si>
  <si>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</si>
  <si>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</si>
  <si>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MDY0760</t>
  </si>
  <si>
    <t>AYYN_0269</t>
  </si>
  <si>
    <t>YGNINSN052</t>
  </si>
  <si>
    <t>Amara</t>
  </si>
  <si>
    <t>AYYN_0171</t>
  </si>
  <si>
    <t>YGN01927</t>
  </si>
  <si>
    <t>ANSG_0355</t>
  </si>
  <si>
    <t>SGG01165</t>
  </si>
  <si>
    <t>AYYN_0099</t>
  </si>
  <si>
    <t>YGN02508</t>
  </si>
  <si>
    <t>AYYN_0251</t>
  </si>
  <si>
    <t>YGN01769</t>
  </si>
  <si>
    <t>YGN02364</t>
  </si>
  <si>
    <t>ANMD_0224</t>
  </si>
  <si>
    <t>MAW2259</t>
  </si>
  <si>
    <t>OML</t>
  </si>
  <si>
    <t>ASMO_0163</t>
  </si>
  <si>
    <t>MOW6065</t>
  </si>
  <si>
    <t>AYYN_0338</t>
  </si>
  <si>
    <t>YAW4265</t>
  </si>
  <si>
    <t>AYYN_0611</t>
  </si>
  <si>
    <t>YAW4436</t>
  </si>
  <si>
    <t>AYYN_0529</t>
  </si>
  <si>
    <t>YAW4447</t>
  </si>
  <si>
    <t>ANSG_0380</t>
  </si>
  <si>
    <t>SAW0729</t>
  </si>
  <si>
    <t>ANSG_0343</t>
  </si>
  <si>
    <t>SAW0697</t>
  </si>
  <si>
    <t>ANNP_0252</t>
  </si>
  <si>
    <t>AYYN_0135</t>
  </si>
  <si>
    <t>YGN02071</t>
  </si>
  <si>
    <t>ANKC_0017</t>
  </si>
  <si>
    <t>KCN0349</t>
  </si>
  <si>
    <t>ANMD_0073</t>
  </si>
  <si>
    <t>MDY0002</t>
  </si>
  <si>
    <t>ANMD_0088</t>
  </si>
  <si>
    <t>MDY0023</t>
  </si>
  <si>
    <t>ANMG_0024</t>
  </si>
  <si>
    <t>MGY0153</t>
  </si>
  <si>
    <t>ANMG_0187</t>
  </si>
  <si>
    <t>MGY0444</t>
  </si>
  <si>
    <t>ANSH_0034</t>
  </si>
  <si>
    <t>SHN1065</t>
  </si>
  <si>
    <t>ACBA_0052</t>
  </si>
  <si>
    <t>BGO0947</t>
  </si>
  <si>
    <t>ACBA_0118</t>
  </si>
  <si>
    <t>BGO0948</t>
  </si>
  <si>
    <t>ACBA_0075</t>
  </si>
  <si>
    <t>BGO0949</t>
  </si>
  <si>
    <t>ACBA_0073</t>
  </si>
  <si>
    <t>BGO0950</t>
  </si>
  <si>
    <t>ACBA_0067</t>
  </si>
  <si>
    <t>BGO0965</t>
  </si>
  <si>
    <t>ACBA_0124</t>
  </si>
  <si>
    <t>BGO0970</t>
  </si>
  <si>
    <t>ANNP_0243</t>
  </si>
  <si>
    <t>NPW0263</t>
  </si>
  <si>
    <t>ANNP_0241</t>
  </si>
  <si>
    <t>NPW0264</t>
  </si>
  <si>
    <t>ASMO_0202</t>
  </si>
  <si>
    <t>MOW6163</t>
  </si>
  <si>
    <t>ANSH_0016</t>
  </si>
  <si>
    <t>SHW1189</t>
  </si>
  <si>
    <t>ANMD_0122</t>
  </si>
  <si>
    <t>MDY0080</t>
  </si>
  <si>
    <t>ANMD_0166</t>
  </si>
  <si>
    <t>MDY0188</t>
  </si>
  <si>
    <t>ANMD_0080</t>
  </si>
  <si>
    <t>MDY0299</t>
  </si>
  <si>
    <t>ANMD_0004</t>
  </si>
  <si>
    <t>MDY0338</t>
  </si>
  <si>
    <t>AYYN_0527</t>
  </si>
  <si>
    <t>YAW7098</t>
  </si>
  <si>
    <t>ASKA_0137</t>
  </si>
  <si>
    <t>KNW6140</t>
  </si>
  <si>
    <t>Review</t>
  </si>
  <si>
    <t>47-50M</t>
  </si>
  <si>
    <t>Proceed.  Order Eqpt &amp; U/G later - DG &amp; Batt UG 1200Ah</t>
  </si>
  <si>
    <t>No</t>
  </si>
  <si>
    <t>Only if grid connected</t>
  </si>
  <si>
    <t>23-27M</t>
  </si>
  <si>
    <t>Proceed.  Order Eqpt &amp; U/G later - Batt UG 1200AH</t>
  </si>
  <si>
    <t>Need to provide new equipment slab</t>
  </si>
  <si>
    <t>Proceed.  Order Eqpt &amp; U/G later - DG &amp; Batt 1200Ah</t>
  </si>
  <si>
    <t>17-21M</t>
  </si>
  <si>
    <t>Review-EPA over desing need to check tower</t>
  </si>
  <si>
    <t>Proceed.  Order Eqpt &amp; U/G later - Flex24 &amp; Batt 1200Ah</t>
  </si>
  <si>
    <t>Need to provide additional cable tray</t>
  </si>
  <si>
    <t>Rejected</t>
  </si>
  <si>
    <t>with macro Solution</t>
  </si>
  <si>
    <t>GMT</t>
  </si>
  <si>
    <t>Proceed.  Order Eqpt &amp; U/G later - Flex21 &amp; Batt 1200Ah</t>
  </si>
  <si>
    <t>45-50M</t>
  </si>
  <si>
    <t>42-45</t>
  </si>
  <si>
    <t>new 3M Pole//Need to Review</t>
  </si>
  <si>
    <t>Review-RTP</t>
  </si>
  <si>
    <t xml:space="preserve">Proceed. Order Eqpt &amp; U/G later - Add Lio4 batteries </t>
  </si>
  <si>
    <t>RF-25M-30M//MW-can get higher</t>
  </si>
  <si>
    <t>Proceed. Swap existing 1200AH BB re order batteries for stock</t>
  </si>
  <si>
    <t>RF &amp; MW-48-53M</t>
  </si>
  <si>
    <t xml:space="preserve">Proceed.  Order Eqpt &amp; U/G later </t>
  </si>
  <si>
    <t>Need to provide additional equipment slab and cable tray</t>
  </si>
  <si>
    <t>31-35</t>
  </si>
  <si>
    <t>Proceed.  Order Eqpt &amp; U/G later  - BB U/G 1200AH &amp; Grid Con</t>
  </si>
  <si>
    <t>RF-15M-20M// MW-can get higher</t>
  </si>
  <si>
    <t>Proceed.  Order Eqpt &amp; U/G later  - swap 600AH</t>
  </si>
  <si>
    <t>25-28//Under 16M</t>
  </si>
  <si>
    <t>20-23</t>
  </si>
  <si>
    <t>Proceed.  Order Eqpt &amp; U/G later - Swap to GP PE</t>
  </si>
  <si>
    <t>Owner did not accept Contract extension</t>
  </si>
  <si>
    <t>Contractual issue with the owner, to check with Saq</t>
  </si>
  <si>
    <t>45M (New Pole)</t>
  </si>
  <si>
    <t>Not possible to UG PE no access no space</t>
  </si>
  <si>
    <t>Need to Provide additional pole, cable tray and equipment slab</t>
  </si>
  <si>
    <t>6m Pole + 18.6m (Building ht)</t>
  </si>
  <si>
    <t>Pole over load</t>
  </si>
  <si>
    <t>Rejected (No space on the Rooftop)</t>
  </si>
  <si>
    <t>6m Pole + 22.2m (building ht)</t>
  </si>
  <si>
    <t>No ETA</t>
  </si>
  <si>
    <t xml:space="preserve">Awaiting VISION Lio4 option to arrive no ETA </t>
  </si>
  <si>
    <t>6m Pole + 23.75m (Building ht)</t>
  </si>
  <si>
    <t>Need to Provide additional cable tray and equipment slab</t>
  </si>
  <si>
    <t>23-26.5</t>
  </si>
  <si>
    <t>Proceed. Order Eqpt &amp; U/G later - 1200AH Swap.  30KVA DG</t>
  </si>
  <si>
    <t>Building HT. 34 + 6m Pole</t>
  </si>
  <si>
    <t>Need to extend equipment slab between Tower beam and existing equipment slab</t>
  </si>
  <si>
    <t>24/7 DG restriction and long grid outages</t>
  </si>
  <si>
    <t>ACDB &amp; Smart meter installation planned for WK12</t>
  </si>
  <si>
    <t>Proceed</t>
  </si>
  <si>
    <t>Required Latest Audit Report</t>
  </si>
  <si>
    <t>BB to order</t>
  </si>
  <si>
    <t xml:space="preserve">24KW PE UG required </t>
  </si>
  <si>
    <t>Proceed. Order Eqpt &amp; U/G later - EOL Swap 600AH -  20KVA DG</t>
  </si>
  <si>
    <t>Ok with easy Macro solution</t>
  </si>
  <si>
    <t>Ready 28 March</t>
  </si>
  <si>
    <t xml:space="preserve">PE UG required - 30 March </t>
  </si>
  <si>
    <t xml:space="preserve">PE UG required  ready 1 week after colo approval </t>
  </si>
  <si>
    <t>36KW + 40Kva DG</t>
  </si>
  <si>
    <t>DG noise issue</t>
  </si>
  <si>
    <t xml:space="preserve">PE UG required - ready 30 March </t>
  </si>
  <si>
    <t>OML need to put small RF 5.4m2</t>
  </si>
  <si>
    <t>Add Lio4 mods</t>
  </si>
  <si>
    <t>Proceed. Order Eqpt &amp; U/G later - Swap &amp; Expand to 1200AH</t>
  </si>
  <si>
    <t>Yes</t>
  </si>
  <si>
    <t>Normal Slab and need to extend</t>
  </si>
  <si>
    <t>Rent increase to be negotiated for operator</t>
  </si>
  <si>
    <t>Ok</t>
  </si>
  <si>
    <t>FC WK19-20</t>
  </si>
  <si>
    <t xml:space="preserve">PE UG required. Need to re-order </t>
  </si>
  <si>
    <t>22-27m</t>
  </si>
  <si>
    <t>READY</t>
  </si>
  <si>
    <t>Ready for Mytel 08 Nov 17</t>
  </si>
  <si>
    <t>Extension not required</t>
  </si>
  <si>
    <t>DG &amp; BB UG required need to re-order</t>
  </si>
  <si>
    <t>Need to check Pole Availabilty</t>
  </si>
  <si>
    <t>PE UG required. Need to re-order  DG-N/A</t>
  </si>
  <si>
    <t>MW can get higher height for LOS</t>
  </si>
  <si>
    <t>only Macro Antenna Solution, MW can get higher height for LOS</t>
  </si>
  <si>
    <t>Review GMT if with small Rf will ok</t>
  </si>
  <si>
    <t>PE UG required. Need to re-order  DG-N/A 24/7 run restriction</t>
  </si>
  <si>
    <t>3-Leg free(ABC)</t>
  </si>
  <si>
    <t xml:space="preserve">1 week </t>
  </si>
  <si>
    <t>Please confirm OML old request OK for MYTEL only</t>
  </si>
  <si>
    <t>3-Leg free(ABC), MW can get higher space</t>
  </si>
  <si>
    <t>Initially BB UG required PE sys UG later</t>
  </si>
  <si>
    <t>3-Leg free(ACD)</t>
  </si>
  <si>
    <t>Review-EPA almost over desing need to check tower</t>
  </si>
  <si>
    <t>DG UG required</t>
  </si>
  <si>
    <t>RT need to check</t>
  </si>
  <si>
    <t>PE upgrade required material order required.</t>
  </si>
  <si>
    <t>PE UG required material arriving WK26</t>
  </si>
  <si>
    <t xml:space="preserve"> </t>
  </si>
  <si>
    <t>PE UG required material in stock</t>
  </si>
  <si>
    <t>DG &amp; BB upgrade required material in stock - to be re ordered</t>
  </si>
  <si>
    <t>BB expansion required, rooftop site BA &amp; check with region for available space to add cabinet.</t>
  </si>
  <si>
    <t>PE expansion required, rooftop site BA &amp; check with region for available space to add cabinet.</t>
  </si>
  <si>
    <t>Need to verify owners DG  capacity to be added to our PE sys</t>
  </si>
  <si>
    <t>In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</si>
</sst>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58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9" fillId="0" borderId="0" xfId="33833" applyFill="1"/>
    <xf numFmtId="302" fontId="0" fillId="0" borderId="0" xfId="0" applyNumberFormat="1" applyFill="1" applyAlignment="1">
      <alignment horizontal="center"/>
    </xf>
    <xf numFmtId="302" fontId="0" fillId="0" borderId="0" xfId="0" applyNumberFormat="1" applyFill="1" applyBorder="1" applyAlignment="1">
      <alignment horizontal="center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4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42"/>
      <tableStyleElement type="headerRow" dxfId="14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0</xdr:row>
          <xdr:rowOff>142875</xdr:rowOff>
        </xdr:from>
        <xdr:to>
          <xdr:col>6</xdr:col>
          <xdr:colOff>2105025</xdr:colOff>
          <xdr:row>2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7</xdr:col>
          <xdr:colOff>1333500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8</xdr:col>
          <xdr:colOff>104775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333375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11</xdr:row>
          <xdr:rowOff>142875</xdr:rowOff>
        </xdr:from>
        <xdr:to>
          <xdr:col>7</xdr:col>
          <xdr:colOff>1114425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6</xdr:col>
          <xdr:colOff>2105025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8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8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73" totalsRowShown="0" headerRowDxfId="140" dataDxfId="139">
  <autoFilter ref="A15:G73" xr:uid="{00000000-0009-0000-0100-000004000000}"/>
  <sortState ref="A16:F16">
    <sortCondition descending="1" ref="A15:A16"/>
  </sortState>
  <tableColumns count="7">
    <tableColumn id="1" xr3:uid="{811E863A-D365-4915-BD78-A58590C01AB0}" name="Request ID" dataDxfId="138"/>
    <tableColumn id="2" xr3:uid="{E7966634-07A9-4C93-855F-9CDB4828F725}" name="AT Site ID" dataDxfId="137"/>
    <tableColumn id="3" xr3:uid="{EC128D09-7CC4-499A-A531-43DA519664FF}" name="New Colo ID" dataDxfId="136"/>
    <tableColumn id="4" xr3:uid="{E8A81BD2-83F4-4FEA-AF7E-7D952F92E252}" name="Operator" dataDxfId="135"/>
    <tableColumn id="5" xr3:uid="{CBF9F489-974A-4DA3-B4E5-0178120EF901}" name="Request Date" dataDxfId="134"/>
    <tableColumn id="6" xr3:uid="{C4AB0F84-2E33-4924-9396-7AC4A1614301}" name="Result" dataDxfId="133"/>
    <tableColumn id="7" xr3:uid="{4CA12E37-ED08-4EBD-92DB-86BAFB0F8DB1}" name="Remark" dataDxfId="132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131" dataDxfId="130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129"/>
    <tableColumn id="2" xr3:uid="{9B93582E-606D-4A7B-BDA7-82D9DB532D23}" name="AT Site ID" dataDxfId="128"/>
    <tableColumn id="3" xr3:uid="{9DAFCA2B-F527-4B44-8E9B-131091A8D206}" name="New Colo ID" dataDxfId="127"/>
    <tableColumn id="4" xr3:uid="{EB70A208-618A-4BFC-8BAD-53D7EBC0B6CB}" name="Operator" dataDxfId="126"/>
    <tableColumn id="5" xr3:uid="{2DE1FAEE-112B-4587-8754-9BA95C65421A}" name="Request Date" dataDxfId="125"/>
    <tableColumn id="6" xr3:uid="{58F60828-434D-417C-826C-590D275CAE55}" name="Lower Requested" dataDxfId="124"/>
    <tableColumn id="7" xr3:uid="{61ECC800-EC1F-4E2F-B75F-70C392039363}" name="Upper Requested" dataDxfId="123"/>
    <tableColumn id="12" xr3:uid="{B2544BB3-99C0-49D4-B371-08C8321ED0F6}" name="Lower Suggested" dataDxfId="122"/>
    <tableColumn id="11" xr3:uid="{EF049CB9-45D2-4E42-9BDC-20C71D25F3C8}" name="Upper Suggested" dataDxfId="121"/>
    <tableColumn id="9" xr3:uid="{14F69D66-9D13-4927-A4DE-C37BAFD5643A}" name="Result" dataDxfId="120"/>
    <tableColumn id="10" xr3:uid="{74F6630E-B943-4433-B936-329C1C051024}" name="Remark" dataDxfId="119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totalsRowShown="0" headerRowDxfId="118" dataDxfId="117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116"/>
    <tableColumn id="2" xr3:uid="{B53B615F-2CAC-4406-8C93-6C1FC057239A}" name="AT Site ID" dataDxfId="115"/>
    <tableColumn id="3" xr3:uid="{65CFF142-677D-47F1-ACF7-6970A6F5D768}" name="New Colo ID" dataDxfId="114"/>
    <tableColumn id="4" xr3:uid="{5C9E67B8-F817-46CB-AEB1-89D12D7E3019}" name="Operator" dataDxfId="113"/>
    <tableColumn id="5" xr3:uid="{28E477A8-3980-4739-A19D-01D3090EFAAD}" name="Request Date" dataDxfId="112"/>
    <tableColumn id="6" xr3:uid="{A5CF72A2-E2BB-4AA9-A328-D394055A9CBE}" name="Power Requested" dataDxfId="111"/>
    <tableColumn id="7" xr3:uid="{A298FE80-5AD0-409A-934D-136A1F01F595}" name="Power Suggested" dataDxfId="110"/>
    <tableColumn id="12" xr3:uid="{CCB23754-642F-4B56-8AB0-8C8FC31C8E19}" name="Power Forecast after Colo Approval" dataDxfId="109"/>
    <tableColumn id="9" xr3:uid="{CB3AEF1B-C76C-462E-9073-E332199C9CD6}" name="Power Result" dataDxfId="108"/>
    <tableColumn id="10" xr3:uid="{601A1E8D-25B3-40A2-A0A8-685B9956D0A8}" name="Power Remarks" dataDxfId="107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106" dataDxfId="105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104"/>
    <tableColumn id="2" xr3:uid="{44C23393-58CC-4E9C-9335-BCED2EBA3151}" name="AT Site ID" dataDxfId="103"/>
    <tableColumn id="3" xr3:uid="{680CE725-4044-4C7F-BE41-DA5D52291CAD}" name="New Colo ID" dataDxfId="102"/>
    <tableColumn id="4" xr3:uid="{38B5B7D2-AA91-4F7F-9235-EFADCB3FF576}" name="Operator" dataDxfId="101"/>
    <tableColumn id="5" xr3:uid="{7F8FE039-8E16-4239-977F-1D91BCA271DB}" name="Request Date" dataDxfId="100"/>
    <tableColumn id="6" xr3:uid="{4976883E-39F8-43BE-A748-405396942E2A}" name="EPA Requested" dataDxfId="99"/>
    <tableColumn id="7" xr3:uid="{443195DE-C8A6-4862-A1DD-397BAF6DD818}" name="EPA Suggested" dataDxfId="98"/>
    <tableColumn id="12" xr3:uid="{869485E8-8A73-4552-B997-74A7B7C453F7}" name="Result" dataDxfId="97"/>
    <tableColumn id="11" xr3:uid="{74C6FC27-0651-4B88-BADD-BF88F4CEDDC3}" name="Remarks" dataDxfId="96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95" dataDxfId="94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93"/>
    <tableColumn id="2" xr3:uid="{B96892EF-FBDF-4D82-B5D4-211E99963FB1}" name="AT Site ID" dataDxfId="92"/>
    <tableColumn id="3" xr3:uid="{CAA4BDD5-1EBC-4A66-B13E-B4DC337B07F1}" name="New Colo ID" dataDxfId="91"/>
    <tableColumn id="4" xr3:uid="{2D592235-40E1-476C-854B-67AE8FBD6BFD}" name="Operator" dataDxfId="90"/>
    <tableColumn id="5" xr3:uid="{F619533D-E78E-457E-A9D6-5B030ACB6955}" name="Request Date" dataDxfId="89"/>
    <tableColumn id="7" xr3:uid="{45B8D8C2-4E07-4E0F-BF3A-C53F19CC985E}" name="Extension Needed" dataDxfId="88"/>
    <tableColumn id="12" xr3:uid="{B2B29B6E-AA32-45D2-B41D-4D4B6BEA208C}" name="Result" dataDxfId="87"/>
    <tableColumn id="11" xr3:uid="{F0DF3373-D071-4163-838F-2525ACA483B4}" name="Remarks" dataDxfId="8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85" dataDxfId="84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83"/>
    <tableColumn id="2" xr3:uid="{466103CA-2DB8-4850-AA96-AAAB5BD069F6}" name="AT Site ID" dataDxfId="82"/>
    <tableColumn id="3" xr3:uid="{009E750E-B0DA-41C3-8983-B16F48D91D4E}" name="New Colo ID" dataDxfId="81"/>
    <tableColumn id="4" xr3:uid="{4F38A543-2600-4285-BE24-53848CB80681}" name="Operator" dataDxfId="80"/>
    <tableColumn id="5" xr3:uid="{6FD14351-99EA-43B7-B7F6-EE7838D08EE4}" name="Request Date" dataDxfId="79"/>
    <tableColumn id="6" xr3:uid="{142441B5-AEAA-4D76-8D6D-D9BF33ED52A4}" name="Result" dataDxfId="78"/>
    <tableColumn id="7" xr3:uid="{1C61A15F-C6D3-49B3-890F-C2CAE588B31C}" name="Remark" dataDxfId="77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E9083-D6A3-4176-8483-967D7B294A22}" name="Table352" displayName="Table352" ref="A15:AA16" insertRow="1" totalsRowShown="0" headerRowDxfId="76" dataDxfId="75">
  <autoFilter ref="A15:AA16" xr:uid="{00000000-0009-0000-0100-000004000000}"/>
  <sortState ref="A16:F16">
    <sortCondition descending="1" ref="A15:A16"/>
  </sortState>
  <tableColumns count="27">
    <tableColumn id="1" xr3:uid="{C5681D91-F9F9-4A40-B038-B3AF45904A76}" name="Request ID" dataDxfId="74"/>
    <tableColumn id="2" xr3:uid="{A3E7317B-C39E-4789-A732-B16E44547DE0}" name="AT Site ID" dataDxfId="73"/>
    <tableColumn id="3" xr3:uid="{8FFA1734-AB17-46DA-A7B9-1D147C2DF446}" name="New Colo ID" dataDxfId="72"/>
    <tableColumn id="4" xr3:uid="{ED1C88E5-3E5F-478E-91BA-E813D8013B76}" name="Operator" dataDxfId="71"/>
    <tableColumn id="5" xr3:uid="{8B27D049-4DE2-4CA3-B695-1C0ED8C736C2}" name="Request Date" dataDxfId="70"/>
    <tableColumn id="6" xr3:uid="{F30C2B6A-382D-4273-8CCD-6192BBC73E2F}" name="Power Requested" dataDxfId="69"/>
    <tableColumn id="7" xr3:uid="{FDD702B9-A760-49BB-8B1B-32D0C2F1C8BA}" name="Lower Space" dataDxfId="68"/>
    <tableColumn id="8" xr3:uid="{AC168AE6-3E9B-4D6F-BB2A-158A03C57171}" name="Upper Space" dataDxfId="67"/>
    <tableColumn id="27" xr3:uid="{008C491B-BF13-47A6-A701-D86210554DD5}" name="Status" dataDxfId="66"/>
    <tableColumn id="9" xr3:uid="{2EFD9F96-ADCE-4A0A-B5A1-9ADBA6CF44B7}" name="SAQ" dataDxfId="65"/>
    <tableColumn id="10" xr3:uid="{F6BC5858-36D7-43E4-B989-E8E3B9F539D6}" name="RF" dataDxfId="64"/>
    <tableColumn id="11" xr3:uid="{EDD16541-B62D-48E2-8EBD-476A2BA935EF}" name="Structural" dataDxfId="63"/>
    <tableColumn id="12" xr3:uid="{42584B0E-6588-4A17-947B-EC00A7F29BB0}" name="Power" dataDxfId="62"/>
    <tableColumn id="13" xr3:uid="{CE9D6E51-86B4-48D7-A3C7-84F972BC94F5}" name="CW" dataDxfId="61"/>
    <tableColumn id="25" xr3:uid="{95840C1F-A0F6-44CC-93F7-0FC1B23B5414}" name="Community" dataDxfId="60"/>
    <tableColumn id="14" xr3:uid="{16CE7DA2-6752-4D3D-A122-260D1497E8D2}" name="SAQ Remarks" dataDxfId="59"/>
    <tableColumn id="15" xr3:uid="{04B3C910-2B02-4618-857A-97123AF7BB76}" name="Lower Suggested" dataDxfId="58"/>
    <tableColumn id="16" xr3:uid="{77A387F9-D7DB-480B-BDEA-C4AAF5E0926A}" name="Upper Suggested" dataDxfId="57"/>
    <tableColumn id="17" xr3:uid="{2832E258-6FD5-44C9-89A1-CA2EF70C9FE8}" name="RF Remarks" dataDxfId="56"/>
    <tableColumn id="18" xr3:uid="{70CBB6FC-BE3C-4E98-AEAE-4789F087F840}" name="Structural EPA" dataDxfId="55"/>
    <tableColumn id="19" xr3:uid="{982808D6-46AA-4149-86FF-558AE5FF5304}" name="Structural Remarks" dataDxfId="54"/>
    <tableColumn id="20" xr3:uid="{EAFBCE76-EA9E-406A-9F80-C86F2F16D35E}" name="Power Suggested" dataDxfId="53"/>
    <tableColumn id="21" xr3:uid="{2C8E383F-224C-4E48-9FC1-1807ABE271FE}" name="Power Forecast after Colo Approval" dataDxfId="52"/>
    <tableColumn id="22" xr3:uid="{2C86F6DA-BC4D-4D02-AB59-AF42D4EBA476}" name="Power Remarks" dataDxfId="51"/>
    <tableColumn id="23" xr3:uid="{A28FCBBF-B0F2-42B5-A1FD-3BAE2D075B98}" name="Extension Needed" dataDxfId="50"/>
    <tableColumn id="24" xr3:uid="{C889CEE3-86D7-4DB6-924E-990CD3B6DA5A}" name="CW Remarks" dataDxfId="49"/>
    <tableColumn id="26" xr3:uid="{E3FDC4F5-F10F-4BED-AEDF-E8F508909068}" name="Community Remarks" dataDxf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AA73" totalsRowShown="0" headerRowDxfId="33" dataDxfId="32">
  <autoFilter ref="A15:AA73" xr:uid="{00000000-0009-0000-0100-000004000000}"/>
  <sortState ref="A16:F16">
    <sortCondition descending="1" ref="A15:A16"/>
  </sortState>
  <tableColumns count="27">
    <tableColumn id="1" xr3:uid="{00000000-0010-0000-0000-000001000000}" name="Request ID" dataDxfId="31"/>
    <tableColumn id="2" xr3:uid="{00000000-0010-0000-0000-000002000000}" name="AT Site ID" dataDxfId="30"/>
    <tableColumn id="3" xr3:uid="{00000000-0010-0000-0000-000003000000}" name="New Colo ID" dataDxfId="29"/>
    <tableColumn id="4" xr3:uid="{00000000-0010-0000-0000-000004000000}" name="Operator" dataDxfId="28"/>
    <tableColumn id="5" xr3:uid="{00000000-0010-0000-0000-000005000000}" name="Request Date" dataDxfId="27"/>
    <tableColumn id="6" xr3:uid="{00000000-0010-0000-0000-000006000000}" name="Power Requested" dataDxfId="26"/>
    <tableColumn id="7" xr3:uid="{A946ACE7-F64E-4F58-B256-9D4D59E121DD}" name="Lower Space" dataDxfId="25"/>
    <tableColumn id="8" xr3:uid="{4B5C9917-8CC5-46C5-B0CE-23BE951D501C}" name="Upper Space" dataDxfId="24"/>
    <tableColumn id="27" xr3:uid="{6D565526-AB39-40B8-8C36-745AE3ADAA92}" name="Status" dataDxfId="23"/>
    <tableColumn id="9" xr3:uid="{D5AEFBF9-1896-4699-8E79-EB339E35148C}" name="SAQ" dataDxfId="22"/>
    <tableColumn id="10" xr3:uid="{85353828-A273-4ACD-AA51-BEDE7D4E390A}" name="RF" dataDxfId="21"/>
    <tableColumn id="11" xr3:uid="{4FDD89CA-77C8-4471-91D1-CFD3E9B9D0FC}" name="Structural" dataDxfId="20"/>
    <tableColumn id="12" xr3:uid="{E7EA7F2C-6F08-4C4F-AEEE-9F3EC3F2237E}" name="Power" dataDxfId="19"/>
    <tableColumn id="13" xr3:uid="{3710F648-9902-4124-B5A6-1DDBA604E986}" name="CW" dataDxfId="18"/>
    <tableColumn id="25" xr3:uid="{AE8DBE11-BCB3-48D3-81C9-56B6D2781E1D}" name="Community" dataDxfId="17"/>
    <tableColumn id="14" xr3:uid="{2F62583D-54F8-4228-9F75-EDAA937D610B}" name="SAQ Remarks" dataDxfId="16"/>
    <tableColumn id="15" xr3:uid="{07207B6A-F36A-431B-BF30-3B5A32820255}" name="Lower Suggested" dataDxfId="15"/>
    <tableColumn id="16" xr3:uid="{2B302E34-9B49-4E3D-97E7-2B04A03277F0}" name="Upper Suggested" dataDxfId="14"/>
    <tableColumn id="17" xr3:uid="{D0086EA0-7F98-4D7E-96F2-1DB821B2D1D0}" name="RF Remarks" dataDxfId="13"/>
    <tableColumn id="18" xr3:uid="{EF2E0E4D-25BA-4201-88D0-BD298623FABD}" name="Structural EPA" dataDxfId="12"/>
    <tableColumn id="19" xr3:uid="{6DF27360-507C-48B6-8802-DBE78EEA0775}" name="Structural Remarks" dataDxfId="11"/>
    <tableColumn id="20" xr3:uid="{6715C280-AD75-45C4-A9F4-32883BDB56D4}" name="Power Suggested" dataDxfId="10"/>
    <tableColumn id="21" xr3:uid="{5A0558F3-610D-4DAF-945B-EA0754598FC1}" name="Power Forecast after Colo Approval" dataDxfId="9"/>
    <tableColumn id="22" xr3:uid="{F73FB2B4-472B-463D-B44F-04428404AE0E}" name="Power Remarks" dataDxfId="8"/>
    <tableColumn id="23" xr3:uid="{13427FA7-DC5D-4971-AF89-9A87FC99FDEE}" name="Extension Needed" dataDxfId="7"/>
    <tableColumn id="24" xr3:uid="{87CE43CB-91BE-49AD-B797-519770CA0E6D}" name="CW Remarks" dataDxfId="6"/>
    <tableColumn id="26" xr3:uid="{5836725A-91EC-4B50-B992-A1827395C68D}" name="Community Remarks" dataDxf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16" insertRow="1" totalsRowShown="0" headerRowDxfId="47" dataDxfId="46">
  <autoFilter ref="A15:L16" xr:uid="{00000000-0009-0000-0100-000004000000}"/>
  <sortState ref="A16:F16">
    <sortCondition descending="1" ref="A15:A16"/>
  </sortState>
  <tableColumns count="12">
    <tableColumn id="1" xr3:uid="{A3898B61-B714-459F-89F6-0DA7E33FE1A5}" name="06id" dataDxfId="45"/>
    <tableColumn id="2" xr3:uid="{12DF9242-0EFA-4394-BFA0-99BB38B4C5B6}" name="Login" dataDxfId="44"/>
    <tableColumn id="3" xr3:uid="{2C28963C-8791-4E0D-AEEE-1A51DC5185EA}" name="Password" dataDxfId="43"/>
    <tableColumn id="4" xr3:uid="{202B0E31-DF27-42FB-9BC4-28B9CC23765D}" name="New Colo Form" dataDxfId="42"/>
    <tableColumn id="5" xr3:uid="{61CFA42E-1463-4200-B177-9F5BA8F80045}" name="SAQ" dataDxfId="41"/>
    <tableColumn id="6" xr3:uid="{AE966516-815E-42D7-AED9-83CF47C9C013}" name="RF" dataDxfId="40"/>
    <tableColumn id="7" xr3:uid="{8DE7D8A5-D6BC-49B2-9140-8C51A2B181C3}" name="Power" dataDxfId="39"/>
    <tableColumn id="8" xr3:uid="{003CDE4B-A322-454C-B07E-DD3C5EB80383}" name="Structural" dataDxfId="38"/>
    <tableColumn id="9" xr3:uid="{B9E3A50A-FD3C-4122-810A-CD691FB76772}" name="CW" dataDxfId="37"/>
    <tableColumn id="10" xr3:uid="{05564FAA-6114-4C39-8659-76ADCE4C7C43}" name="Community" dataDxfId="36"/>
    <tableColumn id="11" xr3:uid="{BDA884F1-8764-4CAC-A2E4-FA8B423EB643}" name="Review List" dataDxfId="35"/>
    <tableColumn id="12" xr3:uid="{AAA3D76E-ED0D-4AC7-9E2D-487711E37DB8}" name="Admin" dataDxfId="3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F7"/>
  <sheetViews>
    <sheetView showGridLines="0" showRowColHeaders="0" workbookViewId="0"/>
  </sheetViews>
  <sheetFormatPr defaultColWidth="0" defaultRowHeight="15" zeroHeight="1"/>
  <cols>
    <col min="1" max="6" width="9.140625" customWidth="1"/>
    <col min="7" max="16384" width="9.140625" hidden="1"/>
  </cols>
  <sheetData>
    <row r="1"/>
    <row r="2"/>
    <row r="3"/>
    <row r="4"/>
    <row r="5"/>
    <row r="6"/>
    <row r="7" ht="20.25" customHeight="1"/>
  </sheetData>
  <sheetProtection sheet="1" objects="1" scenarios="1"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A4" sqref="A4:XFD4"/>
    </sheetView>
  </sheetViews>
  <sheetFormatPr defaultRowHeight="15"/>
  <cols>
    <col min="1" max="1" width="10.42578125" style="54" bestFit="1" customWidth="1"/>
    <col min="2" max="2" width="22.5703125" style="54" bestFit="1" customWidth="1"/>
    <col min="3" max="3" width="5.5703125" style="54" customWidth="1"/>
    <col min="4" max="4" width="12.85546875" style="54" customWidth="1"/>
    <col min="5" max="5" width="17.5703125" style="54" bestFit="1" customWidth="1"/>
    <col min="6" max="6" width="12.85546875" style="54" customWidth="1"/>
    <col min="7" max="7" width="6.140625" style="54" customWidth="1"/>
    <col min="8" max="8" width="13.28515625" style="54" customWidth="1"/>
    <col min="9" max="9" width="9.140625" style="54" customWidth="1"/>
    <col min="10" max="10" width="5.5703125" style="54" customWidth="1"/>
    <col min="11" max="11" width="4.140625" style="52" customWidth="1"/>
    <col min="12" max="12" width="17.5703125" style="54" hidden="1" customWidth="1"/>
    <col min="13" max="13" width="10.42578125" style="54" hidden="1" customWidth="1"/>
    <col min="14" max="14" width="16.5703125" style="54" bestFit="1" customWidth="1"/>
    <col min="15" max="16384" width="9.140625" style="54"/>
  </cols>
  <sheetData>
    <row r="1" spans="1:13" s="45" customFormat="1" hidden="1">
      <c r="A1" s="42" t="s">
        <v>10</v>
      </c>
      <c r="B1" s="43" t="s">
        <v>12</v>
      </c>
      <c r="C1" s="43"/>
      <c r="D1" s="43"/>
      <c r="E1" s="43"/>
      <c r="F1" s="47"/>
      <c r="G1" s="47"/>
      <c r="H1" s="43"/>
      <c r="I1" s="43"/>
      <c r="J1" s="43"/>
      <c r="K1" s="44"/>
      <c r="L1" s="44"/>
      <c r="M1" s="44"/>
    </row>
    <row r="2" spans="1:13" s="45" customFormat="1" hidden="1">
      <c r="A2" s="46" t="s">
        <v>4</v>
      </c>
      <c r="B2" s="46" t="s">
        <v>14</v>
      </c>
      <c r="C2" s="46" t="s">
        <v>1</v>
      </c>
      <c r="D2" s="46" t="s">
        <v>3</v>
      </c>
      <c r="E2" s="46" t="s">
        <v>31</v>
      </c>
      <c r="F2" s="46" t="s">
        <v>32</v>
      </c>
      <c r="G2" s="46" t="s">
        <v>34</v>
      </c>
      <c r="H2" s="46" t="s">
        <v>33</v>
      </c>
      <c r="I2" s="46" t="s">
        <v>94</v>
      </c>
      <c r="J2" s="47"/>
      <c r="K2" s="44"/>
      <c r="L2" s="44"/>
      <c r="M2" s="44"/>
    </row>
    <row r="3" spans="1:13" s="45" customFormat="1" hidden="1">
      <c r="A3" s="76" t="str">
        <f>D8</f>
        <v>ASMO_0183</v>
      </c>
      <c r="B3" s="76" t="str">
        <f>D10</f>
        <v>No ID yet</v>
      </c>
      <c r="C3" s="76" t="str">
        <f>D14</f>
        <v>MPT</v>
      </c>
      <c r="D3" s="48">
        <f ca="1">D12</f>
        <v>43236</v>
      </c>
      <c r="E3" s="76">
        <f>D16</f>
        <v>5</v>
      </c>
      <c r="F3" s="76">
        <f>D18</f>
        <v>4</v>
      </c>
      <c r="G3" s="76">
        <f>D20</f>
        <v>0</v>
      </c>
      <c r="H3" s="76">
        <f>F20</f>
        <v>0</v>
      </c>
      <c r="I3" s="76" t="s">
        <v>295</v>
      </c>
      <c r="J3" s="47"/>
      <c r="K3" s="44"/>
      <c r="L3" s="44"/>
      <c r="M3" s="44"/>
    </row>
    <row r="4" spans="1:13" s="45" customFormat="1" hidden="1">
      <c r="A4" s="49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</row>
    <row r="5" spans="1:13">
      <c r="A5" s="50"/>
      <c r="B5" s="51"/>
      <c r="C5" s="51"/>
      <c r="D5" s="51"/>
      <c r="E5" s="51"/>
      <c r="F5" s="51"/>
      <c r="G5" s="51"/>
      <c r="H5" s="51"/>
      <c r="I5" s="51"/>
      <c r="J5" s="51"/>
      <c r="L5" s="53"/>
      <c r="M5" s="53"/>
    </row>
    <row r="6" spans="1:13" ht="21">
      <c r="A6" s="152" t="s">
        <v>11</v>
      </c>
      <c r="B6" s="153"/>
      <c r="C6" s="153"/>
      <c r="D6" s="153"/>
      <c r="E6" s="153"/>
      <c r="F6" s="153"/>
      <c r="G6" s="153"/>
      <c r="H6" s="153"/>
      <c r="I6" s="153"/>
      <c r="J6" s="153"/>
      <c r="L6" s="55" t="s">
        <v>15</v>
      </c>
      <c r="M6" s="53"/>
    </row>
    <row r="7" spans="1:13">
      <c r="A7" s="50"/>
      <c r="B7" s="51"/>
      <c r="C7" s="51"/>
      <c r="D7" s="51"/>
      <c r="E7" s="51"/>
      <c r="F7" s="51"/>
      <c r="G7" s="51"/>
      <c r="H7" s="51"/>
      <c r="I7" s="51"/>
      <c r="J7" s="51"/>
      <c r="L7" s="56"/>
      <c r="M7" s="56"/>
    </row>
    <row r="8" spans="1:13">
      <c r="A8" s="50"/>
      <c r="B8" s="57" t="s">
        <v>7</v>
      </c>
      <c r="C8" s="51"/>
      <c r="D8" s="37" t="s">
        <v>6</v>
      </c>
      <c r="E8" s="58"/>
      <c r="F8" s="58"/>
      <c r="G8" s="58"/>
      <c r="H8" s="58"/>
      <c r="I8" s="51"/>
      <c r="J8" s="51"/>
      <c r="L8" s="53" t="s">
        <v>7</v>
      </c>
      <c r="M8" s="53"/>
    </row>
    <row r="9" spans="1:13">
      <c r="A9" s="50"/>
      <c r="B9" s="51"/>
      <c r="C9" s="51"/>
      <c r="D9" s="51"/>
      <c r="E9" s="51"/>
      <c r="F9" s="58"/>
      <c r="G9" s="58"/>
      <c r="H9" s="58"/>
      <c r="I9" s="51"/>
      <c r="J9" s="51"/>
      <c r="L9" s="53"/>
      <c r="M9" s="53"/>
    </row>
    <row r="10" spans="1:13">
      <c r="A10" s="50"/>
      <c r="B10" s="57" t="s">
        <v>13</v>
      </c>
      <c r="C10" s="51"/>
      <c r="D10" s="35" t="s">
        <v>2</v>
      </c>
      <c r="E10" s="58"/>
      <c r="F10" s="58"/>
      <c r="G10" s="58"/>
      <c r="H10" s="58"/>
      <c r="I10" s="58"/>
      <c r="J10" s="51"/>
      <c r="L10" s="53" t="s">
        <v>13</v>
      </c>
      <c r="M10" s="53" t="s">
        <v>2</v>
      </c>
    </row>
    <row r="11" spans="1:13">
      <c r="A11" s="50"/>
      <c r="B11" s="51"/>
      <c r="C11" s="58"/>
      <c r="D11" s="51"/>
      <c r="E11" s="58"/>
      <c r="F11" s="58"/>
      <c r="G11" s="58"/>
      <c r="H11" s="58"/>
      <c r="I11" s="51"/>
      <c r="J11" s="51"/>
      <c r="L11" s="53"/>
      <c r="M11" s="59"/>
    </row>
    <row r="12" spans="1:13">
      <c r="A12" s="50"/>
      <c r="B12" s="57" t="s">
        <v>9</v>
      </c>
      <c r="C12" s="51"/>
      <c r="D12" s="38">
        <f ca="1">ROUNDDOWN(NOW(),0)</f>
        <v>43236</v>
      </c>
      <c r="E12" s="58"/>
      <c r="F12" s="58"/>
      <c r="G12" s="58"/>
      <c r="H12" s="58"/>
      <c r="I12" s="51"/>
      <c r="J12" s="51"/>
      <c r="L12" s="53" t="s">
        <v>9</v>
      </c>
      <c r="M12" s="59">
        <f ca="1">ROUNDDOWN(NOW(),0)</f>
        <v>43236</v>
      </c>
    </row>
    <row r="13" spans="1:13">
      <c r="A13" s="50"/>
      <c r="B13" s="58"/>
      <c r="C13" s="58"/>
      <c r="D13" s="58"/>
      <c r="E13" s="58"/>
      <c r="F13" s="58"/>
      <c r="G13" s="58"/>
      <c r="H13" s="58"/>
      <c r="I13" s="51"/>
      <c r="J13" s="51"/>
      <c r="L13" s="56"/>
      <c r="M13" s="53"/>
    </row>
    <row r="14" spans="1:13">
      <c r="A14" s="50"/>
      <c r="B14" s="57" t="s">
        <v>8</v>
      </c>
      <c r="C14" s="51"/>
      <c r="D14" s="37" t="s">
        <v>24</v>
      </c>
      <c r="E14" s="58"/>
      <c r="F14" s="58"/>
      <c r="G14" s="58"/>
      <c r="H14" s="58"/>
      <c r="I14" s="51"/>
      <c r="J14" s="51"/>
      <c r="L14" s="53" t="s">
        <v>8</v>
      </c>
      <c r="M14" s="53"/>
    </row>
    <row r="15" spans="1:13">
      <c r="A15" s="50"/>
      <c r="B15" s="58"/>
      <c r="C15" s="58"/>
      <c r="D15" s="58"/>
      <c r="E15" s="51"/>
      <c r="F15" s="51"/>
      <c r="G15" s="58"/>
      <c r="H15" s="58"/>
      <c r="I15" s="51"/>
      <c r="J15" s="51"/>
      <c r="L15" s="56"/>
      <c r="M15" s="53"/>
    </row>
    <row r="16" spans="1:13">
      <c r="A16" s="50"/>
      <c r="B16" s="57" t="s">
        <v>26</v>
      </c>
      <c r="C16" s="51"/>
      <c r="D16" s="39">
        <v>5</v>
      </c>
      <c r="E16" s="51"/>
      <c r="F16" s="51"/>
      <c r="G16" s="58"/>
      <c r="H16" s="58"/>
      <c r="I16" s="51"/>
      <c r="J16" s="51"/>
      <c r="L16" s="53" t="s">
        <v>26</v>
      </c>
      <c r="M16" s="53"/>
    </row>
    <row r="17" spans="1:13">
      <c r="A17" s="51"/>
      <c r="B17" s="51"/>
      <c r="C17" s="51"/>
      <c r="D17" s="51"/>
      <c r="E17" s="51"/>
      <c r="F17" s="51"/>
      <c r="G17" s="58"/>
      <c r="H17" s="51"/>
      <c r="I17" s="51"/>
      <c r="J17" s="51"/>
      <c r="L17" s="56"/>
      <c r="M17" s="53"/>
    </row>
    <row r="18" spans="1:13">
      <c r="A18" s="51"/>
      <c r="B18" s="57" t="s">
        <v>25</v>
      </c>
      <c r="C18" s="51"/>
      <c r="D18" s="40">
        <v>4</v>
      </c>
      <c r="E18" s="51"/>
      <c r="F18" s="51"/>
      <c r="G18" s="58"/>
      <c r="H18" s="51"/>
      <c r="I18" s="51"/>
      <c r="J18" s="51"/>
      <c r="L18" s="53" t="s">
        <v>25</v>
      </c>
      <c r="M18" s="56"/>
    </row>
    <row r="19" spans="1:13">
      <c r="A19" s="58"/>
      <c r="B19" s="51"/>
      <c r="C19" s="51"/>
      <c r="D19" s="51"/>
      <c r="E19" s="58"/>
      <c r="F19" s="58"/>
      <c r="G19" s="58"/>
      <c r="H19" s="58"/>
      <c r="I19" s="58"/>
      <c r="J19" s="58"/>
      <c r="L19" s="56"/>
      <c r="M19" s="56"/>
    </row>
    <row r="20" spans="1:13">
      <c r="A20" s="58"/>
      <c r="B20" s="57" t="s">
        <v>27</v>
      </c>
      <c r="C20" s="60" t="s">
        <v>28</v>
      </c>
      <c r="D20" s="41"/>
      <c r="E20" s="61" t="s">
        <v>29</v>
      </c>
      <c r="F20" s="41"/>
      <c r="G20" s="58"/>
      <c r="H20" s="58"/>
      <c r="I20" s="58"/>
      <c r="J20" s="58"/>
      <c r="L20" s="53" t="s">
        <v>30</v>
      </c>
      <c r="M20" s="56"/>
    </row>
    <row r="21" spans="1:13">
      <c r="A21" s="58"/>
      <c r="B21" s="58"/>
      <c r="C21" s="58"/>
      <c r="D21" s="58"/>
      <c r="E21" s="58"/>
      <c r="F21" s="58"/>
      <c r="G21" s="58"/>
      <c r="H21" s="58"/>
      <c r="I21" s="58"/>
      <c r="J21" s="58"/>
      <c r="L21" s="56"/>
      <c r="M21" s="56"/>
    </row>
    <row r="22" spans="1:13">
      <c r="A22" s="58"/>
      <c r="B22" s="58"/>
      <c r="C22" s="58"/>
      <c r="D22" s="58"/>
      <c r="E22" s="58"/>
      <c r="F22" s="58"/>
      <c r="G22" s="58"/>
      <c r="H22" s="58"/>
      <c r="I22" s="58"/>
      <c r="J22" s="58"/>
    </row>
    <row r="23" spans="1:13">
      <c r="A23" s="58"/>
      <c r="B23" s="58"/>
      <c r="C23" s="58"/>
      <c r="D23" s="58"/>
      <c r="E23" s="58"/>
      <c r="F23" s="58"/>
      <c r="G23" s="58"/>
      <c r="H23" s="58"/>
      <c r="I23" s="58"/>
      <c r="J23" s="58"/>
    </row>
    <row r="24" spans="1:13">
      <c r="A24" s="58"/>
      <c r="B24" s="58"/>
      <c r="C24" s="58"/>
      <c r="D24" s="58"/>
      <c r="E24" s="58"/>
      <c r="F24" s="58"/>
      <c r="G24" s="58"/>
      <c r="H24" s="58"/>
      <c r="I24" s="58"/>
      <c r="J24" s="58"/>
    </row>
  </sheetData>
  <sheetProtection selectLockedCells="1"/>
  <mergeCells count="1">
    <mergeCell ref="A6:J6"/>
  </mergeCells>
  <conditionalFormatting sqref="D8 D14">
    <cfRule type="containsBlanks" dxfId="4" priority="5">
      <formula>LEN(TRIM(D8))=0</formula>
    </cfRule>
  </conditionalFormatting>
  <conditionalFormatting sqref="D18">
    <cfRule type="containsBlanks" dxfId="3" priority="4">
      <formula>LEN(TRIM(D18))=0</formula>
    </cfRule>
  </conditionalFormatting>
  <conditionalFormatting sqref="D16">
    <cfRule type="containsBlanks" dxfId="2" priority="3">
      <formula>LEN(TRIM(D16))=0</formula>
    </cfRule>
  </conditionalFormatting>
  <conditionalFormatting sqref="D20">
    <cfRule type="containsBlanks" dxfId="1" priority="2">
      <formula>LEN(TRIM(D20))=0</formula>
    </cfRule>
  </conditionalFormatting>
  <conditionalFormatting sqref="F20">
    <cfRule type="containsBlanks" dxfId="0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Main!#REF!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T73"/>
  <sheetViews>
    <sheetView showGridLines="0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H1" sqref="H1:H104857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28" customWidth="1"/>
    <col min="9" max="9" width="9.140625" customWidth="1"/>
    <col min="10" max="10" width="0" style="10" hidden="1" customWidth="1"/>
    <col min="11" max="20" width="0" style="4" hidden="1" customWidth="1"/>
    <col min="21" max="16384" width="9.140625" style="4" hidden="1"/>
  </cols>
  <sheetData>
    <row r="1" spans="1:20" s="3" customFormat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6"/>
      <c r="K1" s="9"/>
      <c r="L1" s="9"/>
      <c r="M1" s="9"/>
    </row>
    <row r="2" spans="1:20" s="3" customFormat="1">
      <c r="A2" s="64" t="s">
        <v>18</v>
      </c>
      <c r="B2" s="7"/>
      <c r="C2" s="77" t="s">
        <v>38</v>
      </c>
      <c r="D2" s="77" t="s">
        <v>39</v>
      </c>
      <c r="E2" s="36"/>
      <c r="F2" s="23"/>
      <c r="G2" s="8"/>
      <c r="H2" s="8"/>
      <c r="I2" s="8"/>
      <c r="J2" s="8"/>
      <c r="K2" s="9"/>
      <c r="L2" s="9"/>
      <c r="M2" s="9"/>
    </row>
    <row r="3" spans="1:20" s="3" customFormat="1">
      <c r="A3" s="65" t="s">
        <v>5</v>
      </c>
      <c r="B3" s="5" t="s">
        <v>36</v>
      </c>
      <c r="C3" s="5" t="s">
        <v>37</v>
      </c>
      <c r="D3" s="36"/>
      <c r="E3" s="23"/>
      <c r="F3" s="8"/>
      <c r="G3" s="8"/>
      <c r="H3" s="8"/>
      <c r="I3" s="8"/>
      <c r="J3" s="9"/>
      <c r="K3" s="9"/>
      <c r="L3" s="9"/>
    </row>
    <row r="4" spans="1:20" s="25" customFormat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3"/>
      <c r="J4" s="24"/>
      <c r="K4" s="24"/>
      <c r="L4" s="24"/>
      <c r="R4" s="33"/>
      <c r="S4" s="33"/>
    </row>
    <row r="5" spans="1:20" s="25" customFormat="1">
      <c r="A5" s="22">
        <v>51</v>
      </c>
      <c r="B5" s="6" t="str">
        <f>IF(VLOOKUP($A$5,Table35367[],B4,FALSE)&lt;&gt;0,VLOOKUP($A$5,Table35367[],B4,FALSE),"")</f>
        <v>OK</v>
      </c>
      <c r="C5" s="22" t="str">
        <f>IF(VLOOKUP($A$5,Table35367[],C4,FALSE)&lt;&gt;0,VLOOKUP($A$5,Table35367[],C4,FALSE),"")</f>
        <v>04-Apr-18: Okay for TI installation,  Lease hike request may raise while TI installation</v>
      </c>
      <c r="D5" s="36"/>
      <c r="E5" s="23"/>
      <c r="F5" s="23"/>
      <c r="G5" s="23"/>
      <c r="H5" s="23"/>
      <c r="I5" s="23"/>
      <c r="J5" s="24"/>
      <c r="K5" s="24"/>
      <c r="L5" s="24"/>
      <c r="R5" s="33"/>
      <c r="S5" s="33"/>
    </row>
    <row r="6" spans="1:20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</row>
    <row r="7" spans="1:20">
      <c r="A7" s="147"/>
      <c r="B7" s="12"/>
      <c r="C7" s="12"/>
      <c r="D7" s="12"/>
      <c r="E7" s="70"/>
      <c r="F7" s="67"/>
      <c r="G7" s="12"/>
      <c r="H7" s="12"/>
      <c r="I7" s="12"/>
      <c r="J7" s="11"/>
    </row>
    <row r="8" spans="1:20">
      <c r="A8" s="67"/>
      <c r="B8" s="12"/>
      <c r="C8" s="12"/>
      <c r="D8" s="12"/>
      <c r="E8" s="70"/>
      <c r="F8" s="67"/>
      <c r="G8" s="12"/>
      <c r="H8" s="12"/>
      <c r="I8" s="12"/>
      <c r="J8" s="11"/>
    </row>
    <row r="9" spans="1:20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</row>
    <row r="10" spans="1:20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36</v>
      </c>
      <c r="G10" s="18" t="s">
        <v>37</v>
      </c>
      <c r="H10" s="14"/>
      <c r="I10" s="13"/>
      <c r="J10" s="14"/>
    </row>
    <row r="11" spans="1:20" s="28" customFormat="1">
      <c r="A11" s="26"/>
      <c r="B11" s="26"/>
      <c r="C11" s="26"/>
      <c r="D11" s="26"/>
      <c r="E11" s="71"/>
      <c r="F11" s="26"/>
      <c r="G11" s="26"/>
      <c r="H11" s="26"/>
      <c r="I11" s="26"/>
      <c r="J11" s="27"/>
      <c r="S11" s="34"/>
      <c r="T11" s="34"/>
    </row>
    <row r="13" spans="1:20" ht="21">
      <c r="C13" s="154" t="s">
        <v>35</v>
      </c>
      <c r="D13" s="155"/>
      <c r="E13" s="155"/>
    </row>
    <row r="15" spans="1:20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29"/>
      <c r="I15" s="1"/>
      <c r="J15" s="31"/>
    </row>
    <row r="16" spans="1:20" ht="30">
      <c r="A16" s="19">
        <v>1</v>
      </c>
      <c r="B16" s="17" t="s">
        <v>95</v>
      </c>
      <c r="C16" s="17" t="s">
        <v>2</v>
      </c>
      <c r="D16" s="17" t="s">
        <v>96</v>
      </c>
      <c r="E16" s="21">
        <v>43172</v>
      </c>
      <c r="F16" s="19" t="s">
        <v>97</v>
      </c>
      <c r="G16" s="20" t="s">
        <v>98</v>
      </c>
      <c r="H16" s="20"/>
    </row>
    <row r="17" spans="1:8" ht="30">
      <c r="A17" s="19">
        <v>2</v>
      </c>
      <c r="B17" s="17" t="s">
        <v>99</v>
      </c>
      <c r="C17" s="17" t="s">
        <v>2</v>
      </c>
      <c r="D17" s="17" t="s">
        <v>96</v>
      </c>
      <c r="E17" s="21">
        <v>43172</v>
      </c>
      <c r="F17" s="19" t="s">
        <v>97</v>
      </c>
      <c r="G17" s="20" t="s">
        <v>98</v>
      </c>
      <c r="H17" s="20"/>
    </row>
    <row r="18" spans="1:8" ht="30">
      <c r="A18" s="19">
        <v>3</v>
      </c>
      <c r="B18" s="17" t="s">
        <v>100</v>
      </c>
      <c r="C18" s="17" t="s">
        <v>2</v>
      </c>
      <c r="D18" s="17" t="s">
        <v>96</v>
      </c>
      <c r="E18" s="21">
        <v>43172</v>
      </c>
      <c r="F18" s="19" t="s">
        <v>97</v>
      </c>
      <c r="G18" s="20" t="s">
        <v>98</v>
      </c>
      <c r="H18" s="20"/>
    </row>
    <row r="19" spans="1:8" ht="30">
      <c r="A19" s="19">
        <v>4</v>
      </c>
      <c r="B19" s="17" t="s">
        <v>101</v>
      </c>
      <c r="C19" s="17" t="s">
        <v>2</v>
      </c>
      <c r="D19" s="17" t="s">
        <v>96</v>
      </c>
      <c r="E19" s="21">
        <v>43172</v>
      </c>
      <c r="F19" s="19" t="s">
        <v>97</v>
      </c>
      <c r="G19" s="20" t="s">
        <v>98</v>
      </c>
      <c r="H19" s="20"/>
    </row>
    <row r="20" spans="1:8" ht="30">
      <c r="A20" s="19">
        <v>5</v>
      </c>
      <c r="B20" s="17" t="s">
        <v>102</v>
      </c>
      <c r="C20" s="17" t="s">
        <v>2</v>
      </c>
      <c r="D20" s="17" t="s">
        <v>96</v>
      </c>
      <c r="E20" s="21">
        <v>43172</v>
      </c>
      <c r="F20" s="19" t="s">
        <v>97</v>
      </c>
      <c r="G20" s="20" t="s">
        <v>98</v>
      </c>
      <c r="H20" s="20"/>
    </row>
    <row r="21" spans="1:8" ht="30">
      <c r="A21" s="19">
        <v>6</v>
      </c>
      <c r="B21" s="17" t="s">
        <v>103</v>
      </c>
      <c r="C21" s="17" t="s">
        <v>2</v>
      </c>
      <c r="D21" s="17" t="s">
        <v>96</v>
      </c>
      <c r="E21" s="21">
        <v>43172</v>
      </c>
      <c r="F21" s="19" t="s">
        <v>97</v>
      </c>
      <c r="G21" s="20" t="s">
        <v>98</v>
      </c>
      <c r="H21" s="20"/>
    </row>
    <row r="22" spans="1:8" ht="30">
      <c r="A22" s="19">
        <v>7</v>
      </c>
      <c r="B22" s="17" t="s">
        <v>104</v>
      </c>
      <c r="C22" s="17" t="s">
        <v>2</v>
      </c>
      <c r="D22" s="17" t="s">
        <v>96</v>
      </c>
      <c r="E22" s="21">
        <v>43172</v>
      </c>
      <c r="F22" s="19" t="s">
        <v>97</v>
      </c>
      <c r="G22" s="20" t="s">
        <v>98</v>
      </c>
      <c r="H22" s="20"/>
    </row>
    <row r="23" spans="1:8" ht="30">
      <c r="A23" s="19">
        <v>8</v>
      </c>
      <c r="B23" s="17" t="s">
        <v>105</v>
      </c>
      <c r="C23" s="17" t="s">
        <v>2</v>
      </c>
      <c r="D23" s="17" t="s">
        <v>96</v>
      </c>
      <c r="E23" s="21">
        <v>43172</v>
      </c>
      <c r="F23" s="19" t="s">
        <v>97</v>
      </c>
      <c r="G23" s="20" t="s">
        <v>98</v>
      </c>
      <c r="H23" s="20"/>
    </row>
    <row r="24" spans="1:8" ht="30">
      <c r="A24" s="19">
        <v>9</v>
      </c>
      <c r="B24" s="17" t="s">
        <v>106</v>
      </c>
      <c r="C24" s="17" t="s">
        <v>2</v>
      </c>
      <c r="D24" s="17" t="s">
        <v>96</v>
      </c>
      <c r="E24" s="21">
        <v>43172</v>
      </c>
      <c r="F24" s="19" t="s">
        <v>97</v>
      </c>
      <c r="G24" s="20" t="s">
        <v>98</v>
      </c>
      <c r="H24" s="20"/>
    </row>
    <row r="25" spans="1:8" ht="30">
      <c r="A25" s="19">
        <v>10</v>
      </c>
      <c r="B25" s="17" t="s">
        <v>107</v>
      </c>
      <c r="C25" s="17" t="s">
        <v>2</v>
      </c>
      <c r="D25" s="17" t="s">
        <v>96</v>
      </c>
      <c r="E25" s="21">
        <v>43172</v>
      </c>
      <c r="F25" s="19" t="s">
        <v>97</v>
      </c>
      <c r="G25" s="20" t="s">
        <v>98</v>
      </c>
      <c r="H25" s="20"/>
    </row>
    <row r="26" spans="1:8" ht="30">
      <c r="A26" s="19">
        <v>11</v>
      </c>
      <c r="B26" s="17" t="s">
        <v>108</v>
      </c>
      <c r="C26" s="17" t="s">
        <v>2</v>
      </c>
      <c r="D26" s="17" t="s">
        <v>96</v>
      </c>
      <c r="E26" s="21">
        <v>43172</v>
      </c>
      <c r="F26" s="19" t="s">
        <v>97</v>
      </c>
      <c r="G26" s="20" t="s">
        <v>98</v>
      </c>
      <c r="H26" s="20"/>
    </row>
    <row r="27" spans="1:8" ht="30">
      <c r="A27" s="19">
        <v>12</v>
      </c>
      <c r="B27" s="17" t="s">
        <v>109</v>
      </c>
      <c r="C27" s="17" t="s">
        <v>2</v>
      </c>
      <c r="D27" s="17" t="s">
        <v>96</v>
      </c>
      <c r="E27" s="21">
        <v>43172</v>
      </c>
      <c r="F27" s="19" t="s">
        <v>97</v>
      </c>
      <c r="G27" s="20" t="s">
        <v>98</v>
      </c>
      <c r="H27" s="20"/>
    </row>
    <row r="28" spans="1:8" ht="30">
      <c r="A28" s="19">
        <v>13</v>
      </c>
      <c r="B28" s="17" t="s">
        <v>110</v>
      </c>
      <c r="C28" s="17" t="s">
        <v>2</v>
      </c>
      <c r="D28" s="17" t="s">
        <v>96</v>
      </c>
      <c r="E28" s="21">
        <v>43172</v>
      </c>
      <c r="F28" s="19" t="s">
        <v>97</v>
      </c>
      <c r="G28" s="20" t="s">
        <v>98</v>
      </c>
      <c r="H28" s="20"/>
    </row>
    <row r="29" spans="1:8" ht="30">
      <c r="A29" s="19">
        <v>14</v>
      </c>
      <c r="B29" s="17" t="s">
        <v>111</v>
      </c>
      <c r="C29" s="17" t="s">
        <v>2</v>
      </c>
      <c r="D29" s="17" t="s">
        <v>96</v>
      </c>
      <c r="E29" s="21">
        <v>43172</v>
      </c>
      <c r="F29" s="19" t="s">
        <v>97</v>
      </c>
      <c r="G29" s="20" t="s">
        <v>98</v>
      </c>
      <c r="H29" s="20"/>
    </row>
    <row r="30" spans="1:8" ht="30">
      <c r="A30" s="19">
        <v>15</v>
      </c>
      <c r="B30" s="17" t="s">
        <v>112</v>
      </c>
      <c r="C30" s="17" t="s">
        <v>2</v>
      </c>
      <c r="D30" s="17" t="s">
        <v>96</v>
      </c>
      <c r="E30" s="21">
        <v>43172</v>
      </c>
      <c r="F30" s="19" t="s">
        <v>97</v>
      </c>
      <c r="G30" s="20" t="s">
        <v>98</v>
      </c>
      <c r="H30" s="20"/>
    </row>
    <row r="31" spans="1:8" ht="30">
      <c r="A31" s="19">
        <v>16</v>
      </c>
      <c r="B31" s="17" t="s">
        <v>113</v>
      </c>
      <c r="C31" s="17" t="s">
        <v>2</v>
      </c>
      <c r="D31" s="17" t="s">
        <v>96</v>
      </c>
      <c r="E31" s="21">
        <v>43172</v>
      </c>
      <c r="F31" s="19" t="s">
        <v>97</v>
      </c>
      <c r="G31" s="20" t="s">
        <v>98</v>
      </c>
      <c r="H31" s="20"/>
    </row>
    <row r="32" spans="1:8" ht="30">
      <c r="A32" s="19">
        <v>17</v>
      </c>
      <c r="B32" s="17" t="s">
        <v>114</v>
      </c>
      <c r="C32" s="17" t="s">
        <v>2</v>
      </c>
      <c r="D32" s="17" t="s">
        <v>96</v>
      </c>
      <c r="E32" s="21">
        <v>43172</v>
      </c>
      <c r="F32" s="19" t="s">
        <v>97</v>
      </c>
      <c r="G32" s="20" t="s">
        <v>98</v>
      </c>
      <c r="H32" s="20"/>
    </row>
    <row r="33" spans="1:8" ht="30">
      <c r="A33" s="19">
        <v>18</v>
      </c>
      <c r="B33" s="17" t="s">
        <v>115</v>
      </c>
      <c r="C33" s="17" t="s">
        <v>2</v>
      </c>
      <c r="D33" s="17" t="s">
        <v>96</v>
      </c>
      <c r="E33" s="21">
        <v>43172</v>
      </c>
      <c r="F33" s="19" t="s">
        <v>97</v>
      </c>
      <c r="G33" s="20" t="s">
        <v>98</v>
      </c>
      <c r="H33" s="20"/>
    </row>
    <row r="34" spans="1:8" ht="30">
      <c r="A34" s="19">
        <v>19</v>
      </c>
      <c r="B34" s="17" t="s">
        <v>116</v>
      </c>
      <c r="C34" s="17" t="s">
        <v>2</v>
      </c>
      <c r="D34" s="17" t="s">
        <v>96</v>
      </c>
      <c r="E34" s="21">
        <v>43172</v>
      </c>
      <c r="F34" s="19" t="s">
        <v>97</v>
      </c>
      <c r="G34" s="20" t="s">
        <v>98</v>
      </c>
      <c r="H34" s="20"/>
    </row>
    <row r="35" spans="1:8" ht="30">
      <c r="A35" s="19">
        <v>20</v>
      </c>
      <c r="B35" s="17" t="s">
        <v>117</v>
      </c>
      <c r="C35" s="17" t="s">
        <v>118</v>
      </c>
      <c r="D35" s="17" t="s">
        <v>96</v>
      </c>
      <c r="E35" s="21">
        <v>43172</v>
      </c>
      <c r="F35" s="19" t="s">
        <v>97</v>
      </c>
      <c r="G35" s="20" t="s">
        <v>98</v>
      </c>
      <c r="H35" s="20"/>
    </row>
    <row r="36" spans="1:8" ht="30">
      <c r="A36" s="19">
        <v>21</v>
      </c>
      <c r="B36" s="17" t="s">
        <v>119</v>
      </c>
      <c r="C36" s="17" t="s">
        <v>120</v>
      </c>
      <c r="D36" s="17" t="s">
        <v>121</v>
      </c>
      <c r="E36" s="21">
        <v>43172</v>
      </c>
      <c r="F36" s="19" t="s">
        <v>97</v>
      </c>
      <c r="G36" s="20" t="s">
        <v>98</v>
      </c>
      <c r="H36" s="20"/>
    </row>
    <row r="37" spans="1:8" ht="30">
      <c r="A37" s="19">
        <v>22</v>
      </c>
      <c r="B37" s="17" t="s">
        <v>122</v>
      </c>
      <c r="C37" s="17" t="s">
        <v>123</v>
      </c>
      <c r="D37" s="17" t="s">
        <v>24</v>
      </c>
      <c r="E37" s="21">
        <v>43172</v>
      </c>
      <c r="F37" s="19" t="s">
        <v>97</v>
      </c>
      <c r="G37" s="20" t="s">
        <v>98</v>
      </c>
      <c r="H37" s="20"/>
    </row>
    <row r="38" spans="1:8" ht="30">
      <c r="A38" s="19">
        <v>23</v>
      </c>
      <c r="B38" s="17" t="s">
        <v>124</v>
      </c>
      <c r="C38" s="17" t="s">
        <v>125</v>
      </c>
      <c r="D38" s="17" t="s">
        <v>24</v>
      </c>
      <c r="E38" s="21">
        <v>43172</v>
      </c>
      <c r="F38" s="19" t="s">
        <v>97</v>
      </c>
      <c r="G38" s="20" t="s">
        <v>98</v>
      </c>
      <c r="H38" s="20"/>
    </row>
    <row r="39" spans="1:8" ht="30">
      <c r="A39" s="19">
        <v>24</v>
      </c>
      <c r="B39" s="17" t="s">
        <v>126</v>
      </c>
      <c r="C39" s="17" t="s">
        <v>127</v>
      </c>
      <c r="D39" s="17" t="s">
        <v>24</v>
      </c>
      <c r="E39" s="21">
        <v>43172</v>
      </c>
      <c r="F39" s="19" t="s">
        <v>97</v>
      </c>
      <c r="G39" s="20" t="s">
        <v>98</v>
      </c>
      <c r="H39" s="20"/>
    </row>
    <row r="40" spans="1:8" ht="30">
      <c r="A40" s="19">
        <v>25</v>
      </c>
      <c r="B40" s="17" t="s">
        <v>128</v>
      </c>
      <c r="C40" s="17" t="s">
        <v>129</v>
      </c>
      <c r="D40" s="17" t="s">
        <v>24</v>
      </c>
      <c r="E40" s="21">
        <v>43172</v>
      </c>
      <c r="F40" s="19" t="s">
        <v>97</v>
      </c>
      <c r="G40" s="20" t="s">
        <v>98</v>
      </c>
      <c r="H40" s="20"/>
    </row>
    <row r="41" spans="1:8" ht="30">
      <c r="A41" s="19">
        <v>26</v>
      </c>
      <c r="B41" s="17" t="s">
        <v>116</v>
      </c>
      <c r="C41" s="17" t="s">
        <v>130</v>
      </c>
      <c r="D41" s="17" t="s">
        <v>24</v>
      </c>
      <c r="E41" s="21">
        <v>43172</v>
      </c>
      <c r="F41" s="19" t="s">
        <v>97</v>
      </c>
      <c r="G41" s="20" t="s">
        <v>98</v>
      </c>
      <c r="H41" s="20"/>
    </row>
    <row r="42" spans="1:8" ht="30">
      <c r="A42" s="19">
        <v>27</v>
      </c>
      <c r="B42" s="17" t="s">
        <v>131</v>
      </c>
      <c r="C42" s="17" t="s">
        <v>132</v>
      </c>
      <c r="D42" s="17" t="s">
        <v>133</v>
      </c>
      <c r="E42" s="21">
        <v>43172</v>
      </c>
      <c r="F42" s="19" t="s">
        <v>97</v>
      </c>
      <c r="G42" s="20" t="s">
        <v>98</v>
      </c>
      <c r="H42" s="20"/>
    </row>
    <row r="43" spans="1:8" ht="30">
      <c r="A43" s="19">
        <v>28</v>
      </c>
      <c r="B43" s="17" t="s">
        <v>134</v>
      </c>
      <c r="C43" s="17" t="s">
        <v>135</v>
      </c>
      <c r="D43" s="17" t="s">
        <v>133</v>
      </c>
      <c r="E43" s="21">
        <v>43172</v>
      </c>
      <c r="F43" s="19" t="s">
        <v>97</v>
      </c>
      <c r="G43" s="20" t="s">
        <v>98</v>
      </c>
      <c r="H43" s="20"/>
    </row>
    <row r="44" spans="1:8" ht="30">
      <c r="A44" s="19">
        <v>29</v>
      </c>
      <c r="B44" s="17" t="s">
        <v>136</v>
      </c>
      <c r="C44" s="17" t="s">
        <v>137</v>
      </c>
      <c r="D44" s="17" t="s">
        <v>133</v>
      </c>
      <c r="E44" s="21">
        <v>43172</v>
      </c>
      <c r="F44" s="19" t="s">
        <v>97</v>
      </c>
      <c r="G44" s="20" t="s">
        <v>98</v>
      </c>
      <c r="H44" s="20"/>
    </row>
    <row r="45" spans="1:8" ht="30">
      <c r="A45" s="19">
        <v>30</v>
      </c>
      <c r="B45" s="17" t="s">
        <v>138</v>
      </c>
      <c r="C45" s="17" t="s">
        <v>139</v>
      </c>
      <c r="D45" s="17" t="s">
        <v>133</v>
      </c>
      <c r="E45" s="21">
        <v>43172</v>
      </c>
      <c r="F45" s="19" t="s">
        <v>97</v>
      </c>
      <c r="G45" s="20" t="s">
        <v>98</v>
      </c>
      <c r="H45" s="20"/>
    </row>
    <row r="46" spans="1:8" ht="30">
      <c r="A46" s="19">
        <v>31</v>
      </c>
      <c r="B46" s="17" t="s">
        <v>140</v>
      </c>
      <c r="C46" s="17" t="s">
        <v>141</v>
      </c>
      <c r="D46" s="17" t="s">
        <v>133</v>
      </c>
      <c r="E46" s="21">
        <v>43172</v>
      </c>
      <c r="F46" s="19" t="s">
        <v>97</v>
      </c>
      <c r="G46" s="20" t="s">
        <v>98</v>
      </c>
      <c r="H46" s="20"/>
    </row>
    <row r="47" spans="1:8" ht="30">
      <c r="A47" s="19">
        <v>32</v>
      </c>
      <c r="B47" s="17" t="s">
        <v>142</v>
      </c>
      <c r="C47" s="17" t="s">
        <v>143</v>
      </c>
      <c r="D47" s="17" t="s">
        <v>133</v>
      </c>
      <c r="E47" s="21">
        <v>43172</v>
      </c>
      <c r="F47" s="19" t="s">
        <v>97</v>
      </c>
      <c r="G47" s="20" t="s">
        <v>98</v>
      </c>
      <c r="H47" s="20"/>
    </row>
    <row r="48" spans="1:8" ht="30">
      <c r="A48" s="19">
        <v>33</v>
      </c>
      <c r="B48" s="17" t="s">
        <v>144</v>
      </c>
      <c r="C48" s="17" t="s">
        <v>145</v>
      </c>
      <c r="D48" s="17" t="s">
        <v>133</v>
      </c>
      <c r="E48" s="21">
        <v>43181</v>
      </c>
      <c r="F48" s="19" t="s">
        <v>97</v>
      </c>
      <c r="G48" s="20" t="s">
        <v>98</v>
      </c>
      <c r="H48" s="20"/>
    </row>
    <row r="49" spans="1:8" ht="30">
      <c r="A49" s="19">
        <v>34</v>
      </c>
      <c r="B49" s="17" t="s">
        <v>146</v>
      </c>
      <c r="C49" s="17" t="s">
        <v>2</v>
      </c>
      <c r="D49" s="17" t="s">
        <v>96</v>
      </c>
      <c r="E49" s="21">
        <v>43189</v>
      </c>
      <c r="F49" s="19" t="s">
        <v>97</v>
      </c>
      <c r="G49" s="20" t="s">
        <v>98</v>
      </c>
      <c r="H49" s="20"/>
    </row>
    <row r="50" spans="1:8" ht="30">
      <c r="A50" s="19">
        <v>35</v>
      </c>
      <c r="B50" s="17" t="s">
        <v>147</v>
      </c>
      <c r="C50" s="17" t="s">
        <v>148</v>
      </c>
      <c r="D50" s="17" t="s">
        <v>24</v>
      </c>
      <c r="E50" s="21">
        <v>43192</v>
      </c>
      <c r="F50" s="19" t="s">
        <v>97</v>
      </c>
      <c r="G50" s="20" t="s">
        <v>98</v>
      </c>
      <c r="H50" s="20"/>
    </row>
    <row r="51" spans="1:8" ht="30">
      <c r="A51" s="19">
        <v>36</v>
      </c>
      <c r="B51" s="17" t="s">
        <v>149</v>
      </c>
      <c r="C51" s="17" t="s">
        <v>150</v>
      </c>
      <c r="D51" s="17" t="s">
        <v>96</v>
      </c>
      <c r="E51" s="21">
        <v>43193</v>
      </c>
      <c r="F51" s="19" t="s">
        <v>97</v>
      </c>
      <c r="G51" s="20" t="s">
        <v>98</v>
      </c>
      <c r="H51" s="20"/>
    </row>
    <row r="52" spans="1:8" ht="30">
      <c r="A52" s="19">
        <v>37</v>
      </c>
      <c r="B52" s="17" t="s">
        <v>151</v>
      </c>
      <c r="C52" s="17" t="s">
        <v>152</v>
      </c>
      <c r="D52" s="17" t="s">
        <v>96</v>
      </c>
      <c r="E52" s="21">
        <v>43193</v>
      </c>
      <c r="F52" s="19" t="s">
        <v>97</v>
      </c>
      <c r="G52" s="20" t="s">
        <v>98</v>
      </c>
      <c r="H52" s="20"/>
    </row>
    <row r="53" spans="1:8" ht="30">
      <c r="A53" s="19">
        <v>38</v>
      </c>
      <c r="B53" s="17" t="s">
        <v>153</v>
      </c>
      <c r="C53" s="17" t="s">
        <v>154</v>
      </c>
      <c r="D53" s="17" t="s">
        <v>96</v>
      </c>
      <c r="E53" s="21">
        <v>43193</v>
      </c>
      <c r="F53" s="19" t="s">
        <v>97</v>
      </c>
      <c r="G53" s="20" t="s">
        <v>98</v>
      </c>
      <c r="H53" s="20"/>
    </row>
    <row r="54" spans="1:8" ht="30">
      <c r="A54" s="19">
        <v>39</v>
      </c>
      <c r="B54" s="17" t="s">
        <v>155</v>
      </c>
      <c r="C54" s="17" t="s">
        <v>156</v>
      </c>
      <c r="D54" s="17" t="s">
        <v>96</v>
      </c>
      <c r="E54" s="21">
        <v>43193</v>
      </c>
      <c r="F54" s="19" t="s">
        <v>97</v>
      </c>
      <c r="G54" s="20" t="s">
        <v>98</v>
      </c>
      <c r="H54" s="20"/>
    </row>
    <row r="55" spans="1:8" ht="30">
      <c r="A55" s="19">
        <v>40</v>
      </c>
      <c r="B55" s="17" t="s">
        <v>157</v>
      </c>
      <c r="C55" s="17" t="s">
        <v>158</v>
      </c>
      <c r="D55" s="17" t="s">
        <v>96</v>
      </c>
      <c r="E55" s="21">
        <v>43193</v>
      </c>
      <c r="F55" s="19" t="s">
        <v>97</v>
      </c>
      <c r="G55" s="20" t="s">
        <v>98</v>
      </c>
      <c r="H55" s="20"/>
    </row>
    <row r="56" spans="1:8" ht="30">
      <c r="A56" s="19">
        <v>41</v>
      </c>
      <c r="B56" s="17" t="s">
        <v>159</v>
      </c>
      <c r="C56" s="17" t="s">
        <v>160</v>
      </c>
      <c r="D56" s="17" t="s">
        <v>96</v>
      </c>
      <c r="E56" s="21">
        <v>43193</v>
      </c>
      <c r="F56" s="19" t="s">
        <v>97</v>
      </c>
      <c r="G56" s="20" t="s">
        <v>98</v>
      </c>
      <c r="H56" s="20"/>
    </row>
    <row r="57" spans="1:8" ht="30">
      <c r="A57" s="19">
        <v>42</v>
      </c>
      <c r="B57" s="17" t="s">
        <v>161</v>
      </c>
      <c r="C57" s="17" t="s">
        <v>162</v>
      </c>
      <c r="D57" s="17" t="s">
        <v>96</v>
      </c>
      <c r="E57" s="21">
        <v>43202</v>
      </c>
      <c r="F57" s="19" t="s">
        <v>97</v>
      </c>
      <c r="G57" s="20" t="s">
        <v>98</v>
      </c>
      <c r="H57" s="20"/>
    </row>
    <row r="58" spans="1:8" ht="30">
      <c r="A58" s="19">
        <v>43</v>
      </c>
      <c r="B58" s="17" t="s">
        <v>163</v>
      </c>
      <c r="C58" s="17" t="s">
        <v>164</v>
      </c>
      <c r="D58" s="17" t="s">
        <v>96</v>
      </c>
      <c r="E58" s="21">
        <v>43202</v>
      </c>
      <c r="F58" s="19" t="s">
        <v>97</v>
      </c>
      <c r="G58" s="20" t="s">
        <v>98</v>
      </c>
      <c r="H58" s="20"/>
    </row>
    <row r="59" spans="1:8" ht="30">
      <c r="A59" s="19">
        <v>44</v>
      </c>
      <c r="B59" s="17" t="s">
        <v>165</v>
      </c>
      <c r="C59" s="17" t="s">
        <v>166</v>
      </c>
      <c r="D59" s="17" t="s">
        <v>96</v>
      </c>
      <c r="E59" s="21">
        <v>43202</v>
      </c>
      <c r="F59" s="19" t="s">
        <v>97</v>
      </c>
      <c r="G59" s="20" t="s">
        <v>98</v>
      </c>
      <c r="H59" s="20"/>
    </row>
    <row r="60" spans="1:8" ht="30">
      <c r="A60" s="19">
        <v>45</v>
      </c>
      <c r="B60" s="17" t="s">
        <v>167</v>
      </c>
      <c r="C60" s="17" t="s">
        <v>168</v>
      </c>
      <c r="D60" s="17" t="s">
        <v>96</v>
      </c>
      <c r="E60" s="21">
        <v>43202</v>
      </c>
      <c r="F60" s="19" t="s">
        <v>97</v>
      </c>
      <c r="G60" s="20" t="s">
        <v>98</v>
      </c>
      <c r="H60" s="20"/>
    </row>
    <row r="61" spans="1:8" ht="30">
      <c r="A61" s="19">
        <v>46</v>
      </c>
      <c r="B61" s="17" t="s">
        <v>169</v>
      </c>
      <c r="C61" s="17" t="s">
        <v>170</v>
      </c>
      <c r="D61" s="17" t="s">
        <v>96</v>
      </c>
      <c r="E61" s="21">
        <v>43202</v>
      </c>
      <c r="F61" s="19" t="s">
        <v>97</v>
      </c>
      <c r="G61" s="20" t="s">
        <v>98</v>
      </c>
      <c r="H61" s="20"/>
    </row>
    <row r="62" spans="1:8" ht="30">
      <c r="A62" s="19">
        <v>47</v>
      </c>
      <c r="B62" s="17" t="s">
        <v>171</v>
      </c>
      <c r="C62" s="17" t="s">
        <v>172</v>
      </c>
      <c r="D62" s="17" t="s">
        <v>96</v>
      </c>
      <c r="E62" s="21">
        <v>43202</v>
      </c>
      <c r="F62" s="19" t="s">
        <v>97</v>
      </c>
      <c r="G62" s="20" t="s">
        <v>98</v>
      </c>
      <c r="H62" s="20"/>
    </row>
    <row r="63" spans="1:8" ht="30">
      <c r="A63" s="19">
        <v>48</v>
      </c>
      <c r="B63" s="17" t="s">
        <v>173</v>
      </c>
      <c r="C63" s="17" t="s">
        <v>174</v>
      </c>
      <c r="D63" s="17" t="s">
        <v>96</v>
      </c>
      <c r="E63" s="21">
        <v>43202</v>
      </c>
      <c r="F63" s="19" t="s">
        <v>97</v>
      </c>
      <c r="G63" s="20" t="s">
        <v>98</v>
      </c>
      <c r="H63" s="20"/>
    </row>
    <row r="64" spans="1:8" ht="30">
      <c r="A64" s="19">
        <v>49</v>
      </c>
      <c r="B64" s="17" t="s">
        <v>175</v>
      </c>
      <c r="C64" s="17" t="s">
        <v>176</v>
      </c>
      <c r="D64" s="17" t="s">
        <v>96</v>
      </c>
      <c r="E64" s="21">
        <v>43202</v>
      </c>
      <c r="F64" s="19" t="s">
        <v>97</v>
      </c>
      <c r="G64" s="20" t="s">
        <v>98</v>
      </c>
      <c r="H64" s="20"/>
    </row>
    <row r="65" spans="1:8" ht="30">
      <c r="A65" s="19">
        <v>50</v>
      </c>
      <c r="B65" s="17" t="s">
        <v>177</v>
      </c>
      <c r="C65" s="17" t="s">
        <v>178</v>
      </c>
      <c r="D65" s="17" t="s">
        <v>133</v>
      </c>
      <c r="E65" s="21">
        <v>43217</v>
      </c>
      <c r="F65" s="19" t="s">
        <v>97</v>
      </c>
      <c r="G65" s="20" t="s">
        <v>98</v>
      </c>
      <c r="H65" s="20"/>
    </row>
    <row r="66" spans="1:8" ht="30">
      <c r="A66" s="19">
        <v>51</v>
      </c>
      <c r="B66" s="17" t="s">
        <v>179</v>
      </c>
      <c r="C66" s="17" t="s">
        <v>180</v>
      </c>
      <c r="D66" s="17" t="s">
        <v>133</v>
      </c>
      <c r="E66" s="21">
        <v>43223</v>
      </c>
      <c r="F66" s="19" t="s">
        <v>97</v>
      </c>
      <c r="G66" s="20" t="s">
        <v>98</v>
      </c>
      <c r="H66" s="20"/>
    </row>
    <row r="67" spans="1:8" ht="30">
      <c r="A67" s="19">
        <v>52</v>
      </c>
      <c r="B67" s="17" t="s">
        <v>153</v>
      </c>
      <c r="C67" s="17" t="s">
        <v>154</v>
      </c>
      <c r="D67" s="17" t="s">
        <v>96</v>
      </c>
      <c r="E67" s="21">
        <v>43224</v>
      </c>
      <c r="F67" s="19" t="s">
        <v>97</v>
      </c>
      <c r="G67" s="20" t="s">
        <v>98</v>
      </c>
      <c r="H67" s="20"/>
    </row>
    <row r="68" spans="1:8" ht="30">
      <c r="A68" s="19">
        <v>53</v>
      </c>
      <c r="B68" s="17" t="s">
        <v>181</v>
      </c>
      <c r="C68" s="17" t="s">
        <v>182</v>
      </c>
      <c r="D68" s="17" t="s">
        <v>96</v>
      </c>
      <c r="E68" s="21">
        <v>43224</v>
      </c>
      <c r="F68" s="19" t="s">
        <v>97</v>
      </c>
      <c r="G68" s="20" t="s">
        <v>98</v>
      </c>
      <c r="H68" s="20"/>
    </row>
    <row r="69" spans="1:8" ht="30">
      <c r="A69" s="19">
        <v>54</v>
      </c>
      <c r="B69" s="17" t="s">
        <v>183</v>
      </c>
      <c r="C69" s="17" t="s">
        <v>184</v>
      </c>
      <c r="D69" s="17" t="s">
        <v>96</v>
      </c>
      <c r="E69" s="21">
        <v>43224</v>
      </c>
      <c r="F69" s="19" t="s">
        <v>97</v>
      </c>
      <c r="G69" s="20" t="s">
        <v>98</v>
      </c>
      <c r="H69" s="20"/>
    </row>
    <row r="70" spans="1:8" ht="30">
      <c r="A70" s="19">
        <v>55</v>
      </c>
      <c r="B70" s="17" t="s">
        <v>185</v>
      </c>
      <c r="C70" s="17" t="s">
        <v>186</v>
      </c>
      <c r="D70" s="17" t="s">
        <v>96</v>
      </c>
      <c r="E70" s="21">
        <v>43224</v>
      </c>
      <c r="F70" s="19" t="s">
        <v>97</v>
      </c>
      <c r="G70" s="20" t="s">
        <v>98</v>
      </c>
      <c r="H70" s="20"/>
    </row>
    <row r="71" spans="1:8" ht="30">
      <c r="A71" s="19">
        <v>56</v>
      </c>
      <c r="B71" s="17" t="s">
        <v>187</v>
      </c>
      <c r="C71" s="17" t="s">
        <v>188</v>
      </c>
      <c r="D71" s="17" t="s">
        <v>96</v>
      </c>
      <c r="E71" s="21">
        <v>43224</v>
      </c>
      <c r="F71" s="19" t="s">
        <v>97</v>
      </c>
      <c r="G71" s="20" t="s">
        <v>98</v>
      </c>
      <c r="H71" s="20"/>
    </row>
    <row r="72" spans="1:8" ht="30">
      <c r="A72" s="19">
        <v>57</v>
      </c>
      <c r="B72" s="17" t="s">
        <v>189</v>
      </c>
      <c r="C72" s="17" t="s">
        <v>190</v>
      </c>
      <c r="D72" s="17" t="s">
        <v>133</v>
      </c>
      <c r="E72" s="21">
        <v>43224</v>
      </c>
      <c r="F72" s="19" t="s">
        <v>97</v>
      </c>
      <c r="G72" s="20" t="s">
        <v>98</v>
      </c>
      <c r="H72" s="20"/>
    </row>
    <row r="73" spans="1:8">
      <c r="A73" s="19">
        <v>59</v>
      </c>
      <c r="B73" s="17" t="s">
        <v>191</v>
      </c>
      <c r="C73" s="17" t="s">
        <v>192</v>
      </c>
      <c r="D73" s="17" t="s">
        <v>133</v>
      </c>
      <c r="E73" s="21">
        <v>43234</v>
      </c>
      <c r="F73" s="19"/>
      <c r="G73" s="20"/>
      <c r="H73" s="20"/>
    </row>
  </sheetData>
  <mergeCells count="1">
    <mergeCell ref="C13:E13"/>
  </mergeCells>
  <dataValidations disablePrompts="1" count="1">
    <dataValidation type="list" allowBlank="1" showInputMessage="1" showErrorMessage="1" sqref="F16:F73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0</xdr:row>
                    <xdr:rowOff>142875</xdr:rowOff>
                  </from>
                  <to>
                    <xdr:col>6</xdr:col>
                    <xdr:colOff>2105025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9" width="11.42578125" style="127" customWidth="1"/>
    <col min="10" max="10" width="11.140625" style="86" bestFit="1" customWidth="1"/>
    <col min="11" max="11" width="31.5703125" style="88" bestFit="1" customWidth="1"/>
    <col min="12" max="21" width="0" style="54" hidden="1" customWidth="1"/>
    <col min="22" max="16384" width="9.140625" style="54" hidden="1"/>
  </cols>
  <sheetData>
    <row r="1" spans="1:21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0"/>
      <c r="K1" s="93"/>
      <c r="L1" s="44"/>
      <c r="M1" s="44"/>
      <c r="N1" s="44"/>
    </row>
    <row r="2" spans="1:21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7"/>
      <c r="L2" s="44"/>
      <c r="M2" s="44"/>
      <c r="N2" s="44"/>
    </row>
    <row r="3" spans="1:21" s="45" customFormat="1" hidden="1">
      <c r="A3" s="97" t="s">
        <v>5</v>
      </c>
      <c r="B3" s="46" t="s">
        <v>59</v>
      </c>
      <c r="C3" s="46" t="s">
        <v>60</v>
      </c>
      <c r="D3" s="48" t="s">
        <v>41</v>
      </c>
      <c r="E3" s="76" t="s">
        <v>42</v>
      </c>
      <c r="F3" s="47"/>
      <c r="G3" s="47"/>
      <c r="H3" s="47"/>
      <c r="I3" s="47"/>
      <c r="J3" s="47"/>
      <c r="K3" s="47"/>
      <c r="L3" s="44"/>
      <c r="M3" s="44"/>
    </row>
    <row r="4" spans="1:21" s="99" customFormat="1" hidden="1">
      <c r="A4" s="76">
        <f>MATCH(A3,10:10,0)</f>
        <v>1</v>
      </c>
      <c r="B4" s="76">
        <f>MATCH(B3,10:10,0)</f>
        <v>8</v>
      </c>
      <c r="C4" s="76">
        <f t="shared" ref="C4:E4" si="0">MATCH(C3,10:10,0)</f>
        <v>9</v>
      </c>
      <c r="D4" s="76">
        <f t="shared" si="0"/>
        <v>10</v>
      </c>
      <c r="E4" s="76">
        <f t="shared" si="0"/>
        <v>11</v>
      </c>
      <c r="F4" s="62"/>
      <c r="G4" s="62"/>
      <c r="H4" s="62"/>
      <c r="I4" s="62"/>
      <c r="J4" s="62"/>
      <c r="K4" s="62"/>
      <c r="L4" s="98"/>
      <c r="M4" s="98"/>
      <c r="S4" s="100"/>
      <c r="T4" s="100"/>
    </row>
    <row r="5" spans="1:21" s="99" customFormat="1" hidden="1">
      <c r="A5" s="76">
        <v>38</v>
      </c>
      <c r="B5" s="76" t="e">
        <f>IF(VLOOKUP($A$5,Table3536[],B4,FALSE)&lt;&gt;0,VLOOKUP($A$5,Table3536[],B4,FALSE),"")</f>
        <v>#N/A</v>
      </c>
      <c r="C5" s="76" t="e">
        <f>IF(VLOOKUP($A$5,Table3536[],C4,FALSE)&lt;&gt;0,VLOOKUP($A$5,Table3536[],C4,FALSE),"")</f>
        <v>#N/A</v>
      </c>
      <c r="D5" s="48" t="e">
        <f>IF(VLOOKUP($A$5,Table3536[],D4,FALSE)&lt;&gt;0,VLOOKUP($A$5,Table3536[],D4,FALSE),"")</f>
        <v>#N/A</v>
      </c>
      <c r="E5" s="48" t="e">
        <f>IF(VLOOKUP($A$5,Table3536[],E4,FALSE)&lt;&gt;0,VLOOKUP($A$5,Table3536[],E4,FALSE),"")</f>
        <v>#N/A</v>
      </c>
      <c r="F5" s="62"/>
      <c r="G5" s="62"/>
      <c r="H5" s="62"/>
      <c r="I5" s="62"/>
      <c r="J5" s="62"/>
      <c r="K5" s="62"/>
      <c r="L5" s="98"/>
      <c r="M5" s="98"/>
      <c r="S5" s="100"/>
      <c r="T5" s="100"/>
    </row>
    <row r="6" spans="1:21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6"/>
      <c r="K6" s="53"/>
    </row>
    <row r="7" spans="1:21" hidden="1">
      <c r="A7" s="148"/>
      <c r="B7" s="56"/>
      <c r="C7" s="56"/>
      <c r="D7" s="56"/>
      <c r="E7" s="102"/>
      <c r="F7" s="103"/>
      <c r="G7" s="56"/>
      <c r="H7" s="56"/>
      <c r="I7" s="56"/>
      <c r="J7" s="56"/>
      <c r="K7" s="53"/>
    </row>
    <row r="8" spans="1:21" hidden="1">
      <c r="A8" s="103"/>
      <c r="B8" s="56"/>
      <c r="C8" s="56"/>
      <c r="D8" s="56"/>
      <c r="E8" s="102"/>
      <c r="F8" s="103"/>
      <c r="G8" s="56"/>
      <c r="H8" s="56"/>
      <c r="I8" s="56"/>
      <c r="J8" s="56"/>
      <c r="K8" s="53"/>
    </row>
    <row r="9" spans="1:21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5"/>
      <c r="K9" s="108"/>
    </row>
    <row r="10" spans="1:21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34</v>
      </c>
      <c r="G10" s="109" t="s">
        <v>33</v>
      </c>
      <c r="H10" s="108" t="s">
        <v>59</v>
      </c>
      <c r="I10" s="108" t="s">
        <v>60</v>
      </c>
      <c r="J10" s="105" t="s">
        <v>41</v>
      </c>
      <c r="K10" s="108" t="s">
        <v>42</v>
      </c>
    </row>
    <row r="11" spans="1:21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07"/>
      <c r="K11" s="111"/>
      <c r="T11" s="113"/>
      <c r="U11" s="113"/>
    </row>
    <row r="12" spans="1:21">
      <c r="A12" s="114"/>
      <c r="B12" s="115"/>
      <c r="C12" s="115"/>
      <c r="D12" s="115"/>
      <c r="E12" s="116"/>
      <c r="F12" s="114"/>
      <c r="G12" s="115"/>
      <c r="H12" s="115"/>
      <c r="I12" s="115"/>
      <c r="J12" s="115"/>
      <c r="K12" s="117"/>
    </row>
    <row r="13" spans="1:21" ht="21">
      <c r="A13" s="114"/>
      <c r="B13" s="115"/>
      <c r="C13" s="156" t="s">
        <v>40</v>
      </c>
      <c r="D13" s="157"/>
      <c r="E13" s="157"/>
      <c r="F13" s="114"/>
      <c r="G13" s="115"/>
      <c r="H13" s="115"/>
      <c r="I13" s="115"/>
      <c r="J13" s="115"/>
      <c r="K13" s="117"/>
    </row>
    <row r="14" spans="1:21">
      <c r="A14" s="114"/>
      <c r="B14" s="115"/>
      <c r="C14" s="115"/>
      <c r="D14" s="115"/>
      <c r="E14" s="116"/>
      <c r="F14" s="114"/>
      <c r="G14" s="115"/>
      <c r="H14" s="115"/>
      <c r="I14" s="115"/>
      <c r="J14" s="115"/>
      <c r="K14" s="117"/>
    </row>
    <row r="15" spans="1:21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43</v>
      </c>
      <c r="G15" s="119" t="s">
        <v>44</v>
      </c>
      <c r="H15" s="122" t="s">
        <v>45</v>
      </c>
      <c r="I15" s="122" t="s">
        <v>46</v>
      </c>
      <c r="J15" s="123" t="s">
        <v>19</v>
      </c>
      <c r="K15" s="124" t="s">
        <v>23</v>
      </c>
    </row>
    <row r="16" spans="1:21">
      <c r="A16" s="81"/>
      <c r="B16" s="82"/>
      <c r="C16" s="82"/>
      <c r="D16" s="82"/>
      <c r="E16" s="83"/>
      <c r="F16" s="125"/>
      <c r="G16" s="126"/>
      <c r="H16" s="126"/>
      <c r="I16" s="126"/>
      <c r="J16" s="82"/>
      <c r="K16" s="84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C12" sqref="C12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7" width="11.42578125" style="127" customWidth="1"/>
    <col min="8" max="8" width="26.28515625" style="127" bestFit="1" customWidth="1"/>
    <col min="9" max="9" width="11.140625" style="86" bestFit="1" customWidth="1"/>
    <col min="10" max="10" width="57.42578125" style="88" bestFit="1" customWidth="1"/>
    <col min="11" max="21" width="0" style="54" hidden="1" customWidth="1"/>
    <col min="22" max="16384" width="9.140625" style="54" hidden="1"/>
  </cols>
  <sheetData>
    <row r="1" spans="1:20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93"/>
      <c r="K1" s="44"/>
      <c r="L1" s="44"/>
      <c r="M1" s="44"/>
    </row>
    <row r="2" spans="1:20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47"/>
      <c r="K2" s="44"/>
      <c r="L2" s="44"/>
      <c r="M2" s="44"/>
    </row>
    <row r="3" spans="1:20" s="45" customFormat="1" hidden="1">
      <c r="A3" s="97" t="s">
        <v>5</v>
      </c>
      <c r="B3" s="46" t="s">
        <v>31</v>
      </c>
      <c r="C3" s="46" t="s">
        <v>47</v>
      </c>
      <c r="D3" s="48" t="s">
        <v>50</v>
      </c>
      <c r="E3" s="76" t="s">
        <v>48</v>
      </c>
      <c r="F3" s="47" t="s">
        <v>49</v>
      </c>
      <c r="G3" s="47"/>
      <c r="H3" s="47"/>
      <c r="I3" s="47"/>
      <c r="J3" s="47"/>
      <c r="K3" s="44"/>
      <c r="L3" s="44"/>
    </row>
    <row r="4" spans="1:20" s="99" customFormat="1" hidden="1">
      <c r="A4" s="76">
        <f t="shared" ref="A4:F4" si="0">MATCH(A3,10:10,0)</f>
        <v>1</v>
      </c>
      <c r="B4" s="76">
        <f t="shared" si="0"/>
        <v>6</v>
      </c>
      <c r="C4" s="76">
        <f t="shared" si="0"/>
        <v>7</v>
      </c>
      <c r="D4" s="76">
        <f t="shared" si="0"/>
        <v>8</v>
      </c>
      <c r="E4" s="76">
        <f t="shared" si="0"/>
        <v>9</v>
      </c>
      <c r="F4" s="76">
        <f t="shared" si="0"/>
        <v>10</v>
      </c>
      <c r="G4" s="62"/>
      <c r="H4" s="62"/>
      <c r="I4" s="62"/>
      <c r="J4" s="62"/>
      <c r="K4" s="98"/>
      <c r="L4" s="98"/>
      <c r="R4" s="100"/>
      <c r="S4" s="100"/>
    </row>
    <row r="5" spans="1:20" s="99" customFormat="1" hidden="1">
      <c r="A5" s="76">
        <v>41</v>
      </c>
      <c r="B5" s="76" t="e">
        <f>IF(VLOOKUP($A$5,Table35363[],B4,FALSE)&lt;&gt;0,VLOOKUP($A$5,Table35363[],B4,FALSE),"")</f>
        <v>#N/A</v>
      </c>
      <c r="C5" s="76" t="e">
        <f>IF(VLOOKUP($A$5,Table35363[],C4,FALSE)&lt;&gt;0,VLOOKUP($A$5,Table35363[],C4,FALSE),"")</f>
        <v>#N/A</v>
      </c>
      <c r="D5" s="76" t="e">
        <f>IF(VLOOKUP($A$5,Table35363[],D4,FALSE)&lt;&gt;0,VLOOKUP($A$5,Table35363[],D4,FALSE),"")</f>
        <v>#N/A</v>
      </c>
      <c r="E5" s="76" t="e">
        <f>IF(VLOOKUP($A$5,Table35363[],E4,FALSE)&lt;&gt;0,VLOOKUP($A$5,Table35363[],E4,FALSE),"")</f>
        <v>#N/A</v>
      </c>
      <c r="F5" s="76" t="e">
        <f>IF(VLOOKUP($A$5,Table35363[],F4,FALSE)&lt;&gt;0,VLOOKUP($A$5,Table35363[],F4,FALSE),"")</f>
        <v>#N/A</v>
      </c>
      <c r="G5" s="62"/>
      <c r="H5" s="62"/>
      <c r="I5" s="62"/>
      <c r="J5" s="62"/>
      <c r="K5" s="98"/>
      <c r="L5" s="98"/>
      <c r="R5" s="100"/>
      <c r="S5" s="100"/>
    </row>
    <row r="6" spans="1:20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  <c r="J6" s="53"/>
    </row>
    <row r="7" spans="1:20" hidden="1">
      <c r="A7" s="148"/>
      <c r="B7" s="56"/>
      <c r="C7" s="56"/>
      <c r="D7" s="56"/>
      <c r="E7" s="102"/>
      <c r="F7" s="103"/>
      <c r="G7" s="56"/>
      <c r="H7" s="56"/>
      <c r="I7" s="56"/>
      <c r="J7" s="53"/>
    </row>
    <row r="8" spans="1:20" hidden="1">
      <c r="A8" s="103"/>
      <c r="B8" s="56"/>
      <c r="C8" s="56"/>
      <c r="D8" s="56"/>
      <c r="E8" s="102"/>
      <c r="F8" s="103"/>
      <c r="G8" s="56"/>
      <c r="H8" s="56"/>
      <c r="I8" s="56"/>
      <c r="J8" s="53"/>
    </row>
    <row r="9" spans="1:20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  <c r="J9" s="108"/>
    </row>
    <row r="10" spans="1:20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31</v>
      </c>
      <c r="G10" s="109" t="s">
        <v>47</v>
      </c>
      <c r="H10" s="108" t="s">
        <v>50</v>
      </c>
      <c r="I10" s="105" t="s">
        <v>48</v>
      </c>
      <c r="J10" s="108" t="s">
        <v>49</v>
      </c>
    </row>
    <row r="11" spans="1:20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11"/>
      <c r="S11" s="113"/>
      <c r="T11" s="113"/>
    </row>
    <row r="12" spans="1:20">
      <c r="A12" s="114"/>
      <c r="B12" s="115"/>
      <c r="C12" s="115"/>
      <c r="D12" s="115"/>
      <c r="E12" s="116"/>
      <c r="F12" s="114"/>
      <c r="G12" s="115"/>
      <c r="H12" s="115"/>
      <c r="I12" s="115"/>
      <c r="J12" s="117"/>
    </row>
    <row r="13" spans="1:20" ht="21">
      <c r="A13" s="114"/>
      <c r="B13" s="115"/>
      <c r="C13" s="156" t="s">
        <v>51</v>
      </c>
      <c r="D13" s="157"/>
      <c r="E13" s="157"/>
      <c r="F13" s="114"/>
      <c r="G13" s="115"/>
      <c r="H13" s="115"/>
      <c r="I13" s="115"/>
      <c r="J13" s="117"/>
    </row>
    <row r="14" spans="1:20">
      <c r="A14" s="114"/>
      <c r="B14" s="115"/>
      <c r="C14" s="115"/>
      <c r="D14" s="115"/>
      <c r="E14" s="116"/>
      <c r="F14" s="114"/>
      <c r="G14" s="115"/>
      <c r="H14" s="115"/>
      <c r="I14" s="115"/>
      <c r="J14" s="117"/>
    </row>
    <row r="15" spans="1:20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22" t="s">
        <v>52</v>
      </c>
      <c r="H15" s="122" t="s">
        <v>69</v>
      </c>
      <c r="I15" s="123" t="s">
        <v>53</v>
      </c>
      <c r="J15" s="124" t="s">
        <v>54</v>
      </c>
    </row>
    <row r="16" spans="1:20">
      <c r="A16" s="81"/>
      <c r="B16" s="82"/>
      <c r="C16" s="82"/>
      <c r="D16" s="82"/>
      <c r="E16" s="83"/>
      <c r="F16" s="128"/>
      <c r="G16" s="136"/>
      <c r="H16" s="140"/>
      <c r="I16" s="82"/>
      <c r="J16" s="84"/>
    </row>
  </sheetData>
  <sheetProtection formatColumns="0" formatRows="0" selectLockedCells="1" autoFilter="0" pivotTables="0"/>
  <mergeCells count="1">
    <mergeCell ref="C13:E13"/>
  </mergeCells>
  <dataValidations disablePrompts="1" count="3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  <dataValidation type="decimal" operator="greaterThanOrEqual" allowBlank="1" showInputMessage="1" showErrorMessage="1" sqref="G16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7</xdr:col>
                    <xdr:colOff>1333500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5.140625" style="127" bestFit="1" customWidth="1"/>
    <col min="7" max="7" width="14.7109375" style="127" bestFit="1" customWidth="1"/>
    <col min="8" max="8" width="11.42578125" style="127" customWidth="1"/>
    <col min="9" max="9" width="45.85546875" style="127" customWidth="1"/>
    <col min="10" max="10" width="9.140625" style="131" customWidth="1"/>
    <col min="11" max="16384" width="9.140625" style="54" hidden="1"/>
  </cols>
  <sheetData>
    <row r="1" spans="1:19" s="45" customFormat="1" hidden="1">
      <c r="A1" s="89" t="s">
        <v>10</v>
      </c>
      <c r="B1" s="90" t="s">
        <v>12</v>
      </c>
      <c r="C1" s="90"/>
      <c r="D1" s="90"/>
      <c r="E1" s="91"/>
      <c r="F1" s="92"/>
      <c r="G1" s="90"/>
      <c r="H1" s="90"/>
      <c r="I1" s="90"/>
      <c r="J1" s="129"/>
      <c r="K1" s="44"/>
      <c r="L1" s="44"/>
    </row>
    <row r="2" spans="1:19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62"/>
      <c r="G2" s="47"/>
      <c r="H2" s="47"/>
      <c r="I2" s="47"/>
      <c r="J2" s="129"/>
      <c r="K2" s="44"/>
      <c r="L2" s="44"/>
    </row>
    <row r="3" spans="1:19" s="45" customFormat="1" hidden="1">
      <c r="A3" s="97" t="s">
        <v>5</v>
      </c>
      <c r="B3" s="46" t="s">
        <v>55</v>
      </c>
      <c r="C3" s="46" t="s">
        <v>56</v>
      </c>
      <c r="D3" s="48" t="s">
        <v>58</v>
      </c>
      <c r="E3" s="76"/>
      <c r="F3" s="47"/>
      <c r="G3" s="47"/>
      <c r="H3" s="47"/>
      <c r="I3" s="47"/>
      <c r="J3" s="129"/>
      <c r="K3" s="44"/>
    </row>
    <row r="4" spans="1:19" s="99" customFormat="1" hidden="1">
      <c r="A4" s="76">
        <f>MATCH(A3,10:10,0)</f>
        <v>1</v>
      </c>
      <c r="B4" s="76">
        <f>MATCH(B3,10:10,0)</f>
        <v>7</v>
      </c>
      <c r="C4" s="76">
        <f>MATCH(C3,10:10,0)</f>
        <v>8</v>
      </c>
      <c r="D4" s="76">
        <f t="shared" ref="D4" si="0">MATCH(D3,10:10,0)</f>
        <v>9</v>
      </c>
      <c r="E4" s="76"/>
      <c r="F4" s="62"/>
      <c r="G4" s="62"/>
      <c r="H4" s="62"/>
      <c r="I4" s="62"/>
      <c r="J4" s="130"/>
      <c r="K4" s="98"/>
      <c r="Q4" s="100"/>
      <c r="R4" s="100"/>
    </row>
    <row r="5" spans="1:19" s="99" customFormat="1" hidden="1">
      <c r="A5" s="76">
        <v>37</v>
      </c>
      <c r="B5" s="76" t="e">
        <f>IF(VLOOKUP($A$5,Table35368[],B4,FALSE)&lt;&gt;0,VLOOKUP($A$5,Table35368[],B4,FALSE),"")</f>
        <v>#N/A</v>
      </c>
      <c r="C5" s="76" t="e">
        <f>IF(VLOOKUP($A$5,Table35368[],C4,FALSE)&lt;&gt;0,VLOOKUP($A$5,Table35368[],C4,FALSE),"")</f>
        <v>#N/A</v>
      </c>
      <c r="D5" s="76" t="e">
        <f>IF(VLOOKUP($A$5,Table35368[],D4,FALSE)&lt;&gt;0,VLOOKUP($A$5,Table35368[],D4,FALSE),"")</f>
        <v>#N/A</v>
      </c>
      <c r="E5" s="76"/>
      <c r="F5" s="62"/>
      <c r="G5" s="62"/>
      <c r="H5" s="62"/>
      <c r="I5" s="62"/>
      <c r="J5" s="130"/>
      <c r="K5" s="98"/>
      <c r="Q5" s="100"/>
      <c r="R5" s="100"/>
    </row>
    <row r="6" spans="1:19" hidden="1">
      <c r="A6" s="101" t="s">
        <v>16</v>
      </c>
      <c r="B6" s="56"/>
      <c r="C6" s="56"/>
      <c r="D6" s="56"/>
      <c r="E6" s="102"/>
      <c r="F6" s="103"/>
      <c r="G6" s="56"/>
      <c r="H6" s="56"/>
      <c r="I6" s="56"/>
    </row>
    <row r="7" spans="1:19" hidden="1">
      <c r="A7" s="148"/>
      <c r="B7" s="56"/>
      <c r="C7" s="56"/>
      <c r="D7" s="56"/>
      <c r="E7" s="102"/>
      <c r="F7" s="103"/>
      <c r="G7" s="56"/>
      <c r="H7" s="56"/>
      <c r="I7" s="56"/>
    </row>
    <row r="8" spans="1:19" hidden="1">
      <c r="A8" s="103"/>
      <c r="B8" s="56"/>
      <c r="C8" s="56"/>
      <c r="D8" s="56"/>
      <c r="E8" s="102"/>
      <c r="F8" s="103"/>
      <c r="G8" s="56"/>
      <c r="H8" s="56"/>
      <c r="I8" s="56"/>
    </row>
    <row r="9" spans="1:19" hidden="1">
      <c r="A9" s="104" t="s">
        <v>17</v>
      </c>
      <c r="B9" s="105"/>
      <c r="C9" s="105"/>
      <c r="D9" s="105"/>
      <c r="E9" s="106"/>
      <c r="F9" s="107"/>
      <c r="G9" s="105"/>
      <c r="H9" s="105"/>
      <c r="I9" s="105"/>
    </row>
    <row r="10" spans="1:19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97" t="s">
        <v>32</v>
      </c>
      <c r="G10" s="109" t="s">
        <v>55</v>
      </c>
      <c r="H10" s="108" t="s">
        <v>56</v>
      </c>
      <c r="I10" s="108" t="s">
        <v>58</v>
      </c>
    </row>
    <row r="11" spans="1:19" s="112" customFormat="1" hidden="1">
      <c r="A11" s="107"/>
      <c r="B11" s="107"/>
      <c r="C11" s="107"/>
      <c r="D11" s="107"/>
      <c r="E11" s="106"/>
      <c r="F11" s="107"/>
      <c r="G11" s="107"/>
      <c r="H11" s="107"/>
      <c r="I11" s="107"/>
      <c r="J11" s="132"/>
      <c r="R11" s="113"/>
      <c r="S11" s="113"/>
    </row>
    <row r="12" spans="1:19">
      <c r="A12" s="114"/>
      <c r="B12" s="115"/>
      <c r="C12" s="115"/>
      <c r="D12" s="115"/>
      <c r="E12" s="116"/>
      <c r="F12" s="114"/>
      <c r="G12" s="115"/>
      <c r="H12" s="115"/>
      <c r="I12" s="115"/>
    </row>
    <row r="13" spans="1:19" ht="21">
      <c r="A13" s="114"/>
      <c r="B13" s="115"/>
      <c r="C13" s="156" t="s">
        <v>62</v>
      </c>
      <c r="D13" s="157"/>
      <c r="E13" s="157"/>
      <c r="F13" s="114"/>
      <c r="G13" s="115"/>
      <c r="H13" s="115"/>
      <c r="I13" s="115"/>
    </row>
    <row r="14" spans="1:19">
      <c r="A14" s="114"/>
      <c r="B14" s="115"/>
      <c r="C14" s="115"/>
      <c r="D14" s="115"/>
      <c r="E14" s="116"/>
      <c r="F14" s="114"/>
      <c r="G14" s="115"/>
      <c r="H14" s="115"/>
      <c r="I14" s="115"/>
    </row>
    <row r="15" spans="1:19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22" t="s">
        <v>57</v>
      </c>
      <c r="H15" s="122" t="s">
        <v>19</v>
      </c>
      <c r="I15" s="122" t="s">
        <v>20</v>
      </c>
      <c r="J15" s="133"/>
    </row>
    <row r="16" spans="1:19">
      <c r="A16" s="81"/>
      <c r="B16" s="82"/>
      <c r="C16" s="82"/>
      <c r="D16" s="82"/>
      <c r="E16" s="83"/>
      <c r="F16" s="134"/>
      <c r="G16" s="135"/>
      <c r="H16" s="126"/>
      <c r="I16" s="126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8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85" customWidth="1"/>
    <col min="2" max="2" width="16.7109375" style="86" bestFit="1" customWidth="1"/>
    <col min="3" max="3" width="14" style="86" customWidth="1"/>
    <col min="4" max="4" width="11.28515625" style="86" bestFit="1" customWidth="1"/>
    <col min="5" max="5" width="15.140625" style="87" bestFit="1" customWidth="1"/>
    <col min="6" max="6" width="14.7109375" style="127" bestFit="1" customWidth="1"/>
    <col min="7" max="7" width="11.42578125" style="127" customWidth="1"/>
    <col min="8" max="8" width="45.85546875" style="127" customWidth="1"/>
    <col min="9" max="9" width="9.140625" style="131" customWidth="1"/>
    <col min="10" max="16384" width="9.140625" style="54" hidden="1"/>
  </cols>
  <sheetData>
    <row r="1" spans="1:18" s="45" customFormat="1" hidden="1">
      <c r="A1" s="89" t="s">
        <v>10</v>
      </c>
      <c r="B1" s="90" t="s">
        <v>12</v>
      </c>
      <c r="C1" s="90"/>
      <c r="D1" s="90"/>
      <c r="E1" s="91"/>
      <c r="F1" s="90"/>
      <c r="G1" s="90"/>
      <c r="H1" s="90"/>
      <c r="I1" s="129"/>
      <c r="J1" s="44"/>
      <c r="K1" s="44"/>
    </row>
    <row r="2" spans="1:18" s="45" customFormat="1" hidden="1">
      <c r="A2" s="94" t="s">
        <v>18</v>
      </c>
      <c r="B2" s="43"/>
      <c r="C2" s="95" t="s">
        <v>38</v>
      </c>
      <c r="D2" s="95" t="s">
        <v>39</v>
      </c>
      <c r="E2" s="96"/>
      <c r="F2" s="47"/>
      <c r="G2" s="47"/>
      <c r="H2" s="47"/>
      <c r="I2" s="129"/>
      <c r="J2" s="44"/>
      <c r="K2" s="44"/>
    </row>
    <row r="3" spans="1:18" s="45" customFormat="1" hidden="1">
      <c r="A3" s="97" t="s">
        <v>5</v>
      </c>
      <c r="B3" s="46" t="s">
        <v>63</v>
      </c>
      <c r="C3" s="46" t="s">
        <v>64</v>
      </c>
      <c r="D3" s="48" t="s">
        <v>65</v>
      </c>
      <c r="E3" s="76"/>
      <c r="F3" s="47"/>
      <c r="G3" s="47"/>
      <c r="H3" s="47"/>
      <c r="I3" s="129"/>
      <c r="J3" s="44"/>
    </row>
    <row r="4" spans="1:18" s="99" customFormat="1" hidden="1">
      <c r="A4" s="76">
        <f>MATCH(A3,10:10,0)</f>
        <v>1</v>
      </c>
      <c r="B4" s="76">
        <f>MATCH(B3,10:10,0)</f>
        <v>6</v>
      </c>
      <c r="C4" s="76">
        <f>MATCH(C3,10:10,0)</f>
        <v>7</v>
      </c>
      <c r="D4" s="76">
        <f>MATCH(D3,10:10,0)</f>
        <v>8</v>
      </c>
      <c r="E4" s="76"/>
      <c r="F4" s="62"/>
      <c r="G4" s="62"/>
      <c r="H4" s="62"/>
      <c r="I4" s="130"/>
      <c r="J4" s="98"/>
      <c r="P4" s="100"/>
      <c r="Q4" s="100"/>
    </row>
    <row r="5" spans="1:18" s="99" customFormat="1" hidden="1">
      <c r="A5" s="76">
        <v>37</v>
      </c>
      <c r="B5" s="76" t="e">
        <f>IF(VLOOKUP($A$5,Table353689[],B4,FALSE)&lt;&gt;0,VLOOKUP($A$5,Table353689[],B4,FALSE),"")</f>
        <v>#N/A</v>
      </c>
      <c r="C5" s="76" t="e">
        <f>IF(VLOOKUP($A$5,Table353689[],C4,FALSE)&lt;&gt;0,VLOOKUP($A$5,Table353689[],C4,FALSE),"")</f>
        <v>#N/A</v>
      </c>
      <c r="D5" s="76" t="e">
        <f>IF(VLOOKUP($A$5,Table353689[],D4,FALSE)&lt;&gt;0,VLOOKUP($A$5,Table353689[],D4,FALSE),"")</f>
        <v>#N/A</v>
      </c>
      <c r="E5" s="76"/>
      <c r="F5" s="62"/>
      <c r="G5" s="62"/>
      <c r="H5" s="62"/>
      <c r="I5" s="130"/>
      <c r="J5" s="98"/>
      <c r="P5" s="100"/>
      <c r="Q5" s="100"/>
    </row>
    <row r="6" spans="1:18" hidden="1">
      <c r="A6" s="101" t="s">
        <v>16</v>
      </c>
      <c r="B6" s="56"/>
      <c r="C6" s="56"/>
      <c r="D6" s="56"/>
      <c r="E6" s="102"/>
      <c r="F6" s="56"/>
      <c r="G6" s="56"/>
      <c r="H6" s="56"/>
    </row>
    <row r="7" spans="1:18" hidden="1">
      <c r="A7" s="148"/>
      <c r="B7" s="56"/>
      <c r="C7" s="56"/>
      <c r="D7" s="56"/>
      <c r="E7" s="102"/>
      <c r="F7" s="56"/>
      <c r="G7" s="56"/>
      <c r="H7" s="56"/>
    </row>
    <row r="8" spans="1:18" hidden="1">
      <c r="A8" s="103"/>
      <c r="B8" s="56"/>
      <c r="C8" s="56"/>
      <c r="D8" s="56"/>
      <c r="E8" s="102"/>
      <c r="F8" s="56"/>
      <c r="G8" s="56"/>
      <c r="H8" s="56"/>
    </row>
    <row r="9" spans="1:18" hidden="1">
      <c r="A9" s="104" t="s">
        <v>17</v>
      </c>
      <c r="B9" s="105"/>
      <c r="C9" s="105"/>
      <c r="D9" s="105"/>
      <c r="E9" s="106"/>
      <c r="F9" s="105"/>
      <c r="G9" s="105"/>
      <c r="H9" s="105"/>
    </row>
    <row r="10" spans="1:18" hidden="1">
      <c r="A10" s="97" t="s">
        <v>5</v>
      </c>
      <c r="B10" s="109" t="s">
        <v>4</v>
      </c>
      <c r="C10" s="109" t="s">
        <v>14</v>
      </c>
      <c r="D10" s="109" t="s">
        <v>1</v>
      </c>
      <c r="E10" s="110" t="s">
        <v>3</v>
      </c>
      <c r="F10" s="109" t="s">
        <v>63</v>
      </c>
      <c r="G10" s="108" t="s">
        <v>64</v>
      </c>
      <c r="H10" s="108" t="s">
        <v>65</v>
      </c>
    </row>
    <row r="11" spans="1:18" s="112" customFormat="1" hidden="1">
      <c r="A11" s="107"/>
      <c r="B11" s="107"/>
      <c r="C11" s="107"/>
      <c r="D11" s="107"/>
      <c r="E11" s="106"/>
      <c r="F11" s="107"/>
      <c r="G11" s="107"/>
      <c r="H11" s="107"/>
      <c r="I11" s="132"/>
      <c r="Q11" s="113"/>
      <c r="R11" s="113"/>
    </row>
    <row r="12" spans="1:18">
      <c r="A12" s="114"/>
      <c r="B12" s="115"/>
      <c r="C12" s="115"/>
      <c r="D12" s="115"/>
      <c r="E12" s="116"/>
      <c r="F12" s="115"/>
      <c r="G12" s="115"/>
      <c r="H12" s="115"/>
    </row>
    <row r="13" spans="1:18" ht="21">
      <c r="A13" s="114"/>
      <c r="B13" s="115"/>
      <c r="C13" s="156" t="s">
        <v>61</v>
      </c>
      <c r="D13" s="157"/>
      <c r="E13" s="157"/>
      <c r="F13" s="115"/>
      <c r="G13" s="115"/>
      <c r="H13" s="115"/>
    </row>
    <row r="14" spans="1:18">
      <c r="A14" s="114"/>
      <c r="B14" s="115"/>
      <c r="C14" s="115"/>
      <c r="D14" s="115"/>
      <c r="E14" s="116"/>
      <c r="F14" s="115"/>
      <c r="G14" s="115"/>
      <c r="H14" s="115"/>
    </row>
    <row r="15" spans="1:18" s="118" customFormat="1" ht="30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22" t="s">
        <v>66</v>
      </c>
      <c r="G15" s="122" t="s">
        <v>19</v>
      </c>
      <c r="H15" s="122" t="s">
        <v>20</v>
      </c>
      <c r="I15" s="133"/>
    </row>
    <row r="16" spans="1:18">
      <c r="A16" s="81"/>
      <c r="B16" s="82"/>
      <c r="C16" s="82"/>
      <c r="D16" s="82"/>
      <c r="E16" s="83"/>
      <c r="F16" s="135"/>
      <c r="G16" s="126"/>
      <c r="H16" s="126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333375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11</xdr:row>
                    <xdr:rowOff>142875</xdr:rowOff>
                  </from>
                  <to>
                    <xdr:col>7</xdr:col>
                    <xdr:colOff>1114425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1.28515625" style="2" bestFit="1" customWidth="1"/>
    <col min="7" max="7" width="63.5703125" customWidth="1"/>
    <col min="8" max="8" width="9.140625" customWidth="1"/>
    <col min="9" max="9" width="0" style="10" hidden="1" customWidth="1"/>
    <col min="10" max="19" width="0" style="4" hidden="1" customWidth="1"/>
    <col min="20" max="16384" width="9.140625" style="4" hidden="1"/>
  </cols>
  <sheetData>
    <row r="1" spans="1:1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6"/>
      <c r="J1" s="9"/>
      <c r="K1" s="9"/>
      <c r="L1" s="9"/>
    </row>
    <row r="2" spans="1:19" s="3" customFormat="1" hidden="1">
      <c r="A2" s="64" t="s">
        <v>18</v>
      </c>
      <c r="B2" s="7"/>
      <c r="C2" s="77" t="s">
        <v>38</v>
      </c>
      <c r="D2" s="77" t="s">
        <v>84</v>
      </c>
      <c r="E2" s="36"/>
      <c r="F2" s="23"/>
      <c r="G2" s="8"/>
      <c r="H2" s="8"/>
      <c r="I2" s="8"/>
      <c r="J2" s="9"/>
      <c r="K2" s="9"/>
      <c r="L2" s="9"/>
    </row>
    <row r="3" spans="1:19" s="3" customFormat="1" hidden="1">
      <c r="A3" s="65" t="s">
        <v>5</v>
      </c>
      <c r="B3" s="5" t="s">
        <v>82</v>
      </c>
      <c r="C3" s="5" t="s">
        <v>83</v>
      </c>
      <c r="D3" s="36"/>
      <c r="E3" s="23"/>
      <c r="F3" s="8"/>
      <c r="G3" s="8"/>
      <c r="H3" s="8"/>
      <c r="I3" s="9"/>
      <c r="J3" s="9"/>
      <c r="K3" s="9"/>
    </row>
    <row r="4" spans="1:19" s="25" customFormat="1" hidden="1">
      <c r="A4" s="22">
        <f>MATCH(A3,10:10,0)</f>
        <v>1</v>
      </c>
      <c r="B4" s="22">
        <f>MATCH(B3,10:10,0)</f>
        <v>6</v>
      </c>
      <c r="C4" s="22">
        <f>MATCH(C3,10:10,0)</f>
        <v>7</v>
      </c>
      <c r="D4" s="36"/>
      <c r="E4" s="23"/>
      <c r="F4" s="23"/>
      <c r="G4" s="23"/>
      <c r="H4" s="23"/>
      <c r="I4" s="24"/>
      <c r="J4" s="24"/>
      <c r="K4" s="24"/>
      <c r="Q4" s="33"/>
      <c r="R4" s="33"/>
    </row>
    <row r="5" spans="1:19" s="25" customFormat="1" hidden="1">
      <c r="A5" s="22">
        <v>41</v>
      </c>
      <c r="B5" s="6" t="e">
        <f>IF(VLOOKUP($A$5,Table3536712[],B4,FALSE)&lt;&gt;0,VLOOKUP($A$5,Table3536712[],B4,FALSE),"")</f>
        <v>#N/A</v>
      </c>
      <c r="C5" s="22" t="e">
        <f>IF(VLOOKUP($A$5,Table3536712[],C4,FALSE)&lt;&gt;0,VLOOKUP($A$5,Table3536712[],C4,FALSE),"")</f>
        <v>#N/A</v>
      </c>
      <c r="D5" s="36"/>
      <c r="E5" s="23"/>
      <c r="F5" s="23"/>
      <c r="G5" s="23"/>
      <c r="H5" s="23"/>
      <c r="I5" s="24"/>
      <c r="J5" s="24"/>
      <c r="K5" s="24"/>
      <c r="Q5" s="33"/>
      <c r="R5" s="33"/>
    </row>
    <row r="6" spans="1:19" hidden="1">
      <c r="A6" s="66" t="s">
        <v>16</v>
      </c>
      <c r="B6" s="12"/>
      <c r="C6" s="12"/>
      <c r="D6" s="12"/>
      <c r="E6" s="70"/>
      <c r="F6" s="67"/>
      <c r="G6" s="12"/>
      <c r="H6" s="12"/>
      <c r="I6" s="11"/>
    </row>
    <row r="7" spans="1:19" hidden="1">
      <c r="A7" s="147"/>
      <c r="B7" s="12"/>
      <c r="C7" s="12"/>
      <c r="D7" s="12"/>
      <c r="E7" s="70"/>
      <c r="F7" s="67"/>
      <c r="G7" s="12"/>
      <c r="H7" s="12"/>
      <c r="I7" s="11"/>
    </row>
    <row r="8" spans="1:19" hidden="1">
      <c r="A8" s="67"/>
      <c r="B8" s="12"/>
      <c r="C8" s="12"/>
      <c r="D8" s="12"/>
      <c r="E8" s="70"/>
      <c r="F8" s="67"/>
      <c r="G8" s="12"/>
      <c r="H8" s="12"/>
      <c r="I8" s="11"/>
    </row>
    <row r="9" spans="1:19" hidden="1">
      <c r="A9" s="68" t="s">
        <v>17</v>
      </c>
      <c r="B9" s="13"/>
      <c r="C9" s="13"/>
      <c r="D9" s="13"/>
      <c r="E9" s="71"/>
      <c r="F9" s="26"/>
      <c r="G9" s="13"/>
      <c r="H9" s="13"/>
      <c r="I9" s="14"/>
    </row>
    <row r="10" spans="1:19" hidden="1">
      <c r="A10" s="65" t="s">
        <v>5</v>
      </c>
      <c r="B10" s="18" t="s">
        <v>4</v>
      </c>
      <c r="C10" s="18" t="s">
        <v>14</v>
      </c>
      <c r="D10" s="18" t="s">
        <v>1</v>
      </c>
      <c r="E10" s="72" t="s">
        <v>3</v>
      </c>
      <c r="F10" s="65" t="s">
        <v>82</v>
      </c>
      <c r="G10" s="18" t="s">
        <v>83</v>
      </c>
      <c r="H10" s="13"/>
      <c r="I10" s="14"/>
    </row>
    <row r="11" spans="1:19" s="28" customFormat="1" hidden="1">
      <c r="A11" s="26"/>
      <c r="B11" s="26"/>
      <c r="C11" s="26"/>
      <c r="D11" s="26"/>
      <c r="E11" s="71"/>
      <c r="F11" s="26"/>
      <c r="G11" s="26"/>
      <c r="H11" s="26"/>
      <c r="I11" s="27"/>
      <c r="R11" s="34"/>
      <c r="S11" s="34"/>
    </row>
    <row r="13" spans="1:19" ht="21">
      <c r="C13" s="154" t="s">
        <v>81</v>
      </c>
      <c r="D13" s="155"/>
      <c r="E13" s="155"/>
    </row>
    <row r="15" spans="1:19" s="32" customFormat="1" ht="30">
      <c r="A15" s="78" t="s">
        <v>21</v>
      </c>
      <c r="B15" s="79" t="s">
        <v>0</v>
      </c>
      <c r="C15" s="79" t="s">
        <v>22</v>
      </c>
      <c r="D15" s="79" t="s">
        <v>1</v>
      </c>
      <c r="E15" s="80" t="s">
        <v>9</v>
      </c>
      <c r="F15" s="29" t="s">
        <v>19</v>
      </c>
      <c r="G15" s="29" t="s">
        <v>23</v>
      </c>
      <c r="H15" s="1"/>
      <c r="I15" s="31"/>
    </row>
    <row r="16" spans="1:19" ht="14.25" customHeight="1">
      <c r="A16" s="19"/>
      <c r="B16" s="17"/>
      <c r="C16" s="17"/>
      <c r="D16" s="17"/>
      <c r="E16" s="21"/>
      <c r="F16" s="19"/>
      <c r="G16" s="20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6</xdr:col>
                    <xdr:colOff>2105025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E1BF-7352-4ADD-8F0F-E3C3E07DFBA4}">
  <sheetPr codeName="Sheet16">
    <tabColor theme="9"/>
    <outlinePr summaryBelow="0" summaryRight="0"/>
  </sheetPr>
  <dimension ref="A1:AC56"/>
  <sheetViews>
    <sheetView showGridLines="0" workbookViewId="0">
      <pane xSplit="2" ySplit="15" topLeftCell="C22" activePane="bottomRight" state="frozen"/>
      <selection activeCell="A11" sqref="A11"/>
      <selection pane="topRight" activeCell="C11" sqref="C11"/>
      <selection pane="bottomLeft" activeCell="A15" sqref="A15"/>
      <selection pane="bottomRight" activeCell="A11" sqref="A1:XFD11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9" width="12.42578125" customWidth="1"/>
    <col min="10" max="10" width="11.28515625" bestFit="1" customWidth="1"/>
    <col min="11" max="11" width="9.7109375" style="10" bestFit="1" customWidth="1"/>
    <col min="12" max="12" width="16.28515625" style="10" bestFit="1" customWidth="1"/>
    <col min="13" max="13" width="9.140625" style="10"/>
    <col min="14" max="14" width="10.5703125" style="10" bestFit="1" customWidth="1"/>
    <col min="15" max="15" width="16" style="10" customWidth="1" collapsed="1"/>
    <col min="16" max="16" width="58.85546875" style="10" hidden="1" customWidth="1" outlineLevel="1"/>
    <col min="17" max="18" width="13.5703125" style="10" hidden="1" customWidth="1" outlineLevel="1"/>
    <col min="19" max="19" width="58.42578125" style="10" hidden="1" customWidth="1" outlineLevel="1"/>
    <col min="20" max="20" width="10" style="10" hidden="1" customWidth="1" outlineLevel="1"/>
    <col min="21" max="21" width="41.85546875" style="10" hidden="1" customWidth="1" outlineLevel="1"/>
    <col min="22" max="22" width="12.5703125" style="10" hidden="1" customWidth="1" outlineLevel="1"/>
    <col min="23" max="23" width="19.42578125" style="10" hidden="1" customWidth="1" outlineLevel="1"/>
    <col min="24" max="24" width="57.42578125" style="10" hidden="1" customWidth="1" outlineLevel="1"/>
    <col min="25" max="25" width="22.28515625" style="10" hidden="1" customWidth="1" outlineLevel="1"/>
    <col min="26" max="26" width="30.140625" style="10" hidden="1" customWidth="1" outlineLevel="1"/>
    <col min="27" max="27" width="47.7109375" style="10" hidden="1" customWidth="1" outlineLevel="1"/>
    <col min="28" max="29" width="9.140625" style="10"/>
    <col min="30" max="16384" width="9.140625" style="4"/>
  </cols>
  <sheetData>
    <row r="1" spans="1:2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s="3" customFormat="1" hidden="1">
      <c r="A3" s="65" t="s">
        <v>5</v>
      </c>
      <c r="B3" s="5" t="s">
        <v>14</v>
      </c>
      <c r="C3" s="5" t="s">
        <v>31</v>
      </c>
      <c r="D3" s="5" t="s">
        <v>94</v>
      </c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s="25" customFormat="1" hidden="1">
      <c r="A4" s="22">
        <f>MATCH(A3,10:10,0)</f>
        <v>1</v>
      </c>
      <c r="B4" s="22">
        <f>MATCH(B3,10:10,0)</f>
        <v>3</v>
      </c>
      <c r="C4" s="22">
        <f>MATCH(C3,10:10,0)</f>
        <v>6</v>
      </c>
      <c r="D4" s="22">
        <f>MATCH(D3,10:10,0)</f>
        <v>9</v>
      </c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</row>
    <row r="5" spans="1:29" s="25" customFormat="1" hidden="1">
      <c r="A5" s="22">
        <v>36</v>
      </c>
      <c r="B5" s="6" t="e">
        <f>IF(VLOOKUP($A$5,Table352[],B4,FALSE)&lt;&gt;0,VLOOKUP($A$5,Table352[],B4,FALSE),"")</f>
        <v>#N/A</v>
      </c>
      <c r="C5" s="22" t="e">
        <f>IF(VLOOKUP($A$5,Table352[],C4,FALSE)&lt;&gt;0,VLOOKUP($A$5,Table352[],C4,FALSE),"")</f>
        <v>#N/A</v>
      </c>
      <c r="D5" s="22" t="e">
        <f>IF(VLOOKUP($A$5,Table352[],D4,FALSE)&lt;&gt;0,VLOOKUP($A$5,Table352[],D4,FALSE),"")</f>
        <v>#N/A</v>
      </c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</row>
    <row r="6" spans="1:29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idden="1">
      <c r="A7" s="67"/>
      <c r="B7" s="67"/>
      <c r="C7" s="67"/>
      <c r="D7" s="67"/>
      <c r="E7" s="70"/>
      <c r="F7" s="67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idden="1">
      <c r="A8" s="67"/>
      <c r="B8" s="67"/>
      <c r="C8" s="67"/>
      <c r="D8" s="67"/>
      <c r="E8" s="70"/>
      <c r="F8" s="67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idden="1">
      <c r="A10" s="65" t="s">
        <v>5</v>
      </c>
      <c r="B10" s="18" t="s">
        <v>4</v>
      </c>
      <c r="C10" s="18" t="s">
        <v>14</v>
      </c>
      <c r="D10" s="18" t="s">
        <v>1</v>
      </c>
      <c r="E10" s="18" t="s">
        <v>3</v>
      </c>
      <c r="F10" s="18" t="s">
        <v>31</v>
      </c>
      <c r="G10" s="18" t="s">
        <v>34</v>
      </c>
      <c r="H10" s="18" t="s">
        <v>33</v>
      </c>
      <c r="I10" s="18" t="s">
        <v>94</v>
      </c>
      <c r="J10" s="18" t="s">
        <v>36</v>
      </c>
      <c r="K10" s="18" t="s">
        <v>41</v>
      </c>
      <c r="L10" s="18" t="s">
        <v>56</v>
      </c>
      <c r="M10" s="18" t="s">
        <v>48</v>
      </c>
      <c r="N10" s="18" t="s">
        <v>64</v>
      </c>
      <c r="O10" s="18" t="s">
        <v>82</v>
      </c>
      <c r="P10" s="18" t="s">
        <v>37</v>
      </c>
      <c r="Q10" s="18" t="s">
        <v>59</v>
      </c>
      <c r="R10" s="18" t="s">
        <v>60</v>
      </c>
      <c r="S10" s="18" t="s">
        <v>42</v>
      </c>
      <c r="T10" s="18" t="s">
        <v>55</v>
      </c>
      <c r="U10" s="18" t="s">
        <v>58</v>
      </c>
      <c r="V10" s="18" t="s">
        <v>47</v>
      </c>
      <c r="W10" s="18" t="s">
        <v>50</v>
      </c>
      <c r="X10" s="18" t="s">
        <v>49</v>
      </c>
      <c r="Y10" s="18" t="s">
        <v>63</v>
      </c>
      <c r="Z10" s="18" t="s">
        <v>65</v>
      </c>
      <c r="AA10" s="18" t="s">
        <v>83</v>
      </c>
      <c r="AB10" s="14"/>
      <c r="AC10" s="14"/>
    </row>
    <row r="11" spans="1:29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6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</row>
    <row r="13" spans="1:29" ht="21">
      <c r="C13" s="154" t="s">
        <v>75</v>
      </c>
      <c r="D13" s="155"/>
      <c r="E13" s="155"/>
    </row>
    <row r="15" spans="1:29" s="32" customFormat="1" ht="30">
      <c r="A15" s="29" t="s">
        <v>21</v>
      </c>
      <c r="B15" s="30" t="s">
        <v>0</v>
      </c>
      <c r="C15" s="30" t="s">
        <v>22</v>
      </c>
      <c r="D15" s="30" t="s">
        <v>1</v>
      </c>
      <c r="E15" s="74" t="s">
        <v>9</v>
      </c>
      <c r="F15" s="29" t="s">
        <v>26</v>
      </c>
      <c r="G15" s="29" t="s">
        <v>67</v>
      </c>
      <c r="H15" s="29" t="s">
        <v>68</v>
      </c>
      <c r="I15" s="29" t="s">
        <v>94</v>
      </c>
      <c r="J15" s="142" t="s">
        <v>70</v>
      </c>
      <c r="K15" s="144" t="s">
        <v>71</v>
      </c>
      <c r="L15" s="143" t="s">
        <v>72</v>
      </c>
      <c r="M15" s="145" t="s">
        <v>73</v>
      </c>
      <c r="N15" s="30" t="s">
        <v>74</v>
      </c>
      <c r="O15" s="143" t="s">
        <v>87</v>
      </c>
      <c r="P15" s="146" t="s">
        <v>80</v>
      </c>
      <c r="Q15" s="144" t="s">
        <v>45</v>
      </c>
      <c r="R15" s="144" t="s">
        <v>46</v>
      </c>
      <c r="S15" s="144" t="s">
        <v>76</v>
      </c>
      <c r="T15" s="145" t="s">
        <v>77</v>
      </c>
      <c r="U15" s="145" t="s">
        <v>78</v>
      </c>
      <c r="V15" s="143" t="s">
        <v>52</v>
      </c>
      <c r="W15" s="143" t="s">
        <v>69</v>
      </c>
      <c r="X15" s="143" t="s">
        <v>54</v>
      </c>
      <c r="Y15" s="122" t="s">
        <v>66</v>
      </c>
      <c r="Z15" s="30" t="s">
        <v>79</v>
      </c>
      <c r="AA15" s="143" t="s">
        <v>93</v>
      </c>
      <c r="AB15" s="30"/>
      <c r="AC15" s="30"/>
    </row>
    <row r="16" spans="1:29">
      <c r="A16" s="19"/>
      <c r="B16" s="17"/>
      <c r="C16" s="17"/>
      <c r="D16" s="17"/>
      <c r="E16" s="21"/>
      <c r="F16" s="139"/>
      <c r="G16" s="137"/>
      <c r="H16" s="138"/>
      <c r="I16" s="138"/>
      <c r="J16" s="150"/>
      <c r="K16" s="151"/>
      <c r="L16" s="151"/>
      <c r="M16" s="151"/>
      <c r="N16" s="151"/>
      <c r="O16" s="15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</row>
    <row r="17" spans="28:29">
      <c r="AB17" s="141"/>
      <c r="AC17" s="141"/>
    </row>
    <row r="18" spans="28:29">
      <c r="AB18" s="141"/>
      <c r="AC18" s="141"/>
    </row>
    <row r="19" spans="28:29">
      <c r="AB19" s="141"/>
      <c r="AC19" s="141"/>
    </row>
    <row r="20" spans="28:29">
      <c r="AB20" s="141"/>
      <c r="AC20" s="141"/>
    </row>
    <row r="21" spans="28:29">
      <c r="AB21" s="141"/>
      <c r="AC21" s="141"/>
    </row>
    <row r="22" spans="28:29">
      <c r="AB22" s="141"/>
      <c r="AC22" s="141"/>
    </row>
    <row r="23" spans="28:29">
      <c r="AB23" s="141"/>
      <c r="AC23" s="141"/>
    </row>
    <row r="24" spans="28:29">
      <c r="AB24" s="141"/>
      <c r="AC24" s="141"/>
    </row>
    <row r="25" spans="28:29">
      <c r="AB25" s="141"/>
      <c r="AC25" s="141"/>
    </row>
    <row r="26" spans="28:29">
      <c r="AB26" s="141"/>
      <c r="AC26" s="141"/>
    </row>
    <row r="27" spans="28:29">
      <c r="AB27" s="141"/>
      <c r="AC27" s="141"/>
    </row>
    <row r="28" spans="28:29">
      <c r="AB28" s="141"/>
      <c r="AC28" s="141"/>
    </row>
    <row r="29" spans="28:29">
      <c r="AB29" s="141"/>
      <c r="AC29" s="141"/>
    </row>
    <row r="30" spans="28:29">
      <c r="AB30" s="141"/>
      <c r="AC30" s="141"/>
    </row>
    <row r="31" spans="28:29">
      <c r="AB31" s="141"/>
      <c r="AC31" s="141"/>
    </row>
    <row r="32" spans="28:29">
      <c r="AB32" s="141"/>
      <c r="AC32" s="141"/>
    </row>
    <row r="33" spans="28:29">
      <c r="AB33" s="141"/>
      <c r="AC33" s="141"/>
    </row>
    <row r="34" spans="28:29">
      <c r="AB34" s="141"/>
      <c r="AC34" s="141"/>
    </row>
    <row r="35" spans="28:29">
      <c r="AB35" s="141"/>
      <c r="AC35" s="141"/>
    </row>
    <row r="36" spans="28:29">
      <c r="AB36" s="141"/>
      <c r="AC36" s="141"/>
    </row>
    <row r="37" spans="28:29">
      <c r="AB37" s="141"/>
      <c r="AC37" s="141"/>
    </row>
    <row r="38" spans="28:29">
      <c r="AB38" s="141"/>
      <c r="AC38" s="141"/>
    </row>
    <row r="39" spans="28:29">
      <c r="AB39" s="141"/>
      <c r="AC39" s="141"/>
    </row>
    <row r="40" spans="28:29">
      <c r="AB40" s="141"/>
      <c r="AC40" s="141"/>
    </row>
    <row r="41" spans="28:29">
      <c r="AB41" s="141"/>
      <c r="AC41" s="141"/>
    </row>
    <row r="42" spans="28:29">
      <c r="AB42" s="141"/>
      <c r="AC42" s="141"/>
    </row>
    <row r="43" spans="28:29">
      <c r="AB43" s="141"/>
      <c r="AC43" s="141"/>
    </row>
    <row r="44" spans="28:29">
      <c r="AB44" s="141"/>
      <c r="AC44" s="141"/>
    </row>
    <row r="45" spans="28:29">
      <c r="AB45" s="141"/>
      <c r="AC45" s="141"/>
    </row>
    <row r="46" spans="28:29">
      <c r="AB46" s="141"/>
      <c r="AC46" s="141"/>
    </row>
    <row r="47" spans="28:29">
      <c r="AB47" s="141"/>
      <c r="AC47" s="141"/>
    </row>
    <row r="48" spans="28:29">
      <c r="AB48" s="141"/>
      <c r="AC48" s="141"/>
    </row>
    <row r="49" spans="28:29">
      <c r="AB49" s="141"/>
      <c r="AC49" s="141"/>
    </row>
    <row r="50" spans="28:29">
      <c r="AB50" s="141"/>
      <c r="AC50" s="141"/>
    </row>
    <row r="51" spans="28:29">
      <c r="AB51" s="141"/>
      <c r="AC51" s="141"/>
    </row>
    <row r="52" spans="28:29">
      <c r="AB52" s="141"/>
      <c r="AC52" s="141"/>
    </row>
    <row r="53" spans="28:29">
      <c r="AB53" s="141"/>
      <c r="AC53" s="141"/>
    </row>
    <row r="54" spans="28:29">
      <c r="AB54" s="141"/>
      <c r="AC54" s="141"/>
    </row>
    <row r="55" spans="28:29">
      <c r="AB55" s="141"/>
      <c r="AC55" s="141"/>
    </row>
    <row r="56" spans="28:29">
      <c r="AB56" s="141"/>
      <c r="AC56" s="141"/>
    </row>
  </sheetData>
  <mergeCells count="1">
    <mergeCell ref="C13:E13"/>
  </mergeCells>
  <dataValidations disablePrompts="1" count="1">
    <dataValidation type="list" allowBlank="1" showInputMessage="1" showErrorMessage="1" sqref="I16" xr:uid="{FC689CDF-3A04-4605-B008-5EA0C6A4ED7C}">
      <formula1>"Open,Approved,Rejected"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AC73"/>
  <sheetViews>
    <sheetView showGridLines="0" tabSelected="1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I18" sqref="I18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9" width="12.42578125" customWidth="1"/>
    <col min="10" max="10" width="11.28515625" bestFit="1" customWidth="1"/>
    <col min="11" max="11" width="9.7109375" style="10" bestFit="1" customWidth="1"/>
    <col min="12" max="12" width="16.28515625" style="10" bestFit="1" customWidth="1"/>
    <col min="13" max="13" width="9.140625" style="10"/>
    <col min="14" max="14" width="10.5703125" style="10" bestFit="1" customWidth="1"/>
    <col min="15" max="15" width="16" style="10" customWidth="1" collapsed="1"/>
    <col min="16" max="16" width="58.85546875" style="10" hidden="1" customWidth="1" outlineLevel="1"/>
    <col min="17" max="18" width="13.5703125" style="10" hidden="1" customWidth="1" outlineLevel="1"/>
    <col min="19" max="19" width="58.42578125" style="10" hidden="1" customWidth="1" outlineLevel="1"/>
    <col min="20" max="20" width="10" style="10" hidden="1" customWidth="1" outlineLevel="1"/>
    <col min="21" max="21" width="41.85546875" style="10" hidden="1" customWidth="1" outlineLevel="1"/>
    <col min="22" max="22" width="12.5703125" style="10" hidden="1" customWidth="1" outlineLevel="1"/>
    <col min="23" max="23" width="19.42578125" style="10" hidden="1" customWidth="1" outlineLevel="1"/>
    <col min="24" max="24" width="57.42578125" style="10" hidden="1" customWidth="1" outlineLevel="1"/>
    <col min="25" max="25" width="22.28515625" style="10" hidden="1" customWidth="1" outlineLevel="1"/>
    <col min="26" max="26" width="30.140625" style="10" hidden="1" customWidth="1" outlineLevel="1"/>
    <col min="27" max="27" width="47.7109375" style="10" hidden="1" customWidth="1" outlineLevel="1"/>
    <col min="28" max="29" width="9.140625" style="10"/>
    <col min="30" max="16384" width="9.140625" style="4"/>
  </cols>
  <sheetData>
    <row r="1" spans="1:29" s="3" customFormat="1" hidden="1">
      <c r="A1" s="63" t="s">
        <v>10</v>
      </c>
      <c r="B1" s="15" t="s">
        <v>12</v>
      </c>
      <c r="C1" s="15"/>
      <c r="D1" s="15"/>
      <c r="E1" s="69"/>
      <c r="F1" s="75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s="3" customFormat="1" hidden="1">
      <c r="A3" s="65" t="s">
        <v>5</v>
      </c>
      <c r="B3" s="5" t="s">
        <v>14</v>
      </c>
      <c r="C3" s="5" t="s">
        <v>31</v>
      </c>
      <c r="D3" s="5" t="s">
        <v>94</v>
      </c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s="25" customFormat="1" hidden="1">
      <c r="A4" s="22">
        <f>MATCH(A3,10:10,0)</f>
        <v>1</v>
      </c>
      <c r="B4" s="22">
        <f>MATCH(B3,10:10,0)</f>
        <v>3</v>
      </c>
      <c r="C4" s="22">
        <f>MATCH(C3,10:10,0)</f>
        <v>6</v>
      </c>
      <c r="D4" s="22">
        <f>MATCH(D3,10:10,0)</f>
        <v>9</v>
      </c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</row>
    <row r="5" spans="1:29" s="25" customFormat="1" hidden="1">
      <c r="A5" s="22">
        <v>36</v>
      </c>
      <c r="B5" s="6" t="str">
        <f>IF(VLOOKUP($A$5,Table35[],B4,FALSE)&lt;&gt;0,VLOOKUP($A$5,Table35[],B4,FALSE),"")</f>
        <v>KCN0349</v>
      </c>
      <c r="C5" s="22">
        <f>IF(VLOOKUP($A$5,Table35[],C4,FALSE)&lt;&gt;0,VLOOKUP($A$5,Table35[],C4,FALSE),"")</f>
        <v>2</v>
      </c>
      <c r="D5" s="22" t="str">
        <f>IF(VLOOKUP($A$5,Table35[],D4,FALSE)&lt;&gt;0,VLOOKUP($A$5,Table35[],D4,FALSE),"")</f>
        <v/>
      </c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</row>
    <row r="6" spans="1:29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idden="1">
      <c r="A7" s="67"/>
      <c r="B7" s="67"/>
      <c r="C7" s="67"/>
      <c r="D7" s="67"/>
      <c r="E7" s="70"/>
      <c r="F7" s="67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idden="1">
      <c r="A8" s="67"/>
      <c r="B8" s="67"/>
      <c r="C8" s="67"/>
      <c r="D8" s="67"/>
      <c r="E8" s="70"/>
      <c r="F8" s="67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idden="1">
      <c r="A10" s="65" t="s">
        <v>5</v>
      </c>
      <c r="B10" s="18" t="s">
        <v>4</v>
      </c>
      <c r="C10" s="18" t="s">
        <v>14</v>
      </c>
      <c r="D10" s="18" t="s">
        <v>1</v>
      </c>
      <c r="E10" s="18" t="s">
        <v>3</v>
      </c>
      <c r="F10" s="18" t="s">
        <v>31</v>
      </c>
      <c r="G10" s="18" t="s">
        <v>34</v>
      </c>
      <c r="H10" s="18" t="s">
        <v>33</v>
      </c>
      <c r="I10" s="18" t="s">
        <v>94</v>
      </c>
      <c r="J10" s="18" t="s">
        <v>36</v>
      </c>
      <c r="K10" s="18" t="s">
        <v>41</v>
      </c>
      <c r="L10" s="18" t="s">
        <v>56</v>
      </c>
      <c r="M10" s="18" t="s">
        <v>48</v>
      </c>
      <c r="N10" s="18" t="s">
        <v>64</v>
      </c>
      <c r="O10" s="18" t="s">
        <v>82</v>
      </c>
      <c r="P10" s="18" t="s">
        <v>37</v>
      </c>
      <c r="Q10" s="18" t="s">
        <v>59</v>
      </c>
      <c r="R10" s="18" t="s">
        <v>60</v>
      </c>
      <c r="S10" s="18" t="s">
        <v>42</v>
      </c>
      <c r="T10" s="18" t="s">
        <v>55</v>
      </c>
      <c r="U10" s="18" t="s">
        <v>58</v>
      </c>
      <c r="V10" s="18" t="s">
        <v>47</v>
      </c>
      <c r="W10" s="18" t="s">
        <v>50</v>
      </c>
      <c r="X10" s="18" t="s">
        <v>49</v>
      </c>
      <c r="Y10" s="18" t="s">
        <v>63</v>
      </c>
      <c r="Z10" s="18" t="s">
        <v>65</v>
      </c>
      <c r="AA10" s="18" t="s">
        <v>83</v>
      </c>
      <c r="AB10" s="14"/>
      <c r="AC10" s="14"/>
    </row>
    <row r="11" spans="1:29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6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</row>
    <row r="13" spans="1:29" ht="21">
      <c r="C13" s="154" t="s">
        <v>75</v>
      </c>
      <c r="D13" s="155"/>
      <c r="E13" s="155"/>
    </row>
    <row r="15" spans="1:29" s="32" customFormat="1" ht="30">
      <c r="A15" s="29" t="s">
        <v>21</v>
      </c>
      <c r="B15" s="30" t="s">
        <v>0</v>
      </c>
      <c r="C15" s="30" t="s">
        <v>22</v>
      </c>
      <c r="D15" s="30" t="s">
        <v>1</v>
      </c>
      <c r="E15" s="74" t="s">
        <v>9</v>
      </c>
      <c r="F15" s="29" t="s">
        <v>26</v>
      </c>
      <c r="G15" s="29" t="s">
        <v>67</v>
      </c>
      <c r="H15" s="29" t="s">
        <v>68</v>
      </c>
      <c r="I15" s="29" t="s">
        <v>94</v>
      </c>
      <c r="J15" s="142" t="s">
        <v>70</v>
      </c>
      <c r="K15" s="144" t="s">
        <v>71</v>
      </c>
      <c r="L15" s="143" t="s">
        <v>72</v>
      </c>
      <c r="M15" s="145" t="s">
        <v>73</v>
      </c>
      <c r="N15" s="30" t="s">
        <v>74</v>
      </c>
      <c r="O15" s="143" t="s">
        <v>87</v>
      </c>
      <c r="P15" s="146" t="s">
        <v>80</v>
      </c>
      <c r="Q15" s="144" t="s">
        <v>45</v>
      </c>
      <c r="R15" s="144" t="s">
        <v>46</v>
      </c>
      <c r="S15" s="144" t="s">
        <v>76</v>
      </c>
      <c r="T15" s="145" t="s">
        <v>77</v>
      </c>
      <c r="U15" s="145" t="s">
        <v>78</v>
      </c>
      <c r="V15" s="143" t="s">
        <v>52</v>
      </c>
      <c r="W15" s="143" t="s">
        <v>69</v>
      </c>
      <c r="X15" s="143" t="s">
        <v>54</v>
      </c>
      <c r="Y15" s="122" t="s">
        <v>66</v>
      </c>
      <c r="Z15" s="30" t="s">
        <v>79</v>
      </c>
      <c r="AA15" s="143" t="s">
        <v>93</v>
      </c>
      <c r="AB15" s="30"/>
      <c r="AC15" s="30"/>
    </row>
    <row r="16" spans="1:29">
      <c r="A16" s="19">
        <v>1</v>
      </c>
      <c r="B16" s="17" t="s">
        <v>95</v>
      </c>
      <c r="C16" s="17" t="s">
        <v>2</v>
      </c>
      <c r="D16" s="17" t="s">
        <v>96</v>
      </c>
      <c r="E16" s="21">
        <v>43172</v>
      </c>
      <c r="F16" s="139"/>
      <c r="G16" s="137"/>
      <c r="H16" s="138"/>
      <c r="I16" s="138"/>
      <c r="J16" s="150" t="s">
        <v>97</v>
      </c>
      <c r="K16" s="151" t="s">
        <v>97</v>
      </c>
      <c r="L16" s="151" t="s">
        <v>97</v>
      </c>
      <c r="M16" s="151" t="s">
        <v>97</v>
      </c>
      <c r="N16" s="151" t="s">
        <v>97</v>
      </c>
      <c r="O16" s="151" t="s">
        <v>193</v>
      </c>
      <c r="P16" s="141" t="s">
        <v>98</v>
      </c>
      <c r="Q16" s="141">
        <v>47</v>
      </c>
      <c r="R16" s="141">
        <v>50</v>
      </c>
      <c r="S16" s="141" t="s">
        <v>194</v>
      </c>
      <c r="T16" s="141"/>
      <c r="U16" s="141"/>
      <c r="V16" s="141"/>
      <c r="W16" s="141"/>
      <c r="X16" s="141" t="s">
        <v>195</v>
      </c>
      <c r="Y16" s="141" t="s">
        <v>196</v>
      </c>
      <c r="Z16" s="141"/>
      <c r="AA16" s="141" t="s">
        <v>197</v>
      </c>
      <c r="AB16" s="141"/>
      <c r="AC16" s="141"/>
    </row>
    <row r="17" spans="1:29">
      <c r="A17" s="19">
        <v>2</v>
      </c>
      <c r="B17" s="17" t="s">
        <v>99</v>
      </c>
      <c r="C17" s="17" t="s">
        <v>2</v>
      </c>
      <c r="D17" s="17" t="s">
        <v>96</v>
      </c>
      <c r="E17" s="21">
        <v>43172</v>
      </c>
      <c r="F17" s="139"/>
      <c r="G17" s="137"/>
      <c r="H17" s="137"/>
      <c r="I17" s="138"/>
      <c r="J17" s="150" t="s">
        <v>97</v>
      </c>
      <c r="K17" s="151" t="s">
        <v>97</v>
      </c>
      <c r="L17" s="151" t="s">
        <v>97</v>
      </c>
      <c r="M17" s="151" t="s">
        <v>97</v>
      </c>
      <c r="N17" s="151" t="s">
        <v>97</v>
      </c>
      <c r="O17" s="151" t="s">
        <v>97</v>
      </c>
      <c r="P17" s="141" t="s">
        <v>98</v>
      </c>
      <c r="Q17" s="141">
        <v>23</v>
      </c>
      <c r="R17" s="141">
        <v>27</v>
      </c>
      <c r="S17" s="141" t="s">
        <v>198</v>
      </c>
      <c r="T17" s="141"/>
      <c r="U17" s="141"/>
      <c r="V17" s="141"/>
      <c r="W17" s="141"/>
      <c r="X17" s="141" t="s">
        <v>199</v>
      </c>
      <c r="Y17" s="141" t="s">
        <v>196</v>
      </c>
      <c r="Z17" s="141" t="s">
        <v>200</v>
      </c>
      <c r="AA17" s="141"/>
      <c r="AB17" s="141"/>
      <c r="AC17" s="141"/>
    </row>
    <row r="18" spans="1:29">
      <c r="A18" s="19">
        <v>3</v>
      </c>
      <c r="B18" s="17" t="s">
        <v>100</v>
      </c>
      <c r="C18" s="17" t="s">
        <v>2</v>
      </c>
      <c r="D18" s="17" t="s">
        <v>96</v>
      </c>
      <c r="E18" s="21">
        <v>43172</v>
      </c>
      <c r="F18" s="139"/>
      <c r="G18" s="137"/>
      <c r="H18" s="137"/>
      <c r="I18" s="138"/>
      <c r="J18" s="150" t="s">
        <v>97</v>
      </c>
      <c r="K18" s="151" t="s">
        <v>97</v>
      </c>
      <c r="L18" s="151" t="s">
        <v>97</v>
      </c>
      <c r="M18" s="151" t="s">
        <v>97</v>
      </c>
      <c r="N18" s="151" t="s">
        <v>97</v>
      </c>
      <c r="O18" s="151" t="s">
        <v>97</v>
      </c>
      <c r="P18" s="141" t="s">
        <v>98</v>
      </c>
      <c r="Q18" s="141">
        <v>47</v>
      </c>
      <c r="R18" s="141">
        <v>50</v>
      </c>
      <c r="S18" s="141" t="s">
        <v>194</v>
      </c>
      <c r="T18" s="141"/>
      <c r="U18" s="141"/>
      <c r="V18" s="141"/>
      <c r="W18" s="141"/>
      <c r="X18" s="141" t="s">
        <v>201</v>
      </c>
      <c r="Y18" s="141" t="s">
        <v>196</v>
      </c>
      <c r="Z18" s="141" t="s">
        <v>200</v>
      </c>
      <c r="AA18" s="141"/>
      <c r="AB18" s="141"/>
      <c r="AC18" s="141"/>
    </row>
    <row r="19" spans="1:29">
      <c r="A19" s="19">
        <v>4</v>
      </c>
      <c r="B19" s="17" t="s">
        <v>101</v>
      </c>
      <c r="C19" s="17" t="s">
        <v>2</v>
      </c>
      <c r="D19" s="17" t="s">
        <v>96</v>
      </c>
      <c r="E19" s="21">
        <v>43172</v>
      </c>
      <c r="F19" s="139"/>
      <c r="G19" s="137"/>
      <c r="H19" s="137"/>
      <c r="I19" s="138"/>
      <c r="J19" s="150" t="s">
        <v>97</v>
      </c>
      <c r="K19" s="151" t="s">
        <v>97</v>
      </c>
      <c r="L19" s="151" t="s">
        <v>193</v>
      </c>
      <c r="M19" s="151" t="s">
        <v>97</v>
      </c>
      <c r="N19" s="151" t="s">
        <v>97</v>
      </c>
      <c r="O19" s="151" t="s">
        <v>97</v>
      </c>
      <c r="P19" s="141" t="s">
        <v>98</v>
      </c>
      <c r="Q19" s="141">
        <v>17</v>
      </c>
      <c r="R19" s="141">
        <v>21</v>
      </c>
      <c r="S19" s="141" t="s">
        <v>202</v>
      </c>
      <c r="T19" s="141"/>
      <c r="U19" s="141" t="s">
        <v>203</v>
      </c>
      <c r="V19" s="141"/>
      <c r="W19" s="141"/>
      <c r="X19" s="141" t="s">
        <v>204</v>
      </c>
      <c r="Y19" s="141" t="s">
        <v>196</v>
      </c>
      <c r="Z19" s="141" t="s">
        <v>205</v>
      </c>
      <c r="AA19" s="141"/>
      <c r="AB19" s="141"/>
      <c r="AC19" s="141"/>
    </row>
    <row r="20" spans="1:29">
      <c r="A20" s="19">
        <v>5</v>
      </c>
      <c r="B20" s="17" t="s">
        <v>102</v>
      </c>
      <c r="C20" s="17" t="s">
        <v>2</v>
      </c>
      <c r="D20" s="17" t="s">
        <v>96</v>
      </c>
      <c r="E20" s="21">
        <v>43172</v>
      </c>
      <c r="F20" s="139"/>
      <c r="G20" s="137"/>
      <c r="H20" s="137"/>
      <c r="I20" s="138"/>
      <c r="J20" s="150" t="s">
        <v>97</v>
      </c>
      <c r="K20" s="151" t="s">
        <v>97</v>
      </c>
      <c r="L20" s="151" t="s">
        <v>206</v>
      </c>
      <c r="M20" s="151" t="s">
        <v>97</v>
      </c>
      <c r="N20" s="151"/>
      <c r="O20" s="151" t="s">
        <v>97</v>
      </c>
      <c r="P20" s="141" t="s">
        <v>98</v>
      </c>
      <c r="Q20" s="141">
        <v>20</v>
      </c>
      <c r="R20" s="141">
        <v>25</v>
      </c>
      <c r="S20" s="141" t="s">
        <v>207</v>
      </c>
      <c r="T20" s="141"/>
      <c r="U20" s="141" t="s">
        <v>208</v>
      </c>
      <c r="V20" s="141"/>
      <c r="W20" s="141"/>
      <c r="X20" s="141" t="s">
        <v>209</v>
      </c>
      <c r="Y20" s="141"/>
      <c r="Z20" s="141"/>
      <c r="AA20" s="141"/>
      <c r="AB20" s="141"/>
      <c r="AC20" s="141"/>
    </row>
    <row r="21" spans="1:29">
      <c r="A21" s="19">
        <v>6</v>
      </c>
      <c r="B21" s="17" t="s">
        <v>103</v>
      </c>
      <c r="C21" s="17" t="s">
        <v>2</v>
      </c>
      <c r="D21" s="17" t="s">
        <v>96</v>
      </c>
      <c r="E21" s="21">
        <v>43172</v>
      </c>
      <c r="F21" s="139"/>
      <c r="G21" s="137"/>
      <c r="H21" s="137"/>
      <c r="I21" s="138"/>
      <c r="J21" s="150" t="s">
        <v>97</v>
      </c>
      <c r="K21" s="151" t="s">
        <v>97</v>
      </c>
      <c r="L21" s="151" t="s">
        <v>97</v>
      </c>
      <c r="M21" s="151" t="s">
        <v>97</v>
      </c>
      <c r="N21" s="151" t="s">
        <v>97</v>
      </c>
      <c r="O21" s="151" t="s">
        <v>97</v>
      </c>
      <c r="P21" s="141" t="s">
        <v>98</v>
      </c>
      <c r="Q21" s="141">
        <v>45</v>
      </c>
      <c r="R21" s="141">
        <v>50</v>
      </c>
      <c r="S21" s="141" t="s">
        <v>210</v>
      </c>
      <c r="T21" s="141"/>
      <c r="U21" s="141"/>
      <c r="V21" s="141"/>
      <c r="W21" s="141"/>
      <c r="X21" s="141" t="s">
        <v>204</v>
      </c>
      <c r="Y21" s="141" t="s">
        <v>196</v>
      </c>
      <c r="Z21" s="141"/>
      <c r="AA21" s="141"/>
      <c r="AB21" s="141"/>
      <c r="AC21" s="141"/>
    </row>
    <row r="22" spans="1:29">
      <c r="A22" s="19">
        <v>7</v>
      </c>
      <c r="B22" s="17" t="s">
        <v>104</v>
      </c>
      <c r="C22" s="17" t="s">
        <v>2</v>
      </c>
      <c r="D22" s="17" t="s">
        <v>96</v>
      </c>
      <c r="E22" s="21">
        <v>43172</v>
      </c>
      <c r="F22" s="139"/>
      <c r="G22" s="137"/>
      <c r="H22" s="137"/>
      <c r="I22" s="138"/>
      <c r="J22" s="150" t="s">
        <v>97</v>
      </c>
      <c r="K22" s="151" t="s">
        <v>97</v>
      </c>
      <c r="L22" s="151" t="s">
        <v>97</v>
      </c>
      <c r="M22" s="151" t="s">
        <v>97</v>
      </c>
      <c r="N22" s="151" t="s">
        <v>97</v>
      </c>
      <c r="O22" s="151" t="s">
        <v>97</v>
      </c>
      <c r="P22" s="141" t="s">
        <v>98</v>
      </c>
      <c r="Q22" s="141">
        <v>42</v>
      </c>
      <c r="R22" s="141">
        <v>45</v>
      </c>
      <c r="S22" s="141" t="s">
        <v>211</v>
      </c>
      <c r="T22" s="141"/>
      <c r="U22" s="141"/>
      <c r="V22" s="141"/>
      <c r="W22" s="141"/>
      <c r="X22" s="141" t="s">
        <v>195</v>
      </c>
      <c r="Y22" s="141" t="s">
        <v>196</v>
      </c>
      <c r="Z22" s="141"/>
      <c r="AA22" s="141"/>
      <c r="AB22" s="141"/>
      <c r="AC22" s="141"/>
    </row>
    <row r="23" spans="1:29">
      <c r="A23" s="19">
        <v>8</v>
      </c>
      <c r="B23" s="17" t="s">
        <v>105</v>
      </c>
      <c r="C23" s="17" t="s">
        <v>2</v>
      </c>
      <c r="D23" s="17" t="s">
        <v>96</v>
      </c>
      <c r="E23" s="21">
        <v>43172</v>
      </c>
      <c r="F23" s="139"/>
      <c r="G23" s="137"/>
      <c r="H23" s="137"/>
      <c r="I23" s="138"/>
      <c r="J23" s="150" t="s">
        <v>97</v>
      </c>
      <c r="K23" s="151"/>
      <c r="L23" s="151" t="s">
        <v>193</v>
      </c>
      <c r="M23" s="151" t="s">
        <v>97</v>
      </c>
      <c r="N23" s="151"/>
      <c r="O23" s="151" t="s">
        <v>97</v>
      </c>
      <c r="P23" s="141" t="s">
        <v>98</v>
      </c>
      <c r="Q23" s="141">
        <v>20</v>
      </c>
      <c r="R23" s="141">
        <v>24</v>
      </c>
      <c r="S23" s="141" t="s">
        <v>212</v>
      </c>
      <c r="T23" s="141"/>
      <c r="U23" s="141" t="s">
        <v>213</v>
      </c>
      <c r="V23" s="141"/>
      <c r="W23" s="141"/>
      <c r="X23" s="141" t="s">
        <v>214</v>
      </c>
      <c r="Y23" s="141"/>
      <c r="Z23" s="141"/>
      <c r="AA23" s="141"/>
      <c r="AB23" s="141"/>
      <c r="AC23" s="141"/>
    </row>
    <row r="24" spans="1:29">
      <c r="A24" s="19">
        <v>9</v>
      </c>
      <c r="B24" s="17" t="s">
        <v>106</v>
      </c>
      <c r="C24" s="17" t="s">
        <v>2</v>
      </c>
      <c r="D24" s="17" t="s">
        <v>96</v>
      </c>
      <c r="E24" s="21">
        <v>43172</v>
      </c>
      <c r="F24" s="139"/>
      <c r="G24" s="137"/>
      <c r="H24" s="137"/>
      <c r="I24" s="138"/>
      <c r="J24" s="150" t="s">
        <v>97</v>
      </c>
      <c r="K24" s="151" t="s">
        <v>97</v>
      </c>
      <c r="L24" s="151" t="s">
        <v>97</v>
      </c>
      <c r="M24" s="151" t="s">
        <v>97</v>
      </c>
      <c r="N24" s="151"/>
      <c r="O24" s="151" t="s">
        <v>97</v>
      </c>
      <c r="P24" s="141" t="s">
        <v>98</v>
      </c>
      <c r="Q24" s="141"/>
      <c r="R24" s="141">
        <v>25</v>
      </c>
      <c r="S24" s="141" t="s">
        <v>215</v>
      </c>
      <c r="T24" s="141"/>
      <c r="U24" s="141"/>
      <c r="V24" s="141"/>
      <c r="W24" s="141"/>
      <c r="X24" s="141" t="s">
        <v>216</v>
      </c>
      <c r="Y24" s="141"/>
      <c r="Z24" s="141"/>
      <c r="AA24" s="141"/>
      <c r="AB24" s="141"/>
      <c r="AC24" s="141"/>
    </row>
    <row r="25" spans="1:29">
      <c r="A25" s="19">
        <v>10</v>
      </c>
      <c r="B25" s="17" t="s">
        <v>107</v>
      </c>
      <c r="C25" s="17" t="s">
        <v>2</v>
      </c>
      <c r="D25" s="17" t="s">
        <v>96</v>
      </c>
      <c r="E25" s="21">
        <v>43172</v>
      </c>
      <c r="F25" s="139"/>
      <c r="G25" s="137"/>
      <c r="H25" s="137"/>
      <c r="I25" s="138"/>
      <c r="J25" s="150" t="s">
        <v>97</v>
      </c>
      <c r="K25" s="151" t="s">
        <v>97</v>
      </c>
      <c r="L25" s="151" t="s">
        <v>97</v>
      </c>
      <c r="M25" s="151" t="s">
        <v>97</v>
      </c>
      <c r="N25" s="151" t="s">
        <v>97</v>
      </c>
      <c r="O25" s="151" t="s">
        <v>97</v>
      </c>
      <c r="P25" s="141" t="s">
        <v>98</v>
      </c>
      <c r="Q25" s="141">
        <v>48</v>
      </c>
      <c r="R25" s="141">
        <v>53</v>
      </c>
      <c r="S25" s="141" t="s">
        <v>217</v>
      </c>
      <c r="T25" s="141"/>
      <c r="U25" s="141"/>
      <c r="V25" s="141"/>
      <c r="W25" s="141"/>
      <c r="X25" s="141" t="s">
        <v>218</v>
      </c>
      <c r="Y25" s="141" t="s">
        <v>196</v>
      </c>
      <c r="Z25" s="141" t="s">
        <v>219</v>
      </c>
      <c r="AA25" s="141"/>
      <c r="AB25" s="141"/>
      <c r="AC25" s="141"/>
    </row>
    <row r="26" spans="1:29">
      <c r="A26" s="19">
        <v>11</v>
      </c>
      <c r="B26" s="17" t="s">
        <v>108</v>
      </c>
      <c r="C26" s="17" t="s">
        <v>2</v>
      </c>
      <c r="D26" s="17" t="s">
        <v>96</v>
      </c>
      <c r="E26" s="21">
        <v>43172</v>
      </c>
      <c r="F26" s="139"/>
      <c r="G26" s="137"/>
      <c r="H26" s="137"/>
      <c r="I26" s="138"/>
      <c r="J26" s="150" t="s">
        <v>97</v>
      </c>
      <c r="K26" s="151" t="s">
        <v>97</v>
      </c>
      <c r="L26" s="151" t="s">
        <v>97</v>
      </c>
      <c r="M26" s="151" t="s">
        <v>97</v>
      </c>
      <c r="N26" s="151" t="s">
        <v>97</v>
      </c>
      <c r="O26" s="151" t="s">
        <v>97</v>
      </c>
      <c r="P26" s="141" t="s">
        <v>98</v>
      </c>
      <c r="Q26" s="141">
        <v>31</v>
      </c>
      <c r="R26" s="141">
        <v>35</v>
      </c>
      <c r="S26" s="141" t="s">
        <v>220</v>
      </c>
      <c r="T26" s="141"/>
      <c r="U26" s="141"/>
      <c r="V26" s="141"/>
      <c r="W26" s="141"/>
      <c r="X26" s="141" t="s">
        <v>221</v>
      </c>
      <c r="Y26" s="141" t="s">
        <v>196</v>
      </c>
      <c r="Z26" s="141"/>
      <c r="AA26" s="141"/>
      <c r="AB26" s="141"/>
      <c r="AC26" s="141"/>
    </row>
    <row r="27" spans="1:29">
      <c r="A27" s="19">
        <v>12</v>
      </c>
      <c r="B27" s="17" t="s">
        <v>109</v>
      </c>
      <c r="C27" s="17" t="s">
        <v>2</v>
      </c>
      <c r="D27" s="17" t="s">
        <v>96</v>
      </c>
      <c r="E27" s="21">
        <v>43172</v>
      </c>
      <c r="F27" s="139"/>
      <c r="G27" s="137"/>
      <c r="H27" s="137"/>
      <c r="I27" s="138"/>
      <c r="J27" s="150" t="s">
        <v>97</v>
      </c>
      <c r="K27" s="151" t="s">
        <v>97</v>
      </c>
      <c r="L27" s="151" t="s">
        <v>97</v>
      </c>
      <c r="M27" s="151" t="s">
        <v>97</v>
      </c>
      <c r="N27" s="151"/>
      <c r="O27" s="151" t="s">
        <v>97</v>
      </c>
      <c r="P27" s="141" t="s">
        <v>98</v>
      </c>
      <c r="Q27" s="141"/>
      <c r="R27" s="141">
        <v>15</v>
      </c>
      <c r="S27" s="141" t="s">
        <v>222</v>
      </c>
      <c r="T27" s="141"/>
      <c r="U27" s="141"/>
      <c r="V27" s="141"/>
      <c r="W27" s="141"/>
      <c r="X27" s="141" t="s">
        <v>223</v>
      </c>
      <c r="Y27" s="141"/>
      <c r="Z27" s="141"/>
      <c r="AA27" s="141"/>
      <c r="AB27" s="141"/>
      <c r="AC27" s="141"/>
    </row>
    <row r="28" spans="1:29">
      <c r="A28" s="19">
        <v>13</v>
      </c>
      <c r="B28" s="17" t="s">
        <v>110</v>
      </c>
      <c r="C28" s="17" t="s">
        <v>2</v>
      </c>
      <c r="D28" s="17" t="s">
        <v>96</v>
      </c>
      <c r="E28" s="21">
        <v>43172</v>
      </c>
      <c r="F28" s="139"/>
      <c r="G28" s="137"/>
      <c r="H28" s="137"/>
      <c r="I28" s="138"/>
      <c r="J28" s="150" t="s">
        <v>97</v>
      </c>
      <c r="K28" s="151" t="s">
        <v>97</v>
      </c>
      <c r="L28" s="151" t="s">
        <v>193</v>
      </c>
      <c r="M28" s="151" t="s">
        <v>97</v>
      </c>
      <c r="N28" s="151" t="s">
        <v>97</v>
      </c>
      <c r="O28" s="151" t="s">
        <v>97</v>
      </c>
      <c r="P28" s="141" t="s">
        <v>98</v>
      </c>
      <c r="Q28" s="141">
        <v>25</v>
      </c>
      <c r="R28" s="141">
        <v>28</v>
      </c>
      <c r="S28" s="141" t="s">
        <v>224</v>
      </c>
      <c r="T28" s="141"/>
      <c r="U28" s="141" t="s">
        <v>203</v>
      </c>
      <c r="V28" s="141"/>
      <c r="W28" s="141"/>
      <c r="X28" s="141" t="s">
        <v>204</v>
      </c>
      <c r="Y28" s="141" t="s">
        <v>196</v>
      </c>
      <c r="Z28" s="141"/>
      <c r="AA28" s="141"/>
      <c r="AB28" s="141"/>
      <c r="AC28" s="141"/>
    </row>
    <row r="29" spans="1:29">
      <c r="A29" s="19">
        <v>14</v>
      </c>
      <c r="B29" s="17" t="s">
        <v>111</v>
      </c>
      <c r="C29" s="17" t="s">
        <v>2</v>
      </c>
      <c r="D29" s="17" t="s">
        <v>96</v>
      </c>
      <c r="E29" s="21">
        <v>43172</v>
      </c>
      <c r="F29" s="139"/>
      <c r="G29" s="137"/>
      <c r="H29" s="137"/>
      <c r="I29" s="138"/>
      <c r="J29" s="150" t="s">
        <v>97</v>
      </c>
      <c r="K29" s="151" t="s">
        <v>97</v>
      </c>
      <c r="L29" s="151" t="s">
        <v>193</v>
      </c>
      <c r="M29" s="151" t="s">
        <v>97</v>
      </c>
      <c r="N29" s="151" t="s">
        <v>206</v>
      </c>
      <c r="O29" s="151" t="s">
        <v>193</v>
      </c>
      <c r="P29" s="141" t="s">
        <v>98</v>
      </c>
      <c r="Q29" s="141">
        <v>20</v>
      </c>
      <c r="R29" s="141">
        <v>23</v>
      </c>
      <c r="S29" s="141" t="s">
        <v>225</v>
      </c>
      <c r="T29" s="141"/>
      <c r="U29" s="141" t="s">
        <v>213</v>
      </c>
      <c r="V29" s="141"/>
      <c r="W29" s="141"/>
      <c r="X29" s="141" t="s">
        <v>226</v>
      </c>
      <c r="Y29" s="141" t="s">
        <v>196</v>
      </c>
      <c r="Z29" s="141" t="s">
        <v>227</v>
      </c>
      <c r="AA29" s="141" t="s">
        <v>228</v>
      </c>
      <c r="AB29" s="141"/>
      <c r="AC29" s="141"/>
    </row>
    <row r="30" spans="1:29">
      <c r="A30" s="19">
        <v>15</v>
      </c>
      <c r="B30" s="17" t="s">
        <v>112</v>
      </c>
      <c r="C30" s="17" t="s">
        <v>2</v>
      </c>
      <c r="D30" s="17" t="s">
        <v>96</v>
      </c>
      <c r="E30" s="21">
        <v>43172</v>
      </c>
      <c r="F30" s="139"/>
      <c r="G30" s="137"/>
      <c r="H30" s="137"/>
      <c r="I30" s="138"/>
      <c r="J30" s="150" t="s">
        <v>97</v>
      </c>
      <c r="K30" s="151" t="s">
        <v>97</v>
      </c>
      <c r="L30" s="151" t="s">
        <v>193</v>
      </c>
      <c r="M30" s="151" t="s">
        <v>206</v>
      </c>
      <c r="N30" s="151" t="s">
        <v>97</v>
      </c>
      <c r="O30" s="151" t="s">
        <v>97</v>
      </c>
      <c r="P30" s="141" t="s">
        <v>98</v>
      </c>
      <c r="Q30" s="141"/>
      <c r="R30" s="141"/>
      <c r="S30" s="141" t="s">
        <v>229</v>
      </c>
      <c r="T30" s="141"/>
      <c r="U30" s="141" t="s">
        <v>213</v>
      </c>
      <c r="V30" s="141"/>
      <c r="W30" s="141"/>
      <c r="X30" s="141" t="s">
        <v>230</v>
      </c>
      <c r="Y30" s="141" t="s">
        <v>196</v>
      </c>
      <c r="Z30" s="141" t="s">
        <v>231</v>
      </c>
      <c r="AA30" s="141"/>
      <c r="AB30" s="141"/>
      <c r="AC30" s="141"/>
    </row>
    <row r="31" spans="1:29">
      <c r="A31" s="19">
        <v>16</v>
      </c>
      <c r="B31" s="17" t="s">
        <v>113</v>
      </c>
      <c r="C31" s="17" t="s">
        <v>2</v>
      </c>
      <c r="D31" s="17" t="s">
        <v>96</v>
      </c>
      <c r="E31" s="21">
        <v>43172</v>
      </c>
      <c r="F31" s="139"/>
      <c r="G31" s="137"/>
      <c r="H31" s="137"/>
      <c r="I31" s="138"/>
      <c r="J31" s="150" t="s">
        <v>97</v>
      </c>
      <c r="K31" s="151" t="s">
        <v>97</v>
      </c>
      <c r="L31" s="151" t="s">
        <v>206</v>
      </c>
      <c r="M31" s="151" t="s">
        <v>206</v>
      </c>
      <c r="N31" s="151" t="s">
        <v>206</v>
      </c>
      <c r="O31" s="151" t="s">
        <v>97</v>
      </c>
      <c r="P31" s="141" t="s">
        <v>98</v>
      </c>
      <c r="Q31" s="141"/>
      <c r="R31" s="141"/>
      <c r="S31" s="141" t="s">
        <v>232</v>
      </c>
      <c r="T31" s="141"/>
      <c r="U31" s="141" t="s">
        <v>233</v>
      </c>
      <c r="V31" s="141"/>
      <c r="W31" s="141"/>
      <c r="X31" s="141" t="s">
        <v>230</v>
      </c>
      <c r="Y31" s="141" t="s">
        <v>196</v>
      </c>
      <c r="Z31" s="141" t="s">
        <v>234</v>
      </c>
      <c r="AA31" s="141"/>
      <c r="AB31" s="141"/>
      <c r="AC31" s="141"/>
    </row>
    <row r="32" spans="1:29">
      <c r="A32" s="19">
        <v>17</v>
      </c>
      <c r="B32" s="17" t="s">
        <v>114</v>
      </c>
      <c r="C32" s="17" t="s">
        <v>2</v>
      </c>
      <c r="D32" s="17" t="s">
        <v>96</v>
      </c>
      <c r="E32" s="21">
        <v>43172</v>
      </c>
      <c r="F32" s="139"/>
      <c r="G32" s="137"/>
      <c r="H32" s="137"/>
      <c r="I32" s="138"/>
      <c r="J32" s="150" t="s">
        <v>97</v>
      </c>
      <c r="K32" s="151" t="s">
        <v>97</v>
      </c>
      <c r="L32" s="151" t="s">
        <v>193</v>
      </c>
      <c r="M32" s="151" t="s">
        <v>97</v>
      </c>
      <c r="N32" s="151" t="s">
        <v>97</v>
      </c>
      <c r="O32" s="151" t="s">
        <v>97</v>
      </c>
      <c r="P32" s="141" t="s">
        <v>98</v>
      </c>
      <c r="Q32" s="141"/>
      <c r="R32" s="141"/>
      <c r="S32" s="141" t="s">
        <v>235</v>
      </c>
      <c r="T32" s="141"/>
      <c r="U32" s="141" t="s">
        <v>213</v>
      </c>
      <c r="V32" s="141"/>
      <c r="W32" s="141" t="s">
        <v>236</v>
      </c>
      <c r="X32" s="141" t="s">
        <v>237</v>
      </c>
      <c r="Y32" s="141" t="s">
        <v>196</v>
      </c>
      <c r="Z32" s="141" t="s">
        <v>231</v>
      </c>
      <c r="AA32" s="141"/>
      <c r="AB32" s="141"/>
      <c r="AC32" s="141"/>
    </row>
    <row r="33" spans="1:29">
      <c r="A33" s="19">
        <v>18</v>
      </c>
      <c r="B33" s="17" t="s">
        <v>115</v>
      </c>
      <c r="C33" s="17" t="s">
        <v>2</v>
      </c>
      <c r="D33" s="17" t="s">
        <v>96</v>
      </c>
      <c r="E33" s="21">
        <v>43172</v>
      </c>
      <c r="F33" s="139"/>
      <c r="G33" s="137"/>
      <c r="H33" s="137"/>
      <c r="I33" s="138"/>
      <c r="J33" s="150" t="s">
        <v>97</v>
      </c>
      <c r="K33" s="151" t="s">
        <v>97</v>
      </c>
      <c r="L33" s="151" t="s">
        <v>193</v>
      </c>
      <c r="M33" s="151" t="s">
        <v>97</v>
      </c>
      <c r="N33" s="151" t="s">
        <v>97</v>
      </c>
      <c r="O33" s="151" t="s">
        <v>97</v>
      </c>
      <c r="P33" s="141" t="s">
        <v>98</v>
      </c>
      <c r="Q33" s="141"/>
      <c r="R33" s="141"/>
      <c r="S33" s="141" t="s">
        <v>238</v>
      </c>
      <c r="T33" s="141"/>
      <c r="U33" s="141" t="s">
        <v>213</v>
      </c>
      <c r="V33" s="141"/>
      <c r="W33" s="141"/>
      <c r="X33" s="141" t="s">
        <v>226</v>
      </c>
      <c r="Y33" s="141" t="s">
        <v>196</v>
      </c>
      <c r="Z33" s="141" t="s">
        <v>239</v>
      </c>
      <c r="AA33" s="141"/>
      <c r="AB33" s="141"/>
      <c r="AC33" s="141"/>
    </row>
    <row r="34" spans="1:29">
      <c r="A34" s="19">
        <v>19</v>
      </c>
      <c r="B34" s="17" t="s">
        <v>116</v>
      </c>
      <c r="C34" s="17" t="s">
        <v>2</v>
      </c>
      <c r="D34" s="17" t="s">
        <v>96</v>
      </c>
      <c r="E34" s="21">
        <v>43172</v>
      </c>
      <c r="F34" s="139"/>
      <c r="G34" s="137"/>
      <c r="H34" s="137"/>
      <c r="I34" s="138"/>
      <c r="J34" s="150" t="s">
        <v>97</v>
      </c>
      <c r="K34" s="151" t="s">
        <v>97</v>
      </c>
      <c r="L34" s="151" t="s">
        <v>193</v>
      </c>
      <c r="M34" s="151" t="s">
        <v>97</v>
      </c>
      <c r="N34" s="151" t="s">
        <v>97</v>
      </c>
      <c r="O34" s="151" t="s">
        <v>97</v>
      </c>
      <c r="P34" s="141" t="s">
        <v>98</v>
      </c>
      <c r="Q34" s="141">
        <v>23</v>
      </c>
      <c r="R34" s="141">
        <v>26.5</v>
      </c>
      <c r="S34" s="141" t="s">
        <v>240</v>
      </c>
      <c r="T34" s="141"/>
      <c r="U34" s="141" t="s">
        <v>203</v>
      </c>
      <c r="V34" s="141"/>
      <c r="W34" s="141"/>
      <c r="X34" s="141" t="s">
        <v>241</v>
      </c>
      <c r="Y34" s="141" t="s">
        <v>196</v>
      </c>
      <c r="Z34" s="141" t="s">
        <v>205</v>
      </c>
      <c r="AA34" s="141"/>
      <c r="AB34" s="141"/>
      <c r="AC34" s="141"/>
    </row>
    <row r="35" spans="1:29">
      <c r="A35" s="19">
        <v>20</v>
      </c>
      <c r="B35" s="17" t="s">
        <v>117</v>
      </c>
      <c r="C35" s="17" t="s">
        <v>118</v>
      </c>
      <c r="D35" s="17" t="s">
        <v>96</v>
      </c>
      <c r="E35" s="21">
        <v>43172</v>
      </c>
      <c r="F35" s="139"/>
      <c r="G35" s="137"/>
      <c r="H35" s="137"/>
      <c r="I35" s="138"/>
      <c r="J35" s="150" t="s">
        <v>97</v>
      </c>
      <c r="K35" s="151" t="s">
        <v>97</v>
      </c>
      <c r="L35" s="151" t="s">
        <v>193</v>
      </c>
      <c r="M35" s="151" t="s">
        <v>97</v>
      </c>
      <c r="N35" s="151" t="s">
        <v>97</v>
      </c>
      <c r="O35" s="151" t="s">
        <v>206</v>
      </c>
      <c r="P35" s="141" t="s">
        <v>98</v>
      </c>
      <c r="Q35" s="141">
        <v>30</v>
      </c>
      <c r="R35" s="141">
        <v>35</v>
      </c>
      <c r="S35" s="141" t="s">
        <v>242</v>
      </c>
      <c r="T35" s="141"/>
      <c r="U35" s="141" t="s">
        <v>213</v>
      </c>
      <c r="V35" s="141"/>
      <c r="W35" s="141" t="s">
        <v>236</v>
      </c>
      <c r="X35" s="141" t="s">
        <v>237</v>
      </c>
      <c r="Y35" s="141" t="s">
        <v>196</v>
      </c>
      <c r="Z35" s="141" t="s">
        <v>243</v>
      </c>
      <c r="AA35" s="141" t="s">
        <v>244</v>
      </c>
      <c r="AB35" s="141"/>
      <c r="AC35" s="141"/>
    </row>
    <row r="36" spans="1:29">
      <c r="A36" s="19">
        <v>21</v>
      </c>
      <c r="B36" s="17" t="s">
        <v>119</v>
      </c>
      <c r="C36" s="17" t="s">
        <v>120</v>
      </c>
      <c r="D36" s="17" t="s">
        <v>121</v>
      </c>
      <c r="E36" s="21">
        <v>43172</v>
      </c>
      <c r="F36" s="139"/>
      <c r="G36" s="137"/>
      <c r="H36" s="137"/>
      <c r="I36" s="138"/>
      <c r="J36" s="150" t="s">
        <v>97</v>
      </c>
      <c r="K36" s="151" t="s">
        <v>97</v>
      </c>
      <c r="L36" s="151" t="s">
        <v>97</v>
      </c>
      <c r="M36" s="151" t="s">
        <v>97</v>
      </c>
      <c r="N36" s="151"/>
      <c r="O36" s="151" t="s">
        <v>97</v>
      </c>
      <c r="P36" s="141" t="s">
        <v>98</v>
      </c>
      <c r="Q36" s="141">
        <v>25</v>
      </c>
      <c r="R36" s="141">
        <v>30</v>
      </c>
      <c r="S36" s="141"/>
      <c r="T36" s="141"/>
      <c r="U36" s="141"/>
      <c r="V36" s="141"/>
      <c r="W36" s="141"/>
      <c r="X36" s="141" t="s">
        <v>245</v>
      </c>
      <c r="Y36" s="141"/>
      <c r="Z36" s="141"/>
      <c r="AA36" s="141"/>
      <c r="AB36" s="141"/>
      <c r="AC36" s="141"/>
    </row>
    <row r="37" spans="1:29">
      <c r="A37" s="19">
        <v>22</v>
      </c>
      <c r="B37" s="17" t="s">
        <v>122</v>
      </c>
      <c r="C37" s="17" t="s">
        <v>123</v>
      </c>
      <c r="D37" s="17" t="s">
        <v>24</v>
      </c>
      <c r="E37" s="21">
        <v>43172</v>
      </c>
      <c r="F37" s="139"/>
      <c r="G37" s="137"/>
      <c r="H37" s="137"/>
      <c r="I37" s="138"/>
      <c r="J37" s="150" t="s">
        <v>97</v>
      </c>
      <c r="K37" s="151" t="s">
        <v>97</v>
      </c>
      <c r="L37" s="151" t="s">
        <v>97</v>
      </c>
      <c r="M37" s="151" t="s">
        <v>97</v>
      </c>
      <c r="N37" s="151"/>
      <c r="O37" s="151" t="s">
        <v>97</v>
      </c>
      <c r="P37" s="141" t="s">
        <v>98</v>
      </c>
      <c r="Q37" s="141">
        <v>31</v>
      </c>
      <c r="R37" s="141">
        <v>35</v>
      </c>
      <c r="S37" s="141"/>
      <c r="T37" s="141"/>
      <c r="U37" s="141"/>
      <c r="V37" s="141"/>
      <c r="W37" s="141"/>
      <c r="X37" s="141" t="s">
        <v>246</v>
      </c>
      <c r="Y37" s="141"/>
      <c r="Z37" s="141"/>
      <c r="AA37" s="141"/>
      <c r="AB37" s="141"/>
      <c r="AC37" s="141"/>
    </row>
    <row r="38" spans="1:29">
      <c r="A38" s="19">
        <v>23</v>
      </c>
      <c r="B38" s="17" t="s">
        <v>124</v>
      </c>
      <c r="C38" s="17" t="s">
        <v>125</v>
      </c>
      <c r="D38" s="17" t="s">
        <v>24</v>
      </c>
      <c r="E38" s="21">
        <v>43172</v>
      </c>
      <c r="F38" s="139"/>
      <c r="G38" s="137"/>
      <c r="H38" s="137"/>
      <c r="I38" s="138"/>
      <c r="J38" s="150" t="s">
        <v>97</v>
      </c>
      <c r="K38" s="151"/>
      <c r="L38" s="151" t="s">
        <v>97</v>
      </c>
      <c r="M38" s="151" t="s">
        <v>97</v>
      </c>
      <c r="N38" s="151"/>
      <c r="O38" s="151" t="s">
        <v>97</v>
      </c>
      <c r="P38" s="141" t="s">
        <v>98</v>
      </c>
      <c r="Q38" s="141"/>
      <c r="R38" s="141"/>
      <c r="S38" s="141" t="s">
        <v>247</v>
      </c>
      <c r="T38" s="141"/>
      <c r="U38" s="141"/>
      <c r="V38" s="141"/>
      <c r="W38" s="141"/>
      <c r="X38" s="141" t="s">
        <v>248</v>
      </c>
      <c r="Y38" s="141"/>
      <c r="Z38" s="141"/>
      <c r="AA38" s="141"/>
      <c r="AB38" s="141"/>
      <c r="AC38" s="141"/>
    </row>
    <row r="39" spans="1:29">
      <c r="A39" s="19">
        <v>24</v>
      </c>
      <c r="B39" s="17" t="s">
        <v>126</v>
      </c>
      <c r="C39" s="17" t="s">
        <v>127</v>
      </c>
      <c r="D39" s="17" t="s">
        <v>24</v>
      </c>
      <c r="E39" s="21">
        <v>43172</v>
      </c>
      <c r="F39" s="139"/>
      <c r="G39" s="137"/>
      <c r="H39" s="137"/>
      <c r="I39" s="138"/>
      <c r="J39" s="150" t="s">
        <v>97</v>
      </c>
      <c r="K39" s="151"/>
      <c r="L39" s="151" t="s">
        <v>97</v>
      </c>
      <c r="M39" s="151" t="s">
        <v>97</v>
      </c>
      <c r="N39" s="151"/>
      <c r="O39" s="151" t="s">
        <v>97</v>
      </c>
      <c r="P39" s="141" t="s">
        <v>98</v>
      </c>
      <c r="Q39" s="141"/>
      <c r="R39" s="141"/>
      <c r="S39" s="141" t="s">
        <v>247</v>
      </c>
      <c r="T39" s="141"/>
      <c r="U39" s="141"/>
      <c r="V39" s="141"/>
      <c r="W39" s="141"/>
      <c r="X39" s="141" t="s">
        <v>249</v>
      </c>
      <c r="Y39" s="141"/>
      <c r="Z39" s="141"/>
      <c r="AA39" s="141"/>
      <c r="AB39" s="141"/>
      <c r="AC39" s="141"/>
    </row>
    <row r="40" spans="1:29">
      <c r="A40" s="19">
        <v>25</v>
      </c>
      <c r="B40" s="17" t="s">
        <v>128</v>
      </c>
      <c r="C40" s="17" t="s">
        <v>129</v>
      </c>
      <c r="D40" s="17" t="s">
        <v>24</v>
      </c>
      <c r="E40" s="21">
        <v>43172</v>
      </c>
      <c r="F40" s="139"/>
      <c r="G40" s="137"/>
      <c r="H40" s="137"/>
      <c r="I40" s="138"/>
      <c r="J40" s="150" t="s">
        <v>97</v>
      </c>
      <c r="K40" s="151"/>
      <c r="L40" s="151" t="s">
        <v>97</v>
      </c>
      <c r="M40" s="151" t="s">
        <v>97</v>
      </c>
      <c r="N40" s="151"/>
      <c r="O40" s="151" t="s">
        <v>97</v>
      </c>
      <c r="P40" s="141" t="s">
        <v>98</v>
      </c>
      <c r="Q40" s="141"/>
      <c r="R40" s="141"/>
      <c r="S40" s="141" t="s">
        <v>247</v>
      </c>
      <c r="T40" s="141"/>
      <c r="U40" s="141"/>
      <c r="V40" s="141"/>
      <c r="W40" s="141"/>
      <c r="X40" s="141" t="s">
        <v>250</v>
      </c>
      <c r="Y40" s="141"/>
      <c r="Z40" s="141"/>
      <c r="AA40" s="141"/>
      <c r="AB40" s="141"/>
      <c r="AC40" s="141"/>
    </row>
    <row r="41" spans="1:29">
      <c r="A41" s="19">
        <v>26</v>
      </c>
      <c r="B41" s="17" t="s">
        <v>116</v>
      </c>
      <c r="C41" s="17" t="s">
        <v>130</v>
      </c>
      <c r="D41" s="17" t="s">
        <v>24</v>
      </c>
      <c r="E41" s="21">
        <v>43172</v>
      </c>
      <c r="F41" s="139"/>
      <c r="G41" s="137"/>
      <c r="H41" s="137"/>
      <c r="I41" s="138"/>
      <c r="J41" s="150" t="s">
        <v>97</v>
      </c>
      <c r="K41" s="151"/>
      <c r="L41" s="151" t="s">
        <v>97</v>
      </c>
      <c r="M41" s="151" t="s">
        <v>97</v>
      </c>
      <c r="N41" s="151"/>
      <c r="O41" s="151" t="s">
        <v>97</v>
      </c>
      <c r="P41" s="141" t="s">
        <v>98</v>
      </c>
      <c r="Q41" s="141"/>
      <c r="R41" s="141"/>
      <c r="S41" s="141" t="s">
        <v>247</v>
      </c>
      <c r="T41" s="141"/>
      <c r="U41" s="141" t="s">
        <v>251</v>
      </c>
      <c r="V41" s="141"/>
      <c r="W41" s="141"/>
      <c r="X41" s="141" t="s">
        <v>241</v>
      </c>
      <c r="Y41" s="141"/>
      <c r="Z41" s="141"/>
      <c r="AA41" s="141"/>
      <c r="AB41" s="141"/>
      <c r="AC41" s="141"/>
    </row>
    <row r="42" spans="1:29">
      <c r="A42" s="19">
        <v>27</v>
      </c>
      <c r="B42" s="17" t="s">
        <v>131</v>
      </c>
      <c r="C42" s="17" t="s">
        <v>132</v>
      </c>
      <c r="D42" s="17" t="s">
        <v>133</v>
      </c>
      <c r="E42" s="21">
        <v>43172</v>
      </c>
      <c r="F42" s="139"/>
      <c r="G42" s="137"/>
      <c r="H42" s="137"/>
      <c r="I42" s="138"/>
      <c r="J42" s="150" t="s">
        <v>97</v>
      </c>
      <c r="K42" s="151" t="s">
        <v>97</v>
      </c>
      <c r="L42" s="151" t="s">
        <v>97</v>
      </c>
      <c r="M42" s="151" t="s">
        <v>97</v>
      </c>
      <c r="N42" s="151"/>
      <c r="O42" s="151" t="s">
        <v>97</v>
      </c>
      <c r="P42" s="141" t="s">
        <v>98</v>
      </c>
      <c r="Q42" s="141">
        <v>35</v>
      </c>
      <c r="R42" s="141">
        <v>40</v>
      </c>
      <c r="S42" s="141"/>
      <c r="T42" s="141"/>
      <c r="U42" s="141"/>
      <c r="V42" s="141"/>
      <c r="W42" s="141"/>
      <c r="X42" s="141" t="s">
        <v>252</v>
      </c>
      <c r="Y42" s="141"/>
      <c r="Z42" s="141"/>
      <c r="AA42" s="141"/>
      <c r="AB42" s="141"/>
      <c r="AC42" s="141"/>
    </row>
    <row r="43" spans="1:29">
      <c r="A43" s="19">
        <v>28</v>
      </c>
      <c r="B43" s="17" t="s">
        <v>134</v>
      </c>
      <c r="C43" s="17" t="s">
        <v>135</v>
      </c>
      <c r="D43" s="17" t="s">
        <v>133</v>
      </c>
      <c r="E43" s="21">
        <v>43172</v>
      </c>
      <c r="F43" s="139"/>
      <c r="G43" s="137"/>
      <c r="H43" s="137"/>
      <c r="I43" s="138"/>
      <c r="J43" s="150" t="s">
        <v>97</v>
      </c>
      <c r="K43" s="151" t="s">
        <v>97</v>
      </c>
      <c r="L43" s="151" t="s">
        <v>97</v>
      </c>
      <c r="M43" s="151" t="s">
        <v>97</v>
      </c>
      <c r="N43" s="151"/>
      <c r="O43" s="151" t="s">
        <v>97</v>
      </c>
      <c r="P43" s="141" t="s">
        <v>98</v>
      </c>
      <c r="Q43" s="141">
        <v>24</v>
      </c>
      <c r="R43" s="141">
        <v>29</v>
      </c>
      <c r="S43" s="141"/>
      <c r="T43" s="141"/>
      <c r="U43" s="141"/>
      <c r="V43" s="141"/>
      <c r="W43" s="141"/>
      <c r="X43" s="141" t="s">
        <v>253</v>
      </c>
      <c r="Y43" s="141"/>
      <c r="Z43" s="141"/>
      <c r="AA43" s="141"/>
      <c r="AB43" s="141"/>
      <c r="AC43" s="141"/>
    </row>
    <row r="44" spans="1:29">
      <c r="A44" s="19">
        <v>29</v>
      </c>
      <c r="B44" s="17" t="s">
        <v>136</v>
      </c>
      <c r="C44" s="17" t="s">
        <v>137</v>
      </c>
      <c r="D44" s="17" t="s">
        <v>133</v>
      </c>
      <c r="E44" s="21">
        <v>43172</v>
      </c>
      <c r="F44" s="139"/>
      <c r="G44" s="137"/>
      <c r="H44" s="137"/>
      <c r="I44" s="138"/>
      <c r="J44" s="150" t="s">
        <v>97</v>
      </c>
      <c r="K44" s="151"/>
      <c r="L44" s="151" t="s">
        <v>193</v>
      </c>
      <c r="M44" s="151" t="s">
        <v>97</v>
      </c>
      <c r="N44" s="151"/>
      <c r="O44" s="151" t="s">
        <v>97</v>
      </c>
      <c r="P44" s="141" t="s">
        <v>98</v>
      </c>
      <c r="Q44" s="141"/>
      <c r="R44" s="141"/>
      <c r="S44" s="141" t="s">
        <v>247</v>
      </c>
      <c r="T44" s="141"/>
      <c r="U44" s="141" t="s">
        <v>203</v>
      </c>
      <c r="V44" s="141"/>
      <c r="W44" s="141"/>
      <c r="X44" s="141" t="s">
        <v>254</v>
      </c>
      <c r="Y44" s="141"/>
      <c r="Z44" s="141"/>
      <c r="AA44" s="141"/>
      <c r="AB44" s="141"/>
      <c r="AC44" s="141"/>
    </row>
    <row r="45" spans="1:29">
      <c r="A45" s="19">
        <v>30</v>
      </c>
      <c r="B45" s="17" t="s">
        <v>138</v>
      </c>
      <c r="C45" s="17" t="s">
        <v>139</v>
      </c>
      <c r="D45" s="17" t="s">
        <v>133</v>
      </c>
      <c r="E45" s="21">
        <v>43172</v>
      </c>
      <c r="F45" s="139"/>
      <c r="G45" s="137"/>
      <c r="H45" s="137"/>
      <c r="I45" s="138"/>
      <c r="J45" s="150" t="s">
        <v>97</v>
      </c>
      <c r="K45" s="151" t="s">
        <v>97</v>
      </c>
      <c r="L45" s="151" t="s">
        <v>193</v>
      </c>
      <c r="M45" s="151" t="s">
        <v>206</v>
      </c>
      <c r="N45" s="151"/>
      <c r="O45" s="151" t="s">
        <v>193</v>
      </c>
      <c r="P45" s="141" t="s">
        <v>98</v>
      </c>
      <c r="Q45" s="141">
        <v>31.5</v>
      </c>
      <c r="R45" s="141">
        <v>35</v>
      </c>
      <c r="S45" s="141"/>
      <c r="T45" s="141"/>
      <c r="U45" s="141" t="s">
        <v>203</v>
      </c>
      <c r="V45" s="141"/>
      <c r="W45" s="141"/>
      <c r="X45" s="141" t="s">
        <v>255</v>
      </c>
      <c r="Y45" s="141"/>
      <c r="Z45" s="141"/>
      <c r="AA45" s="141" t="s">
        <v>256</v>
      </c>
      <c r="AB45" s="141"/>
      <c r="AC45" s="141"/>
    </row>
    <row r="46" spans="1:29">
      <c r="A46" s="19">
        <v>31</v>
      </c>
      <c r="B46" s="17" t="s">
        <v>140</v>
      </c>
      <c r="C46" s="17" t="s">
        <v>141</v>
      </c>
      <c r="D46" s="17" t="s">
        <v>133</v>
      </c>
      <c r="E46" s="21">
        <v>43172</v>
      </c>
      <c r="F46" s="139"/>
      <c r="G46" s="137"/>
      <c r="H46" s="137"/>
      <c r="I46" s="138"/>
      <c r="J46" s="150" t="s">
        <v>97</v>
      </c>
      <c r="K46" s="151"/>
      <c r="L46" s="151" t="s">
        <v>97</v>
      </c>
      <c r="M46" s="151" t="s">
        <v>97</v>
      </c>
      <c r="N46" s="151"/>
      <c r="O46" s="151" t="s">
        <v>97</v>
      </c>
      <c r="P46" s="141" t="s">
        <v>98</v>
      </c>
      <c r="Q46" s="141"/>
      <c r="R46" s="141"/>
      <c r="S46" s="141" t="s">
        <v>247</v>
      </c>
      <c r="T46" s="141"/>
      <c r="U46" s="141"/>
      <c r="V46" s="141"/>
      <c r="W46" s="141"/>
      <c r="X46" s="141" t="s">
        <v>257</v>
      </c>
      <c r="Y46" s="141"/>
      <c r="Z46" s="141"/>
      <c r="AA46" s="141"/>
      <c r="AB46" s="141"/>
      <c r="AC46" s="141"/>
    </row>
    <row r="47" spans="1:29">
      <c r="A47" s="19">
        <v>32</v>
      </c>
      <c r="B47" s="17" t="s">
        <v>142</v>
      </c>
      <c r="C47" s="17" t="s">
        <v>143</v>
      </c>
      <c r="D47" s="17" t="s">
        <v>133</v>
      </c>
      <c r="E47" s="21">
        <v>43172</v>
      </c>
      <c r="F47" s="139"/>
      <c r="G47" s="137"/>
      <c r="H47" s="137"/>
      <c r="I47" s="138"/>
      <c r="J47" s="150" t="s">
        <v>97</v>
      </c>
      <c r="K47" s="151" t="s">
        <v>97</v>
      </c>
      <c r="L47" s="151" t="s">
        <v>97</v>
      </c>
      <c r="M47" s="151" t="s">
        <v>97</v>
      </c>
      <c r="N47" s="151"/>
      <c r="O47" s="151" t="s">
        <v>97</v>
      </c>
      <c r="P47" s="141" t="s">
        <v>98</v>
      </c>
      <c r="Q47" s="141">
        <v>23</v>
      </c>
      <c r="R47" s="141">
        <v>28</v>
      </c>
      <c r="S47" s="141"/>
      <c r="T47" s="141"/>
      <c r="U47" s="141" t="s">
        <v>258</v>
      </c>
      <c r="V47" s="141"/>
      <c r="W47" s="141"/>
      <c r="X47" s="141" t="s">
        <v>259</v>
      </c>
      <c r="Y47" s="141"/>
      <c r="Z47" s="141"/>
      <c r="AA47" s="141"/>
      <c r="AB47" s="141"/>
      <c r="AC47" s="141"/>
    </row>
    <row r="48" spans="1:29">
      <c r="A48" s="19">
        <v>33</v>
      </c>
      <c r="B48" s="17" t="s">
        <v>144</v>
      </c>
      <c r="C48" s="17" t="s">
        <v>145</v>
      </c>
      <c r="D48" s="17" t="s">
        <v>133</v>
      </c>
      <c r="E48" s="21">
        <v>43181</v>
      </c>
      <c r="F48" s="139">
        <v>3.5</v>
      </c>
      <c r="G48" s="137">
        <v>27</v>
      </c>
      <c r="H48" s="137">
        <v>32</v>
      </c>
      <c r="I48" s="138"/>
      <c r="J48" s="150" t="s">
        <v>97</v>
      </c>
      <c r="K48" s="151" t="s">
        <v>97</v>
      </c>
      <c r="L48" s="151" t="s">
        <v>97</v>
      </c>
      <c r="M48" s="151" t="s">
        <v>97</v>
      </c>
      <c r="N48" s="151" t="s">
        <v>97</v>
      </c>
      <c r="O48" s="151" t="s">
        <v>193</v>
      </c>
      <c r="P48" s="141" t="s">
        <v>98</v>
      </c>
      <c r="Q48" s="141">
        <v>27</v>
      </c>
      <c r="R48" s="141">
        <v>32</v>
      </c>
      <c r="S48" s="141"/>
      <c r="T48" s="141"/>
      <c r="U48" s="141" t="s">
        <v>258</v>
      </c>
      <c r="V48" s="141"/>
      <c r="W48" s="141"/>
      <c r="X48" s="141" t="s">
        <v>260</v>
      </c>
      <c r="Y48" s="141" t="s">
        <v>261</v>
      </c>
      <c r="Z48" s="141" t="s">
        <v>262</v>
      </c>
      <c r="AA48" s="141" t="s">
        <v>263</v>
      </c>
      <c r="AB48" s="141"/>
      <c r="AC48" s="141"/>
    </row>
    <row r="49" spans="1:29">
      <c r="A49" s="19">
        <v>34</v>
      </c>
      <c r="B49" s="17" t="s">
        <v>146</v>
      </c>
      <c r="C49" s="17" t="s">
        <v>2</v>
      </c>
      <c r="D49" s="17" t="s">
        <v>96</v>
      </c>
      <c r="E49" s="21">
        <v>43189</v>
      </c>
      <c r="F49" s="139">
        <v>2</v>
      </c>
      <c r="G49" s="137">
        <v>30</v>
      </c>
      <c r="H49" s="137">
        <v>35</v>
      </c>
      <c r="I49" s="138"/>
      <c r="J49" s="150" t="s">
        <v>97</v>
      </c>
      <c r="K49" s="151" t="s">
        <v>97</v>
      </c>
      <c r="L49" s="151" t="s">
        <v>97</v>
      </c>
      <c r="M49" s="151" t="s">
        <v>97</v>
      </c>
      <c r="N49" s="151" t="s">
        <v>97</v>
      </c>
      <c r="O49" s="151" t="s">
        <v>97</v>
      </c>
      <c r="P49" s="141" t="s">
        <v>98</v>
      </c>
      <c r="Q49" s="141">
        <v>31.5</v>
      </c>
      <c r="R49" s="141">
        <v>35</v>
      </c>
      <c r="S49" s="141" t="s">
        <v>264</v>
      </c>
      <c r="T49" s="141"/>
      <c r="U49" s="141"/>
      <c r="V49" s="141">
        <v>2</v>
      </c>
      <c r="W49" s="141" t="s">
        <v>265</v>
      </c>
      <c r="X49" s="141" t="s">
        <v>266</v>
      </c>
      <c r="Y49" s="141" t="s">
        <v>196</v>
      </c>
      <c r="Z49" s="141"/>
      <c r="AA49" s="141"/>
      <c r="AB49" s="141"/>
      <c r="AC49" s="141"/>
    </row>
    <row r="50" spans="1:29">
      <c r="A50" s="19">
        <v>35</v>
      </c>
      <c r="B50" s="17" t="s">
        <v>147</v>
      </c>
      <c r="C50" s="17" t="s">
        <v>148</v>
      </c>
      <c r="D50" s="17" t="s">
        <v>24</v>
      </c>
      <c r="E50" s="21">
        <v>43192</v>
      </c>
      <c r="F50" s="139">
        <v>1.3</v>
      </c>
      <c r="G50" s="137">
        <v>22</v>
      </c>
      <c r="H50" s="137">
        <v>27</v>
      </c>
      <c r="I50" s="138"/>
      <c r="J50" s="150" t="s">
        <v>97</v>
      </c>
      <c r="K50" s="151" t="s">
        <v>97</v>
      </c>
      <c r="L50" s="151" t="s">
        <v>97</v>
      </c>
      <c r="M50" s="151" t="s">
        <v>97</v>
      </c>
      <c r="N50" s="151" t="s">
        <v>97</v>
      </c>
      <c r="O50" s="151" t="s">
        <v>97</v>
      </c>
      <c r="P50" s="141" t="s">
        <v>98</v>
      </c>
      <c r="Q50" s="141">
        <v>22</v>
      </c>
      <c r="R50" s="141">
        <v>27</v>
      </c>
      <c r="S50" s="141" t="s">
        <v>267</v>
      </c>
      <c r="T50" s="141"/>
      <c r="U50" s="141"/>
      <c r="V50" s="141">
        <v>1.3</v>
      </c>
      <c r="W50" s="141" t="s">
        <v>268</v>
      </c>
      <c r="X50" s="141" t="s">
        <v>269</v>
      </c>
      <c r="Y50" s="141" t="s">
        <v>196</v>
      </c>
      <c r="Z50" s="141"/>
      <c r="AA50" s="141"/>
      <c r="AB50" s="141"/>
      <c r="AC50" s="141"/>
    </row>
    <row r="51" spans="1:29">
      <c r="A51" s="19">
        <v>36</v>
      </c>
      <c r="B51" s="17" t="s">
        <v>149</v>
      </c>
      <c r="C51" s="17" t="s">
        <v>150</v>
      </c>
      <c r="D51" s="17" t="s">
        <v>96</v>
      </c>
      <c r="E51" s="21">
        <v>43193</v>
      </c>
      <c r="F51" s="139">
        <v>2</v>
      </c>
      <c r="G51" s="137">
        <v>45</v>
      </c>
      <c r="H51" s="137">
        <v>50</v>
      </c>
      <c r="I51" s="138"/>
      <c r="J51" s="150" t="s">
        <v>97</v>
      </c>
      <c r="K51" s="151" t="s">
        <v>97</v>
      </c>
      <c r="L51" s="151" t="s">
        <v>97</v>
      </c>
      <c r="M51" s="151" t="s">
        <v>97</v>
      </c>
      <c r="N51" s="151"/>
      <c r="O51" s="151" t="s">
        <v>264</v>
      </c>
      <c r="P51" s="141" t="s">
        <v>98</v>
      </c>
      <c r="Q51" s="141">
        <v>46.5</v>
      </c>
      <c r="R51" s="141">
        <v>50</v>
      </c>
      <c r="S51" s="141" t="s">
        <v>270</v>
      </c>
      <c r="T51" s="141"/>
      <c r="U51" s="141"/>
      <c r="V51" s="141">
        <v>2</v>
      </c>
      <c r="W51" s="141" t="s">
        <v>265</v>
      </c>
      <c r="X51" s="141" t="s">
        <v>271</v>
      </c>
      <c r="Y51" s="141"/>
      <c r="Z51" s="141"/>
      <c r="AA51" s="141"/>
      <c r="AB51" s="141"/>
      <c r="AC51" s="141"/>
    </row>
    <row r="52" spans="1:29">
      <c r="A52" s="19">
        <v>37</v>
      </c>
      <c r="B52" s="17" t="s">
        <v>151</v>
      </c>
      <c r="C52" s="17" t="s">
        <v>152</v>
      </c>
      <c r="D52" s="17" t="s">
        <v>96</v>
      </c>
      <c r="E52" s="21">
        <v>43193</v>
      </c>
      <c r="F52" s="139">
        <v>2</v>
      </c>
      <c r="G52" s="137">
        <v>45</v>
      </c>
      <c r="H52" s="137">
        <v>50</v>
      </c>
      <c r="I52" s="138"/>
      <c r="J52" s="150" t="s">
        <v>97</v>
      </c>
      <c r="K52" s="151" t="s">
        <v>97</v>
      </c>
      <c r="L52" s="151" t="s">
        <v>97</v>
      </c>
      <c r="M52" s="151" t="s">
        <v>97</v>
      </c>
      <c r="N52" s="151"/>
      <c r="O52" s="151" t="s">
        <v>97</v>
      </c>
      <c r="P52" s="141" t="s">
        <v>98</v>
      </c>
      <c r="Q52" s="141">
        <v>41.5</v>
      </c>
      <c r="R52" s="141">
        <v>45</v>
      </c>
      <c r="S52" s="141" t="s">
        <v>270</v>
      </c>
      <c r="T52" s="141"/>
      <c r="U52" s="141"/>
      <c r="V52" s="141">
        <v>2</v>
      </c>
      <c r="W52" s="141" t="s">
        <v>265</v>
      </c>
      <c r="X52" s="141" t="s">
        <v>266</v>
      </c>
      <c r="Y52" s="141"/>
      <c r="Z52" s="141"/>
      <c r="AA52" s="141"/>
      <c r="AB52" s="141"/>
      <c r="AC52" s="141"/>
    </row>
    <row r="53" spans="1:29">
      <c r="A53" s="19">
        <v>38</v>
      </c>
      <c r="B53" s="17" t="s">
        <v>153</v>
      </c>
      <c r="C53" s="17" t="s">
        <v>154</v>
      </c>
      <c r="D53" s="17" t="s">
        <v>96</v>
      </c>
      <c r="E53" s="21">
        <v>43193</v>
      </c>
      <c r="F53" s="139">
        <v>2</v>
      </c>
      <c r="G53" s="137">
        <v>20</v>
      </c>
      <c r="H53" s="137">
        <v>25</v>
      </c>
      <c r="I53" s="138"/>
      <c r="J53" s="150" t="s">
        <v>97</v>
      </c>
      <c r="K53" s="151" t="s">
        <v>97</v>
      </c>
      <c r="L53" s="151" t="s">
        <v>193</v>
      </c>
      <c r="M53" s="151" t="s">
        <v>97</v>
      </c>
      <c r="N53" s="151"/>
      <c r="O53" s="151" t="s">
        <v>97</v>
      </c>
      <c r="P53" s="141" t="s">
        <v>98</v>
      </c>
      <c r="Q53" s="141">
        <v>19</v>
      </c>
      <c r="R53" s="141">
        <v>24</v>
      </c>
      <c r="S53" s="141" t="s">
        <v>272</v>
      </c>
      <c r="T53" s="141"/>
      <c r="U53" s="141" t="s">
        <v>213</v>
      </c>
      <c r="V53" s="141">
        <v>2</v>
      </c>
      <c r="W53" s="141" t="s">
        <v>265</v>
      </c>
      <c r="X53" s="141" t="s">
        <v>273</v>
      </c>
      <c r="Y53" s="141"/>
      <c r="Z53" s="141"/>
      <c r="AA53" s="141"/>
      <c r="AB53" s="141"/>
      <c r="AC53" s="141"/>
    </row>
    <row r="54" spans="1:29">
      <c r="A54" s="19">
        <v>39</v>
      </c>
      <c r="B54" s="17" t="s">
        <v>155</v>
      </c>
      <c r="C54" s="17" t="s">
        <v>156</v>
      </c>
      <c r="D54" s="17" t="s">
        <v>96</v>
      </c>
      <c r="E54" s="21">
        <v>43193</v>
      </c>
      <c r="F54" s="139">
        <v>2</v>
      </c>
      <c r="G54" s="137">
        <v>55</v>
      </c>
      <c r="H54" s="137">
        <v>60</v>
      </c>
      <c r="I54" s="138"/>
      <c r="J54" s="150" t="s">
        <v>97</v>
      </c>
      <c r="K54" s="151" t="s">
        <v>97</v>
      </c>
      <c r="L54" s="151" t="s">
        <v>193</v>
      </c>
      <c r="M54" s="151" t="s">
        <v>97</v>
      </c>
      <c r="N54" s="151"/>
      <c r="O54" s="151" t="s">
        <v>97</v>
      </c>
      <c r="P54" s="141" t="s">
        <v>98</v>
      </c>
      <c r="Q54" s="141">
        <v>43</v>
      </c>
      <c r="R54" s="141">
        <v>48</v>
      </c>
      <c r="S54" s="141" t="s">
        <v>274</v>
      </c>
      <c r="T54" s="141"/>
      <c r="U54" s="141" t="s">
        <v>203</v>
      </c>
      <c r="V54" s="141">
        <v>2</v>
      </c>
      <c r="W54" s="141" t="s">
        <v>265</v>
      </c>
      <c r="X54" s="141" t="s">
        <v>271</v>
      </c>
      <c r="Y54" s="141"/>
      <c r="Z54" s="141"/>
      <c r="AA54" s="141"/>
      <c r="AB54" s="141"/>
      <c r="AC54" s="141"/>
    </row>
    <row r="55" spans="1:29">
      <c r="A55" s="19">
        <v>40</v>
      </c>
      <c r="B55" s="17" t="s">
        <v>157</v>
      </c>
      <c r="C55" s="17" t="s">
        <v>158</v>
      </c>
      <c r="D55" s="17" t="s">
        <v>96</v>
      </c>
      <c r="E55" s="21">
        <v>43193</v>
      </c>
      <c r="F55" s="139">
        <v>2</v>
      </c>
      <c r="G55" s="137">
        <v>20</v>
      </c>
      <c r="H55" s="137">
        <v>25</v>
      </c>
      <c r="I55" s="138"/>
      <c r="J55" s="150" t="s">
        <v>97</v>
      </c>
      <c r="K55" s="151" t="s">
        <v>97</v>
      </c>
      <c r="L55" s="151" t="s">
        <v>97</v>
      </c>
      <c r="M55" s="151" t="s">
        <v>97</v>
      </c>
      <c r="N55" s="151"/>
      <c r="O55" s="151" t="s">
        <v>97</v>
      </c>
      <c r="P55" s="141" t="s">
        <v>98</v>
      </c>
      <c r="Q55" s="141">
        <v>30</v>
      </c>
      <c r="R55" s="141">
        <v>35</v>
      </c>
      <c r="S55" s="141"/>
      <c r="T55" s="141"/>
      <c r="U55" s="141"/>
      <c r="V55" s="141">
        <v>2</v>
      </c>
      <c r="W55" s="141" t="s">
        <v>265</v>
      </c>
      <c r="X55" s="141" t="s">
        <v>266</v>
      </c>
      <c r="Y55" s="141"/>
      <c r="Z55" s="141"/>
      <c r="AA55" s="141"/>
      <c r="AB55" s="141"/>
      <c r="AC55" s="141"/>
    </row>
    <row r="56" spans="1:29">
      <c r="A56" s="19">
        <v>41</v>
      </c>
      <c r="B56" s="17" t="s">
        <v>159</v>
      </c>
      <c r="C56" s="17" t="s">
        <v>160</v>
      </c>
      <c r="D56" s="17" t="s">
        <v>96</v>
      </c>
      <c r="E56" s="21">
        <v>43193</v>
      </c>
      <c r="F56" s="139">
        <v>2</v>
      </c>
      <c r="G56" s="137">
        <v>20</v>
      </c>
      <c r="H56" s="137">
        <v>25</v>
      </c>
      <c r="I56" s="138"/>
      <c r="J56" s="150" t="s">
        <v>97</v>
      </c>
      <c r="K56" s="151" t="s">
        <v>97</v>
      </c>
      <c r="L56" s="151" t="s">
        <v>193</v>
      </c>
      <c r="M56" s="151" t="s">
        <v>97</v>
      </c>
      <c r="N56" s="151"/>
      <c r="O56" s="151" t="s">
        <v>97</v>
      </c>
      <c r="P56" s="141" t="s">
        <v>98</v>
      </c>
      <c r="Q56" s="141">
        <v>13</v>
      </c>
      <c r="R56" s="141">
        <v>17.5</v>
      </c>
      <c r="S56" s="141" t="s">
        <v>275</v>
      </c>
      <c r="T56" s="141"/>
      <c r="U56" s="141" t="s">
        <v>276</v>
      </c>
      <c r="V56" s="141">
        <v>2</v>
      </c>
      <c r="W56" s="141" t="s">
        <v>265</v>
      </c>
      <c r="X56" s="141" t="s">
        <v>277</v>
      </c>
      <c r="Y56" s="141"/>
      <c r="Z56" s="141"/>
      <c r="AA56" s="141"/>
      <c r="AB56" s="141"/>
      <c r="AC56" s="141"/>
    </row>
    <row r="57" spans="1:29">
      <c r="A57" s="19">
        <v>42</v>
      </c>
      <c r="B57" s="17" t="s">
        <v>161</v>
      </c>
      <c r="C57" s="17" t="s">
        <v>162</v>
      </c>
      <c r="D57" s="17" t="s">
        <v>96</v>
      </c>
      <c r="E57" s="21">
        <v>43202</v>
      </c>
      <c r="F57" s="139">
        <v>2</v>
      </c>
      <c r="G57" s="137">
        <v>55</v>
      </c>
      <c r="H57" s="137">
        <v>60</v>
      </c>
      <c r="I57" s="138"/>
      <c r="J57" s="150" t="s">
        <v>97</v>
      </c>
      <c r="K57" s="151" t="s">
        <v>97</v>
      </c>
      <c r="L57" s="151" t="s">
        <v>97</v>
      </c>
      <c r="M57" s="151" t="s">
        <v>97</v>
      </c>
      <c r="N57" s="151" t="s">
        <v>97</v>
      </c>
      <c r="O57" s="151" t="s">
        <v>97</v>
      </c>
      <c r="P57" s="141" t="s">
        <v>98</v>
      </c>
      <c r="Q57" s="141">
        <v>56.5</v>
      </c>
      <c r="R57" s="141">
        <v>60</v>
      </c>
      <c r="S57" s="141" t="s">
        <v>278</v>
      </c>
      <c r="T57" s="141"/>
      <c r="U57" s="141"/>
      <c r="V57" s="141"/>
      <c r="W57" s="141" t="s">
        <v>279</v>
      </c>
      <c r="X57" s="141" t="s">
        <v>280</v>
      </c>
      <c r="Y57" s="141" t="s">
        <v>196</v>
      </c>
      <c r="Z57" s="141"/>
      <c r="AA57" s="141"/>
    </row>
    <row r="58" spans="1:29">
      <c r="A58" s="19">
        <v>43</v>
      </c>
      <c r="B58" s="17" t="s">
        <v>163</v>
      </c>
      <c r="C58" s="17" t="s">
        <v>164</v>
      </c>
      <c r="D58" s="17" t="s">
        <v>96</v>
      </c>
      <c r="E58" s="21">
        <v>43202</v>
      </c>
      <c r="F58" s="139">
        <v>2</v>
      </c>
      <c r="G58" s="137">
        <v>55</v>
      </c>
      <c r="H58" s="137">
        <v>60</v>
      </c>
      <c r="I58" s="138"/>
      <c r="J58" s="150" t="s">
        <v>97</v>
      </c>
      <c r="K58" s="151" t="s">
        <v>97</v>
      </c>
      <c r="L58" s="151" t="s">
        <v>97</v>
      </c>
      <c r="M58" s="151" t="s">
        <v>97</v>
      </c>
      <c r="N58" s="151"/>
      <c r="O58" s="151" t="s">
        <v>97</v>
      </c>
      <c r="P58" s="141" t="s">
        <v>98</v>
      </c>
      <c r="Q58" s="141">
        <v>55</v>
      </c>
      <c r="R58" s="141">
        <v>60</v>
      </c>
      <c r="S58" s="141" t="s">
        <v>281</v>
      </c>
      <c r="T58" s="141"/>
      <c r="U58" s="141"/>
      <c r="V58" s="141"/>
      <c r="W58" s="141" t="s">
        <v>279</v>
      </c>
      <c r="X58" s="141" t="s">
        <v>282</v>
      </c>
      <c r="Y58" s="141"/>
      <c r="Z58" s="141"/>
      <c r="AA58" s="141"/>
    </row>
    <row r="59" spans="1:29">
      <c r="A59" s="19">
        <v>44</v>
      </c>
      <c r="B59" s="17" t="s">
        <v>165</v>
      </c>
      <c r="C59" s="17" t="s">
        <v>166</v>
      </c>
      <c r="D59" s="17" t="s">
        <v>96</v>
      </c>
      <c r="E59" s="21">
        <v>43202</v>
      </c>
      <c r="F59" s="139">
        <v>2</v>
      </c>
      <c r="G59" s="137">
        <v>55</v>
      </c>
      <c r="H59" s="137">
        <v>60</v>
      </c>
      <c r="I59" s="138"/>
      <c r="J59" s="150" t="s">
        <v>97</v>
      </c>
      <c r="K59" s="151" t="s">
        <v>97</v>
      </c>
      <c r="L59" s="151" t="s">
        <v>97</v>
      </c>
      <c r="M59" s="151" t="s">
        <v>97</v>
      </c>
      <c r="N59" s="151"/>
      <c r="O59" s="151" t="s">
        <v>97</v>
      </c>
      <c r="P59" s="141" t="s">
        <v>98</v>
      </c>
      <c r="Q59" s="141">
        <v>56.5</v>
      </c>
      <c r="R59" s="141">
        <v>60</v>
      </c>
      <c r="S59" s="141"/>
      <c r="T59" s="141"/>
      <c r="U59" s="141"/>
      <c r="V59" s="141"/>
      <c r="W59" s="141" t="s">
        <v>279</v>
      </c>
      <c r="X59" s="141" t="s">
        <v>282</v>
      </c>
      <c r="Y59" s="141"/>
      <c r="Z59" s="141"/>
      <c r="AA59" s="141"/>
    </row>
    <row r="60" spans="1:29">
      <c r="A60" s="19">
        <v>45</v>
      </c>
      <c r="B60" s="17" t="s">
        <v>167</v>
      </c>
      <c r="C60" s="17" t="s">
        <v>168</v>
      </c>
      <c r="D60" s="17" t="s">
        <v>96</v>
      </c>
      <c r="E60" s="21">
        <v>43202</v>
      </c>
      <c r="F60" s="139">
        <v>2</v>
      </c>
      <c r="G60" s="137">
        <v>55</v>
      </c>
      <c r="H60" s="137">
        <v>60</v>
      </c>
      <c r="I60" s="138"/>
      <c r="J60" s="150" t="s">
        <v>97</v>
      </c>
      <c r="K60" s="151" t="s">
        <v>97</v>
      </c>
      <c r="L60" s="151" t="s">
        <v>97</v>
      </c>
      <c r="M60" s="151" t="s">
        <v>97</v>
      </c>
      <c r="N60" s="151"/>
      <c r="O60" s="151" t="s">
        <v>97</v>
      </c>
      <c r="P60" s="141" t="s">
        <v>98</v>
      </c>
      <c r="Q60" s="141">
        <v>56.5</v>
      </c>
      <c r="R60" s="141">
        <v>60</v>
      </c>
      <c r="S60" s="141"/>
      <c r="T60" s="141"/>
      <c r="U60" s="141"/>
      <c r="V60" s="141"/>
      <c r="W60" s="141" t="s">
        <v>279</v>
      </c>
      <c r="X60" s="141" t="s">
        <v>282</v>
      </c>
      <c r="Y60" s="141"/>
      <c r="Z60" s="141"/>
      <c r="AA60" s="141"/>
    </row>
    <row r="61" spans="1:29">
      <c r="A61" s="19">
        <v>46</v>
      </c>
      <c r="B61" s="17" t="s">
        <v>169</v>
      </c>
      <c r="C61" s="17" t="s">
        <v>170</v>
      </c>
      <c r="D61" s="17" t="s">
        <v>96</v>
      </c>
      <c r="E61" s="21">
        <v>43202</v>
      </c>
      <c r="F61" s="139">
        <v>2</v>
      </c>
      <c r="G61" s="137">
        <v>55</v>
      </c>
      <c r="H61" s="137">
        <v>60</v>
      </c>
      <c r="I61" s="138"/>
      <c r="J61" s="150" t="s">
        <v>97</v>
      </c>
      <c r="K61" s="151" t="s">
        <v>97</v>
      </c>
      <c r="L61" s="151" t="s">
        <v>97</v>
      </c>
      <c r="M61" s="151" t="s">
        <v>97</v>
      </c>
      <c r="N61" s="151" t="s">
        <v>97</v>
      </c>
      <c r="O61" s="151" t="s">
        <v>97</v>
      </c>
      <c r="P61" s="141" t="s">
        <v>98</v>
      </c>
      <c r="Q61" s="141">
        <v>55</v>
      </c>
      <c r="R61" s="141">
        <v>60</v>
      </c>
      <c r="S61" s="141"/>
      <c r="T61" s="141"/>
      <c r="U61" s="141"/>
      <c r="V61" s="141"/>
      <c r="W61" s="141" t="s">
        <v>279</v>
      </c>
      <c r="X61" s="141" t="s">
        <v>282</v>
      </c>
      <c r="Y61" s="141" t="s">
        <v>196</v>
      </c>
      <c r="Z61" s="141"/>
      <c r="AA61" s="141"/>
    </row>
    <row r="62" spans="1:29">
      <c r="A62" s="19">
        <v>47</v>
      </c>
      <c r="B62" s="17" t="s">
        <v>171</v>
      </c>
      <c r="C62" s="17" t="s">
        <v>172</v>
      </c>
      <c r="D62" s="17" t="s">
        <v>96</v>
      </c>
      <c r="E62" s="21">
        <v>43202</v>
      </c>
      <c r="F62" s="139">
        <v>2</v>
      </c>
      <c r="G62" s="137">
        <v>55</v>
      </c>
      <c r="H62" s="137">
        <v>60</v>
      </c>
      <c r="I62" s="138"/>
      <c r="J62" s="150" t="s">
        <v>97</v>
      </c>
      <c r="K62" s="151" t="s">
        <v>97</v>
      </c>
      <c r="L62" s="151" t="s">
        <v>97</v>
      </c>
      <c r="M62" s="151" t="s">
        <v>97</v>
      </c>
      <c r="N62" s="151"/>
      <c r="O62" s="151" t="s">
        <v>97</v>
      </c>
      <c r="P62" s="141" t="s">
        <v>98</v>
      </c>
      <c r="Q62" s="141">
        <v>56.5</v>
      </c>
      <c r="R62" s="141">
        <v>60</v>
      </c>
      <c r="S62" s="141"/>
      <c r="T62" s="141"/>
      <c r="U62" s="141"/>
      <c r="V62" s="141"/>
      <c r="W62" s="141" t="s">
        <v>279</v>
      </c>
      <c r="X62" s="141" t="s">
        <v>282</v>
      </c>
      <c r="Y62" s="141"/>
      <c r="Z62" s="141"/>
      <c r="AA62" s="141"/>
    </row>
    <row r="63" spans="1:29">
      <c r="A63" s="19">
        <v>48</v>
      </c>
      <c r="B63" s="17" t="s">
        <v>173</v>
      </c>
      <c r="C63" s="17" t="s">
        <v>174</v>
      </c>
      <c r="D63" s="17" t="s">
        <v>96</v>
      </c>
      <c r="E63" s="21">
        <v>43202</v>
      </c>
      <c r="F63" s="139">
        <v>2</v>
      </c>
      <c r="G63" s="137">
        <v>55</v>
      </c>
      <c r="H63" s="137">
        <v>60</v>
      </c>
      <c r="I63" s="138"/>
      <c r="J63" s="150" t="s">
        <v>97</v>
      </c>
      <c r="K63" s="151" t="s">
        <v>97</v>
      </c>
      <c r="L63" s="151" t="s">
        <v>97</v>
      </c>
      <c r="M63" s="151" t="s">
        <v>97</v>
      </c>
      <c r="N63" s="151"/>
      <c r="O63" s="151" t="s">
        <v>97</v>
      </c>
      <c r="P63" s="141" t="s">
        <v>98</v>
      </c>
      <c r="Q63" s="141">
        <v>56.5</v>
      </c>
      <c r="R63" s="141">
        <v>60</v>
      </c>
      <c r="S63" s="141"/>
      <c r="T63" s="141"/>
      <c r="U63" s="141"/>
      <c r="V63" s="141"/>
      <c r="W63" s="141" t="s">
        <v>279</v>
      </c>
      <c r="X63" s="141" t="s">
        <v>271</v>
      </c>
      <c r="Y63" s="141"/>
      <c r="Z63" s="141"/>
      <c r="AA63" s="141"/>
    </row>
    <row r="64" spans="1:29">
      <c r="A64" s="19">
        <v>49</v>
      </c>
      <c r="B64" s="17" t="s">
        <v>175</v>
      </c>
      <c r="C64" s="17" t="s">
        <v>176</v>
      </c>
      <c r="D64" s="17" t="s">
        <v>96</v>
      </c>
      <c r="E64" s="21">
        <v>43202</v>
      </c>
      <c r="F64" s="139">
        <v>2</v>
      </c>
      <c r="G64" s="137">
        <v>55</v>
      </c>
      <c r="H64" s="137">
        <v>60</v>
      </c>
      <c r="I64" s="138"/>
      <c r="J64" s="150" t="s">
        <v>97</v>
      </c>
      <c r="K64" s="151" t="s">
        <v>97</v>
      </c>
      <c r="L64" s="151" t="s">
        <v>193</v>
      </c>
      <c r="M64" s="151" t="s">
        <v>97</v>
      </c>
      <c r="N64" s="151"/>
      <c r="O64" s="151" t="s">
        <v>97</v>
      </c>
      <c r="P64" s="141" t="s">
        <v>98</v>
      </c>
      <c r="Q64" s="141">
        <v>56.5</v>
      </c>
      <c r="R64" s="141">
        <v>60</v>
      </c>
      <c r="S64" s="141" t="s">
        <v>283</v>
      </c>
      <c r="T64" s="141"/>
      <c r="U64" s="141" t="s">
        <v>284</v>
      </c>
      <c r="V64" s="141"/>
      <c r="W64" s="141" t="s">
        <v>279</v>
      </c>
      <c r="X64" s="141" t="s">
        <v>285</v>
      </c>
      <c r="Y64" s="141"/>
      <c r="Z64" s="141"/>
      <c r="AA64" s="141"/>
    </row>
    <row r="65" spans="1:27">
      <c r="A65" s="19">
        <v>50</v>
      </c>
      <c r="B65" s="17" t="s">
        <v>177</v>
      </c>
      <c r="C65" s="17" t="s">
        <v>178</v>
      </c>
      <c r="D65" s="17" t="s">
        <v>133</v>
      </c>
      <c r="E65" s="21">
        <v>43217</v>
      </c>
      <c r="F65" s="139">
        <v>3</v>
      </c>
      <c r="G65" s="137">
        <v>50</v>
      </c>
      <c r="H65" s="137">
        <v>55</v>
      </c>
      <c r="I65" s="138"/>
      <c r="J65" s="150" t="s">
        <v>97</v>
      </c>
      <c r="K65" s="151" t="s">
        <v>97</v>
      </c>
      <c r="L65" s="151" t="s">
        <v>97</v>
      </c>
      <c r="M65" s="151" t="s">
        <v>206</v>
      </c>
      <c r="N65" s="151"/>
      <c r="O65" s="151" t="s">
        <v>97</v>
      </c>
      <c r="P65" s="141" t="s">
        <v>98</v>
      </c>
      <c r="Q65" s="141">
        <v>50</v>
      </c>
      <c r="R65" s="141">
        <v>55</v>
      </c>
      <c r="S65" s="141"/>
      <c r="T65" s="141"/>
      <c r="U65" s="141"/>
      <c r="V65" s="141"/>
      <c r="W65" s="141"/>
      <c r="X65" s="141"/>
      <c r="Y65" s="141"/>
      <c r="Z65" s="141"/>
      <c r="AA65" s="141"/>
    </row>
    <row r="66" spans="1:27">
      <c r="A66" s="19">
        <v>51</v>
      </c>
      <c r="B66" s="17" t="s">
        <v>179</v>
      </c>
      <c r="C66" s="17" t="s">
        <v>180</v>
      </c>
      <c r="D66" s="17" t="s">
        <v>133</v>
      </c>
      <c r="E66" s="21">
        <v>43223</v>
      </c>
      <c r="F66" s="139">
        <v>3</v>
      </c>
      <c r="G66" s="137">
        <v>11</v>
      </c>
      <c r="H66" s="137">
        <v>16</v>
      </c>
      <c r="I66" s="138"/>
      <c r="J66" s="150" t="s">
        <v>97</v>
      </c>
      <c r="K66" s="151" t="s">
        <v>97</v>
      </c>
      <c r="L66" s="151" t="s">
        <v>193</v>
      </c>
      <c r="M66" s="151" t="s">
        <v>97</v>
      </c>
      <c r="N66" s="151"/>
      <c r="O66" s="151" t="s">
        <v>97</v>
      </c>
      <c r="P66" s="141" t="s">
        <v>98</v>
      </c>
      <c r="Q66" s="141">
        <v>11</v>
      </c>
      <c r="R66" s="141">
        <v>16</v>
      </c>
      <c r="S66" s="141"/>
      <c r="T66" s="141"/>
      <c r="U66" s="141" t="s">
        <v>286</v>
      </c>
      <c r="V66" s="141"/>
      <c r="W66" s="141"/>
      <c r="X66" s="141" t="s">
        <v>287</v>
      </c>
      <c r="Y66" s="141"/>
      <c r="Z66" s="141"/>
      <c r="AA66" s="141"/>
    </row>
    <row r="67" spans="1:27">
      <c r="A67" s="19">
        <v>52</v>
      </c>
      <c r="B67" s="17" t="s">
        <v>153</v>
      </c>
      <c r="C67" s="17" t="s">
        <v>154</v>
      </c>
      <c r="D67" s="17" t="s">
        <v>96</v>
      </c>
      <c r="E67" s="21">
        <v>43224</v>
      </c>
      <c r="F67" s="139">
        <v>2</v>
      </c>
      <c r="G67" s="137">
        <v>18</v>
      </c>
      <c r="H67" s="137">
        <v>23</v>
      </c>
      <c r="I67" s="138"/>
      <c r="J67" s="150" t="s">
        <v>97</v>
      </c>
      <c r="K67" s="151" t="s">
        <v>97</v>
      </c>
      <c r="L67" s="151" t="s">
        <v>193</v>
      </c>
      <c r="M67" s="151" t="s">
        <v>193</v>
      </c>
      <c r="N67" s="151"/>
      <c r="O67" s="151" t="s">
        <v>97</v>
      </c>
      <c r="P67" s="141" t="s">
        <v>98</v>
      </c>
      <c r="Q67" s="141">
        <v>18</v>
      </c>
      <c r="R67" s="141">
        <v>23</v>
      </c>
      <c r="S67" s="141"/>
      <c r="T67" s="141"/>
      <c r="U67" s="141" t="s">
        <v>286</v>
      </c>
      <c r="V67" s="141"/>
      <c r="W67" s="141"/>
      <c r="X67" s="141" t="s">
        <v>288</v>
      </c>
      <c r="Y67" s="141"/>
      <c r="Z67" s="141"/>
      <c r="AA67" s="141"/>
    </row>
    <row r="68" spans="1:27">
      <c r="A68" s="19">
        <v>53</v>
      </c>
      <c r="B68" s="17" t="s">
        <v>181</v>
      </c>
      <c r="C68" s="17" t="s">
        <v>182</v>
      </c>
      <c r="D68" s="17" t="s">
        <v>96</v>
      </c>
      <c r="E68" s="21">
        <v>43224</v>
      </c>
      <c r="F68" s="139">
        <v>2</v>
      </c>
      <c r="G68" s="137">
        <v>18</v>
      </c>
      <c r="H68" s="137">
        <v>23</v>
      </c>
      <c r="I68" s="138"/>
      <c r="J68" s="150" t="s">
        <v>97</v>
      </c>
      <c r="K68" s="151" t="s">
        <v>97</v>
      </c>
      <c r="L68" s="151" t="s">
        <v>193</v>
      </c>
      <c r="M68" s="151" t="s">
        <v>193</v>
      </c>
      <c r="N68" s="151"/>
      <c r="O68" s="151" t="s">
        <v>97</v>
      </c>
      <c r="P68" s="141" t="s">
        <v>98</v>
      </c>
      <c r="Q68" s="141">
        <v>18</v>
      </c>
      <c r="R68" s="141">
        <v>23</v>
      </c>
      <c r="S68" s="141"/>
      <c r="T68" s="141"/>
      <c r="U68" s="141" t="s">
        <v>286</v>
      </c>
      <c r="V68" s="141"/>
      <c r="W68" s="141"/>
      <c r="X68" s="141" t="s">
        <v>288</v>
      </c>
      <c r="Y68" s="141"/>
      <c r="Z68" s="141"/>
      <c r="AA68" s="141"/>
    </row>
    <row r="69" spans="1:27">
      <c r="A69" s="19">
        <v>54</v>
      </c>
      <c r="B69" s="17" t="s">
        <v>183</v>
      </c>
      <c r="C69" s="17" t="s">
        <v>184</v>
      </c>
      <c r="D69" s="17" t="s">
        <v>96</v>
      </c>
      <c r="E69" s="21">
        <v>43224</v>
      </c>
      <c r="F69" s="139">
        <v>2</v>
      </c>
      <c r="G69" s="137">
        <v>35</v>
      </c>
      <c r="H69" s="137">
        <v>40</v>
      </c>
      <c r="I69" s="138"/>
      <c r="J69" s="150" t="s">
        <v>97</v>
      </c>
      <c r="K69" s="151" t="s">
        <v>97</v>
      </c>
      <c r="L69" s="151" t="s">
        <v>97</v>
      </c>
      <c r="M69" s="151" t="s">
        <v>97</v>
      </c>
      <c r="N69" s="151"/>
      <c r="O69" s="151" t="s">
        <v>97</v>
      </c>
      <c r="P69" s="141" t="s">
        <v>98</v>
      </c>
      <c r="Q69" s="141">
        <v>23</v>
      </c>
      <c r="R69" s="141">
        <v>28</v>
      </c>
      <c r="S69" s="141"/>
      <c r="T69" s="141"/>
      <c r="U69" s="141"/>
      <c r="V69" s="141"/>
      <c r="W69" s="141" t="s">
        <v>289</v>
      </c>
      <c r="X69" s="141" t="s">
        <v>290</v>
      </c>
      <c r="Y69" s="141"/>
      <c r="Z69" s="141"/>
      <c r="AA69" s="141"/>
    </row>
    <row r="70" spans="1:27">
      <c r="A70" s="19">
        <v>55</v>
      </c>
      <c r="B70" s="17" t="s">
        <v>185</v>
      </c>
      <c r="C70" s="17" t="s">
        <v>186</v>
      </c>
      <c r="D70" s="17" t="s">
        <v>96</v>
      </c>
      <c r="E70" s="21">
        <v>43224</v>
      </c>
      <c r="F70" s="139">
        <v>2</v>
      </c>
      <c r="G70" s="137">
        <v>25</v>
      </c>
      <c r="H70" s="137">
        <v>30</v>
      </c>
      <c r="I70" s="138"/>
      <c r="J70" s="150" t="s">
        <v>97</v>
      </c>
      <c r="K70" s="151" t="s">
        <v>97</v>
      </c>
      <c r="L70" s="151" t="s">
        <v>97</v>
      </c>
      <c r="M70" s="151" t="s">
        <v>97</v>
      </c>
      <c r="N70" s="151"/>
      <c r="O70" s="151" t="s">
        <v>97</v>
      </c>
      <c r="P70" s="141" t="s">
        <v>98</v>
      </c>
      <c r="Q70" s="141">
        <v>25</v>
      </c>
      <c r="R70" s="141">
        <v>30</v>
      </c>
      <c r="S70" s="141"/>
      <c r="T70" s="141"/>
      <c r="U70" s="141"/>
      <c r="V70" s="141"/>
      <c r="W70" s="141"/>
      <c r="X70" s="141" t="s">
        <v>291</v>
      </c>
      <c r="Y70" s="141"/>
      <c r="Z70" s="141"/>
      <c r="AA70" s="141"/>
    </row>
    <row r="71" spans="1:27">
      <c r="A71" s="19">
        <v>56</v>
      </c>
      <c r="B71" s="17" t="s">
        <v>187</v>
      </c>
      <c r="C71" s="17" t="s">
        <v>188</v>
      </c>
      <c r="D71" s="17" t="s">
        <v>96</v>
      </c>
      <c r="E71" s="21">
        <v>43224</v>
      </c>
      <c r="F71" s="139">
        <v>2</v>
      </c>
      <c r="G71" s="137">
        <v>22</v>
      </c>
      <c r="H71" s="137">
        <v>27</v>
      </c>
      <c r="I71" s="138"/>
      <c r="J71" s="150" t="s">
        <v>97</v>
      </c>
      <c r="K71" s="151" t="s">
        <v>97</v>
      </c>
      <c r="L71" s="151" t="s">
        <v>193</v>
      </c>
      <c r="M71" s="151" t="s">
        <v>97</v>
      </c>
      <c r="N71" s="151"/>
      <c r="O71" s="151" t="s">
        <v>97</v>
      </c>
      <c r="P71" s="141" t="s">
        <v>98</v>
      </c>
      <c r="Q71" s="141">
        <v>22</v>
      </c>
      <c r="R71" s="141">
        <v>27</v>
      </c>
      <c r="S71" s="141"/>
      <c r="T71" s="141"/>
      <c r="U71" s="141" t="s">
        <v>286</v>
      </c>
      <c r="V71" s="141"/>
      <c r="W71" s="141"/>
      <c r="X71" s="141" t="s">
        <v>292</v>
      </c>
      <c r="Y71" s="141"/>
      <c r="Z71" s="141"/>
      <c r="AA71" s="141"/>
    </row>
    <row r="72" spans="1:27">
      <c r="A72" s="19">
        <v>57</v>
      </c>
      <c r="B72" s="17" t="s">
        <v>189</v>
      </c>
      <c r="C72" s="17" t="s">
        <v>190</v>
      </c>
      <c r="D72" s="17" t="s">
        <v>133</v>
      </c>
      <c r="E72" s="21">
        <v>43224</v>
      </c>
      <c r="F72" s="139">
        <v>3</v>
      </c>
      <c r="G72" s="137">
        <v>12</v>
      </c>
      <c r="H72" s="137">
        <v>17</v>
      </c>
      <c r="I72" s="138"/>
      <c r="J72" s="150" t="s">
        <v>97</v>
      </c>
      <c r="K72" s="151" t="s">
        <v>97</v>
      </c>
      <c r="L72" s="151" t="s">
        <v>193</v>
      </c>
      <c r="M72" s="151" t="s">
        <v>97</v>
      </c>
      <c r="N72" s="151"/>
      <c r="O72" s="151"/>
      <c r="P72" s="141" t="s">
        <v>98</v>
      </c>
      <c r="Q72" s="141">
        <v>12</v>
      </c>
      <c r="R72" s="141">
        <v>17</v>
      </c>
      <c r="S72" s="141"/>
      <c r="T72" s="141"/>
      <c r="U72" s="141" t="s">
        <v>286</v>
      </c>
      <c r="V72" s="141"/>
      <c r="W72" s="141"/>
      <c r="X72" s="141" t="s">
        <v>293</v>
      </c>
      <c r="Y72" s="141"/>
      <c r="Z72" s="141"/>
      <c r="AA72" s="141"/>
    </row>
    <row r="73" spans="1:27">
      <c r="A73" s="19">
        <v>59</v>
      </c>
      <c r="B73" s="17" t="s">
        <v>191</v>
      </c>
      <c r="C73" s="17" t="s">
        <v>192</v>
      </c>
      <c r="D73" s="17" t="s">
        <v>133</v>
      </c>
      <c r="E73" s="21">
        <v>43234</v>
      </c>
      <c r="F73" s="139">
        <v>3</v>
      </c>
      <c r="G73" s="137">
        <v>12</v>
      </c>
      <c r="H73" s="137">
        <v>17</v>
      </c>
      <c r="I73" s="138"/>
      <c r="J73" s="150"/>
      <c r="K73" s="151"/>
      <c r="L73" s="151"/>
      <c r="M73" s="151"/>
      <c r="N73" s="151"/>
      <c r="O73" s="151"/>
      <c r="P73" s="141"/>
      <c r="Q73" s="141"/>
      <c r="R73" s="141"/>
      <c r="S73" s="141"/>
      <c r="T73" s="141"/>
      <c r="U73" s="141"/>
      <c r="V73" s="141"/>
      <c r="W73" s="141"/>
      <c r="X73" s="141" t="s">
        <v>294</v>
      </c>
      <c r="Y73" s="141"/>
      <c r="Z73" s="141"/>
      <c r="AA73" s="141"/>
    </row>
  </sheetData>
  <mergeCells count="1">
    <mergeCell ref="C13:E13"/>
  </mergeCells>
  <dataValidations count="1">
    <dataValidation type="list" allowBlank="1" showInputMessage="1" showErrorMessage="1" sqref="I16:I73" xr:uid="{365B76B4-EF85-494D-A184-27A5EBB5DAC2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>
    <tabColor theme="9"/>
  </sheetPr>
  <dimension ref="A1:Z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73" bestFit="1" customWidth="1"/>
    <col min="6" max="6" width="18.42578125" style="2" customWidth="1"/>
    <col min="7" max="7" width="15" bestFit="1" customWidth="1"/>
    <col min="8" max="8" width="12.42578125" customWidth="1"/>
    <col min="9" max="9" width="11.28515625" bestFit="1" customWidth="1"/>
    <col min="10" max="10" width="9.7109375" style="10" bestFit="1" customWidth="1"/>
    <col min="11" max="11" width="16.28515625" style="10" bestFit="1" customWidth="1"/>
    <col min="12" max="12" width="9.140625" style="10"/>
    <col min="13" max="13" width="10.5703125" style="10" bestFit="1" customWidth="1"/>
    <col min="14" max="14" width="58.85546875" style="10" customWidth="1"/>
    <col min="15" max="16" width="13.5703125" style="10" bestFit="1" customWidth="1"/>
    <col min="17" max="17" width="58.42578125" style="10" bestFit="1" customWidth="1"/>
    <col min="18" max="18" width="10" style="10" customWidth="1"/>
    <col min="19" max="19" width="41.85546875" style="10" bestFit="1" customWidth="1"/>
    <col min="20" max="20" width="12.5703125" style="10" customWidth="1"/>
    <col min="21" max="21" width="19.42578125" style="10" customWidth="1"/>
    <col min="22" max="22" width="57.42578125" style="10" bestFit="1" customWidth="1"/>
    <col min="23" max="23" width="22.28515625" style="10" bestFit="1" customWidth="1"/>
    <col min="24" max="24" width="30.140625" style="10" bestFit="1" customWidth="1"/>
    <col min="25" max="26" width="9.140625" style="10"/>
    <col min="27" max="16384" width="9.140625" style="4"/>
  </cols>
  <sheetData>
    <row r="1" spans="1:26" s="3" customFormat="1" hidden="1">
      <c r="A1" s="63" t="s">
        <v>10</v>
      </c>
      <c r="B1" s="15" t="s">
        <v>91</v>
      </c>
      <c r="C1" s="15"/>
      <c r="D1" s="15"/>
      <c r="E1" s="69"/>
      <c r="F1" s="75"/>
      <c r="G1" s="15"/>
      <c r="H1" s="15"/>
      <c r="I1" s="15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s="3" customFormat="1" hidden="1">
      <c r="A2" s="64" t="s">
        <v>18</v>
      </c>
      <c r="B2" s="7"/>
      <c r="C2" s="7"/>
      <c r="D2" s="7"/>
      <c r="E2" s="36"/>
      <c r="F2" s="23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s="3" customFormat="1" hidden="1">
      <c r="A3" s="65" t="s">
        <v>88</v>
      </c>
      <c r="B3" s="18" t="s">
        <v>89</v>
      </c>
      <c r="C3" s="5"/>
      <c r="D3" s="5"/>
      <c r="E3" s="36"/>
      <c r="F3" s="23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s="25" customFormat="1" hidden="1">
      <c r="A4" s="22">
        <f>MATCH(A3,10:10,0)</f>
        <v>1</v>
      </c>
      <c r="B4" s="22">
        <f>MATCH(B3,10:10,0)</f>
        <v>2</v>
      </c>
      <c r="C4" s="22" t="e">
        <f>MATCH(C3,10:10,0)</f>
        <v>#N/A</v>
      </c>
      <c r="D4" s="22"/>
      <c r="E4" s="36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s="25" customFormat="1" hidden="1">
      <c r="A5" s="22">
        <v>13</v>
      </c>
      <c r="B5" s="6" t="e">
        <f>IF(VLOOKUP($A$5,Table3513[],B4,FALSE)&lt;&gt;0,VLOOKUP($A$5,Table3513[],B4,FALSE),"")</f>
        <v>#N/A</v>
      </c>
      <c r="C5" s="22" t="e">
        <f>IF(VLOOKUP($A$5,Table3513[],C4,FALSE)&lt;&gt;0,VLOOKUP($A$5,Table3513[],C4,FALSE),"")</f>
        <v>#N/A</v>
      </c>
      <c r="D5" s="6"/>
      <c r="E5" s="36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idden="1">
      <c r="A6" s="66" t="s">
        <v>16</v>
      </c>
      <c r="B6" s="12"/>
      <c r="C6" s="12"/>
      <c r="D6" s="12"/>
      <c r="E6" s="70"/>
      <c r="F6" s="67"/>
      <c r="G6" s="12"/>
      <c r="H6" s="12"/>
      <c r="I6" s="1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idden="1">
      <c r="A7" s="67"/>
      <c r="B7" s="67"/>
      <c r="C7" s="67"/>
      <c r="D7" s="67"/>
      <c r="E7" s="70"/>
      <c r="F7" s="67"/>
      <c r="G7" s="12"/>
      <c r="H7" s="12"/>
      <c r="I7" s="12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idden="1">
      <c r="A8" s="67"/>
      <c r="B8" s="67"/>
      <c r="C8" s="67"/>
      <c r="D8" s="67"/>
      <c r="E8" s="70"/>
      <c r="F8" s="67"/>
      <c r="G8" s="12"/>
      <c r="H8" s="12"/>
      <c r="I8" s="12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idden="1">
      <c r="A9" s="68" t="s">
        <v>17</v>
      </c>
      <c r="B9" s="13"/>
      <c r="C9" s="13"/>
      <c r="D9" s="13"/>
      <c r="E9" s="71"/>
      <c r="F9" s="26"/>
      <c r="G9" s="13"/>
      <c r="H9" s="13"/>
      <c r="I9" s="13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idden="1">
      <c r="A10" s="65" t="s">
        <v>88</v>
      </c>
      <c r="B10" s="18" t="s">
        <v>89</v>
      </c>
      <c r="C10" s="18" t="s">
        <v>85</v>
      </c>
      <c r="D10" s="18" t="s">
        <v>92</v>
      </c>
      <c r="E10" s="72"/>
      <c r="F10" s="65"/>
      <c r="G10" s="18"/>
      <c r="H10" s="18"/>
      <c r="I10" s="13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s="28" customFormat="1" hidden="1">
      <c r="A11" s="26"/>
      <c r="B11" s="26"/>
      <c r="C11" s="26"/>
      <c r="D11" s="26"/>
      <c r="E11" s="71"/>
      <c r="F11" s="26"/>
      <c r="G11" s="26"/>
      <c r="H11" s="26"/>
      <c r="I11" s="26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3" spans="1:26" ht="21">
      <c r="C13" s="154" t="s">
        <v>75</v>
      </c>
      <c r="D13" s="155"/>
      <c r="E13" s="155"/>
    </row>
    <row r="15" spans="1:26" s="32" customFormat="1" ht="30">
      <c r="A15" s="29" t="s">
        <v>88</v>
      </c>
      <c r="B15" s="30" t="s">
        <v>89</v>
      </c>
      <c r="C15" s="30" t="s">
        <v>85</v>
      </c>
      <c r="D15" s="30" t="s">
        <v>86</v>
      </c>
      <c r="E15" s="74" t="s">
        <v>70</v>
      </c>
      <c r="F15" s="29" t="s">
        <v>71</v>
      </c>
      <c r="G15" s="29" t="s">
        <v>73</v>
      </c>
      <c r="H15" s="29" t="s">
        <v>72</v>
      </c>
      <c r="I15" s="142" t="s">
        <v>74</v>
      </c>
      <c r="J15" s="144" t="s">
        <v>87</v>
      </c>
      <c r="K15" s="143" t="s">
        <v>75</v>
      </c>
      <c r="L15" s="145" t="s">
        <v>90</v>
      </c>
      <c r="M15" s="30"/>
      <c r="N15" s="30"/>
    </row>
    <row r="16" spans="1:26">
      <c r="A16" s="19"/>
      <c r="B16" s="19"/>
      <c r="C16" s="149"/>
      <c r="D16" s="17"/>
      <c r="E16" s="21"/>
      <c r="F16" s="139"/>
      <c r="G16" s="137"/>
      <c r="H16" s="138"/>
      <c r="I16" s="137"/>
      <c r="J16" s="141"/>
      <c r="K16" s="141"/>
      <c r="L16" s="141"/>
      <c r="M16" s="141"/>
      <c r="N16" s="141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25:26">
      <c r="Y17" s="141"/>
      <c r="Z17" s="141"/>
    </row>
    <row r="18" spans="25:26">
      <c r="Y18" s="141"/>
      <c r="Z18" s="141"/>
    </row>
    <row r="19" spans="25:26">
      <c r="Y19" s="141"/>
      <c r="Z19" s="141"/>
    </row>
    <row r="20" spans="25:26">
      <c r="Y20" s="141"/>
      <c r="Z20" s="141"/>
    </row>
    <row r="21" spans="25:26">
      <c r="Y21" s="141"/>
      <c r="Z21" s="141"/>
    </row>
    <row r="22" spans="25:26">
      <c r="Y22" s="141"/>
      <c r="Z22" s="141"/>
    </row>
    <row r="23" spans="25:26">
      <c r="Y23" s="141"/>
      <c r="Z23" s="141"/>
    </row>
    <row r="24" spans="25:26">
      <c r="Y24" s="141"/>
      <c r="Z24" s="141"/>
    </row>
    <row r="25" spans="25:26">
      <c r="Y25" s="141"/>
      <c r="Z25" s="141"/>
    </row>
    <row r="26" spans="25:26">
      <c r="Y26" s="141"/>
      <c r="Z26" s="141"/>
    </row>
    <row r="27" spans="25:26">
      <c r="Y27" s="141"/>
      <c r="Z27" s="141"/>
    </row>
    <row r="28" spans="25:26">
      <c r="Y28" s="141"/>
      <c r="Z28" s="141"/>
    </row>
    <row r="29" spans="25:26">
      <c r="Y29" s="141"/>
      <c r="Z29" s="141"/>
    </row>
    <row r="30" spans="25:26">
      <c r="Y30" s="141"/>
      <c r="Z30" s="141"/>
    </row>
    <row r="31" spans="25:26">
      <c r="Y31" s="141"/>
      <c r="Z31" s="141"/>
    </row>
    <row r="32" spans="25:26">
      <c r="Y32" s="141"/>
      <c r="Z32" s="141"/>
    </row>
    <row r="33" spans="25:26">
      <c r="Y33" s="141"/>
      <c r="Z33" s="141"/>
    </row>
    <row r="34" spans="25:26">
      <c r="Y34" s="141"/>
      <c r="Z34" s="141"/>
    </row>
    <row r="35" spans="25:26">
      <c r="Y35" s="141"/>
      <c r="Z35" s="141"/>
    </row>
    <row r="36" spans="25:26">
      <c r="Y36" s="141"/>
      <c r="Z36" s="141"/>
    </row>
    <row r="37" spans="25:26">
      <c r="Y37" s="141"/>
      <c r="Z37" s="141"/>
    </row>
    <row r="38" spans="25:26">
      <c r="Y38" s="141"/>
      <c r="Z38" s="141"/>
    </row>
    <row r="39" spans="25:26">
      <c r="Y39" s="141"/>
      <c r="Z39" s="141"/>
    </row>
    <row r="40" spans="25:26">
      <c r="Y40" s="141"/>
      <c r="Z40" s="141"/>
    </row>
    <row r="41" spans="25:26">
      <c r="Y41" s="141"/>
      <c r="Z41" s="141"/>
    </row>
    <row r="42" spans="25:26">
      <c r="Y42" s="141"/>
      <c r="Z42" s="141"/>
    </row>
    <row r="43" spans="25:26">
      <c r="Y43" s="141"/>
      <c r="Z43" s="141"/>
    </row>
    <row r="44" spans="25:26">
      <c r="Y44" s="141"/>
      <c r="Z44" s="141"/>
    </row>
    <row r="45" spans="25:26">
      <c r="Y45" s="141"/>
      <c r="Z45" s="141"/>
    </row>
    <row r="46" spans="25:26">
      <c r="Y46" s="141"/>
      <c r="Z46" s="141"/>
    </row>
    <row r="47" spans="25:26">
      <c r="Y47" s="141"/>
      <c r="Z47" s="141"/>
    </row>
    <row r="48" spans="25:26">
      <c r="Y48" s="141"/>
      <c r="Z48" s="141"/>
    </row>
    <row r="49" spans="25:26">
      <c r="Y49" s="141"/>
      <c r="Z49" s="141"/>
    </row>
    <row r="50" spans="25:26">
      <c r="Y50" s="141"/>
      <c r="Z50" s="141"/>
    </row>
    <row r="51" spans="25:26">
      <c r="Y51" s="141"/>
      <c r="Z51" s="141"/>
    </row>
    <row r="52" spans="25:26">
      <c r="Y52" s="141"/>
      <c r="Z52" s="141"/>
    </row>
    <row r="53" spans="25:26">
      <c r="Y53" s="141"/>
      <c r="Z53" s="141"/>
    </row>
    <row r="54" spans="25:26">
      <c r="Y54" s="141"/>
      <c r="Z54" s="141"/>
    </row>
    <row r="55" spans="25:26">
      <c r="Y55" s="141"/>
      <c r="Z55" s="141"/>
    </row>
    <row r="56" spans="25:26">
      <c r="Y56" s="141"/>
      <c r="Z56" s="141"/>
    </row>
  </sheetData>
  <mergeCells count="1">
    <mergeCell ref="C13:E13"/>
  </mergeCells>
  <dataValidations count="1">
    <dataValidation type="list" allowBlank="1" showInputMessage="1" showErrorMessage="1" sqref="D16:L16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FAF6-FB34-48EB-A6DB-46906A838D1E}">
  <sheetPr codeName="Sheet1"/>
  <dimension ref="A1"/>
  <sheetViews>
    <sheetView workbookViewId="0">
      <selection activeCell="D7" sqref="D6:D7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6D16F65-25AF-4051-82E6-9405E905A807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New Colo Form</vt:lpstr>
      <vt:lpstr>SAQ</vt:lpstr>
      <vt:lpstr>RF</vt:lpstr>
      <vt:lpstr>Power</vt:lpstr>
      <vt:lpstr>Structural</vt:lpstr>
      <vt:lpstr>CW</vt:lpstr>
      <vt:lpstr>Community</vt:lpstr>
      <vt:lpstr>Review List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2018-05-16T04:39:29Z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{76593FB6-CA95-49AC-84A0-11CA5133C287}</vt:lpwstr>
  </property>
  <property fmtid="{D5CDD505-2E9C-101B-9397-08002B2CF9AE}" pid="5" name="EditConnectionInfosXmlPartId">
    <vt:lpwstr>{96D16F65-25AF-4051-82E6-9405E905A807}</vt:lpwstr>
  </property>
</Properties>
</file>