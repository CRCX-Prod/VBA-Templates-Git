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F4D3BA07-972E-4281-A4B8-391D772D5C98}" xr6:coauthVersionLast="32" xr6:coauthVersionMax="32" xr10:uidLastSave="{00000000-0000-0000-0000-000000000000}"/>
  <bookViews>
    <workbookView xWindow="0" yWindow="0" windowWidth="20490" windowHeight="7530" tabRatio="710" firstSheet="1" activeTab="7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T ID List" sheetId="19" state="hidden" r:id="rId9"/>
  </sheets>
  <definedNames>
    <definedName name="_xlnm._FilterDatabase" localSheetId="6" hidden="1">Community!$A$14:$G$14</definedName>
    <definedName name="_xlnm._FilterDatabase" localSheetId="5" hidden="1">CW!$A$14:$F$14</definedName>
    <definedName name="_xlnm._FilterDatabase" localSheetId="3" hidden="1">Power!$A$14:$G$14</definedName>
    <definedName name="_xlnm._FilterDatabase" localSheetId="7" hidden="1">'Review List'!$A$14:$H$14</definedName>
    <definedName name="_xlnm._FilterDatabase" localSheetId="2" hidden="1">RF!$A$14:$G$14</definedName>
    <definedName name="_xlnm._FilterDatabase" localSheetId="1" hidden="1">SAQ!$A$14:$G$14</definedName>
    <definedName name="_xlnm._FilterDatabase" localSheetId="4" hidden="1">Structural!$A$14:$G$14</definedName>
    <definedName name="ExternalData_1" localSheetId="8" hidden="1">'AT ID List'!#REF!</definedName>
    <definedName name="ExternalData_2" localSheetId="8" hidden="1">'AT ID List'!$A$1:$A$2468</definedName>
  </definedNames>
  <calcPr calcId="162913"/>
</workbook>
</file>

<file path=xl/calcChain.xml><?xml version="1.0" encoding="utf-8"?>
<calcChain xmlns="http://schemas.openxmlformats.org/spreadsheetml/2006/main"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1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2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3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4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5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<sst xmlns="http://schemas.openxmlformats.org/spreadsheetml/2006/main" count="2734" uniqueCount="2551">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</sst>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154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99"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8"/>
      <tableStyleElement type="headerRow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561975</xdr:colOff>
          <xdr:row>12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10</xdr:row>
          <xdr:rowOff>142875</xdr:rowOff>
        </xdr:from>
        <xdr:to>
          <xdr:col>6</xdr:col>
          <xdr:colOff>2105025</xdr:colOff>
          <xdr:row>12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552450</xdr:colOff>
          <xdr:row>12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10</xdr:row>
          <xdr:rowOff>142875</xdr:rowOff>
        </xdr:from>
        <xdr:to>
          <xdr:col>8</xdr:col>
          <xdr:colOff>571500</xdr:colOff>
          <xdr:row>12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552450</xdr:colOff>
          <xdr:row>12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10</xdr:row>
          <xdr:rowOff>142875</xdr:rowOff>
        </xdr:from>
        <xdr:to>
          <xdr:col>7</xdr:col>
          <xdr:colOff>1333500</xdr:colOff>
          <xdr:row>12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304800</xdr:colOff>
          <xdr:row>12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10</xdr:row>
          <xdr:rowOff>142875</xdr:rowOff>
        </xdr:from>
        <xdr:to>
          <xdr:col>8</xdr:col>
          <xdr:colOff>104775</xdr:colOff>
          <xdr:row>12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333375</xdr:colOff>
          <xdr:row>12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10</xdr:row>
          <xdr:rowOff>142875</xdr:rowOff>
        </xdr:from>
        <xdr:to>
          <xdr:col>7</xdr:col>
          <xdr:colOff>1114425</xdr:colOff>
          <xdr:row>12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561975</xdr:colOff>
          <xdr:row>12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10</xdr:row>
          <xdr:rowOff>142875</xdr:rowOff>
        </xdr:from>
        <xdr:to>
          <xdr:col>6</xdr:col>
          <xdr:colOff>2105025</xdr:colOff>
          <xdr:row>12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85725</xdr:colOff>
          <xdr:row>12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10</xdr:row>
          <xdr:rowOff>142875</xdr:rowOff>
        </xdr:from>
        <xdr:to>
          <xdr:col>7</xdr:col>
          <xdr:colOff>628650</xdr:colOff>
          <xdr:row>12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8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4:G15" insertRow="1" totalsRowShown="0" headerRowDxfId="91" dataDxfId="90">
  <autoFilter ref="A14:G15" xr:uid="{00000000-0009-0000-0100-000004000000}"/>
  <sortState ref="A15:F15">
    <sortCondition descending="1" ref="A14:A15"/>
  </sortState>
  <tableColumns count="7">
    <tableColumn id="1" xr3:uid="{811E863A-D365-4915-BD78-A58590C01AB0}" name="Request ID" dataDxfId="89"/>
    <tableColumn id="2" xr3:uid="{E7966634-07A9-4C93-855F-9CDB4828F725}" name="AT Site ID" dataDxfId="88"/>
    <tableColumn id="3" xr3:uid="{EC128D09-7CC4-499A-A531-43DA519664FF}" name="New Colo ID" dataDxfId="87"/>
    <tableColumn id="4" xr3:uid="{E8A81BD2-83F4-4FEA-AF7E-7D952F92E252}" name="Operator" dataDxfId="86"/>
    <tableColumn id="5" xr3:uid="{CBF9F489-974A-4DA3-B4E5-0178120EF901}" name="Request Date" dataDxfId="85"/>
    <tableColumn id="6" xr3:uid="{C4AB0F84-2E33-4924-9396-7AC4A1614301}" name="Result" dataDxfId="84"/>
    <tableColumn id="7" xr3:uid="{4CA12E37-ED08-4EBD-92DB-86BAFB0F8DB1}" name="Remark" dataDxfId="8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4:K15" insertRow="1" totalsRowShown="0" headerRowDxfId="82" dataDxfId="81">
  <autoFilter ref="A14:K15" xr:uid="{00000000-0009-0000-0100-000004000000}"/>
  <sortState ref="A15:F15">
    <sortCondition descending="1" ref="A14:A15"/>
  </sortState>
  <tableColumns count="11">
    <tableColumn id="1" xr3:uid="{7BB4BA69-7397-456D-9FD3-F8D7C78F8345}" name="Request ID" dataDxfId="80"/>
    <tableColumn id="2" xr3:uid="{9B93582E-606D-4A7B-BDA7-82D9DB532D23}" name="AT Site ID" dataDxfId="79"/>
    <tableColumn id="3" xr3:uid="{9DAFCA2B-F527-4B44-8E9B-131091A8D206}" name="New Colo ID" dataDxfId="78"/>
    <tableColumn id="4" xr3:uid="{EB70A208-618A-4BFC-8BAD-53D7EBC0B6CB}" name="Operator" dataDxfId="77"/>
    <tableColumn id="5" xr3:uid="{2DE1FAEE-112B-4587-8754-9BA95C65421A}" name="Request Date" dataDxfId="76"/>
    <tableColumn id="6" xr3:uid="{58F60828-434D-417C-826C-590D275CAE55}" name="Lower Requested" dataDxfId="75"/>
    <tableColumn id="7" xr3:uid="{61ECC800-EC1F-4E2F-B75F-70C392039363}" name="Upper Requested" dataDxfId="74"/>
    <tableColumn id="12" xr3:uid="{B2544BB3-99C0-49D4-B371-08C8321ED0F6}" name="Lower Suggested" dataDxfId="73"/>
    <tableColumn id="11" xr3:uid="{EF049CB9-45D2-4E42-9BDC-20C71D25F3C8}" name="Upper Suggested" dataDxfId="72"/>
    <tableColumn id="9" xr3:uid="{14F69D66-9D13-4927-A4DE-C37BAFD5643A}" name="Result" dataDxfId="71"/>
    <tableColumn id="10" xr3:uid="{74F6630E-B943-4433-B936-329C1C051024}" name="Remark" dataDxfId="70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4:J15" insertRow="1" totalsRowShown="0" headerRowDxfId="69" dataDxfId="68">
  <autoFilter ref="A14:J15" xr:uid="{00000000-0009-0000-0100-000004000000}"/>
  <sortState ref="A15:F15">
    <sortCondition descending="1" ref="A14:A15"/>
  </sortState>
  <tableColumns count="10">
    <tableColumn id="1" xr3:uid="{FA9EF118-1859-477F-93FA-253A2BECD09D}" name="Request ID" dataDxfId="67"/>
    <tableColumn id="2" xr3:uid="{B53B615F-2CAC-4406-8C93-6C1FC057239A}" name="AT Site ID" dataDxfId="66"/>
    <tableColumn id="3" xr3:uid="{65CFF142-677D-47F1-ACF7-6970A6F5D768}" name="New Colo ID" dataDxfId="65"/>
    <tableColumn id="4" xr3:uid="{5C9E67B8-F817-46CB-AEB1-89D12D7E3019}" name="Operator" dataDxfId="64"/>
    <tableColumn id="5" xr3:uid="{28E477A8-3980-4739-A19D-01D3090EFAAD}" name="Request Date" dataDxfId="63"/>
    <tableColumn id="6" xr3:uid="{A5CF72A2-E2BB-4AA9-A328-D394055A9CBE}" name="Power Requested" dataDxfId="62"/>
    <tableColumn id="7" xr3:uid="{A298FE80-5AD0-409A-934D-136A1F01F595}" name="Power Suggested" dataDxfId="61"/>
    <tableColumn id="12" xr3:uid="{CCB23754-642F-4B56-8AB0-8C8FC31C8E19}" name="Power Forecast after Colo Approval" dataDxfId="60"/>
    <tableColumn id="9" xr3:uid="{CB3AEF1B-C76C-462E-9073-E332199C9CD6}" name="Power Result" dataDxfId="59"/>
    <tableColumn id="10" xr3:uid="{601A1E8D-25B3-40A2-A0A8-685B9956D0A8}" name="Power Remarks" dataDxfId="5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4:I15" insertRow="1" totalsRowShown="0" headerRowDxfId="57" dataDxfId="56">
  <autoFilter ref="A14:I15" xr:uid="{00000000-0009-0000-0100-000004000000}"/>
  <sortState ref="A15:F15">
    <sortCondition descending="1" ref="A14:A15"/>
  </sortState>
  <tableColumns count="9">
    <tableColumn id="1" xr3:uid="{20B4C4F0-F049-4DFE-8F66-9E6D68FD0DCB}" name="Request ID" dataDxfId="55"/>
    <tableColumn id="2" xr3:uid="{44C23393-58CC-4E9C-9335-BCED2EBA3151}" name="AT Site ID" dataDxfId="54"/>
    <tableColumn id="3" xr3:uid="{680CE725-4044-4C7F-BE41-DA5D52291CAD}" name="New Colo ID" dataDxfId="53"/>
    <tableColumn id="4" xr3:uid="{38B5B7D2-AA91-4F7F-9235-EFADCB3FF576}" name="Operator" dataDxfId="52"/>
    <tableColumn id="5" xr3:uid="{7F8FE039-8E16-4239-977F-1D91BCA271DB}" name="Request Date" dataDxfId="51"/>
    <tableColumn id="6" xr3:uid="{4976883E-39F8-43BE-A748-405396942E2A}" name="EPA Requested" dataDxfId="50"/>
    <tableColumn id="7" xr3:uid="{443195DE-C8A6-4862-A1DD-397BAF6DD818}" name="EPA Suggested" dataDxfId="49"/>
    <tableColumn id="12" xr3:uid="{869485E8-8A73-4552-B997-74A7B7C453F7}" name="Result" dataDxfId="48"/>
    <tableColumn id="11" xr3:uid="{74C6FC27-0651-4B88-BADD-BF88F4CEDDC3}" name="Remarks" dataDxfId="47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4:H15" insertRow="1" totalsRowShown="0" headerRowDxfId="46" dataDxfId="45">
  <autoFilter ref="A14:H15" xr:uid="{00000000-0009-0000-0100-000004000000}"/>
  <sortState ref="A15:E15">
    <sortCondition descending="1" ref="A14:A15"/>
  </sortState>
  <tableColumns count="8">
    <tableColumn id="1" xr3:uid="{BC85305C-9E87-41E8-84BC-61E44F672394}" name="Request ID" dataDxfId="44"/>
    <tableColumn id="2" xr3:uid="{B96892EF-FBDF-4D82-B5D4-211E99963FB1}" name="AT Site ID" dataDxfId="43"/>
    <tableColumn id="3" xr3:uid="{CAA4BDD5-1EBC-4A66-B13E-B4DC337B07F1}" name="New Colo ID" dataDxfId="42"/>
    <tableColumn id="4" xr3:uid="{2D592235-40E1-476C-854B-67AE8FBD6BFD}" name="Operator" dataDxfId="41"/>
    <tableColumn id="5" xr3:uid="{F619533D-E78E-457E-A9D6-5B030ACB6955}" name="Request Date" dataDxfId="40"/>
    <tableColumn id="7" xr3:uid="{45B8D8C2-4E07-4E0F-BF3A-C53F19CC985E}" name="Extension Needed" dataDxfId="39"/>
    <tableColumn id="12" xr3:uid="{B2B29B6E-AA32-45D2-B41D-4D4B6BEA208C}" name="Result" dataDxfId="38"/>
    <tableColumn id="11" xr3:uid="{F0DF3373-D071-4163-838F-2525ACA483B4}" name="Remarks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4:G15" insertRow="1" totalsRowShown="0" headerRowDxfId="36" dataDxfId="35">
  <autoFilter ref="A14:G15" xr:uid="{00000000-0009-0000-0100-000004000000}"/>
  <sortState ref="A15:F15">
    <sortCondition descending="1" ref="A14:A15"/>
  </sortState>
  <tableColumns count="7">
    <tableColumn id="1" xr3:uid="{508B4A66-5139-49AA-AA28-0CC2BB79F1E3}" name="Request ID" dataDxfId="34"/>
    <tableColumn id="2" xr3:uid="{466103CA-2DB8-4850-AA96-AAAB5BD069F6}" name="AT Site ID" dataDxfId="33"/>
    <tableColumn id="3" xr3:uid="{009E750E-B0DA-41C3-8983-B16F48D91D4E}" name="New Colo ID" dataDxfId="32"/>
    <tableColumn id="4" xr3:uid="{4F38A543-2600-4285-BE24-53848CB80681}" name="Operator" dataDxfId="31"/>
    <tableColumn id="5" xr3:uid="{6FD14351-99EA-43B7-B7F6-EE7838D08EE4}" name="Request Date" dataDxfId="30"/>
    <tableColumn id="6" xr3:uid="{142441B5-AEAA-4D76-8D6D-D9BF33ED52A4}" name="Result" dataDxfId="29"/>
    <tableColumn id="7" xr3:uid="{1C61A15F-C6D3-49B3-890F-C2CAE588B31C}" name="Remark" dataDxfId="28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4:X15" insertRow="1" totalsRowShown="0" headerRowDxfId="27" dataDxfId="26">
  <autoFilter ref="A14:X15" xr:uid="{00000000-0009-0000-0100-000004000000}"/>
  <sortState ref="A15:F15">
    <sortCondition descending="1" ref="A14:A15"/>
  </sortState>
  <tableColumns count="24">
    <tableColumn id="1" xr3:uid="{00000000-0010-0000-0000-000001000000}" name="Request ID" dataDxfId="25"/>
    <tableColumn id="2" xr3:uid="{00000000-0010-0000-0000-000002000000}" name="AT Site ID" dataDxfId="24"/>
    <tableColumn id="3" xr3:uid="{00000000-0010-0000-0000-000003000000}" name="New Colo ID" dataDxfId="23"/>
    <tableColumn id="4" xr3:uid="{00000000-0010-0000-0000-000004000000}" name="Operator" dataDxfId="22"/>
    <tableColumn id="5" xr3:uid="{00000000-0010-0000-0000-000005000000}" name="Request Date" dataDxfId="21"/>
    <tableColumn id="6" xr3:uid="{00000000-0010-0000-0000-000006000000}" name="Power Requested" dataDxfId="20"/>
    <tableColumn id="7" xr3:uid="{A946ACE7-F64E-4F58-B256-9D4D59E121DD}" name="Lower Space" dataDxfId="19"/>
    <tableColumn id="8" xr3:uid="{4B5C9917-8CC5-46C5-B0CE-23BE951D501C}" name="Upper Space" dataDxfId="18"/>
    <tableColumn id="9" xr3:uid="{D5AEFBF9-1896-4699-8E79-EB339E35148C}" name="SAQ" dataDxfId="17"/>
    <tableColumn id="10" xr3:uid="{85353828-A273-4ACD-AA51-BEDE7D4E390A}" name="RF" dataDxfId="16"/>
    <tableColumn id="11" xr3:uid="{4FDD89CA-77C8-4471-91D1-CFD3E9B9D0FC}" name="Structural" dataDxfId="15"/>
    <tableColumn id="12" xr3:uid="{E7EA7F2C-6F08-4C4F-AEEE-9F3EC3F2237E}" name="Power" dataDxfId="14"/>
    <tableColumn id="13" xr3:uid="{3710F648-9902-4124-B5A6-1DDBA604E986}" name="CW" dataDxfId="13"/>
    <tableColumn id="14" xr3:uid="{2F62583D-54F8-4228-9F75-EDAA937D610B}" name="SAQ Remarks" dataDxfId="12"/>
    <tableColumn id="15" xr3:uid="{07207B6A-F36A-431B-BF30-3B5A32820255}" name="Lower Suggested" dataDxfId="11"/>
    <tableColumn id="16" xr3:uid="{2B302E34-9B49-4E3D-97E7-2B04A03277F0}" name="Upper Suggested" dataDxfId="10"/>
    <tableColumn id="17" xr3:uid="{D0086EA0-7F98-4D7E-96F2-1DB821B2D1D0}" name="RF Remarks" dataDxfId="9"/>
    <tableColumn id="18" xr3:uid="{EF2E0E4D-25BA-4201-88D0-BD298623FABD}" name="Structural EPA" dataDxfId="8"/>
    <tableColumn id="19" xr3:uid="{6DF27360-507C-48B6-8802-DBE78EEA0775}" name="Structural Remarks" dataDxfId="7"/>
    <tableColumn id="20" xr3:uid="{6715C280-AD75-45C4-A9F4-32883BDB56D4}" name="Power Suggested" dataDxfId="6"/>
    <tableColumn id="21" xr3:uid="{5A0558F3-610D-4DAF-945B-EA0754598FC1}" name="Power Forecast after Colo Approval" dataDxfId="5"/>
    <tableColumn id="22" xr3:uid="{F73FB2B4-472B-463D-B44F-04428404AE0E}" name="Power Remarks" dataDxfId="4"/>
    <tableColumn id="23" xr3:uid="{13427FA7-DC5D-4971-AF89-9A87FC99FDEE}" name="Extension Needed" dataDxfId="3"/>
    <tableColumn id="24" xr3:uid="{87CE43CB-91BE-49AD-B797-519770CA0E6D}" name="CW Remarks" dataDxf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1">
  <autoFilter ref="A1:A2468" xr:uid="{00000000-0009-0000-0100-000001000000}"/>
  <tableColumns count="1">
    <tableColumn id="1" xr3:uid="{00000000-0010-0000-0200-000001000000}" uniqueName="1" name="AT Site ID" queryTableFieldId="1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L1" sqref="L1:M1048576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48" t="s">
        <v>2477</v>
      </c>
      <c r="B6" s="149"/>
      <c r="C6" s="149"/>
      <c r="D6" s="149"/>
      <c r="E6" s="149"/>
      <c r="F6" s="149"/>
      <c r="G6" s="149"/>
      <c r="H6" s="149"/>
      <c r="I6" s="149"/>
      <c r="J6" s="149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43210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96" priority="5">
      <formula>LEN(TRIM(D8))=0</formula>
    </cfRule>
  </conditionalFormatting>
  <conditionalFormatting sqref="D18">
    <cfRule type="containsBlanks" dxfId="95" priority="4">
      <formula>LEN(TRIM(D18))=0</formula>
    </cfRule>
  </conditionalFormatting>
  <conditionalFormatting sqref="D16">
    <cfRule type="containsBlanks" dxfId="94" priority="3">
      <formula>LEN(TRIM(D16))=0</formula>
    </cfRule>
  </conditionalFormatting>
  <conditionalFormatting sqref="D20">
    <cfRule type="containsBlanks" dxfId="93" priority="2">
      <formula>LEN(TRIM(D20))=0</formula>
    </cfRule>
  </conditionalFormatting>
  <conditionalFormatting sqref="F20">
    <cfRule type="containsBlanks" dxfId="92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 hidden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 hidden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 hidden="1">
      <c r="A4" s="23">
        <f>MATCH(A3,9:9,0)</f>
        <v>1</v>
      </c>
      <c r="B4" s="23">
        <f>MATCH(B3,9:9,0)</f>
        <v>6</v>
      </c>
      <c r="C4" s="23">
        <f>MATCH(C3,9:9,0)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 hidden="1">
      <c r="A5" s="23">
        <v>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 hidden="1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 hidden="1">
      <c r="A7" s="68"/>
      <c r="B7" s="13"/>
      <c r="C7" s="13"/>
      <c r="D7" s="13"/>
      <c r="E7" s="71"/>
      <c r="F7" s="68"/>
      <c r="G7" s="13"/>
      <c r="H7" s="13"/>
      <c r="I7" s="12"/>
    </row>
    <row r="8" spans="1:19" hidden="1">
      <c r="A8" s="69" t="s">
        <v>2483</v>
      </c>
      <c r="B8" s="14"/>
      <c r="C8" s="14"/>
      <c r="D8" s="14"/>
      <c r="E8" s="72"/>
      <c r="F8" s="27"/>
      <c r="G8" s="14"/>
      <c r="H8" s="14"/>
      <c r="I8" s="15"/>
    </row>
    <row r="9" spans="1:19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2502</v>
      </c>
      <c r="G9" s="19" t="s">
        <v>2503</v>
      </c>
      <c r="H9" s="14"/>
      <c r="I9" s="15"/>
    </row>
    <row r="10" spans="1:19" s="29" customFormat="1" hidden="1">
      <c r="A10" s="27"/>
      <c r="B10" s="27"/>
      <c r="C10" s="27"/>
      <c r="D10" s="27"/>
      <c r="E10" s="72"/>
      <c r="F10" s="27"/>
      <c r="G10" s="27"/>
      <c r="H10" s="27"/>
      <c r="I10" s="28"/>
      <c r="R10" s="35"/>
      <c r="S10" s="35"/>
    </row>
    <row r="12" spans="1:19" ht="21">
      <c r="C12" s="150" t="s">
        <v>2501</v>
      </c>
      <c r="D12" s="151"/>
      <c r="E12" s="151"/>
    </row>
    <row r="14" spans="1:19" s="33" customFormat="1" ht="30">
      <c r="A14" s="79" t="s">
        <v>2487</v>
      </c>
      <c r="B14" s="80" t="s">
        <v>0</v>
      </c>
      <c r="C14" s="80" t="s">
        <v>2488</v>
      </c>
      <c r="D14" s="80" t="s">
        <v>32</v>
      </c>
      <c r="E14" s="81" t="s">
        <v>2475</v>
      </c>
      <c r="F14" s="30" t="s">
        <v>2485</v>
      </c>
      <c r="G14" s="30" t="s">
        <v>2489</v>
      </c>
      <c r="H14" s="1"/>
      <c r="I14" s="32"/>
    </row>
    <row r="15" spans="1:19">
      <c r="A15" s="20"/>
      <c r="B15" s="18"/>
      <c r="C15" s="18"/>
      <c r="D15" s="18"/>
      <c r="E15" s="22"/>
      <c r="F15" s="20"/>
      <c r="G15" s="21"/>
    </row>
  </sheetData>
  <mergeCells count="1">
    <mergeCell ref="C12:E12"/>
  </mergeCells>
  <dataValidations count="1">
    <dataValidation type="list" allowBlank="1" showInputMessage="1" showErrorMessage="1" sqref="F15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561975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10</xdr:row>
                    <xdr:rowOff>142875</xdr:rowOff>
                  </from>
                  <to>
                    <xdr:col>6</xdr:col>
                    <xdr:colOff>2105025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 hidden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 hidden="1">
      <c r="A4" s="77">
        <f>MATCH(A3,9:9,0)</f>
        <v>1</v>
      </c>
      <c r="B4" s="77">
        <f>MATCH(B3,9:9,0)</f>
        <v>8</v>
      </c>
      <c r="C4" s="77">
        <f t="shared" ref="C4:E4" si="0">MATCH(C3,9:9,0)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 hidden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 hidden="1">
      <c r="A7" s="104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  <c r="J8" s="106"/>
      <c r="K8" s="109"/>
    </row>
    <row r="9" spans="1:21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2500</v>
      </c>
      <c r="G9" s="110" t="s">
        <v>2499</v>
      </c>
      <c r="H9" s="109" t="s">
        <v>2525</v>
      </c>
      <c r="I9" s="109" t="s">
        <v>2526</v>
      </c>
      <c r="J9" s="106" t="s">
        <v>2507</v>
      </c>
      <c r="K9" s="109" t="s">
        <v>2508</v>
      </c>
    </row>
    <row r="10" spans="1:21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08"/>
      <c r="K10" s="112"/>
      <c r="T10" s="114"/>
      <c r="U10" s="114"/>
    </row>
    <row r="11" spans="1:21">
      <c r="A11" s="115"/>
      <c r="B11" s="116"/>
      <c r="C11" s="116"/>
      <c r="D11" s="116"/>
      <c r="E11" s="117"/>
      <c r="F11" s="115"/>
      <c r="G11" s="116"/>
      <c r="H11" s="116"/>
      <c r="I11" s="116"/>
      <c r="J11" s="116"/>
      <c r="K11" s="118"/>
    </row>
    <row r="12" spans="1:21" ht="21">
      <c r="A12" s="115"/>
      <c r="B12" s="116"/>
      <c r="C12" s="152" t="s">
        <v>2506</v>
      </c>
      <c r="D12" s="153"/>
      <c r="E12" s="153"/>
      <c r="F12" s="115"/>
      <c r="G12" s="116"/>
      <c r="H12" s="116"/>
      <c r="I12" s="116"/>
      <c r="J12" s="116"/>
      <c r="K12" s="118"/>
    </row>
    <row r="13" spans="1:21">
      <c r="A13" s="115"/>
      <c r="B13" s="116"/>
      <c r="C13" s="116"/>
      <c r="D13" s="116"/>
      <c r="E13" s="117"/>
      <c r="F13" s="115"/>
      <c r="G13" s="116"/>
      <c r="H13" s="116"/>
      <c r="I13" s="116"/>
      <c r="J13" s="116"/>
      <c r="K13" s="118"/>
    </row>
    <row r="14" spans="1:21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2509</v>
      </c>
      <c r="G14" s="120" t="s">
        <v>2510</v>
      </c>
      <c r="H14" s="123" t="s">
        <v>2511</v>
      </c>
      <c r="I14" s="123" t="s">
        <v>2512</v>
      </c>
      <c r="J14" s="124" t="s">
        <v>2485</v>
      </c>
      <c r="K14" s="125" t="s">
        <v>2489</v>
      </c>
    </row>
    <row r="15" spans="1:21">
      <c r="A15" s="82"/>
      <c r="B15" s="83"/>
      <c r="C15" s="83"/>
      <c r="D15" s="83"/>
      <c r="E15" s="84"/>
      <c r="F15" s="126"/>
      <c r="G15" s="127"/>
      <c r="H15" s="127"/>
      <c r="I15" s="127"/>
      <c r="J15" s="83"/>
      <c r="K15" s="85"/>
    </row>
  </sheetData>
  <sheetProtection formatColumns="0" formatRows="0" selectLockedCells="1" autoFilter="0" pivotTables="0"/>
  <mergeCells count="1">
    <mergeCell ref="C12:E12"/>
  </mergeCells>
  <dataValidations count="2">
    <dataValidation allowBlank="1" showInputMessage="1" showErrorMessage="1" sqref="F15" xr:uid="{628E426F-D4C9-45DF-9B08-A046DB83AA1B}"/>
    <dataValidation type="list" allowBlank="1" showInputMessage="1" showErrorMessage="1" sqref="J15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552450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10</xdr:row>
                    <xdr:rowOff>142875</xdr:rowOff>
                  </from>
                  <to>
                    <xdr:col>8</xdr:col>
                    <xdr:colOff>571500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1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 hidden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 hidden="1">
      <c r="A4" s="77">
        <f t="shared" ref="A4:F4" si="0">MATCH(A3,9:9,0)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 hidden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 hidden="1">
      <c r="A7" s="104"/>
      <c r="B7" s="57"/>
      <c r="C7" s="57"/>
      <c r="D7" s="57"/>
      <c r="E7" s="103"/>
      <c r="F7" s="104"/>
      <c r="G7" s="57"/>
      <c r="H7" s="57"/>
      <c r="I7" s="57"/>
      <c r="J7" s="54"/>
    </row>
    <row r="8" spans="1:20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  <c r="J8" s="109"/>
    </row>
    <row r="9" spans="1:20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2497</v>
      </c>
      <c r="G9" s="110" t="s">
        <v>2513</v>
      </c>
      <c r="H9" s="109" t="s">
        <v>2516</v>
      </c>
      <c r="I9" s="106" t="s">
        <v>2514</v>
      </c>
      <c r="J9" s="109" t="s">
        <v>2515</v>
      </c>
    </row>
    <row r="10" spans="1:20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12"/>
      <c r="S10" s="114"/>
      <c r="T10" s="114"/>
    </row>
    <row r="11" spans="1:20">
      <c r="A11" s="115"/>
      <c r="B11" s="116"/>
      <c r="C11" s="116"/>
      <c r="D11" s="116"/>
      <c r="E11" s="117"/>
      <c r="F11" s="115"/>
      <c r="G11" s="116"/>
      <c r="H11" s="116"/>
      <c r="I11" s="116"/>
      <c r="J11" s="118"/>
    </row>
    <row r="12" spans="1:20" ht="21">
      <c r="A12" s="115"/>
      <c r="B12" s="116"/>
      <c r="C12" s="152" t="s">
        <v>2517</v>
      </c>
      <c r="D12" s="153"/>
      <c r="E12" s="153"/>
      <c r="F12" s="115"/>
      <c r="G12" s="116"/>
      <c r="H12" s="116"/>
      <c r="I12" s="116"/>
      <c r="J12" s="118"/>
    </row>
    <row r="13" spans="1:20">
      <c r="A13" s="115"/>
      <c r="B13" s="116"/>
      <c r="C13" s="116"/>
      <c r="D13" s="116"/>
      <c r="E13" s="117"/>
      <c r="F13" s="115"/>
      <c r="G13" s="116"/>
      <c r="H13" s="116"/>
      <c r="I13" s="116"/>
      <c r="J13" s="118"/>
    </row>
    <row r="14" spans="1:20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2492</v>
      </c>
      <c r="G14" s="123" t="s">
        <v>2518</v>
      </c>
      <c r="H14" s="123" t="s">
        <v>2535</v>
      </c>
      <c r="I14" s="124" t="s">
        <v>2519</v>
      </c>
      <c r="J14" s="125" t="s">
        <v>2520</v>
      </c>
    </row>
    <row r="15" spans="1:20">
      <c r="A15" s="82"/>
      <c r="B15" s="83"/>
      <c r="C15" s="83"/>
      <c r="D15" s="83"/>
      <c r="E15" s="84"/>
      <c r="F15" s="129"/>
      <c r="G15" s="137"/>
      <c r="H15" s="141"/>
      <c r="I15" s="83"/>
      <c r="J15" s="85"/>
    </row>
  </sheetData>
  <sheetProtection formatColumns="0" formatRows="0" selectLockedCells="1" autoFilter="0" pivotTables="0"/>
  <mergeCells count="1">
    <mergeCell ref="C12:E12"/>
  </mergeCells>
  <dataValidations count="2">
    <dataValidation type="list" allowBlank="1" showInputMessage="1" showErrorMessage="1" sqref="I15" xr:uid="{8AE13D27-3BD2-4186-A343-27AA7783D2F3}">
      <formula1>"OK,Rejected,Review"</formula1>
    </dataValidation>
    <dataValidation allowBlank="1" showInputMessage="1" showErrorMessage="1" sqref="F15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552450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10</xdr:row>
                    <xdr:rowOff>142875</xdr:rowOff>
                  </from>
                  <to>
                    <xdr:col>7</xdr:col>
                    <xdr:colOff>1333500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 hidden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 hidden="1">
      <c r="A4" s="77">
        <f>MATCH(A3,9:9,0)</f>
        <v>1</v>
      </c>
      <c r="B4" s="77">
        <f>MATCH(B3,9:9,0)</f>
        <v>7</v>
      </c>
      <c r="C4" s="77">
        <f>MATCH(C3,9:9,0)</f>
        <v>8</v>
      </c>
      <c r="D4" s="77">
        <f t="shared" ref="D4" si="0">MATCH(D3,9:9,0)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 hidden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 hidden="1">
      <c r="A7" s="104"/>
      <c r="B7" s="57"/>
      <c r="C7" s="57"/>
      <c r="D7" s="57"/>
      <c r="E7" s="103"/>
      <c r="F7" s="104"/>
      <c r="G7" s="57"/>
      <c r="H7" s="57"/>
      <c r="I7" s="57"/>
    </row>
    <row r="8" spans="1:19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</row>
    <row r="9" spans="1:19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2498</v>
      </c>
      <c r="G9" s="110" t="s">
        <v>2521</v>
      </c>
      <c r="H9" s="109" t="s">
        <v>2522</v>
      </c>
      <c r="I9" s="109" t="s">
        <v>2524</v>
      </c>
    </row>
    <row r="10" spans="1:19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33"/>
      <c r="R10" s="114"/>
      <c r="S10" s="114"/>
    </row>
    <row r="11" spans="1:19">
      <c r="A11" s="115"/>
      <c r="B11" s="116"/>
      <c r="C11" s="116"/>
      <c r="D11" s="116"/>
      <c r="E11" s="117"/>
      <c r="F11" s="115"/>
      <c r="G11" s="116"/>
      <c r="H11" s="116"/>
      <c r="I11" s="116"/>
    </row>
    <row r="12" spans="1:19" ht="21">
      <c r="A12" s="115"/>
      <c r="B12" s="116"/>
      <c r="C12" s="152" t="s">
        <v>2528</v>
      </c>
      <c r="D12" s="153"/>
      <c r="E12" s="153"/>
      <c r="F12" s="115"/>
      <c r="G12" s="116"/>
      <c r="H12" s="116"/>
      <c r="I12" s="116"/>
    </row>
    <row r="13" spans="1:19">
      <c r="A13" s="115"/>
      <c r="B13" s="116"/>
      <c r="C13" s="116"/>
      <c r="D13" s="116"/>
      <c r="E13" s="117"/>
      <c r="F13" s="115"/>
      <c r="G13" s="116"/>
      <c r="H13" s="116"/>
      <c r="I13" s="116"/>
    </row>
    <row r="14" spans="1:19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2491</v>
      </c>
      <c r="G14" s="123" t="s">
        <v>2523</v>
      </c>
      <c r="H14" s="123" t="s">
        <v>2485</v>
      </c>
      <c r="I14" s="123" t="s">
        <v>2486</v>
      </c>
      <c r="J14" s="134"/>
    </row>
    <row r="15" spans="1:19">
      <c r="A15" s="82"/>
      <c r="B15" s="83"/>
      <c r="C15" s="83"/>
      <c r="D15" s="83"/>
      <c r="E15" s="84"/>
      <c r="F15" s="135"/>
      <c r="G15" s="136"/>
      <c r="H15" s="127"/>
      <c r="I15" s="127"/>
    </row>
  </sheetData>
  <sheetProtection formatColumns="0" formatRows="0" selectLockedCells="1" autoFilter="0" pivotTables="0"/>
  <mergeCells count="1">
    <mergeCell ref="C12:E12"/>
  </mergeCells>
  <dataValidations count="3">
    <dataValidation allowBlank="1" showInputMessage="1" showErrorMessage="1" sqref="F15" xr:uid="{031D97D4-C86E-4FAF-8B69-E82E93F5D415}"/>
    <dataValidation type="list" allowBlank="1" showInputMessage="1" showErrorMessage="1" sqref="H16:H1048576" xr:uid="{0D098E0C-36BB-4B0A-A663-54217D617B8E}">
      <formula1>"OK,Rejected"</formula1>
    </dataValidation>
    <dataValidation type="list" allowBlank="1" showInputMessage="1" showErrorMessage="1" sqref="H15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304800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10</xdr:row>
                    <xdr:rowOff>142875</xdr:rowOff>
                  </from>
                  <to>
                    <xdr:col>8</xdr:col>
                    <xdr:colOff>104775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 hidden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 hidden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 hidden="1">
      <c r="A4" s="77">
        <f>MATCH(A3,9:9,0)</f>
        <v>1</v>
      </c>
      <c r="B4" s="77">
        <f>MATCH(B3,9:9,0)</f>
        <v>6</v>
      </c>
      <c r="C4" s="77">
        <f>MATCH(C3,9:9,0)</f>
        <v>7</v>
      </c>
      <c r="D4" s="77">
        <f>MATCH(D3,9:9,0)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 hidden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 hidden="1">
      <c r="A6" s="102" t="s">
        <v>2482</v>
      </c>
      <c r="B6" s="57"/>
      <c r="C6" s="57"/>
      <c r="D6" s="57"/>
      <c r="E6" s="103"/>
      <c r="F6" s="57"/>
      <c r="G6" s="57"/>
      <c r="H6" s="57"/>
    </row>
    <row r="7" spans="1:18" hidden="1">
      <c r="A7" s="104"/>
      <c r="B7" s="57"/>
      <c r="C7" s="57"/>
      <c r="D7" s="57"/>
      <c r="E7" s="103"/>
      <c r="F7" s="57"/>
      <c r="G7" s="57"/>
      <c r="H7" s="57"/>
    </row>
    <row r="8" spans="1:18" hidden="1">
      <c r="A8" s="105" t="s">
        <v>2483</v>
      </c>
      <c r="B8" s="106"/>
      <c r="C8" s="106"/>
      <c r="D8" s="106"/>
      <c r="E8" s="107"/>
      <c r="F8" s="106"/>
      <c r="G8" s="106"/>
      <c r="H8" s="106"/>
    </row>
    <row r="9" spans="1:18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110" t="s">
        <v>2529</v>
      </c>
      <c r="G9" s="109" t="s">
        <v>2530</v>
      </c>
      <c r="H9" s="109" t="s">
        <v>2531</v>
      </c>
    </row>
    <row r="10" spans="1:18" s="113" customFormat="1" hidden="1">
      <c r="A10" s="108"/>
      <c r="B10" s="108"/>
      <c r="C10" s="108"/>
      <c r="D10" s="108"/>
      <c r="E10" s="107"/>
      <c r="F10" s="108"/>
      <c r="G10" s="108"/>
      <c r="H10" s="108"/>
      <c r="I10" s="133"/>
      <c r="Q10" s="114"/>
      <c r="R10" s="114"/>
    </row>
    <row r="11" spans="1:18">
      <c r="A11" s="115"/>
      <c r="B11" s="116"/>
      <c r="C11" s="116"/>
      <c r="D11" s="116"/>
      <c r="E11" s="117"/>
      <c r="F11" s="116"/>
      <c r="G11" s="116"/>
      <c r="H11" s="116"/>
    </row>
    <row r="12" spans="1:18" ht="21">
      <c r="A12" s="115"/>
      <c r="B12" s="116"/>
      <c r="C12" s="152" t="s">
        <v>2527</v>
      </c>
      <c r="D12" s="153"/>
      <c r="E12" s="153"/>
      <c r="F12" s="116"/>
      <c r="G12" s="116"/>
      <c r="H12" s="116"/>
    </row>
    <row r="13" spans="1:18">
      <c r="A13" s="115"/>
      <c r="B13" s="116"/>
      <c r="C13" s="116"/>
      <c r="D13" s="116"/>
      <c r="E13" s="117"/>
      <c r="F13" s="116"/>
      <c r="G13" s="116"/>
      <c r="H13" s="116"/>
    </row>
    <row r="14" spans="1:18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3" t="s">
        <v>2532</v>
      </c>
      <c r="G14" s="123" t="s">
        <v>2485</v>
      </c>
      <c r="H14" s="123" t="s">
        <v>2486</v>
      </c>
      <c r="I14" s="134"/>
    </row>
    <row r="15" spans="1:18">
      <c r="A15" s="82"/>
      <c r="B15" s="83"/>
      <c r="C15" s="83"/>
      <c r="D15" s="83"/>
      <c r="E15" s="84"/>
      <c r="F15" s="136"/>
      <c r="G15" s="127"/>
      <c r="H15" s="127"/>
    </row>
  </sheetData>
  <sheetProtection formatColumns="0" formatRows="0" selectLockedCells="1" autoFilter="0" pivotTables="0"/>
  <mergeCells count="1">
    <mergeCell ref="C12:E12"/>
  </mergeCells>
  <dataValidations count="2">
    <dataValidation type="list" allowBlank="1" showInputMessage="1" showErrorMessage="1" sqref="F15" xr:uid="{D5EA2BC0-CF0C-4343-B1B7-7CBB32BD53B8}">
      <formula1>"Yes,No"</formula1>
    </dataValidation>
    <dataValidation type="list" allowBlank="1" showInputMessage="1" showErrorMessage="1" sqref="G15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333375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10</xdr:row>
                    <xdr:rowOff>142875</xdr:rowOff>
                  </from>
                  <to>
                    <xdr:col>7</xdr:col>
                    <xdr:colOff>1114425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 hidden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 hidden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 hidden="1">
      <c r="A4" s="23">
        <f>MATCH(A3,9:9,0)</f>
        <v>1</v>
      </c>
      <c r="B4" s="23">
        <f>MATCH(B3,9:9,0)</f>
        <v>6</v>
      </c>
      <c r="C4" s="23">
        <f>MATCH(C3,9:9,0)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 hidden="1">
      <c r="A5" s="23">
        <v>41</v>
      </c>
      <c r="B5" s="7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 hidden="1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 hidden="1">
      <c r="A7" s="68"/>
      <c r="B7" s="13"/>
      <c r="C7" s="13"/>
      <c r="D7" s="13"/>
      <c r="E7" s="71"/>
      <c r="F7" s="68"/>
      <c r="G7" s="13"/>
      <c r="H7" s="13"/>
      <c r="I7" s="12"/>
    </row>
    <row r="8" spans="1:19" hidden="1">
      <c r="A8" s="69" t="s">
        <v>2483</v>
      </c>
      <c r="B8" s="14"/>
      <c r="C8" s="14"/>
      <c r="D8" s="14"/>
      <c r="E8" s="72"/>
      <c r="F8" s="27"/>
      <c r="G8" s="14"/>
      <c r="H8" s="14"/>
      <c r="I8" s="15"/>
    </row>
    <row r="9" spans="1:19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2548</v>
      </c>
      <c r="G9" s="19" t="s">
        <v>2549</v>
      </c>
      <c r="H9" s="14"/>
      <c r="I9" s="15"/>
    </row>
    <row r="10" spans="1:19" s="29" customFormat="1" hidden="1">
      <c r="A10" s="27"/>
      <c r="B10" s="27"/>
      <c r="C10" s="27"/>
      <c r="D10" s="27"/>
      <c r="E10" s="72"/>
      <c r="F10" s="27"/>
      <c r="G10" s="27"/>
      <c r="H10" s="27"/>
      <c r="I10" s="28"/>
      <c r="R10" s="35"/>
      <c r="S10" s="35"/>
    </row>
    <row r="12" spans="1:19" ht="21">
      <c r="C12" s="150" t="s">
        <v>2547</v>
      </c>
      <c r="D12" s="151"/>
      <c r="E12" s="151"/>
    </row>
    <row r="14" spans="1:19" s="33" customFormat="1" ht="30">
      <c r="A14" s="79" t="s">
        <v>2487</v>
      </c>
      <c r="B14" s="80" t="s">
        <v>0</v>
      </c>
      <c r="C14" s="80" t="s">
        <v>2488</v>
      </c>
      <c r="D14" s="80" t="s">
        <v>32</v>
      </c>
      <c r="E14" s="81" t="s">
        <v>2475</v>
      </c>
      <c r="F14" s="30" t="s">
        <v>2485</v>
      </c>
      <c r="G14" s="30" t="s">
        <v>2489</v>
      </c>
      <c r="H14" s="1"/>
      <c r="I14" s="32"/>
    </row>
    <row r="15" spans="1:19" ht="14.25" customHeight="1">
      <c r="A15" s="20"/>
      <c r="B15" s="18"/>
      <c r="C15" s="18"/>
      <c r="D15" s="18"/>
      <c r="E15" s="22"/>
      <c r="F15" s="20"/>
      <c r="G15" s="21"/>
    </row>
  </sheetData>
  <mergeCells count="1">
    <mergeCell ref="C12:E12"/>
  </mergeCells>
  <dataValidations count="1">
    <dataValidation type="list" allowBlank="1" showInputMessage="1" showErrorMessage="1" sqref="F15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561975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10</xdr:row>
                    <xdr:rowOff>142875</xdr:rowOff>
                  </from>
                  <to>
                    <xdr:col>6</xdr:col>
                    <xdr:colOff>2105025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55"/>
  <sheetViews>
    <sheetView showGridLines="0" tabSelected="1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E23" sqref="E23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 hidden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 hidden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 hidden="1">
      <c r="A4" s="23">
        <f>MATCH(A3,9:9,0)</f>
        <v>1</v>
      </c>
      <c r="B4" s="23">
        <f>MATCH(B3,9:9,0)</f>
        <v>3</v>
      </c>
      <c r="C4" s="23">
        <f>MATCH(C3,9:9,0)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 hidden="1">
      <c r="A5" s="23">
        <v>36</v>
      </c>
      <c r="B5" s="7" t="e">
        <f>IF(VLOOKUP($A$5,Table35[],B4,FALSE)&lt;&gt;0,VLOOKUP($A$5,Table35[],B4,FALSE),"")</f>
        <v>#N/A</v>
      </c>
      <c r="C5" s="23" t="e">
        <f>IF(VLOOKUP($A$5,Table35[],C4,FALSE)&lt;&gt;0,VLOOKUP($A$5,Table35[],C4,FALSE),"")</f>
        <v>#N/A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idden="1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idden="1">
      <c r="A7" s="68"/>
      <c r="B7" s="13"/>
      <c r="C7" s="13"/>
      <c r="D7" s="13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idden="1">
      <c r="A8" s="69" t="s">
        <v>2483</v>
      </c>
      <c r="B8" s="14"/>
      <c r="C8" s="14"/>
      <c r="D8" s="14"/>
      <c r="E8" s="72"/>
      <c r="F8" s="27"/>
      <c r="G8" s="14"/>
      <c r="H8" s="14"/>
      <c r="I8" s="14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2497</v>
      </c>
      <c r="G9" s="19" t="s">
        <v>2500</v>
      </c>
      <c r="H9" s="19" t="s">
        <v>2499</v>
      </c>
      <c r="I9" s="14" t="s">
        <v>2502</v>
      </c>
      <c r="J9" s="15" t="s">
        <v>2507</v>
      </c>
      <c r="K9" s="15" t="s">
        <v>2522</v>
      </c>
      <c r="L9" s="15" t="s">
        <v>2514</v>
      </c>
      <c r="M9" s="15" t="s">
        <v>2530</v>
      </c>
      <c r="N9" s="15" t="s">
        <v>2503</v>
      </c>
      <c r="O9" s="15" t="s">
        <v>2525</v>
      </c>
      <c r="P9" s="15" t="s">
        <v>2526</v>
      </c>
      <c r="Q9" s="15" t="s">
        <v>2508</v>
      </c>
      <c r="R9" s="15" t="s">
        <v>2521</v>
      </c>
      <c r="S9" s="15" t="s">
        <v>2524</v>
      </c>
      <c r="T9" s="15" t="s">
        <v>2513</v>
      </c>
      <c r="U9" s="15" t="s">
        <v>2516</v>
      </c>
      <c r="V9" s="15" t="s">
        <v>2515</v>
      </c>
      <c r="W9" s="15" t="s">
        <v>2529</v>
      </c>
      <c r="X9" s="15" t="s">
        <v>2531</v>
      </c>
      <c r="Y9" s="15"/>
      <c r="Z9" s="15"/>
    </row>
    <row r="10" spans="1:26" s="29" customFormat="1" hidden="1">
      <c r="A10" s="27"/>
      <c r="B10" s="27"/>
      <c r="C10" s="27"/>
      <c r="D10" s="27"/>
      <c r="E10" s="72"/>
      <c r="F10" s="27"/>
      <c r="G10" s="27"/>
      <c r="H10" s="27"/>
      <c r="I10" s="27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2" spans="1:26" ht="21">
      <c r="C12" s="150" t="s">
        <v>2541</v>
      </c>
      <c r="D12" s="151"/>
      <c r="E12" s="151"/>
    </row>
    <row r="14" spans="1:26" s="33" customFormat="1" ht="30">
      <c r="A14" s="30" t="s">
        <v>2487</v>
      </c>
      <c r="B14" s="31" t="s">
        <v>0</v>
      </c>
      <c r="C14" s="31" t="s">
        <v>2488</v>
      </c>
      <c r="D14" s="31" t="s">
        <v>32</v>
      </c>
      <c r="E14" s="75" t="s">
        <v>2475</v>
      </c>
      <c r="F14" s="30" t="s">
        <v>2492</v>
      </c>
      <c r="G14" s="30" t="s">
        <v>2533</v>
      </c>
      <c r="H14" s="30" t="s">
        <v>2534</v>
      </c>
      <c r="I14" s="143" t="s">
        <v>2536</v>
      </c>
      <c r="J14" s="145" t="s">
        <v>2537</v>
      </c>
      <c r="K14" s="144" t="s">
        <v>2538</v>
      </c>
      <c r="L14" s="146" t="s">
        <v>2539</v>
      </c>
      <c r="M14" s="31" t="s">
        <v>2540</v>
      </c>
      <c r="N14" s="147" t="s">
        <v>2546</v>
      </c>
      <c r="O14" s="145" t="s">
        <v>2511</v>
      </c>
      <c r="P14" s="145" t="s">
        <v>2512</v>
      </c>
      <c r="Q14" s="145" t="s">
        <v>2542</v>
      </c>
      <c r="R14" s="146" t="s">
        <v>2543</v>
      </c>
      <c r="S14" s="146" t="s">
        <v>2544</v>
      </c>
      <c r="T14" s="144" t="s">
        <v>2518</v>
      </c>
      <c r="U14" s="144" t="s">
        <v>2535</v>
      </c>
      <c r="V14" s="144" t="s">
        <v>2520</v>
      </c>
      <c r="W14" s="123" t="s">
        <v>2532</v>
      </c>
      <c r="X14" s="31" t="s">
        <v>2545</v>
      </c>
      <c r="Y14" s="31"/>
      <c r="Z14" s="31"/>
    </row>
    <row r="15" spans="1:26">
      <c r="A15" s="20"/>
      <c r="B15" s="18"/>
      <c r="C15" s="18"/>
      <c r="D15" s="18"/>
      <c r="E15" s="22"/>
      <c r="F15" s="140"/>
      <c r="G15" s="138"/>
      <c r="H15" s="139"/>
      <c r="I15" s="138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</row>
    <row r="16" spans="1:26">
      <c r="Y16" s="142"/>
      <c r="Z16" s="142"/>
    </row>
    <row r="17" spans="25:26">
      <c r="Y17" s="142"/>
      <c r="Z17" s="142"/>
    </row>
    <row r="18" spans="25:26">
      <c r="Y18" s="142"/>
      <c r="Z18" s="142"/>
    </row>
    <row r="19" spans="25:26">
      <c r="Y19" s="142"/>
      <c r="Z19" s="142"/>
    </row>
    <row r="20" spans="25:26">
      <c r="Y20" s="142"/>
      <c r="Z20" s="142"/>
    </row>
    <row r="21" spans="25:26">
      <c r="Y21" s="142"/>
      <c r="Z21" s="142"/>
    </row>
    <row r="22" spans="25:26">
      <c r="Y22" s="142"/>
      <c r="Z22" s="142"/>
    </row>
    <row r="23" spans="25:26">
      <c r="Y23" s="142"/>
      <c r="Z23" s="142"/>
    </row>
    <row r="24" spans="25:26">
      <c r="Y24" s="142"/>
      <c r="Z24" s="142"/>
    </row>
    <row r="25" spans="25:26">
      <c r="Y25" s="142"/>
      <c r="Z25" s="142"/>
    </row>
    <row r="26" spans="25:26">
      <c r="Y26" s="142"/>
      <c r="Z26" s="142"/>
    </row>
    <row r="27" spans="25:26">
      <c r="Y27" s="142"/>
      <c r="Z27" s="142"/>
    </row>
    <row r="28" spans="25:26">
      <c r="Y28" s="142"/>
      <c r="Z28" s="142"/>
    </row>
    <row r="29" spans="25:26">
      <c r="Y29" s="142"/>
      <c r="Z29" s="142"/>
    </row>
    <row r="30" spans="25:26">
      <c r="Y30" s="142"/>
      <c r="Z30" s="142"/>
    </row>
    <row r="31" spans="25:26">
      <c r="Y31" s="142"/>
      <c r="Z31" s="142"/>
    </row>
    <row r="32" spans="25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</sheetData>
  <mergeCells count="1">
    <mergeCell ref="C12:E1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85725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10</xdr:row>
                    <xdr:rowOff>142875</xdr:rowOff>
                  </from>
                  <to>
                    <xdr:col>7</xdr:col>
                    <xdr:colOff>628650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0FE9812-8FAD-401C-97A1-650CF9129F5A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2018-04-20T07:57:42Z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{E0FE9812-8FAD-401C-97A1-650CF9129F5A}</vt:lpwstr>
  </property>
</Properties>
</file>