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unity &amp; Security\"/>
    </mc:Choice>
  </mc:AlternateContent>
  <xr:revisionPtr revIDLastSave="540" documentId="8_{ECE105FD-8B96-4DD8-A530-095FB8C66A16}" xr6:coauthVersionLast="38" xr6:coauthVersionMax="38" xr10:uidLastSave="{5E4F08FC-DE3E-4D6F-8B40-4CFAB26CE0ED}"/>
  <bookViews>
    <workbookView xWindow="0" yWindow="0" windowWidth="19200" windowHeight="6880" tabRatio="710" xr2:uid="{00000000-000D-0000-FFFF-FFFF00000000}"/>
  </bookViews>
  <sheets>
    <sheet name="Community" sheetId="41" r:id="rId1"/>
  </sheets>
  <functionGroups builtInGroupCount="19"/>
  <definedNames>
    <definedName name="_xlnm._FilterDatabase" localSheetId="0" hidden="1">Community!$A$15:$J$15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41" l="1"/>
  <c r="D5" i="41" l="1"/>
  <c r="C4" i="41"/>
  <c r="C5" i="41" s="1"/>
  <c r="B4" i="4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<sst xmlns="http://schemas.openxmlformats.org/spreadsheetml/2006/main" count="33" uniqueCount="27">
  <si>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</si>
  <si>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</si>
  <si>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</si>
  <si>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</si>
  <si>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</si>
  <si>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</si>
  <si>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</si>
  <si>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</si>
  <si>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Result</t>
  </si>
  <si>
    <t>Request ID</t>
  </si>
  <si>
    <t>Remark</t>
  </si>
  <si>
    <t>Timestamp</t>
  </si>
  <si>
    <t>Community_Result</t>
  </si>
  <si>
    <t>Community_Remarks</t>
  </si>
  <si>
    <t>Community_Timestamp</t>
  </si>
  <si>
    <t>Status</t>
  </si>
  <si>
    <t>Under Prevalidation</t>
  </si>
  <si>
    <t>Site ID</t>
  </si>
  <si>
    <t>Tenant ID</t>
  </si>
  <si>
    <t>Prevalidation Status</t>
  </si>
  <si>
    <t>Community Validation</t>
  </si>
  <si>
    <t>05preva_view</t>
  </si>
  <si>
    <t>Site_ID</t>
  </si>
  <si>
    <t>tenant_id</t>
  </si>
  <si>
    <t>Time</t>
  </si>
  <si>
    <t>Time Logic</t>
  </si>
  <si>
    <t>Community_Time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</si>
</sst>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53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0" fillId="87" borderId="0" xfId="0" applyFill="1"/>
    <xf numFmtId="164" fontId="0" fillId="0" borderId="0" xfId="0" applyBorder="1"/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0" fillId="0" borderId="0" xfId="0" applyNumberFormat="1"/>
    <xf numFmtId="164" fontId="256" fillId="0" borderId="0" xfId="0" applyFont="1" applyBorder="1" applyAlignment="1">
      <alignment horizontal="left"/>
    </xf>
    <xf numFmtId="0" fontId="0" fillId="0" borderId="78" xfId="0" applyNumberFormat="1" applyFill="1" applyBorder="1"/>
    <xf numFmtId="164" fontId="0" fillId="0" borderId="79" xfId="0" applyFill="1" applyBorder="1"/>
    <xf numFmtId="14" fontId="0" fillId="0" borderId="79" xfId="0" applyNumberFormat="1" applyFill="1" applyBorder="1"/>
    <xf numFmtId="0" fontId="0" fillId="0" borderId="79" xfId="0" applyNumberFormat="1" applyFill="1" applyBorder="1"/>
    <xf numFmtId="0" fontId="0" fillId="88" borderId="73" xfId="0" applyNumberFormat="1" applyFill="1" applyBorder="1" applyAlignment="1">
      <alignment horizontal="center" vertical="center" wrapText="1"/>
    </xf>
    <xf numFmtId="0" fontId="0" fillId="88" borderId="74" xfId="0" applyNumberFormat="1" applyFill="1" applyBorder="1" applyAlignment="1">
      <alignment horizontal="center" vertical="center" wrapText="1"/>
    </xf>
    <xf numFmtId="0" fontId="255" fillId="89" borderId="44" xfId="0" applyNumberFormat="1" applyFont="1" applyFill="1" applyBorder="1"/>
    <xf numFmtId="164" fontId="254" fillId="89" borderId="71" xfId="0" applyFont="1" applyFill="1" applyBorder="1"/>
    <xf numFmtId="14" fontId="254" fillId="89" borderId="71" xfId="0" applyNumberFormat="1" applyFont="1" applyFill="1" applyBorder="1"/>
    <xf numFmtId="0" fontId="254" fillId="89" borderId="71" xfId="0" applyNumberFormat="1" applyFont="1" applyFill="1" applyBorder="1"/>
    <xf numFmtId="164" fontId="254" fillId="89" borderId="0" xfId="0" applyFont="1" applyFill="1" applyBorder="1"/>
    <xf numFmtId="164" fontId="254" fillId="89" borderId="0" xfId="0" applyFont="1" applyFill="1"/>
    <xf numFmtId="14" fontId="254" fillId="89" borderId="0" xfId="0" applyNumberFormat="1" applyFont="1" applyFill="1" applyBorder="1"/>
    <xf numFmtId="0" fontId="254" fillId="89" borderId="0" xfId="0" applyNumberFormat="1" applyFont="1" applyFill="1" applyBorder="1"/>
    <xf numFmtId="0" fontId="254" fillId="89" borderId="0" xfId="0" applyNumberFormat="1" applyFont="1" applyFill="1"/>
    <xf numFmtId="0" fontId="255" fillId="89" borderId="50" xfId="0" applyNumberFormat="1" applyFont="1" applyFill="1" applyBorder="1"/>
    <xf numFmtId="164" fontId="0" fillId="89" borderId="0" xfId="0" applyFill="1"/>
    <xf numFmtId="14" fontId="0" fillId="89" borderId="0" xfId="0" applyNumberFormat="1" applyFill="1"/>
    <xf numFmtId="0" fontId="0" fillId="89" borderId="0" xfId="0" applyNumberFormat="1" applyFill="1"/>
    <xf numFmtId="164" fontId="0" fillId="89" borderId="0" xfId="0" applyFill="1" applyBorder="1"/>
    <xf numFmtId="0" fontId="198" fillId="89" borderId="0" xfId="0" applyNumberFormat="1" applyFont="1" applyFill="1"/>
    <xf numFmtId="0" fontId="0" fillId="89" borderId="0" xfId="0" applyNumberFormat="1" applyFill="1" applyBorder="1"/>
    <xf numFmtId="0" fontId="0" fillId="89" borderId="70" xfId="0" applyNumberFormat="1" applyFill="1" applyBorder="1"/>
    <xf numFmtId="164" fontId="254" fillId="89" borderId="70" xfId="0" applyFont="1" applyFill="1" applyBorder="1"/>
    <xf numFmtId="0" fontId="254" fillId="89" borderId="70" xfId="0" applyNumberFormat="1" applyFont="1" applyFill="1" applyBorder="1"/>
    <xf numFmtId="14" fontId="254" fillId="89" borderId="0" xfId="0" applyNumberFormat="1" applyFont="1" applyFill="1"/>
    <xf numFmtId="14" fontId="254" fillId="89" borderId="70" xfId="0" applyNumberFormat="1" applyFont="1" applyFill="1" applyBorder="1"/>
    <xf numFmtId="164" fontId="0" fillId="89" borderId="70" xfId="0" applyFill="1" applyBorder="1"/>
    <xf numFmtId="14" fontId="0" fillId="89" borderId="70" xfId="0" applyNumberFormat="1" applyFill="1" applyBorder="1"/>
    <xf numFmtId="0" fontId="0" fillId="89" borderId="0" xfId="0" applyNumberFormat="1" applyFill="1" applyProtection="1"/>
    <xf numFmtId="0" fontId="255" fillId="89" borderId="0" xfId="0" applyNumberFormat="1" applyFont="1" applyFill="1" applyBorder="1" applyProtection="1"/>
    <xf numFmtId="14" fontId="254" fillId="89" borderId="77" xfId="0" applyNumberFormat="1" applyFont="1" applyFill="1" applyBorder="1"/>
    <xf numFmtId="14" fontId="0" fillId="89" borderId="75" xfId="0" applyNumberFormat="1" applyFill="1" applyBorder="1"/>
    <xf numFmtId="0" fontId="0" fillId="89" borderId="72" xfId="0" applyNumberFormat="1" applyFill="1" applyBorder="1" applyAlignment="1">
      <alignment horizontal="center" vertical="center" wrapText="1"/>
    </xf>
    <xf numFmtId="164" fontId="0" fillId="89" borderId="73" xfId="0" applyFill="1" applyBorder="1" applyAlignment="1">
      <alignment horizontal="center" vertical="center" wrapText="1"/>
    </xf>
    <xf numFmtId="14" fontId="0" fillId="89" borderId="73" xfId="0" applyNumberFormat="1" applyFill="1" applyBorder="1" applyAlignment="1">
      <alignment horizontal="center" vertical="center" wrapText="1"/>
    </xf>
    <xf numFmtId="164" fontId="256" fillId="0" borderId="0" xfId="0" applyFont="1" applyBorder="1" applyAlignment="1"/>
    <xf numFmtId="0" fontId="254" fillId="89" borderId="77" xfId="0" applyNumberFormat="1" applyFont="1" applyFill="1" applyBorder="1"/>
    <xf numFmtId="0" fontId="0" fillId="0" borderId="80" xfId="0" applyNumberFormat="1" applyFill="1" applyBorder="1"/>
    <xf numFmtId="164" fontId="258" fillId="90" borderId="0" xfId="0" applyFont="1" applyFill="1" applyBorder="1" applyAlignment="1">
      <alignment horizontal="center" vertical="center"/>
    </xf>
    <xf numFmtId="164" fontId="0" fillId="91" borderId="74" xfId="0" applyFill="1" applyBorder="1" applyAlignment="1">
      <alignment horizontal="center" vertical="center" wrapText="1"/>
    </xf>
    <xf numFmtId="164" fontId="258" fillId="90" borderId="81" xfId="0" applyFont="1" applyFill="1" applyBorder="1"/>
    <xf numFmtId="0" fontId="0" fillId="0" borderId="76" xfId="0" applyNumberFormat="1" applyFill="1" applyBorder="1" applyAlignment="1">
      <alignment wrapText="1"/>
    </xf>
    <xf numFmtId="0" fontId="0" fillId="0" borderId="82" xfId="0" applyNumberFormat="1" applyFill="1" applyBorder="1"/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21"/>
      <tableStyleElement type="headerRow" dxfId="20"/>
    </tableStyle>
    <tableStyle name="Slicer Style 1" pivot="0" table="0" count="1" xr9:uid="{00000000-0011-0000-FFFF-FFFF01000000}">
      <tableStyleElement type="wholeTable" dxfId="19"/>
    </tableStyle>
    <tableStyle name="Slicer Style New" pivot="0" table="0" count="10" xr9:uid="{00000000-0011-0000-FFFF-FFFF02000000}">
      <tableStyleElement type="wholeTable" dxfId="18"/>
      <tableStyleElement type="headerRow" dxfId="17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139700</xdr:rowOff>
        </xdr:from>
        <xdr:to>
          <xdr:col>5</xdr:col>
          <xdr:colOff>1314450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139700</xdr:colOff>
          <xdr:row>11</xdr:row>
          <xdr:rowOff>139700</xdr:rowOff>
        </xdr:from>
        <xdr:to>
          <xdr:col>7</xdr:col>
          <xdr:colOff>723900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3536712" displayName="Table3536712" ref="A15:J16" insertRow="1" totalsRowShown="0" headerRowDxfId="16" dataDxfId="14" headerRowBorderDxfId="15" tableBorderDxfId="13" totalsRowBorderDxfId="12">
  <autoFilter ref="A15:J16" xr:uid="{00000000-0009-0000-0100-00000B000000}"/>
  <tableColumns count="10">
    <tableColumn id="1" xr3:uid="{00000000-0010-0000-0700-000001000000}" name="Request ID" dataDxfId="11"/>
    <tableColumn id="2" xr3:uid="{00000000-0010-0000-0700-000002000000}" name="Site ID" dataDxfId="10"/>
    <tableColumn id="3" xr3:uid="{00000000-0010-0000-0700-000003000000}" name="Tenant ID" dataDxfId="9"/>
    <tableColumn id="4" xr3:uid="{00000000-0010-0000-0700-000004000000}" name="Operator" dataDxfId="8"/>
    <tableColumn id="5" xr3:uid="{00000000-0010-0000-0700-000005000000}" name="Request Date" dataDxfId="7"/>
    <tableColumn id="8" xr3:uid="{00000000-0010-0000-0700-000008000000}" name="Prevalidation Status" dataDxfId="6"/>
    <tableColumn id="6" xr3:uid="{00000000-0010-0000-0700-000006000000}" name="Result" dataDxfId="5"/>
    <tableColumn id="10" xr3:uid="{F298383D-35F6-40F0-BCAC-BA5D7725429C}" name="Remark" dataDxfId="4"/>
    <tableColumn id="9" xr3:uid="{87A37325-7137-446E-8B6C-1BC5BA04BFC9}" name="Time" dataDxfId="3"/>
    <tableColumn id="7" xr3:uid="{00000000-0010-0000-0700-000007000000}" name="Time Logic" dataDxfId="2">
      <calculatedColumnFormula>IF(Table3536712[[#This Row],[Result]]="OK",IF(Table3536712[[#This Row],[Time]]=0,NOW(),Table3536712[[#This Row],[Time]]),"")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</sheetPr>
  <dimension ref="A1:W16"/>
  <sheetViews>
    <sheetView showGridLines="0" tabSelected="1" workbookViewId="0">
      <pane xSplit="3" ySplit="15" topLeftCell="D16" activePane="bottomRight" state="frozen"/>
      <selection activeCell="A12" sqref="A12"/>
      <selection pane="topRight" activeCell="D12" sqref="D12"/>
      <selection pane="bottomLeft" activeCell="A16" sqref="A16"/>
      <selection pane="bottomRight" activeCell="A16" sqref="A16"/>
    </sheetView>
  </sheetViews>
  <sheetFormatPr defaultColWidth="0" defaultRowHeight="14.5"/>
  <cols>
    <col min="1" max="1" width="9.26953125" style="2" customWidth="1"/>
    <col min="2" max="2" width="16.7265625" bestFit="1" customWidth="1"/>
    <col min="3" max="3" width="14" customWidth="1"/>
    <col min="4" max="4" width="11.26953125" bestFit="1" customWidth="1"/>
    <col min="5" max="5" width="15.1796875" style="7" bestFit="1" customWidth="1"/>
    <col min="6" max="6" width="20.7265625" style="7" customWidth="1"/>
    <col min="7" max="7" width="11.26953125" style="2" bestFit="1" customWidth="1"/>
    <col min="8" max="8" width="69.1796875" style="2" customWidth="1"/>
    <col min="9" max="9" width="11.26953125" style="2" hidden="1" customWidth="1"/>
    <col min="10" max="10" width="29.7265625" hidden="1" customWidth="1"/>
    <col min="11" max="11" width="9.1796875" customWidth="1"/>
    <col min="12" max="12" width="0" style="4" hidden="1" customWidth="1"/>
    <col min="13" max="23" width="0" style="3" hidden="1" customWidth="1"/>
    <col min="24" max="16384" width="9.1796875" style="3" hidden="1"/>
  </cols>
  <sheetData>
    <row r="1" spans="1:22" s="20" customFormat="1" hidden="1">
      <c r="A1" s="15" t="s">
        <v>4</v>
      </c>
      <c r="B1" s="16" t="s">
        <v>21</v>
      </c>
      <c r="C1" s="16"/>
      <c r="D1" s="16"/>
      <c r="E1" s="17"/>
      <c r="F1" s="40"/>
      <c r="G1" s="18"/>
      <c r="H1" s="46"/>
      <c r="I1" s="46"/>
      <c r="J1" s="16"/>
      <c r="K1" s="16"/>
      <c r="L1" s="19"/>
      <c r="M1" s="19"/>
      <c r="N1" s="19"/>
      <c r="O1" s="19"/>
    </row>
    <row r="2" spans="1:22" s="20" customFormat="1" hidden="1">
      <c r="A2" s="15" t="s">
        <v>7</v>
      </c>
      <c r="B2" s="16"/>
      <c r="C2" s="16" t="s">
        <v>11</v>
      </c>
      <c r="D2" s="16" t="s">
        <v>14</v>
      </c>
      <c r="E2" s="21"/>
      <c r="F2" s="21"/>
      <c r="G2" s="22"/>
      <c r="H2" s="22"/>
      <c r="I2" s="22"/>
      <c r="J2" s="19"/>
      <c r="K2" s="19"/>
      <c r="L2" s="19"/>
      <c r="M2" s="19"/>
      <c r="N2" s="19"/>
      <c r="O2" s="19"/>
    </row>
    <row r="3" spans="1:22" s="20" customFormat="1" hidden="1">
      <c r="A3" s="31" t="s">
        <v>2</v>
      </c>
      <c r="B3" s="32" t="s">
        <v>12</v>
      </c>
      <c r="C3" s="32" t="s">
        <v>13</v>
      </c>
      <c r="D3" s="50" t="s">
        <v>26</v>
      </c>
      <c r="E3" s="22"/>
      <c r="F3" s="22"/>
      <c r="G3" s="19"/>
      <c r="H3" s="19"/>
      <c r="I3" s="19"/>
      <c r="J3" s="19"/>
      <c r="K3" s="19"/>
      <c r="L3" s="19"/>
      <c r="M3" s="19"/>
      <c r="N3" s="19"/>
    </row>
    <row r="4" spans="1:22" s="23" customFormat="1" hidden="1">
      <c r="A4" s="33">
        <f>MATCH(A3,10:10,0)</f>
        <v>1</v>
      </c>
      <c r="B4" s="33">
        <f>MATCH(B3,10:10,0)</f>
        <v>7</v>
      </c>
      <c r="C4" s="33">
        <f>MATCH(C3,10:10,0)</f>
        <v>8</v>
      </c>
      <c r="D4" s="33">
        <f>MATCH(D3,10:10,0)+1</f>
        <v>10</v>
      </c>
      <c r="E4" s="22"/>
      <c r="F4" s="22"/>
      <c r="G4" s="22"/>
      <c r="H4" s="22"/>
      <c r="I4" s="22"/>
      <c r="J4" s="22"/>
      <c r="K4" s="22"/>
      <c r="L4" s="22"/>
      <c r="M4" s="22"/>
      <c r="N4" s="22"/>
      <c r="T4" s="34"/>
      <c r="U4" s="34"/>
    </row>
    <row r="5" spans="1:22" s="23" customFormat="1" hidden="1">
      <c r="A5" s="33">
        <v>3389</v>
      </c>
      <c r="B5" s="35" t="e">
        <f>IF(VLOOKUP($A$5,Table3536712[],B4,FALSE)&lt;&gt;0,VLOOKUP($A$5,Table3536712[],B4,FALSE),"")</f>
        <v>#N/A</v>
      </c>
      <c r="C5" s="33" t="e">
        <f>IF(VLOOKUP($A$5,Table3536712[],C4,FALSE)&lt;&gt;0,VLOOKUP($A$5,Table3536712[],C4,FALSE),"")</f>
        <v>#N/A</v>
      </c>
      <c r="D5" s="33" t="e">
        <f>IF(VLOOKUP($A$5,Table3536712[],D4,FALSE)&lt;&gt;0,VLOOKUP($A$5,Table3536712[],D4,FALSE),"")</f>
        <v>#N/A</v>
      </c>
      <c r="E5" s="22"/>
      <c r="F5" s="22"/>
      <c r="G5" s="22"/>
      <c r="H5" s="22"/>
      <c r="I5" s="22"/>
      <c r="J5" s="22"/>
      <c r="K5" s="22"/>
      <c r="L5" s="22"/>
      <c r="M5" s="22"/>
      <c r="N5" s="22"/>
      <c r="T5" s="34"/>
      <c r="U5" s="34"/>
    </row>
    <row r="6" spans="1:22" s="25" customFormat="1" hidden="1">
      <c r="A6" s="24" t="s">
        <v>5</v>
      </c>
      <c r="E6" s="26"/>
      <c r="F6" s="26"/>
      <c r="G6" s="27"/>
      <c r="H6" s="27"/>
      <c r="I6" s="27"/>
      <c r="L6" s="28"/>
    </row>
    <row r="7" spans="1:22" s="25" customFormat="1" hidden="1">
      <c r="A7" s="39" t="s">
        <v>15</v>
      </c>
      <c r="E7" s="26"/>
      <c r="F7" s="26"/>
      <c r="G7" s="27"/>
      <c r="H7" s="27"/>
      <c r="I7" s="27"/>
      <c r="L7" s="28"/>
    </row>
    <row r="8" spans="1:22" s="25" customFormat="1" hidden="1">
      <c r="A8" s="38" t="s">
        <v>16</v>
      </c>
      <c r="E8" s="26"/>
      <c r="F8" s="26"/>
      <c r="G8" s="27"/>
      <c r="H8" s="27"/>
      <c r="I8" s="27"/>
      <c r="L8" s="28"/>
    </row>
    <row r="9" spans="1:22" s="25" customFormat="1" hidden="1">
      <c r="A9" s="29" t="s">
        <v>6</v>
      </c>
      <c r="E9" s="26"/>
      <c r="F9" s="26"/>
      <c r="G9" s="27"/>
      <c r="H9" s="27"/>
      <c r="I9" s="27"/>
      <c r="L9" s="28"/>
    </row>
    <row r="10" spans="1:22" s="25" customFormat="1" hidden="1">
      <c r="A10" s="31" t="s">
        <v>2</v>
      </c>
      <c r="B10" s="36" t="s">
        <v>22</v>
      </c>
      <c r="C10" s="36" t="s">
        <v>23</v>
      </c>
      <c r="D10" s="36" t="s">
        <v>0</v>
      </c>
      <c r="E10" s="37" t="s">
        <v>1</v>
      </c>
      <c r="F10" s="41" t="s">
        <v>15</v>
      </c>
      <c r="G10" s="31" t="s">
        <v>12</v>
      </c>
      <c r="H10" s="36" t="s">
        <v>13</v>
      </c>
      <c r="I10" s="50" t="s">
        <v>26</v>
      </c>
      <c r="L10" s="28"/>
    </row>
    <row r="11" spans="1:22" s="27" customFormat="1" hidden="1">
      <c r="E11" s="26"/>
      <c r="F11" s="26"/>
      <c r="L11" s="30"/>
      <c r="U11" s="26"/>
      <c r="V11" s="26"/>
    </row>
    <row r="13" spans="1:22" ht="21">
      <c r="A13" s="45" t="s">
        <v>20</v>
      </c>
      <c r="B13" s="4"/>
      <c r="C13" s="45"/>
      <c r="D13" s="45"/>
      <c r="E13" s="45"/>
      <c r="F13" s="8"/>
    </row>
    <row r="15" spans="1:22" s="6" customFormat="1" ht="29">
      <c r="A15" s="42" t="s">
        <v>9</v>
      </c>
      <c r="B15" s="43" t="s">
        <v>17</v>
      </c>
      <c r="C15" s="43" t="s">
        <v>18</v>
      </c>
      <c r="D15" s="43" t="s">
        <v>0</v>
      </c>
      <c r="E15" s="44" t="s">
        <v>3</v>
      </c>
      <c r="F15" s="44" t="s">
        <v>19</v>
      </c>
      <c r="G15" s="13" t="s">
        <v>8</v>
      </c>
      <c r="H15" s="14" t="s">
        <v>10</v>
      </c>
      <c r="I15" s="48" t="s">
        <v>24</v>
      </c>
      <c r="J15" s="49" t="s">
        <v>25</v>
      </c>
      <c r="K15" s="1"/>
      <c r="L15" s="5"/>
    </row>
    <row r="16" spans="1:22" ht="14.25" customHeight="1">
      <c r="A16" s="9"/>
      <c r="B16" s="10"/>
      <c r="C16" s="10"/>
      <c r="D16" s="10"/>
      <c r="E16" s="11"/>
      <c r="F16" s="11"/>
      <c r="G16" s="12"/>
      <c r="H16" s="52"/>
      <c r="I16" s="47"/>
      <c r="J16" s="51"/>
    </row>
  </sheetData>
  <conditionalFormatting sqref="B16">
    <cfRule type="duplicateValues" dxfId="1" priority="1687"/>
  </conditionalFormatting>
  <conditionalFormatting sqref="C16">
    <cfRule type="duplicateValues" dxfId="0" priority="1688"/>
  </conditionalFormatting>
  <dataValidations count="1">
    <dataValidation type="list" allowBlank="1" showInputMessage="1" showErrorMessage="1" sqref="G16" xr:uid="{00000000-0002-0000-0900-000000000000}">
      <formula1>"OK, Rejected,Review,OK with Flag"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146050</xdr:rowOff>
                  </from>
                  <to>
                    <xdr:col>5</xdr:col>
                    <xdr:colOff>1314450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146050</xdr:colOff>
                    <xdr:row>11</xdr:row>
                    <xdr:rowOff>146050</xdr:rowOff>
                  </from>
                  <to>
                    <xdr:col>7</xdr:col>
                    <xdr:colOff>723900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9826DD-C980-43D7-9D08-CC30784BDC22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7a19e65e-9de7-40b1-ad12-4e6965d24380"/>
    <ds:schemaRef ds:uri="a390e121-60b8-4fd2-9983-43b87f4d3957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9679873-99F5-46B6-91B7-60096C876094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46A86E94-8558-4DE2-8446-EE3E83BD8096}">
  <ds:schemaRefs>
    <ds:schemaRef ds:uri="http://www.w3.org/2001/XMLSchema"/>
  </ds:schemaRefs>
</ds:datastoreItem>
</file>

<file path=customXml/itemProps6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Community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2018-12-04T05:40:36Z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{46A86E94-8558-4DE2-8446-EE3E83BD8096}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