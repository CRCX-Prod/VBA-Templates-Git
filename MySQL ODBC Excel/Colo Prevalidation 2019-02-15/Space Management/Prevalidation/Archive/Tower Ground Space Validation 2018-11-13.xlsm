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Space Management\Prevalidation\"/>
    </mc:Choice>
  </mc:AlternateContent>
  <xr:revisionPtr revIDLastSave="460" documentId="8_{CB539226-E8C0-4B76-B7B9-79C5B441A8E4}" xr6:coauthVersionLast="40" xr6:coauthVersionMax="40" xr10:uidLastSave="{DFCF3A34-9ECA-4545-AE91-107FB0292CFB}"/>
  <bookViews>
    <workbookView xWindow="0" yWindow="0" windowWidth="15350" windowHeight="585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Query!$A$15:$P$15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35" i="41" l="1"/>
  <c r="Y35" i="41"/>
  <c r="AA35" i="41"/>
  <c r="AB35" i="41"/>
  <c r="AC35" i="41" s="1"/>
  <c r="AD35" i="41" s="1"/>
  <c r="AE35" i="41" s="1"/>
  <c r="AF35" i="41" s="1"/>
  <c r="X34" i="41"/>
  <c r="Y34" i="41"/>
  <c r="AA34" i="41"/>
  <c r="AB34" i="41"/>
  <c r="AC34" i="41" s="1"/>
  <c r="AD34" i="41" s="1"/>
  <c r="AE34" i="41" s="1"/>
  <c r="X33" i="41"/>
  <c r="Y33" i="41"/>
  <c r="AA33" i="41"/>
  <c r="AB33" i="41"/>
  <c r="AC33" i="41" s="1"/>
  <c r="AD33" i="41" s="1"/>
  <c r="AE33" i="41" s="1"/>
  <c r="X32" i="41"/>
  <c r="Y32" i="41"/>
  <c r="AA32" i="41"/>
  <c r="AB32" i="41"/>
  <c r="AC32" i="41" s="1"/>
  <c r="AD32" i="41" s="1"/>
  <c r="AE32" i="41" s="1"/>
  <c r="X31" i="41"/>
  <c r="Y31" i="41"/>
  <c r="AA31" i="41"/>
  <c r="AB31" i="41"/>
  <c r="AC31" i="41" s="1"/>
  <c r="AD31" i="41" s="1"/>
  <c r="AE31" i="41" s="1"/>
  <c r="X30" i="41"/>
  <c r="Y30" i="41"/>
  <c r="AA30" i="41"/>
  <c r="AB30" i="41"/>
  <c r="AC30" i="41" s="1"/>
  <c r="AD30" i="41" s="1"/>
  <c r="AE30" i="41" s="1"/>
  <c r="X29" i="41"/>
  <c r="Y29" i="41"/>
  <c r="AA29" i="41"/>
  <c r="AB29" i="41"/>
  <c r="AC29" i="41" s="1"/>
  <c r="AD29" i="41" s="1"/>
  <c r="AE29" i="41" s="1"/>
  <c r="X28" i="41"/>
  <c r="Y28" i="41"/>
  <c r="AA28" i="41"/>
  <c r="AB28" i="41"/>
  <c r="AC28" i="41" s="1"/>
  <c r="AD28" i="41" s="1"/>
  <c r="AE28" i="41" s="1"/>
  <c r="X27" i="41"/>
  <c r="Y27" i="41"/>
  <c r="AA27" i="41"/>
  <c r="AB27" i="41"/>
  <c r="AC27" i="41" s="1"/>
  <c r="AD27" i="41" s="1"/>
  <c r="AE27" i="41" s="1"/>
  <c r="X26" i="41"/>
  <c r="Y26" i="41"/>
  <c r="AA26" i="41"/>
  <c r="AB26" i="41"/>
  <c r="AC26" i="41" s="1"/>
  <c r="AD26" i="41" s="1"/>
  <c r="AE26" i="41" s="1"/>
  <c r="X25" i="41"/>
  <c r="Y25" i="41"/>
  <c r="AA25" i="41"/>
  <c r="AB25" i="41"/>
  <c r="AC25" i="41" s="1"/>
  <c r="AD25" i="41" s="1"/>
  <c r="AE25" i="41" s="1"/>
  <c r="X24" i="41"/>
  <c r="Y24" i="41"/>
  <c r="AA24" i="41"/>
  <c r="AB24" i="41"/>
  <c r="AC24" i="41" s="1"/>
  <c r="AD24" i="41" s="1"/>
  <c r="AE24" i="41" s="1"/>
  <c r="X23" i="41"/>
  <c r="Y23" i="41"/>
  <c r="AA23" i="41"/>
  <c r="AB23" i="41"/>
  <c r="AC23" i="41" s="1"/>
  <c r="AD23" i="41" s="1"/>
  <c r="AE23" i="41" s="1"/>
  <c r="X22" i="41"/>
  <c r="Y22" i="41"/>
  <c r="AA22" i="41"/>
  <c r="AB22" i="41"/>
  <c r="AC22" i="41" s="1"/>
  <c r="AD22" i="41" s="1"/>
  <c r="AE22" i="41" s="1"/>
  <c r="X21" i="41"/>
  <c r="Y21" i="41"/>
  <c r="AA21" i="41"/>
  <c r="AB21" i="41"/>
  <c r="AC21" i="41" s="1"/>
  <c r="AD21" i="41" s="1"/>
  <c r="AE21" i="41" s="1"/>
  <c r="X20" i="41"/>
  <c r="Y20" i="41"/>
  <c r="AA20" i="41"/>
  <c r="AB20" i="41"/>
  <c r="AC20" i="41" s="1"/>
  <c r="AD20" i="41" s="1"/>
  <c r="AE20" i="41" s="1"/>
  <c r="X19" i="41"/>
  <c r="Y19" i="41"/>
  <c r="AA19" i="41"/>
  <c r="AB19" i="41"/>
  <c r="AC19" i="41" s="1"/>
  <c r="AD19" i="41" s="1"/>
  <c r="AE19" i="41" s="1"/>
  <c r="X18" i="41"/>
  <c r="Y18" i="41"/>
  <c r="AA18" i="41"/>
  <c r="AB18" i="41"/>
  <c r="AC18" i="41" s="1"/>
  <c r="AD18" i="41" s="1"/>
  <c r="AE18" i="41" s="1"/>
  <c r="X17" i="41"/>
  <c r="Y17" i="41"/>
  <c r="AA17" i="41"/>
  <c r="AB17" i="41"/>
  <c r="AC17" i="41" s="1"/>
  <c r="AD17" i="41" s="1"/>
  <c r="AE17" i="41" s="1"/>
  <c r="X16" i="41"/>
  <c r="Y16" i="41"/>
  <c r="AA16" i="41"/>
  <c r="AB16" i="41"/>
  <c r="AC16" i="41" s="1"/>
  <c r="AD16" i="41" s="1"/>
  <c r="AE16" i="41" s="1"/>
  <c r="Z35" i="41"/>
  <c r="AF34" i="41" l="1"/>
  <c r="AF33" i="41"/>
  <c r="AF32" i="41"/>
  <c r="AF31" i="41"/>
  <c r="AF16" i="41"/>
  <c r="AF17" i="41"/>
  <c r="AF18" i="41"/>
  <c r="AF19" i="41"/>
  <c r="AF20" i="41"/>
  <c r="AF21" i="41"/>
  <c r="AF22" i="41"/>
  <c r="AF23" i="41"/>
  <c r="AF24" i="41"/>
  <c r="AF30" i="41"/>
  <c r="AF29" i="41"/>
  <c r="AF28" i="41"/>
  <c r="AF27" i="41"/>
  <c r="AF26" i="41"/>
  <c r="AF25" i="41"/>
  <c r="I4" i="41"/>
  <c r="M4" i="41"/>
  <c r="Z31" i="41"/>
  <c r="Z18" i="41"/>
  <c r="Z21" i="41"/>
  <c r="Z25" i="41"/>
  <c r="Z16" i="41"/>
  <c r="Z22" i="41"/>
  <c r="Z20" i="41"/>
  <c r="Z23" i="41"/>
  <c r="Z24" i="41"/>
  <c r="Z29" i="41"/>
  <c r="Z27" i="41"/>
  <c r="Z33" i="41"/>
  <c r="Z32" i="41"/>
  <c r="Z19" i="41"/>
  <c r="Z28" i="41"/>
  <c r="Z17" i="41"/>
  <c r="Z30" i="41"/>
  <c r="Z34" i="41"/>
  <c r="Z26" i="41"/>
  <c r="M5" i="41" l="1"/>
  <c r="L4" i="41"/>
  <c r="L5" i="41" s="1"/>
  <c r="K4" i="41"/>
  <c r="K5" i="41" s="1"/>
  <c r="J4" i="41"/>
  <c r="J5" i="41" s="1"/>
  <c r="U14" i="41"/>
  <c r="T14" i="41"/>
  <c r="S14" i="41"/>
  <c r="V14" i="41"/>
  <c r="X14" i="41"/>
  <c r="Z14" i="41" l="1"/>
  <c r="I5" i="41" l="1"/>
  <c r="H4" i="41"/>
  <c r="H5" i="41" s="1"/>
  <c r="G4" i="41"/>
  <c r="G5" i="41" s="1"/>
  <c r="F4" i="41"/>
  <c r="F5" i="41" s="1"/>
  <c r="E4" i="41"/>
  <c r="E5" i="41" s="1"/>
  <c r="D4" i="41"/>
  <c r="D5" i="41" s="1"/>
  <c r="B14" i="41" l="1"/>
  <c r="C14" i="41"/>
  <c r="D14" i="41"/>
  <c r="E14" i="41"/>
  <c r="F14" i="41"/>
  <c r="G14" i="41"/>
  <c r="H14" i="41"/>
  <c r="I14" i="41"/>
  <c r="J14" i="41"/>
  <c r="K14" i="41"/>
  <c r="L14" i="41"/>
  <c r="M14" i="41"/>
  <c r="N14" i="41"/>
  <c r="O14" i="41"/>
  <c r="P14" i="41"/>
  <c r="Q14" i="41"/>
  <c r="R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<sst xmlns="http://schemas.openxmlformats.org/spreadsheetml/2006/main" count="296" uniqueCount="132">
  <si>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</si>
  <si>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</si>
  <si>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</si>
  <si>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</si>
  <si>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</si>
  <si>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</si>
  <si>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</si>
  <si>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</si>
  <si>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</si>
  <si>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</si>
  <si>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</si>
  <si>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</si>
  <si>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</si>
  <si>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</si>
  <si>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</si>
  <si>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</si>
  <si>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</si>
  <si>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</si>
  <si>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</si>
  <si>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</si>
  <si>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</si>
  <si>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</si>
  <si>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</si>
  <si>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</si>
  <si>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</si>
  <si>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</si>
  <si>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</si>
  <si>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05preva_view</t>
  </si>
  <si>
    <t>Site_ID</t>
  </si>
  <si>
    <t>tenant_id</t>
  </si>
  <si>
    <t>Capacity_Requested</t>
  </si>
  <si>
    <t>Capacity_Model</t>
  </si>
  <si>
    <t>Tower_Space_Result</t>
  </si>
  <si>
    <t>Tower_Space_Remarks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</si>
  <si>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</si>
  <si>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</si>
  <si>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</si>
  <si>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</si>
  <si>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</si>
  <si>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</si>
  <si>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</si>
  <si>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</si>
  <si>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</si>
  <si>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</si>
  <si>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</si>
  <si>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</si>
  <si>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</si>
  <si>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</si>
  <si>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</si>
  <si>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Tower Space Result</t>
  </si>
  <si>
    <t>Tower Space Remarks</t>
  </si>
  <si>
    <t>Structural_Result</t>
  </si>
  <si>
    <t>Structural Requirement</t>
  </si>
  <si>
    <t>Tower_Space_Time</t>
  </si>
  <si>
    <t>Upon Tower Space Logic</t>
  </si>
  <si>
    <t>Tower &amp; Ground Space Validation</t>
  </si>
  <si>
    <t>Ground Space Result</t>
  </si>
  <si>
    <t>Tower Time Logic</t>
  </si>
  <si>
    <t>Slab Extension Needed</t>
  </si>
  <si>
    <t>Ground Space Remarks</t>
  </si>
  <si>
    <t>CW_Result</t>
  </si>
  <si>
    <t>Slab_Extension_Needed</t>
  </si>
  <si>
    <t>CW_Remarks</t>
  </si>
  <si>
    <t>Ground Time Logic</t>
  </si>
  <si>
    <t>CW_Time</t>
  </si>
  <si>
    <t>u</t>
  </si>
  <si>
    <t>ANMD_0170</t>
  </si>
  <si>
    <t>MAW2986</t>
  </si>
  <si>
    <t>OML</t>
  </si>
  <si>
    <t>Colocation</t>
  </si>
  <si>
    <t>EPA</t>
  </si>
  <si>
    <t>OK</t>
  </si>
  <si>
    <t>At this is ok after TSS will confirm available height</t>
  </si>
  <si>
    <t>Yes</t>
  </si>
  <si>
    <t>RT site, need to provide new pole</t>
  </si>
  <si>
    <t>ASTN_0035</t>
  </si>
  <si>
    <t>TAW6249</t>
  </si>
  <si>
    <t>No</t>
  </si>
  <si>
    <t>ANSG_0373</t>
  </si>
  <si>
    <t>SGG0992</t>
  </si>
  <si>
    <t>Mytel</t>
  </si>
  <si>
    <t>AYYN_0100</t>
  </si>
  <si>
    <t>YGN0496</t>
  </si>
  <si>
    <t>RFI'd</t>
  </si>
  <si>
    <t>ANMD_0080</t>
  </si>
  <si>
    <t>MAW2380</t>
  </si>
  <si>
    <t>RF Height - 15M-20M MW Height- 32M-35M (If there is LOS blockage)</t>
  </si>
  <si>
    <t>New extension slab (2m x 1m)</t>
  </si>
  <si>
    <t>ANMD_0011</t>
  </si>
  <si>
    <t>MDYAMTZ017</t>
  </si>
  <si>
    <t>Amara</t>
  </si>
  <si>
    <t>ACAY_0154</t>
  </si>
  <si>
    <t>AYW5603</t>
  </si>
  <si>
    <t>ACAY_0056</t>
  </si>
  <si>
    <t>AYW5611</t>
  </si>
  <si>
    <t>ACAY_0138</t>
  </si>
  <si>
    <t>AYW5612</t>
  </si>
  <si>
    <t>ACBA_0256</t>
  </si>
  <si>
    <t>BAW5598</t>
  </si>
  <si>
    <t>ASMO_0161</t>
  </si>
  <si>
    <t>MOW6321</t>
  </si>
  <si>
    <t>need to relocate DCDB pole</t>
  </si>
  <si>
    <t>ACBA_0104</t>
  </si>
  <si>
    <t>BAW5607</t>
  </si>
  <si>
    <t>ACBA_0099</t>
  </si>
  <si>
    <t>BAW5608</t>
  </si>
  <si>
    <t>ANNP_0256</t>
  </si>
  <si>
    <t>NPW2249</t>
  </si>
  <si>
    <t>ANSG_0463</t>
  </si>
  <si>
    <t>SGG00730</t>
  </si>
  <si>
    <t>MPT</t>
  </si>
  <si>
    <t>LTE</t>
  </si>
  <si>
    <t>Existing on tower - ( Assume ) TML with 8.99 EPA/OML with 11.23 EPA / MPT with 4.84 EPA - (Change RF And MW Dimension and add RRU / ODU )</t>
  </si>
  <si>
    <t>ANSG_0485</t>
  </si>
  <si>
    <t>SGG00698</t>
  </si>
  <si>
    <t>Existing on tower - ( Assume ) TML with 4.29 EPA/ MPT with 4.55EPA (Change RF Dimension and add MW and RRU, ODU )</t>
  </si>
  <si>
    <t>AYYN_0086</t>
  </si>
  <si>
    <t>YGN00788</t>
  </si>
  <si>
    <t>TS_v1</t>
  </si>
  <si>
    <t>Existing on tower - ( Assume ) TML with 4.39 EPA/ OML with 12.88 EPA / MPT with 5.67 EPA /Mytel with 2.45 EPA/ Amara with 3.06 EPA  ( Change RF smaller Dimension )</t>
  </si>
  <si>
    <t>1-01-05030-010</t>
  </si>
  <si>
    <t>SGG00149</t>
  </si>
  <si>
    <t>SQM</t>
  </si>
  <si>
    <t xml:space="preserve">Existing on tower actual - OML 9.75 sqm /MPT - 5.82 sqm / Mytel - 1.74 sqm  )- Added RRU and Change RF Dimension </t>
  </si>
  <si>
    <t>1-01-01002-008</t>
  </si>
  <si>
    <t>KCN00372</t>
  </si>
  <si>
    <t>TS  _ v1</t>
  </si>
  <si>
    <t xml:space="preserve">Existing on tower actual - OML 13.53 sqm ( UE Down 59.60 - 48.60 ) /MPT - 3.07 sqm / Mytel - 1.74 sqm  )- Changed Model name </t>
  </si>
  <si>
    <t>Not Required</t>
  </si>
  <si>
    <t>1-01-15012-002</t>
  </si>
  <si>
    <t>SHN00218</t>
  </si>
  <si>
    <t>Existing on tower actual - OML 7.20 sqm  /MPT - 2.50 sqm / TML 3.47 / Mytel - 1.53 sqm  )- Add 1 MW ( 0.6 ) and add 1 ODU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</si>
</sst>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95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1" borderId="72" xfId="0" applyFon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164" fontId="260" fillId="94" borderId="0" xfId="0" applyFont="1" applyFill="1" applyBorder="1"/>
    <xf numFmtId="0" fontId="260" fillId="94" borderId="74" xfId="0" applyNumberFormat="1" applyFont="1" applyFill="1" applyBorder="1"/>
    <xf numFmtId="14" fontId="260" fillId="88" borderId="0" xfId="0" applyNumberFormat="1" applyFont="1" applyFill="1"/>
    <xf numFmtId="164" fontId="254" fillId="98" borderId="72" xfId="0" applyFont="1" applyFill="1" applyBorder="1" applyAlignment="1">
      <alignment horizontal="center" vertical="center" wrapText="1"/>
    </xf>
    <xf numFmtId="164" fontId="254" fillId="99" borderId="72" xfId="0" applyFont="1" applyFill="1" applyBorder="1" applyAlignment="1">
      <alignment horizontal="center" vertical="center" wrapText="1"/>
    </xf>
    <xf numFmtId="14" fontId="0" fillId="0" borderId="79" xfId="0" applyNumberFormat="1" applyFill="1" applyBorder="1"/>
    <xf numFmtId="0" fontId="0" fillId="0" borderId="80" xfId="0" applyNumberFormat="1" applyFill="1" applyBorder="1"/>
    <xf numFmtId="164" fontId="0" fillId="0" borderId="79" xfId="0" applyFill="1" applyBorder="1"/>
    <xf numFmtId="0" fontId="0" fillId="0" borderId="79" xfId="0" applyNumberFormat="1" applyFill="1" applyBorder="1" applyAlignment="1">
      <alignment horizontal="center"/>
    </xf>
    <xf numFmtId="301" fontId="254" fillId="0" borderId="79" xfId="0" applyNumberFormat="1" applyFont="1" applyFill="1" applyBorder="1" applyAlignment="1">
      <alignment horizontal="center" vertical="center" wrapText="1"/>
    </xf>
    <xf numFmtId="0" fontId="254" fillId="0" borderId="79" xfId="0" applyNumberFormat="1" applyFont="1" applyFill="1" applyBorder="1" applyAlignment="1">
      <alignment horizontal="center" vertical="center" wrapText="1"/>
    </xf>
    <xf numFmtId="300" fontId="254" fillId="0" borderId="79" xfId="0" applyNumberFormat="1" applyFont="1" applyFill="1" applyBorder="1" applyAlignment="1">
      <alignment horizontal="center" vertical="center" wrapText="1"/>
    </xf>
    <xf numFmtId="0" fontId="0" fillId="0" borderId="79" xfId="0" applyNumberFormat="1" applyFill="1" applyBorder="1"/>
    <xf numFmtId="164" fontId="0" fillId="0" borderId="79" xfId="0" applyNumberFormat="1" applyFill="1" applyBorder="1" applyAlignment="1">
      <alignment horizontal="center"/>
    </xf>
    <xf numFmtId="164" fontId="0" fillId="0" borderId="79" xfId="0" applyNumberFormat="1" applyFill="1" applyBorder="1"/>
    <xf numFmtId="164" fontId="0" fillId="0" borderId="81" xfId="0" applyNumberFormat="1" applyFill="1" applyBorder="1"/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4"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3"/>
      <tableStyleElement type="headerRow" dxfId="42"/>
    </tableStyle>
    <tableStyle name="Slicer Style 1" pivot="0" table="0" count="1" xr9:uid="{00000000-0011-0000-FFFF-FFFF01000000}">
      <tableStyleElement type="wholeTable" dxfId="41"/>
    </tableStyle>
    <tableStyle name="Slicer Style New" pivot="0" table="0" count="10" xr9:uid="{00000000-0011-0000-FFFF-FFFF02000000}">
      <tableStyleElement type="wholeTable" dxfId="40"/>
      <tableStyleElement type="headerRow" dxfId="39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952500</xdr:colOff>
          <xdr:row>11</xdr:row>
          <xdr:rowOff>146050</xdr:rowOff>
        </xdr:from>
        <xdr:to>
          <xdr:col>15</xdr:col>
          <xdr:colOff>95250</xdr:colOff>
          <xdr:row>13</xdr:row>
          <xdr:rowOff>31750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11</xdr:row>
          <xdr:rowOff>146050</xdr:rowOff>
        </xdr:from>
        <xdr:to>
          <xdr:col>18</xdr:col>
          <xdr:colOff>850900</xdr:colOff>
          <xdr:row>13</xdr:row>
          <xdr:rowOff>31750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F35" totalsRowShown="0" headerRowDxfId="36" dataDxfId="34" headerRowBorderDxfId="35" tableBorderDxfId="33" totalsRowBorderDxfId="32">
  <autoFilter ref="A15:AF35" xr:uid="{00000000-0009-0000-0100-00000B000000}"/>
  <tableColumns count="32">
    <tableColumn id="1" xr3:uid="{00000000-0010-0000-0700-000001000000}" name="Request ID" dataDxfId="31"/>
    <tableColumn id="2" xr3:uid="{00000000-0010-0000-0700-000002000000}" name="Site ID" dataDxfId="30"/>
    <tableColumn id="3" xr3:uid="{00000000-0010-0000-0700-000003000000}" name="Tenant ID" dataDxfId="29"/>
    <tableColumn id="4" xr3:uid="{00000000-0010-0000-0700-000004000000}" name="Operator" dataDxfId="28"/>
    <tableColumn id="25" xr3:uid="{61B09CA9-4544-44D6-BE96-9B107C3C9ED4}" name="Tenant Category" dataDxfId="27"/>
    <tableColumn id="26" xr3:uid="{0E4513F3-5C50-40B1-9F2C-D92FC4B7EAC8}" name="Tenant Status" dataDxfId="26"/>
    <tableColumn id="5" xr3:uid="{00000000-0010-0000-0700-000005000000}" name="Request Date" dataDxfId="25"/>
    <tableColumn id="27" xr3:uid="{CD7E10AF-8E3A-4980-A562-1BCE30CFFEB8}" name="Scope/Project" dataDxfId="24"/>
    <tableColumn id="28" xr3:uid="{D0C5F708-DCE2-45B9-87EB-D222FD1205C7}" name="Colo Rev" dataDxfId="23"/>
    <tableColumn id="13" xr3:uid="{136E2166-0E30-468A-94C3-D7AE8BF21A89}" name="Power Requested" dataDxfId="22"/>
    <tableColumn id="14" xr3:uid="{C16CC0D0-6B4A-4FF9-AB63-4A952A4618CE}" name="Capacity Requested" dataDxfId="21"/>
    <tableColumn id="7" xr3:uid="{25F7F1F8-2120-46DB-875B-AA3727E2CE40}" name="Capacity Model" dataDxfId="20"/>
    <tableColumn id="15" xr3:uid="{7FAC9ECD-A672-4D53-B91E-DF0E6B0B5283}" name="Lower Space Requested" dataDxfId="19"/>
    <tableColumn id="16" xr3:uid="{31165041-B815-44CB-AB40-6795E0C04B17}" name="Upper Space Requested" dataDxfId="18"/>
    <tableColumn id="8" xr3:uid="{00000000-0010-0000-0700-000008000000}" name="Prevalidation Status" dataDxfId="17"/>
    <tableColumn id="6" xr3:uid="{00000000-0010-0000-0700-000006000000}" name="Tower Space Result" dataDxfId="16"/>
    <tableColumn id="9" xr3:uid="{40E677FE-B3EB-4058-BADF-DEE83CB47F42}" name="Tower Space Remarks" dataDxfId="15"/>
    <tableColumn id="11" xr3:uid="{009F4DE7-1C35-486F-A5E0-2E1476D3EE15}" name="Structural Requirement" dataDxfId="14"/>
    <tableColumn id="30" xr3:uid="{9E816600-5C4D-497C-A6CF-2C8CA54BE8D4}" name="Ground Space Result" dataDxfId="13"/>
    <tableColumn id="31" xr3:uid="{4E496B46-6027-4AC8-8451-97DF2F792EB4}" name="Slab Extension Needed" dataDxfId="12"/>
    <tableColumn id="29" xr3:uid="{3F1F7BE8-018E-4FB4-A514-F4DE4466152B}" name="Ground Space Remarks" dataDxfId="11"/>
    <tableColumn id="12" xr3:uid="{48F20D1A-1F60-451F-925E-68CCCDA888C6}" name="Tower_Space_Time" dataDxfId="10"/>
    <tableColumn id="32" xr3:uid="{7EC402F6-B31C-46A3-90A7-419DB424A1D2}" name="CW_Time" dataDxfId="9"/>
    <tableColumn id="10" xr3:uid="{0AC08758-BE59-4004-A5F5-E55DA91D500C}" name="Tower Time Logic" dataDxfId="8">
      <calculatedColumnFormula>IF(Data_Table[[#This Row],[Tower Space Result]]="OK",IF(Data_Table[[#This Row],[Tower_Space_Time]]=0,NOW(),Data_Table[[#This Row],[Tower_Space_Time]]),"")</calculatedColumnFormula>
    </tableColumn>
    <tableColumn id="33" xr3:uid="{80B00D7C-F106-4666-BE29-63E83704F48B}" name="Ground Time Logic" dataDxfId="7">
      <calculatedColumnFormula>IF(Data_Table[[#This Row],[Ground Space Result]]="OK",IF(Data_Table[[#This Row],[CW_Time]]=0,NOW(),Data_Table[[#This Row],[CW_Time]]),"")</calculatedColumnFormula>
    </tableColumn>
    <tableColumn id="17" xr3:uid="{4B513C1E-3405-473B-806D-B0F33ACE8A0A}" name="Colo Application File" dataDxfId="6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5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4">
      <calculatedColumnFormula>FIND("Process &amp; Database\",CELL("filename",$A$1))</calculatedColumnFormula>
    </tableColumn>
    <tableColumn id="20" xr3:uid="{7547EEA9-CD05-4991-B82E-B4F61C153041}" name="Folder Path1" dataDxfId="3">
      <calculatedColumnFormula>LEFT(CELL("filename",A3),Data_Table[[#This Row],[Find Process &amp; Database]]-1)</calculatedColumnFormula>
    </tableColumn>
    <tableColumn id="21" xr3:uid="{29FE3CDC-AA66-4DAF-B94D-9F284E306FBC}" name="Folder Path2" dataDxfId="2">
      <calculatedColumnFormula>Data_Table[Folder Path1]&amp;"Process &amp; Database\Documentation\Colo Applications"</calculatedColumnFormula>
    </tableColumn>
    <tableColumn id="22" xr3:uid="{608DE0E9-6CEE-4354-994A-755A9BEC14A1}" name="Folder Path3" dataDxfId="1">
      <calculatedColumnFormula>Data_Table[Folder Path2]&amp;"\Colo App "&amp;Data_Table[[#This Row],[Operator]]&amp;"\"</calculatedColumnFormula>
    </tableColumn>
    <tableColumn id="24" xr3:uid="{0E058ACE-FD3F-425C-9A69-D0FC3C773E27}" name="File Path" dataDxfId="0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F35"/>
  <sheetViews>
    <sheetView showGridLines="0" tabSelected="1" workbookViewId="0">
      <pane xSplit="4" ySplit="15" topLeftCell="G16" activePane="bottomRight" state="frozen"/>
      <selection activeCell="A12" sqref="A12"/>
      <selection pane="topRight" activeCell="E12" sqref="E12"/>
      <selection pane="bottomLeft" activeCell="A16" sqref="A16"/>
      <selection pane="bottomRight" activeCell="U1" sqref="U1:Z104857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3" bestFit="1" customWidth="1" collapsed="1"/>
    <col min="8" max="8" width="15.1796875" style="3" hidden="1" customWidth="1" outlineLevel="1"/>
    <col min="9" max="9" width="6" style="3" hidden="1" customWidth="1" outlineLevel="1"/>
    <col min="10" max="10" width="14.81640625" style="3" hidden="1" customWidth="1" outlineLevel="1"/>
    <col min="11" max="12" width="11.26953125" style="1" hidden="1" customWidth="1" outlineLevel="1"/>
    <col min="13" max="13" width="13.54296875" hidden="1" customWidth="1" outlineLevel="1"/>
    <col min="14" max="14" width="13.7265625" style="2" hidden="1" customWidth="1" outlineLevel="1"/>
    <col min="15" max="15" width="17.7265625" style="33" customWidth="1"/>
    <col min="16" max="16" width="11.81640625" style="33" customWidth="1" collapsed="1"/>
    <col min="17" max="17" width="51.7265625" style="33" hidden="1" customWidth="1" outlineLevel="1"/>
    <col min="18" max="18" width="17.26953125" style="33" hidden="1" customWidth="1" outlineLevel="1"/>
    <col min="19" max="19" width="17.26953125" style="33" customWidth="1"/>
    <col min="20" max="20" width="17.26953125" style="33" customWidth="1" outlineLevel="1"/>
    <col min="21" max="21" width="43" style="33" customWidth="1" outlineLevel="1"/>
    <col min="22" max="25" width="17.26953125" style="33" customWidth="1"/>
    <col min="26" max="26" width="17" style="33" customWidth="1" collapsed="1"/>
    <col min="27" max="27" width="32.81640625" style="33" hidden="1" customWidth="1" outlineLevel="1"/>
    <col min="28" max="28" width="46" style="62" hidden="1" customWidth="1"/>
    <col min="29" max="29" width="9.7265625" style="63" hidden="1" customWidth="1"/>
    <col min="30" max="30" width="14" style="62" hidden="1" customWidth="1"/>
    <col min="31" max="31" width="15" style="62" hidden="1" customWidth="1"/>
    <col min="32" max="32" width="9.1796875" style="62" hidden="1" customWidth="1"/>
    <col min="33" max="16384" width="9.1796875" style="33"/>
  </cols>
  <sheetData>
    <row r="1" spans="1:32" s="9" customFormat="1" hidden="1">
      <c r="A1" s="20" t="s">
        <v>4</v>
      </c>
      <c r="B1" s="21" t="s">
        <v>27</v>
      </c>
      <c r="C1" s="8"/>
      <c r="D1" s="8"/>
      <c r="E1" s="8"/>
      <c r="F1" s="8"/>
      <c r="G1" s="6"/>
      <c r="H1" s="18"/>
      <c r="I1" s="18"/>
      <c r="J1" s="18"/>
      <c r="K1" s="7"/>
      <c r="L1" s="52"/>
      <c r="M1" s="5"/>
      <c r="N1" s="8"/>
      <c r="O1" s="37" t="s">
        <v>12</v>
      </c>
      <c r="P1" s="37"/>
      <c r="Q1" s="37"/>
      <c r="R1" s="38"/>
      <c r="S1" s="38"/>
      <c r="T1" s="38"/>
      <c r="U1" s="38"/>
      <c r="V1" s="38"/>
      <c r="W1" s="38"/>
      <c r="X1" s="38"/>
      <c r="Y1" s="38"/>
      <c r="AB1" s="60"/>
      <c r="AC1" s="61"/>
      <c r="AD1" s="60"/>
      <c r="AE1" s="60"/>
      <c r="AF1" s="60"/>
    </row>
    <row r="2" spans="1:32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3"/>
      <c r="Q2" s="39" t="s">
        <v>13</v>
      </c>
      <c r="R2" s="39" t="s">
        <v>14</v>
      </c>
      <c r="S2" s="39"/>
      <c r="T2" s="39"/>
      <c r="U2" s="39"/>
      <c r="V2" s="39"/>
      <c r="W2" s="39"/>
      <c r="X2" s="39"/>
      <c r="Y2" s="39"/>
      <c r="Z2" s="40" t="s">
        <v>11</v>
      </c>
      <c r="AB2" s="60"/>
      <c r="AC2" s="61"/>
      <c r="AD2" s="60"/>
      <c r="AE2" s="60"/>
      <c r="AF2" s="60"/>
    </row>
    <row r="3" spans="1:32" s="9" customFormat="1" hidden="1">
      <c r="A3" s="19" t="s">
        <v>2</v>
      </c>
      <c r="B3" s="45" t="s">
        <v>32</v>
      </c>
      <c r="C3" s="45" t="s">
        <v>33</v>
      </c>
      <c r="D3" s="46" t="s">
        <v>30</v>
      </c>
      <c r="E3" s="46" t="s">
        <v>31</v>
      </c>
      <c r="F3" s="46" t="s">
        <v>17</v>
      </c>
      <c r="G3" s="46" t="s">
        <v>18</v>
      </c>
      <c r="H3" s="45" t="s">
        <v>51</v>
      </c>
      <c r="I3" s="79" t="s">
        <v>53</v>
      </c>
      <c r="J3" s="45" t="s">
        <v>60</v>
      </c>
      <c r="K3" s="45" t="s">
        <v>61</v>
      </c>
      <c r="L3" s="45" t="s">
        <v>62</v>
      </c>
      <c r="M3" s="79" t="s">
        <v>64</v>
      </c>
      <c r="AB3" s="60"/>
      <c r="AC3" s="61"/>
      <c r="AD3" s="60"/>
      <c r="AE3" s="60"/>
      <c r="AF3" s="60"/>
    </row>
    <row r="4" spans="1:32" s="12" customFormat="1" hidden="1">
      <c r="A4" s="22">
        <f t="shared" ref="A4:H4" si="0">MATCH(A3,10:10,0)</f>
        <v>1</v>
      </c>
      <c r="B4" s="22">
        <f t="shared" si="0"/>
        <v>16</v>
      </c>
      <c r="C4" s="22">
        <f t="shared" si="0"/>
        <v>17</v>
      </c>
      <c r="D4" s="22">
        <f t="shared" si="0"/>
        <v>11</v>
      </c>
      <c r="E4" s="22">
        <f t="shared" si="0"/>
        <v>12</v>
      </c>
      <c r="F4" s="22">
        <f t="shared" si="0"/>
        <v>13</v>
      </c>
      <c r="G4" s="22">
        <f t="shared" si="0"/>
        <v>14</v>
      </c>
      <c r="H4" s="22">
        <f t="shared" si="0"/>
        <v>18</v>
      </c>
      <c r="I4" s="80">
        <f>MATCH(I3,10:10,0)+2</f>
        <v>24</v>
      </c>
      <c r="J4" s="22">
        <f>MATCH(J3,10:10,0)</f>
        <v>19</v>
      </c>
      <c r="K4" s="22">
        <f>MATCH(K3,10:10,0)</f>
        <v>20</v>
      </c>
      <c r="L4" s="22">
        <f>MATCH(L3,10:10,0)</f>
        <v>21</v>
      </c>
      <c r="M4" s="80">
        <f>MATCH(M3,10:10,0)+2</f>
        <v>25</v>
      </c>
      <c r="AA4" s="17"/>
      <c r="AB4" s="61"/>
      <c r="AC4" s="61"/>
      <c r="AD4" s="61"/>
      <c r="AE4" s="61"/>
      <c r="AF4" s="61"/>
    </row>
    <row r="5" spans="1:32" s="12" customFormat="1" hidden="1">
      <c r="A5" s="22">
        <v>3414</v>
      </c>
      <c r="B5" s="23" t="str">
        <f>IF(VLOOKUP($A$5,Data_Table[],B4,FALSE)&lt;&gt;0,VLOOKUP($A$5,Data_Table[],B4,FALSE),"")</f>
        <v>OK</v>
      </c>
      <c r="C5" s="22" t="str">
        <f>IF(VLOOKUP($A$5,Data_Table[],C4,FALSE)&lt;&gt;0,VLOOKUP($A$5,Data_Table[],C4,FALSE),"")</f>
        <v>Existing on tower actual - OML 7.20 sqm  /MPT - 2.50 sqm / TML 3.47 / Mytel - 1.53 sqm  )- Add 1 MW ( 0.6 ) and add 1 ODU .</v>
      </c>
      <c r="D5" s="22">
        <f>IF(VLOOKUP($A$5,Data_Table[],D4,FALSE)&lt;&gt;0,VLOOKUP($A$5,Data_Table[],D4,FALSE),"")</f>
        <v>2.82</v>
      </c>
      <c r="E5" s="22" t="str">
        <f>IF(VLOOKUP($A$5,Data_Table[],E4,FALSE)&lt;&gt;0,VLOOKUP($A$5,Data_Table[],E4,FALSE),"")</f>
        <v>SQM</v>
      </c>
      <c r="F5" s="22">
        <f>IF(VLOOKUP($A$5,Data_Table[],F4,FALSE)&lt;&gt;0,VLOOKUP($A$5,Data_Table[],F4,FALSE),"")</f>
        <v>48</v>
      </c>
      <c r="G5" s="22">
        <f>IF(VLOOKUP($A$5,Data_Table[],G4,FALSE)&lt;&gt;0,VLOOKUP($A$5,Data_Table[],G4,FALSE),"")</f>
        <v>53</v>
      </c>
      <c r="H5" s="22" t="str">
        <f>IF(VLOOKUP($A$5,Data_Table[],H4,FALSE)&lt;&gt;0,VLOOKUP($A$5,Data_Table[],H4,FALSE),"")</f>
        <v/>
      </c>
      <c r="I5" s="80">
        <f ca="1">IF(VLOOKUP($A$5,Data_Table[],I4,FALSE)&lt;&gt;0,VLOOKUP($A$5,Data_Table[],I4,FALSE),"")</f>
        <v>43418.370527893501</v>
      </c>
      <c r="J5" s="22" t="str">
        <f>IF(VLOOKUP($A$5,Data_Table[],J4,FALSE)&lt;&gt;0,VLOOKUP($A$5,Data_Table[],J4,FALSE),"")</f>
        <v>OK</v>
      </c>
      <c r="K5" s="22" t="str">
        <f>IF(VLOOKUP($A$5,Data_Table[],K4,FALSE)&lt;&gt;0,VLOOKUP($A$5,Data_Table[],K4,FALSE),"")</f>
        <v>No</v>
      </c>
      <c r="L5" s="22" t="str">
        <f>IF(VLOOKUP($A$5,Data_Table[],L4,FALSE)&lt;&gt;0,VLOOKUP($A$5,Data_Table[],L4,FALSE),"")</f>
        <v/>
      </c>
      <c r="M5" s="80">
        <f ca="1">IF(VLOOKUP($A$5,Data_Table[],M4,FALSE)&lt;&gt;0,VLOOKUP($A$5,Data_Table[],M4,FALSE),"")</f>
        <v>43418.370527893501</v>
      </c>
      <c r="AA5" s="17"/>
      <c r="AB5" s="61"/>
      <c r="AC5" s="61"/>
      <c r="AD5" s="61"/>
      <c r="AE5" s="61"/>
      <c r="AF5" s="61"/>
    </row>
    <row r="6" spans="1:32" s="13" customFormat="1" hidden="1">
      <c r="A6" s="20" t="s">
        <v>5</v>
      </c>
      <c r="G6" s="14"/>
      <c r="H6" s="14"/>
      <c r="I6" s="81" t="s">
        <v>54</v>
      </c>
      <c r="J6" s="14"/>
      <c r="K6" s="15"/>
      <c r="L6" s="15"/>
      <c r="N6" s="16"/>
      <c r="AB6" s="62"/>
      <c r="AC6" s="63"/>
      <c r="AD6" s="62"/>
      <c r="AE6" s="62"/>
      <c r="AF6" s="62"/>
    </row>
    <row r="7" spans="1:32" s="13" customFormat="1" hidden="1">
      <c r="A7" s="27" t="s">
        <v>9</v>
      </c>
      <c r="B7" s="27"/>
      <c r="G7" s="14"/>
      <c r="H7" s="14"/>
      <c r="I7" s="14"/>
      <c r="J7" s="14"/>
      <c r="K7" s="15"/>
      <c r="L7" s="15"/>
      <c r="N7" s="16"/>
      <c r="AB7" s="62"/>
      <c r="AC7" s="63"/>
      <c r="AD7" s="62"/>
      <c r="AE7" s="62"/>
      <c r="AF7" s="62"/>
    </row>
    <row r="8" spans="1:32" s="13" customFormat="1" hidden="1">
      <c r="A8" s="28" t="s">
        <v>10</v>
      </c>
      <c r="B8" s="28"/>
      <c r="G8" s="14"/>
      <c r="H8" s="14"/>
      <c r="I8" s="14"/>
      <c r="J8" s="14"/>
      <c r="K8" s="15"/>
      <c r="L8" s="15"/>
      <c r="N8" s="16"/>
      <c r="AB8" s="62"/>
      <c r="AC8" s="63"/>
      <c r="AD8" s="62"/>
      <c r="AE8" s="62"/>
      <c r="AF8" s="62"/>
    </row>
    <row r="9" spans="1:32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AB9" s="62"/>
      <c r="AC9" s="63"/>
      <c r="AD9" s="62"/>
      <c r="AE9" s="62"/>
      <c r="AF9" s="62"/>
    </row>
    <row r="10" spans="1:32" s="13" customFormat="1" hidden="1">
      <c r="A10" s="44" t="s">
        <v>2</v>
      </c>
      <c r="B10" s="45" t="s">
        <v>28</v>
      </c>
      <c r="C10" s="45" t="s">
        <v>29</v>
      </c>
      <c r="D10" s="45" t="s">
        <v>0</v>
      </c>
      <c r="E10" s="45" t="s">
        <v>40</v>
      </c>
      <c r="F10" s="45" t="s">
        <v>43</v>
      </c>
      <c r="G10" s="46" t="s">
        <v>1</v>
      </c>
      <c r="H10" s="46" t="s">
        <v>44</v>
      </c>
      <c r="I10" s="46" t="s">
        <v>45</v>
      </c>
      <c r="J10" s="46" t="s">
        <v>16</v>
      </c>
      <c r="K10" s="46" t="s">
        <v>30</v>
      </c>
      <c r="L10" s="46" t="s">
        <v>31</v>
      </c>
      <c r="M10" s="46" t="s">
        <v>17</v>
      </c>
      <c r="N10" s="46" t="s">
        <v>18</v>
      </c>
      <c r="O10" s="46" t="s">
        <v>9</v>
      </c>
      <c r="P10" s="45" t="s">
        <v>32</v>
      </c>
      <c r="Q10" s="45" t="s">
        <v>33</v>
      </c>
      <c r="R10" s="45" t="s">
        <v>51</v>
      </c>
      <c r="S10" s="45" t="s">
        <v>60</v>
      </c>
      <c r="T10" s="45" t="s">
        <v>61</v>
      </c>
      <c r="U10" s="45" t="s">
        <v>62</v>
      </c>
      <c r="V10" s="53" t="s">
        <v>53</v>
      </c>
      <c r="W10" s="53" t="s">
        <v>64</v>
      </c>
      <c r="X10" s="53"/>
      <c r="Y10" s="53"/>
      <c r="AB10" s="62"/>
      <c r="AC10" s="62"/>
      <c r="AD10" s="62"/>
      <c r="AE10" s="62"/>
      <c r="AF10" s="62"/>
    </row>
    <row r="11" spans="1:32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AA11" s="13"/>
      <c r="AB11" s="62"/>
      <c r="AC11" s="64"/>
      <c r="AD11" s="63"/>
      <c r="AE11" s="63"/>
      <c r="AF11" s="62"/>
    </row>
    <row r="12" spans="1:32">
      <c r="A12" s="1" t="s">
        <v>65</v>
      </c>
    </row>
    <row r="13" spans="1:32" ht="21">
      <c r="A13" s="30" t="s">
        <v>55</v>
      </c>
      <c r="C13" s="31"/>
      <c r="D13" s="31"/>
      <c r="E13" s="31"/>
      <c r="F13" s="31"/>
      <c r="G13" s="31"/>
      <c r="H13" s="31"/>
      <c r="I13" s="31"/>
      <c r="J13" s="4"/>
    </row>
    <row r="14" spans="1:32" s="56" customFormat="1" ht="15" customHeight="1">
      <c r="A14" s="54"/>
      <c r="B14" s="55" t="str">
        <f t="shared" ref="B14:V14" si="1">IFERROR(IF(HLOOKUP(B10,$3:$3,1,FALSE)&lt;&gt;"",".",""),"")</f>
        <v/>
      </c>
      <c r="C14" s="55" t="str">
        <f t="shared" si="1"/>
        <v/>
      </c>
      <c r="D14" s="55" t="str">
        <f t="shared" si="1"/>
        <v/>
      </c>
      <c r="E14" s="55" t="str">
        <f t="shared" si="1"/>
        <v/>
      </c>
      <c r="F14" s="55" t="str">
        <f t="shared" si="1"/>
        <v/>
      </c>
      <c r="G14" s="55" t="str">
        <f t="shared" si="1"/>
        <v/>
      </c>
      <c r="H14" s="55" t="str">
        <f t="shared" si="1"/>
        <v/>
      </c>
      <c r="I14" s="55" t="str">
        <f t="shared" si="1"/>
        <v/>
      </c>
      <c r="J14" s="55" t="str">
        <f t="shared" si="1"/>
        <v/>
      </c>
      <c r="K14" s="55" t="str">
        <f t="shared" si="1"/>
        <v>.</v>
      </c>
      <c r="L14" s="55" t="str">
        <f t="shared" si="1"/>
        <v>.</v>
      </c>
      <c r="M14" s="55" t="str">
        <f t="shared" si="1"/>
        <v>.</v>
      </c>
      <c r="N14" s="55" t="str">
        <f t="shared" si="1"/>
        <v>.</v>
      </c>
      <c r="O14" s="55" t="str">
        <f t="shared" si="1"/>
        <v/>
      </c>
      <c r="P14" s="55" t="str">
        <f t="shared" si="1"/>
        <v>.</v>
      </c>
      <c r="Q14" s="55" t="str">
        <f t="shared" si="1"/>
        <v>.</v>
      </c>
      <c r="R14" s="55" t="str">
        <f t="shared" si="1"/>
        <v>.</v>
      </c>
      <c r="S14" s="55" t="str">
        <f t="shared" si="1"/>
        <v>.</v>
      </c>
      <c r="T14" s="55" t="str">
        <f t="shared" si="1"/>
        <v>.</v>
      </c>
      <c r="U14" s="55" t="str">
        <f t="shared" si="1"/>
        <v>.</v>
      </c>
      <c r="V14" s="55" t="str">
        <f t="shared" si="1"/>
        <v>.</v>
      </c>
      <c r="W14" s="55"/>
      <c r="X14" s="55" t="str">
        <f>IFERROR(IF(HLOOKUP(X10,$3:$3,1,FALSE)&lt;&gt;"",".",""),"")</f>
        <v/>
      </c>
      <c r="Y14" s="55"/>
      <c r="Z14" s="55" t="str">
        <f>IFERROR(IF(HLOOKUP(Z10,$3:$3,1,FALSE)&lt;&gt;"",".",""),"")</f>
        <v/>
      </c>
      <c r="AB14" s="65"/>
      <c r="AC14" s="74"/>
      <c r="AD14" s="65"/>
      <c r="AE14" s="65"/>
      <c r="AF14" s="65"/>
    </row>
    <row r="15" spans="1:32" s="34" customFormat="1" ht="29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41</v>
      </c>
      <c r="F15" s="70" t="s">
        <v>42</v>
      </c>
      <c r="G15" s="71" t="s">
        <v>3</v>
      </c>
      <c r="H15" s="71" t="s">
        <v>47</v>
      </c>
      <c r="I15" s="71" t="s">
        <v>46</v>
      </c>
      <c r="J15" s="72" t="s">
        <v>19</v>
      </c>
      <c r="K15" s="72" t="s">
        <v>25</v>
      </c>
      <c r="L15" s="72" t="s">
        <v>26</v>
      </c>
      <c r="M15" s="72" t="s">
        <v>20</v>
      </c>
      <c r="N15" s="72" t="s">
        <v>21</v>
      </c>
      <c r="O15" s="26" t="s">
        <v>24</v>
      </c>
      <c r="P15" s="77" t="s">
        <v>49</v>
      </c>
      <c r="Q15" s="77" t="s">
        <v>50</v>
      </c>
      <c r="R15" s="78" t="s">
        <v>52</v>
      </c>
      <c r="S15" s="83" t="s">
        <v>56</v>
      </c>
      <c r="T15" s="83" t="s">
        <v>58</v>
      </c>
      <c r="U15" s="83" t="s">
        <v>59</v>
      </c>
      <c r="V15" s="79" t="s">
        <v>53</v>
      </c>
      <c r="W15" s="79" t="s">
        <v>64</v>
      </c>
      <c r="X15" s="82" t="s">
        <v>57</v>
      </c>
      <c r="Y15" s="82" t="s">
        <v>63</v>
      </c>
      <c r="Z15" s="59" t="s">
        <v>48</v>
      </c>
      <c r="AA15" s="59" t="s">
        <v>34</v>
      </c>
      <c r="AB15" s="57" t="s">
        <v>35</v>
      </c>
      <c r="AC15" s="57" t="s">
        <v>36</v>
      </c>
      <c r="AD15" s="58" t="s">
        <v>37</v>
      </c>
      <c r="AE15" s="58" t="s">
        <v>38</v>
      </c>
      <c r="AF15" s="66" t="s">
        <v>39</v>
      </c>
    </row>
    <row r="16" spans="1:32" ht="14.25" customHeight="1">
      <c r="A16" s="67">
        <v>176</v>
      </c>
      <c r="B16" s="41" t="s">
        <v>66</v>
      </c>
      <c r="C16" s="41" t="s">
        <v>67</v>
      </c>
      <c r="D16" s="41" t="s">
        <v>68</v>
      </c>
      <c r="E16" s="41" t="s">
        <v>69</v>
      </c>
      <c r="F16" s="41"/>
      <c r="G16" s="42">
        <v>43236</v>
      </c>
      <c r="H16" s="42" t="s">
        <v>69</v>
      </c>
      <c r="I16" s="73"/>
      <c r="J16" s="51">
        <v>3</v>
      </c>
      <c r="K16" s="50"/>
      <c r="L16" s="50" t="s">
        <v>70</v>
      </c>
      <c r="M16" s="49"/>
      <c r="N16" s="49"/>
      <c r="O16" s="42" t="s">
        <v>10</v>
      </c>
      <c r="P16" s="43" t="s">
        <v>71</v>
      </c>
      <c r="Q16" s="43" t="s">
        <v>72</v>
      </c>
      <c r="R16" s="43" t="s">
        <v>11</v>
      </c>
      <c r="S16" s="43" t="s">
        <v>71</v>
      </c>
      <c r="T16" s="43" t="s">
        <v>73</v>
      </c>
      <c r="U16" s="43" t="s">
        <v>74</v>
      </c>
      <c r="V16" s="42">
        <v>43417.622350231497</v>
      </c>
      <c r="W16" s="42">
        <v>43417.729835069404</v>
      </c>
      <c r="X16" s="42">
        <f ca="1">IF(Data_Table[[#This Row],[Tower Space Result]]="OK",IF(Data_Table[[#This Row],[Tower_Space_Time]]=0,NOW(),Data_Table[[#This Row],[Tower_Space_Time]]),"")</f>
        <v>43417.622350231497</v>
      </c>
      <c r="Y16" s="42">
        <f ca="1">IF(Data_Table[[#This Row],[Ground Space Result]]="OK",IF(Data_Table[[#This Row],[CW_Time]]=0,NOW(),Data_Table[[#This Row],[CW_Time]]),"")</f>
        <v>43417.729835069404</v>
      </c>
      <c r="Z16" s="76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16" s="41" t="str">
        <f>CONCATENATE(Data_Table[[#This Row],[Site ID]]," (",Data_Table[[#This Row],[Tenant ID]],") Application",IF(Data_Table[[#This Row],[Colo Rev]]&gt;0," Rev "&amp;Data_Table[[#This Row],[Colo Rev]],""),".xlsx")</f>
        <v>ANMD_0170 (MAW2986) Application.xlsx</v>
      </c>
      <c r="AB16" s="75">
        <f t="shared" ref="AB16:AB35" ca="1" si="2">FIND("Process &amp; Database\",CELL("filename",$A$1))</f>
        <v>50</v>
      </c>
      <c r="AC16" s="68" t="str">
        <f ca="1">LEFT(CELL("filename",A3),Data_Table[[#This Row],[Find Process &amp; Database]]-1)</f>
        <v>D:\OneDrive - apollo-towers.com\Apollo Towers\00-</v>
      </c>
      <c r="AD16" s="68" t="str">
        <f ca="1">Data_Table[Folder Path1]&amp;"Process &amp; Database\Documentation\Colo Applications"</f>
        <v>D:\OneDrive - apollo-towers.com\Apollo Towers\00-Process &amp; Database\Documentation\Colo Applications</v>
      </c>
      <c r="AE16" s="68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16" s="69" t="str">
        <f ca="1">Data_Table[[#This Row],[Folder Path3]]&amp;Data_Table[[#This Row],[File Name]]</f>
        <v>D:\OneDrive - apollo-towers.com\Apollo Towers\00-Process &amp; Database\Documentation\Colo Applications\Colo App OML\ANMD_0170 (MAW2986) Application.xlsx</v>
      </c>
    </row>
    <row r="17" spans="1:32">
      <c r="A17" s="85">
        <v>199</v>
      </c>
      <c r="B17" s="86" t="s">
        <v>75</v>
      </c>
      <c r="C17" s="86" t="s">
        <v>76</v>
      </c>
      <c r="D17" s="86" t="s">
        <v>68</v>
      </c>
      <c r="E17" s="86" t="s">
        <v>69</v>
      </c>
      <c r="F17" s="86"/>
      <c r="G17" s="84">
        <v>43236</v>
      </c>
      <c r="H17" s="84" t="s">
        <v>69</v>
      </c>
      <c r="I17" s="87"/>
      <c r="J17" s="88">
        <v>3</v>
      </c>
      <c r="K17" s="89"/>
      <c r="L17" s="89" t="s">
        <v>70</v>
      </c>
      <c r="M17" s="90"/>
      <c r="N17" s="90"/>
      <c r="O17" s="84" t="s">
        <v>10</v>
      </c>
      <c r="P17" s="91" t="s">
        <v>71</v>
      </c>
      <c r="Q17" s="91" t="s">
        <v>71</v>
      </c>
      <c r="R17" s="91" t="s">
        <v>71</v>
      </c>
      <c r="S17" s="91" t="s">
        <v>71</v>
      </c>
      <c r="T17" s="91" t="s">
        <v>77</v>
      </c>
      <c r="U17" s="91"/>
      <c r="V17" s="84">
        <v>43417.627321874999</v>
      </c>
      <c r="W17" s="84">
        <v>43417.7112494213</v>
      </c>
      <c r="X17" s="84">
        <f ca="1">IF(Data_Table[[#This Row],[Tower Space Result]]="OK",IF(Data_Table[[#This Row],[Tower_Space_Time]]=0,NOW(),Data_Table[[#This Row],[Tower_Space_Time]]),"")</f>
        <v>43417.627321874999</v>
      </c>
      <c r="Y17" s="84">
        <f ca="1">IF(Data_Table[[#This Row],[Ground Space Result]]="OK",IF(Data_Table[[#This Row],[CW_Time]]=0,NOW(),Data_Table[[#This Row],[CW_Time]]),"")</f>
        <v>43417.7112494213</v>
      </c>
      <c r="Z17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17" s="93" t="str">
        <f>CONCATENATE(Data_Table[[#This Row],[Site ID]]," (",Data_Table[[#This Row],[Tenant ID]],") Application",IF(Data_Table[[#This Row],[Colo Rev]]&gt;0," Rev "&amp;Data_Table[[#This Row],[Colo Rev]],""),".xlsx")</f>
        <v>ASTN_0035 (TAW6249) Application.xlsx</v>
      </c>
      <c r="AB17" s="91">
        <f t="shared" ca="1" si="2"/>
        <v>50</v>
      </c>
      <c r="AC17" s="93" t="str">
        <f ca="1">LEFT(CELL("filename",A4),Data_Table[[#This Row],[Find Process &amp; Database]]-1)</f>
        <v>D:\OneDrive - apollo-towers.com\Apollo Towers\00-</v>
      </c>
      <c r="AD17" s="93" t="str">
        <f ca="1">Data_Table[Folder Path1]&amp;"Process &amp; Database\Documentation\Colo Applications"</f>
        <v>D:\OneDrive - apollo-towers.com\Apollo Towers\00-Process &amp; Database\Documentation\Colo Applications</v>
      </c>
      <c r="AE17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17" s="94" t="str">
        <f ca="1">Data_Table[[#This Row],[Folder Path3]]&amp;Data_Table[[#This Row],[File Name]]</f>
        <v>D:\OneDrive - apollo-towers.com\Apollo Towers\00-Process &amp; Database\Documentation\Colo Applications\Colo App OML\ASTN_0035 (TAW6249) Application.xlsx</v>
      </c>
    </row>
    <row r="18" spans="1:32">
      <c r="A18" s="85">
        <v>224</v>
      </c>
      <c r="B18" s="86" t="s">
        <v>78</v>
      </c>
      <c r="C18" s="86" t="s">
        <v>79</v>
      </c>
      <c r="D18" s="86" t="s">
        <v>80</v>
      </c>
      <c r="E18" s="86" t="s">
        <v>69</v>
      </c>
      <c r="F18" s="86"/>
      <c r="G18" s="84">
        <v>43245</v>
      </c>
      <c r="H18" s="84" t="s">
        <v>69</v>
      </c>
      <c r="I18" s="87"/>
      <c r="J18" s="88">
        <v>2</v>
      </c>
      <c r="K18" s="89">
        <v>6</v>
      </c>
      <c r="L18" s="89" t="s">
        <v>70</v>
      </c>
      <c r="M18" s="90">
        <v>45</v>
      </c>
      <c r="N18" s="90">
        <v>50</v>
      </c>
      <c r="O18" s="84" t="s">
        <v>10</v>
      </c>
      <c r="P18" s="91" t="s">
        <v>71</v>
      </c>
      <c r="Q18" s="91" t="s">
        <v>71</v>
      </c>
      <c r="R18" s="91" t="s">
        <v>71</v>
      </c>
      <c r="S18" s="91" t="s">
        <v>71</v>
      </c>
      <c r="T18" s="91" t="s">
        <v>77</v>
      </c>
      <c r="U18" s="91"/>
      <c r="V18" s="84">
        <v>43417.622353009298</v>
      </c>
      <c r="W18" s="84">
        <v>43417.71125</v>
      </c>
      <c r="X18" s="84">
        <f ca="1">IF(Data_Table[[#This Row],[Tower Space Result]]="OK",IF(Data_Table[[#This Row],[Tower_Space_Time]]=0,NOW(),Data_Table[[#This Row],[Tower_Space_Time]]),"")</f>
        <v>43417.622353009298</v>
      </c>
      <c r="Y18" s="84">
        <f ca="1">IF(Data_Table[[#This Row],[Ground Space Result]]="OK",IF(Data_Table[[#This Row],[CW_Time]]=0,NOW(),Data_Table[[#This Row],[CW_Time]]),"")</f>
        <v>43417.71125</v>
      </c>
      <c r="Z18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18" s="93" t="str">
        <f>CONCATENATE(Data_Table[[#This Row],[Site ID]]," (",Data_Table[[#This Row],[Tenant ID]],") Application",IF(Data_Table[[#This Row],[Colo Rev]]&gt;0," Rev "&amp;Data_Table[[#This Row],[Colo Rev]],""),".xlsx")</f>
        <v>ANSG_0373 (SGG0992) Application.xlsx</v>
      </c>
      <c r="AB18" s="91">
        <f t="shared" ca="1" si="2"/>
        <v>50</v>
      </c>
      <c r="AC18" s="93" t="str">
        <f ca="1">LEFT(CELL("filename",A5),Data_Table[[#This Row],[Find Process &amp; Database]]-1)</f>
        <v>D:\OneDrive - apollo-towers.com\Apollo Towers\00-</v>
      </c>
      <c r="AD18" s="93" t="str">
        <f ca="1">Data_Table[Folder Path1]&amp;"Process &amp; Database\Documentation\Colo Applications"</f>
        <v>D:\OneDrive - apollo-towers.com\Apollo Towers\00-Process &amp; Database\Documentation\Colo Applications</v>
      </c>
      <c r="AE18" s="93" t="str">
        <f ca="1">Data_Table[Folder Path2]&amp;"\Colo App "&amp;Data_Table[[#This Row],[Operator]]&amp;"\"</f>
        <v>D:\OneDrive - apollo-towers.com\Apollo Towers\00-Process &amp; Database\Documentation\Colo Applications\Colo App Mytel\</v>
      </c>
      <c r="AF18" s="94" t="str">
        <f ca="1">Data_Table[[#This Row],[Folder Path3]]&amp;Data_Table[[#This Row],[File Name]]</f>
        <v>D:\OneDrive - apollo-towers.com\Apollo Towers\00-Process &amp; Database\Documentation\Colo Applications\Colo App Mytel\ANSG_0373 (SGG0992) Application.xlsx</v>
      </c>
    </row>
    <row r="19" spans="1:32">
      <c r="A19" s="85">
        <v>251</v>
      </c>
      <c r="B19" s="86" t="s">
        <v>81</v>
      </c>
      <c r="C19" s="86" t="s">
        <v>82</v>
      </c>
      <c r="D19" s="86" t="s">
        <v>80</v>
      </c>
      <c r="E19" s="86" t="s">
        <v>69</v>
      </c>
      <c r="F19" s="86" t="s">
        <v>83</v>
      </c>
      <c r="G19" s="84">
        <v>43267</v>
      </c>
      <c r="H19" s="84" t="s">
        <v>69</v>
      </c>
      <c r="I19" s="87"/>
      <c r="J19" s="88">
        <v>2</v>
      </c>
      <c r="K19" s="89">
        <v>6</v>
      </c>
      <c r="L19" s="89" t="s">
        <v>70</v>
      </c>
      <c r="M19" s="90">
        <v>18</v>
      </c>
      <c r="N19" s="90">
        <v>23</v>
      </c>
      <c r="O19" s="84" t="s">
        <v>10</v>
      </c>
      <c r="P19" s="91" t="s">
        <v>71</v>
      </c>
      <c r="Q19" s="91" t="s">
        <v>71</v>
      </c>
      <c r="R19" s="91" t="s">
        <v>71</v>
      </c>
      <c r="S19" s="91" t="s">
        <v>71</v>
      </c>
      <c r="T19" s="91" t="s">
        <v>77</v>
      </c>
      <c r="U19" s="91"/>
      <c r="V19" s="84">
        <v>43417.626841782403</v>
      </c>
      <c r="W19" s="84">
        <v>43417.711250578701</v>
      </c>
      <c r="X19" s="84">
        <f ca="1">IF(Data_Table[[#This Row],[Tower Space Result]]="OK",IF(Data_Table[[#This Row],[Tower_Space_Time]]=0,NOW(),Data_Table[[#This Row],[Tower_Space_Time]]),"")</f>
        <v>43417.626841782403</v>
      </c>
      <c r="Y19" s="84">
        <f ca="1">IF(Data_Table[[#This Row],[Ground Space Result]]="OK",IF(Data_Table[[#This Row],[CW_Time]]=0,NOW(),Data_Table[[#This Row],[CW_Time]]),"")</f>
        <v>43417.711250578701</v>
      </c>
      <c r="Z19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19" s="93" t="str">
        <f>CONCATENATE(Data_Table[[#This Row],[Site ID]]," (",Data_Table[[#This Row],[Tenant ID]],") Application",IF(Data_Table[[#This Row],[Colo Rev]]&gt;0," Rev "&amp;Data_Table[[#This Row],[Colo Rev]],""),".xlsx")</f>
        <v>AYYN_0100 (YGN0496) Application.xlsx</v>
      </c>
      <c r="AB19" s="91">
        <f t="shared" ca="1" si="2"/>
        <v>50</v>
      </c>
      <c r="AC19" s="93" t="str">
        <f ca="1">LEFT(CELL("filename",A6),Data_Table[[#This Row],[Find Process &amp; Database]]-1)</f>
        <v>D:\OneDrive - apollo-towers.com\Apollo Towers\00-</v>
      </c>
      <c r="AD19" s="93" t="str">
        <f ca="1">Data_Table[Folder Path1]&amp;"Process &amp; Database\Documentation\Colo Applications"</f>
        <v>D:\OneDrive - apollo-towers.com\Apollo Towers\00-Process &amp; Database\Documentation\Colo Applications</v>
      </c>
      <c r="AE19" s="93" t="str">
        <f ca="1">Data_Table[Folder Path2]&amp;"\Colo App "&amp;Data_Table[[#This Row],[Operator]]&amp;"\"</f>
        <v>D:\OneDrive - apollo-towers.com\Apollo Towers\00-Process &amp; Database\Documentation\Colo Applications\Colo App Mytel\</v>
      </c>
      <c r="AF19" s="94" t="str">
        <f ca="1">Data_Table[[#This Row],[Folder Path3]]&amp;Data_Table[[#This Row],[File Name]]</f>
        <v>D:\OneDrive - apollo-towers.com\Apollo Towers\00-Process &amp; Database\Documentation\Colo Applications\Colo App Mytel\AYYN_0100 (YGN0496) Application.xlsx</v>
      </c>
    </row>
    <row r="20" spans="1:32">
      <c r="A20" s="85">
        <v>265</v>
      </c>
      <c r="B20" s="86" t="s">
        <v>84</v>
      </c>
      <c r="C20" s="86" t="s">
        <v>85</v>
      </c>
      <c r="D20" s="86" t="s">
        <v>68</v>
      </c>
      <c r="E20" s="86" t="s">
        <v>69</v>
      </c>
      <c r="F20" s="86"/>
      <c r="G20" s="84">
        <v>43299</v>
      </c>
      <c r="H20" s="84" t="s">
        <v>69</v>
      </c>
      <c r="I20" s="87"/>
      <c r="J20" s="88">
        <v>3</v>
      </c>
      <c r="K20" s="89">
        <v>6.5</v>
      </c>
      <c r="L20" s="89" t="s">
        <v>70</v>
      </c>
      <c r="M20" s="90">
        <v>15</v>
      </c>
      <c r="N20" s="90">
        <v>20</v>
      </c>
      <c r="O20" s="84" t="s">
        <v>10</v>
      </c>
      <c r="P20" s="91" t="s">
        <v>71</v>
      </c>
      <c r="Q20" s="91" t="s">
        <v>86</v>
      </c>
      <c r="R20" s="91"/>
      <c r="S20" s="91" t="s">
        <v>71</v>
      </c>
      <c r="T20" s="91" t="s">
        <v>73</v>
      </c>
      <c r="U20" s="91" t="s">
        <v>87</v>
      </c>
      <c r="V20" s="84">
        <v>43417.622354282401</v>
      </c>
      <c r="W20" s="84">
        <v>43417.729836574101</v>
      </c>
      <c r="X20" s="84">
        <f ca="1">IF(Data_Table[[#This Row],[Tower Space Result]]="OK",IF(Data_Table[[#This Row],[Tower_Space_Time]]=0,NOW(),Data_Table[[#This Row],[Tower_Space_Time]]),"")</f>
        <v>43417.622354282401</v>
      </c>
      <c r="Y20" s="84">
        <f ca="1">IF(Data_Table[[#This Row],[Ground Space Result]]="OK",IF(Data_Table[[#This Row],[CW_Time]]=0,NOW(),Data_Table[[#This Row],[CW_Time]]),"")</f>
        <v>43417.729836574101</v>
      </c>
      <c r="Z20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0" s="93" t="str">
        <f>CONCATENATE(Data_Table[[#This Row],[Site ID]]," (",Data_Table[[#This Row],[Tenant ID]],") Application",IF(Data_Table[[#This Row],[Colo Rev]]&gt;0," Rev "&amp;Data_Table[[#This Row],[Colo Rev]],""),".xlsx")</f>
        <v>ANMD_0080 (MAW2380) Application.xlsx</v>
      </c>
      <c r="AB20" s="91">
        <f t="shared" ca="1" si="2"/>
        <v>50</v>
      </c>
      <c r="AC20" s="93" t="str">
        <f ca="1">LEFT(CELL("filename",A7),Data_Table[[#This Row],[Find Process &amp; Database]]-1)</f>
        <v>D:\OneDrive - apollo-towers.com\Apollo Towers\00-</v>
      </c>
      <c r="AD20" s="93" t="str">
        <f ca="1">Data_Table[Folder Path1]&amp;"Process &amp; Database\Documentation\Colo Applications"</f>
        <v>D:\OneDrive - apollo-towers.com\Apollo Towers\00-Process &amp; Database\Documentation\Colo Applications</v>
      </c>
      <c r="AE20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0" s="94" t="str">
        <f ca="1">Data_Table[[#This Row],[Folder Path3]]&amp;Data_Table[[#This Row],[File Name]]</f>
        <v>D:\OneDrive - apollo-towers.com\Apollo Towers\00-Process &amp; Database\Documentation\Colo Applications\Colo App OML\ANMD_0080 (MAW2380) Application.xlsx</v>
      </c>
    </row>
    <row r="21" spans="1:32">
      <c r="A21" s="85">
        <v>275</v>
      </c>
      <c r="B21" s="86" t="s">
        <v>88</v>
      </c>
      <c r="C21" s="86" t="s">
        <v>89</v>
      </c>
      <c r="D21" s="86" t="s">
        <v>90</v>
      </c>
      <c r="E21" s="86" t="s">
        <v>69</v>
      </c>
      <c r="F21" s="86"/>
      <c r="G21" s="84">
        <v>43327</v>
      </c>
      <c r="H21" s="84" t="s">
        <v>69</v>
      </c>
      <c r="I21" s="87"/>
      <c r="J21" s="88">
        <v>2.5</v>
      </c>
      <c r="K21" s="89">
        <v>3</v>
      </c>
      <c r="L21" s="89" t="s">
        <v>70</v>
      </c>
      <c r="M21" s="90">
        <v>13.5</v>
      </c>
      <c r="N21" s="90">
        <v>16.5</v>
      </c>
      <c r="O21" s="84" t="s">
        <v>10</v>
      </c>
      <c r="P21" s="91" t="s">
        <v>71</v>
      </c>
      <c r="Q21" s="91"/>
      <c r="R21" s="91"/>
      <c r="S21" s="91"/>
      <c r="T21" s="91"/>
      <c r="U21" s="91"/>
      <c r="V21" s="84">
        <v>43417.622354629602</v>
      </c>
      <c r="W21" s="84"/>
      <c r="X21" s="84">
        <f ca="1">IF(Data_Table[[#This Row],[Tower Space Result]]="OK",IF(Data_Table[[#This Row],[Tower_Space_Time]]=0,NOW(),Data_Table[[#This Row],[Tower_Space_Time]]),"")</f>
        <v>43417.622354629602</v>
      </c>
      <c r="Y21" s="84" t="str">
        <f ca="1">IF(Data_Table[[#This Row],[Ground Space Result]]="OK",IF(Data_Table[[#This Row],[CW_Time]]=0,NOW(),Data_Table[[#This Row],[CW_Time]]),"")</f>
        <v/>
      </c>
      <c r="Z21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1" s="93" t="str">
        <f>CONCATENATE(Data_Table[[#This Row],[Site ID]]," (",Data_Table[[#This Row],[Tenant ID]],") Application",IF(Data_Table[[#This Row],[Colo Rev]]&gt;0," Rev "&amp;Data_Table[[#This Row],[Colo Rev]],""),".xlsx")</f>
        <v>ANMD_0011 (MDYAMTZ017) Application.xlsx</v>
      </c>
      <c r="AB21" s="91">
        <f t="shared" ca="1" si="2"/>
        <v>50</v>
      </c>
      <c r="AC21" s="93" t="str">
        <f ca="1">LEFT(CELL("filename",A8),Data_Table[[#This Row],[Find Process &amp; Database]]-1)</f>
        <v>D:\OneDrive - apollo-towers.com\Apollo Towers\00-</v>
      </c>
      <c r="AD21" s="93" t="str">
        <f ca="1">Data_Table[Folder Path1]&amp;"Process &amp; Database\Documentation\Colo Applications"</f>
        <v>D:\OneDrive - apollo-towers.com\Apollo Towers\00-Process &amp; Database\Documentation\Colo Applications</v>
      </c>
      <c r="AE21" s="93" t="str">
        <f ca="1">Data_Table[Folder Path2]&amp;"\Colo App "&amp;Data_Table[[#This Row],[Operator]]&amp;"\"</f>
        <v>D:\OneDrive - apollo-towers.com\Apollo Towers\00-Process &amp; Database\Documentation\Colo Applications\Colo App Amara\</v>
      </c>
      <c r="AF21" s="94" t="str">
        <f ca="1">Data_Table[[#This Row],[Folder Path3]]&amp;Data_Table[[#This Row],[File Name]]</f>
        <v>D:\OneDrive - apollo-towers.com\Apollo Towers\00-Process &amp; Database\Documentation\Colo Applications\Colo App Amara\ANMD_0011 (MDYAMTZ017) Application.xlsx</v>
      </c>
    </row>
    <row r="22" spans="1:32">
      <c r="A22" s="85">
        <v>648</v>
      </c>
      <c r="B22" s="86" t="s">
        <v>91</v>
      </c>
      <c r="C22" s="86" t="s">
        <v>92</v>
      </c>
      <c r="D22" s="86" t="s">
        <v>68</v>
      </c>
      <c r="E22" s="86" t="s">
        <v>69</v>
      </c>
      <c r="F22" s="86"/>
      <c r="G22" s="84">
        <v>43350</v>
      </c>
      <c r="H22" s="84" t="s">
        <v>69</v>
      </c>
      <c r="I22" s="87"/>
      <c r="J22" s="88">
        <v>3</v>
      </c>
      <c r="K22" s="89">
        <v>6</v>
      </c>
      <c r="L22" s="89" t="s">
        <v>70</v>
      </c>
      <c r="M22" s="90">
        <v>23</v>
      </c>
      <c r="N22" s="90">
        <v>28</v>
      </c>
      <c r="O22" s="84" t="s">
        <v>10</v>
      </c>
      <c r="P22" s="91" t="s">
        <v>71</v>
      </c>
      <c r="Q22" s="91"/>
      <c r="R22" s="91"/>
      <c r="S22" s="91" t="s">
        <v>71</v>
      </c>
      <c r="T22" s="91" t="s">
        <v>77</v>
      </c>
      <c r="U22" s="91"/>
      <c r="V22" s="84">
        <v>43417.622355671301</v>
      </c>
      <c r="W22" s="84">
        <v>43417.7298373843</v>
      </c>
      <c r="X22" s="84">
        <f ca="1">IF(Data_Table[[#This Row],[Tower Space Result]]="OK",IF(Data_Table[[#This Row],[Tower_Space_Time]]=0,NOW(),Data_Table[[#This Row],[Tower_Space_Time]]),"")</f>
        <v>43417.622355671301</v>
      </c>
      <c r="Y22" s="84">
        <f ca="1">IF(Data_Table[[#This Row],[Ground Space Result]]="OK",IF(Data_Table[[#This Row],[CW_Time]]=0,NOW(),Data_Table[[#This Row],[CW_Time]]),"")</f>
        <v>43417.7298373843</v>
      </c>
      <c r="Z22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2" s="93" t="str">
        <f>CONCATENATE(Data_Table[[#This Row],[Site ID]]," (",Data_Table[[#This Row],[Tenant ID]],") Application",IF(Data_Table[[#This Row],[Colo Rev]]&gt;0," Rev "&amp;Data_Table[[#This Row],[Colo Rev]],""),".xlsx")</f>
        <v>ACAY_0154 (AYW5603) Application.xlsx</v>
      </c>
      <c r="AB22" s="91">
        <f t="shared" ca="1" si="2"/>
        <v>50</v>
      </c>
      <c r="AC22" s="93" t="str">
        <f ca="1">LEFT(CELL("filename",A9),Data_Table[[#This Row],[Find Process &amp; Database]]-1)</f>
        <v>D:\OneDrive - apollo-towers.com\Apollo Towers\00-</v>
      </c>
      <c r="AD22" s="93" t="str">
        <f ca="1">Data_Table[Folder Path1]&amp;"Process &amp; Database\Documentation\Colo Applications"</f>
        <v>D:\OneDrive - apollo-towers.com\Apollo Towers\00-Process &amp; Database\Documentation\Colo Applications</v>
      </c>
      <c r="AE22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2" s="94" t="str">
        <f ca="1">Data_Table[[#This Row],[Folder Path3]]&amp;Data_Table[[#This Row],[File Name]]</f>
        <v>D:\OneDrive - apollo-towers.com\Apollo Towers\00-Process &amp; Database\Documentation\Colo Applications\Colo App OML\ACAY_0154 (AYW5603) Application.xlsx</v>
      </c>
    </row>
    <row r="23" spans="1:32">
      <c r="A23" s="85">
        <v>649</v>
      </c>
      <c r="B23" s="86" t="s">
        <v>93</v>
      </c>
      <c r="C23" s="86" t="s">
        <v>94</v>
      </c>
      <c r="D23" s="86" t="s">
        <v>68</v>
      </c>
      <c r="E23" s="86" t="s">
        <v>69</v>
      </c>
      <c r="F23" s="86"/>
      <c r="G23" s="84">
        <v>43350</v>
      </c>
      <c r="H23" s="84" t="s">
        <v>69</v>
      </c>
      <c r="I23" s="87"/>
      <c r="J23" s="88">
        <v>3</v>
      </c>
      <c r="K23" s="89">
        <v>6</v>
      </c>
      <c r="L23" s="89" t="s">
        <v>70</v>
      </c>
      <c r="M23" s="90">
        <v>23</v>
      </c>
      <c r="N23" s="90">
        <v>28</v>
      </c>
      <c r="O23" s="84" t="s">
        <v>10</v>
      </c>
      <c r="P23" s="91" t="s">
        <v>71</v>
      </c>
      <c r="Q23" s="91"/>
      <c r="R23" s="91"/>
      <c r="S23" s="91" t="s">
        <v>71</v>
      </c>
      <c r="T23" s="91" t="s">
        <v>77</v>
      </c>
      <c r="U23" s="91"/>
      <c r="V23" s="84">
        <v>43417.622356828702</v>
      </c>
      <c r="W23" s="84">
        <v>43417.729837847197</v>
      </c>
      <c r="X23" s="84">
        <f ca="1">IF(Data_Table[[#This Row],[Tower Space Result]]="OK",IF(Data_Table[[#This Row],[Tower_Space_Time]]=0,NOW(),Data_Table[[#This Row],[Tower_Space_Time]]),"")</f>
        <v>43417.622356828702</v>
      </c>
      <c r="Y23" s="84">
        <f ca="1">IF(Data_Table[[#This Row],[Ground Space Result]]="OK",IF(Data_Table[[#This Row],[CW_Time]]=0,NOW(),Data_Table[[#This Row],[CW_Time]]),"")</f>
        <v>43417.729837847197</v>
      </c>
      <c r="Z23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3" s="93" t="str">
        <f>CONCATENATE(Data_Table[[#This Row],[Site ID]]," (",Data_Table[[#This Row],[Tenant ID]],") Application",IF(Data_Table[[#This Row],[Colo Rev]]&gt;0," Rev "&amp;Data_Table[[#This Row],[Colo Rev]],""),".xlsx")</f>
        <v>ACAY_0056 (AYW5611) Application.xlsx</v>
      </c>
      <c r="AB23" s="91">
        <f t="shared" ca="1" si="2"/>
        <v>50</v>
      </c>
      <c r="AC23" s="93" t="str">
        <f ca="1">LEFT(CELL("filename",A10),Data_Table[[#This Row],[Find Process &amp; Database]]-1)</f>
        <v>D:\OneDrive - apollo-towers.com\Apollo Towers\00-</v>
      </c>
      <c r="AD23" s="93" t="str">
        <f ca="1">Data_Table[Folder Path1]&amp;"Process &amp; Database\Documentation\Colo Applications"</f>
        <v>D:\OneDrive - apollo-towers.com\Apollo Towers\00-Process &amp; Database\Documentation\Colo Applications</v>
      </c>
      <c r="AE23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3" s="94" t="str">
        <f ca="1">Data_Table[[#This Row],[Folder Path3]]&amp;Data_Table[[#This Row],[File Name]]</f>
        <v>D:\OneDrive - apollo-towers.com\Apollo Towers\00-Process &amp; Database\Documentation\Colo Applications\Colo App OML\ACAY_0056 (AYW5611) Application.xlsx</v>
      </c>
    </row>
    <row r="24" spans="1:32">
      <c r="A24" s="85">
        <v>650</v>
      </c>
      <c r="B24" s="86" t="s">
        <v>95</v>
      </c>
      <c r="C24" s="86" t="s">
        <v>96</v>
      </c>
      <c r="D24" s="86" t="s">
        <v>68</v>
      </c>
      <c r="E24" s="86" t="s">
        <v>69</v>
      </c>
      <c r="F24" s="86"/>
      <c r="G24" s="84">
        <v>43350</v>
      </c>
      <c r="H24" s="84" t="s">
        <v>69</v>
      </c>
      <c r="I24" s="87"/>
      <c r="J24" s="88">
        <v>3</v>
      </c>
      <c r="K24" s="89">
        <v>6</v>
      </c>
      <c r="L24" s="89" t="s">
        <v>70</v>
      </c>
      <c r="M24" s="90">
        <v>26</v>
      </c>
      <c r="N24" s="90">
        <v>31</v>
      </c>
      <c r="O24" s="84" t="s">
        <v>10</v>
      </c>
      <c r="P24" s="91" t="s">
        <v>71</v>
      </c>
      <c r="Q24" s="91"/>
      <c r="R24" s="91"/>
      <c r="S24" s="91" t="s">
        <v>71</v>
      </c>
      <c r="T24" s="91" t="s">
        <v>77</v>
      </c>
      <c r="U24" s="91"/>
      <c r="V24" s="84">
        <v>43417.622357175896</v>
      </c>
      <c r="W24" s="84">
        <v>43417.729838541702</v>
      </c>
      <c r="X24" s="84">
        <f ca="1">IF(Data_Table[[#This Row],[Tower Space Result]]="OK",IF(Data_Table[[#This Row],[Tower_Space_Time]]=0,NOW(),Data_Table[[#This Row],[Tower_Space_Time]]),"")</f>
        <v>43417.622357175896</v>
      </c>
      <c r="Y24" s="84">
        <f ca="1">IF(Data_Table[[#This Row],[Ground Space Result]]="OK",IF(Data_Table[[#This Row],[CW_Time]]=0,NOW(),Data_Table[[#This Row],[CW_Time]]),"")</f>
        <v>43417.729838541702</v>
      </c>
      <c r="Z24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4" s="93" t="str">
        <f>CONCATENATE(Data_Table[[#This Row],[Site ID]]," (",Data_Table[[#This Row],[Tenant ID]],") Application",IF(Data_Table[[#This Row],[Colo Rev]]&gt;0," Rev "&amp;Data_Table[[#This Row],[Colo Rev]],""),".xlsx")</f>
        <v>ACAY_0138 (AYW5612) Application.xlsx</v>
      </c>
      <c r="AB24" s="91">
        <f t="shared" ca="1" si="2"/>
        <v>50</v>
      </c>
      <c r="AC24" s="93" t="str">
        <f ca="1">LEFT(CELL("filename",A11),Data_Table[[#This Row],[Find Process &amp; Database]]-1)</f>
        <v>D:\OneDrive - apollo-towers.com\Apollo Towers\00-</v>
      </c>
      <c r="AD24" s="93" t="str">
        <f ca="1">Data_Table[Folder Path1]&amp;"Process &amp; Database\Documentation\Colo Applications"</f>
        <v>D:\OneDrive - apollo-towers.com\Apollo Towers\00-Process &amp; Database\Documentation\Colo Applications</v>
      </c>
      <c r="AE24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4" s="94" t="str">
        <f ca="1">Data_Table[[#This Row],[Folder Path3]]&amp;Data_Table[[#This Row],[File Name]]</f>
        <v>D:\OneDrive - apollo-towers.com\Apollo Towers\00-Process &amp; Database\Documentation\Colo Applications\Colo App OML\ACAY_0138 (AYW5612) Application.xlsx</v>
      </c>
    </row>
    <row r="25" spans="1:32">
      <c r="A25" s="85">
        <v>651</v>
      </c>
      <c r="B25" s="86" t="s">
        <v>97</v>
      </c>
      <c r="C25" s="86" t="s">
        <v>98</v>
      </c>
      <c r="D25" s="86" t="s">
        <v>68</v>
      </c>
      <c r="E25" s="86" t="s">
        <v>69</v>
      </c>
      <c r="F25" s="86"/>
      <c r="G25" s="84">
        <v>43350</v>
      </c>
      <c r="H25" s="84" t="s">
        <v>69</v>
      </c>
      <c r="I25" s="87"/>
      <c r="J25" s="88">
        <v>3</v>
      </c>
      <c r="K25" s="89">
        <v>6</v>
      </c>
      <c r="L25" s="89" t="s">
        <v>70</v>
      </c>
      <c r="M25" s="90">
        <v>27</v>
      </c>
      <c r="N25" s="90">
        <v>32</v>
      </c>
      <c r="O25" s="84" t="s">
        <v>10</v>
      </c>
      <c r="P25" s="91" t="s">
        <v>71</v>
      </c>
      <c r="Q25" s="91"/>
      <c r="R25" s="91"/>
      <c r="S25" s="91" t="s">
        <v>71</v>
      </c>
      <c r="T25" s="91" t="s">
        <v>77</v>
      </c>
      <c r="U25" s="91"/>
      <c r="V25" s="84">
        <v>43417.622357523098</v>
      </c>
      <c r="W25" s="84">
        <v>43417.729839236097</v>
      </c>
      <c r="X25" s="84">
        <f ca="1">IF(Data_Table[[#This Row],[Tower Space Result]]="OK",IF(Data_Table[[#This Row],[Tower_Space_Time]]=0,NOW(),Data_Table[[#This Row],[Tower_Space_Time]]),"")</f>
        <v>43417.622357523098</v>
      </c>
      <c r="Y25" s="84">
        <f ca="1">IF(Data_Table[[#This Row],[Ground Space Result]]="OK",IF(Data_Table[[#This Row],[CW_Time]]=0,NOW(),Data_Table[[#This Row],[CW_Time]]),"")</f>
        <v>43417.729839236097</v>
      </c>
      <c r="Z25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5" s="93" t="str">
        <f>CONCATENATE(Data_Table[[#This Row],[Site ID]]," (",Data_Table[[#This Row],[Tenant ID]],") Application",IF(Data_Table[[#This Row],[Colo Rev]]&gt;0," Rev "&amp;Data_Table[[#This Row],[Colo Rev]],""),".xlsx")</f>
        <v>ACBA_0256 (BAW5598) Application.xlsx</v>
      </c>
      <c r="AB25" s="91">
        <f t="shared" ca="1" si="2"/>
        <v>50</v>
      </c>
      <c r="AC25" s="93" t="str">
        <f ca="1">LEFT(CELL("filename",A12),Data_Table[[#This Row],[Find Process &amp; Database]]-1)</f>
        <v>D:\OneDrive - apollo-towers.com\Apollo Towers\00-</v>
      </c>
      <c r="AD25" s="93" t="str">
        <f ca="1">Data_Table[Folder Path1]&amp;"Process &amp; Database\Documentation\Colo Applications"</f>
        <v>D:\OneDrive - apollo-towers.com\Apollo Towers\00-Process &amp; Database\Documentation\Colo Applications</v>
      </c>
      <c r="AE25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5" s="94" t="str">
        <f ca="1">Data_Table[[#This Row],[Folder Path3]]&amp;Data_Table[[#This Row],[File Name]]</f>
        <v>D:\OneDrive - apollo-towers.com\Apollo Towers\00-Process &amp; Database\Documentation\Colo Applications\Colo App OML\ACBA_0256 (BAW5598) Application.xlsx</v>
      </c>
    </row>
    <row r="26" spans="1:32">
      <c r="A26" s="85">
        <v>652</v>
      </c>
      <c r="B26" s="86" t="s">
        <v>99</v>
      </c>
      <c r="C26" s="86" t="s">
        <v>100</v>
      </c>
      <c r="D26" s="86" t="s">
        <v>68</v>
      </c>
      <c r="E26" s="86" t="s">
        <v>69</v>
      </c>
      <c r="F26" s="86"/>
      <c r="G26" s="84">
        <v>43350</v>
      </c>
      <c r="H26" s="84" t="s">
        <v>69</v>
      </c>
      <c r="I26" s="87"/>
      <c r="J26" s="88">
        <v>3</v>
      </c>
      <c r="K26" s="89">
        <v>6</v>
      </c>
      <c r="L26" s="89" t="s">
        <v>70</v>
      </c>
      <c r="M26" s="90">
        <v>31</v>
      </c>
      <c r="N26" s="90">
        <v>36</v>
      </c>
      <c r="O26" s="84" t="s">
        <v>10</v>
      </c>
      <c r="P26" s="91" t="s">
        <v>71</v>
      </c>
      <c r="Q26" s="91"/>
      <c r="R26" s="91"/>
      <c r="S26" s="91" t="s">
        <v>71</v>
      </c>
      <c r="T26" s="91" t="s">
        <v>77</v>
      </c>
      <c r="U26" s="91" t="s">
        <v>101</v>
      </c>
      <c r="V26" s="84">
        <v>43417.622359027802</v>
      </c>
      <c r="W26" s="84">
        <v>43417.729839930602</v>
      </c>
      <c r="X26" s="84">
        <f ca="1">IF(Data_Table[[#This Row],[Tower Space Result]]="OK",IF(Data_Table[[#This Row],[Tower_Space_Time]]=0,NOW(),Data_Table[[#This Row],[Tower_Space_Time]]),"")</f>
        <v>43417.622359027802</v>
      </c>
      <c r="Y26" s="84">
        <f ca="1">IF(Data_Table[[#This Row],[Ground Space Result]]="OK",IF(Data_Table[[#This Row],[CW_Time]]=0,NOW(),Data_Table[[#This Row],[CW_Time]]),"")</f>
        <v>43417.729839930602</v>
      </c>
      <c r="Z26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6" s="93" t="str">
        <f>CONCATENATE(Data_Table[[#This Row],[Site ID]]," (",Data_Table[[#This Row],[Tenant ID]],") Application",IF(Data_Table[[#This Row],[Colo Rev]]&gt;0," Rev "&amp;Data_Table[[#This Row],[Colo Rev]],""),".xlsx")</f>
        <v>ASMO_0161 (MOW6321) Application.xlsx</v>
      </c>
      <c r="AB26" s="91">
        <f t="shared" ca="1" si="2"/>
        <v>50</v>
      </c>
      <c r="AC26" s="93" t="str">
        <f ca="1">LEFT(CELL("filename",A13),Data_Table[[#This Row],[Find Process &amp; Database]]-1)</f>
        <v>D:\OneDrive - apollo-towers.com\Apollo Towers\00-</v>
      </c>
      <c r="AD26" s="93" t="str">
        <f ca="1">Data_Table[Folder Path1]&amp;"Process &amp; Database\Documentation\Colo Applications"</f>
        <v>D:\OneDrive - apollo-towers.com\Apollo Towers\00-Process &amp; Database\Documentation\Colo Applications</v>
      </c>
      <c r="AE26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6" s="94" t="str">
        <f ca="1">Data_Table[[#This Row],[Folder Path3]]&amp;Data_Table[[#This Row],[File Name]]</f>
        <v>D:\OneDrive - apollo-towers.com\Apollo Towers\00-Process &amp; Database\Documentation\Colo Applications\Colo App OML\ASMO_0161 (MOW6321) Application.xlsx</v>
      </c>
    </row>
    <row r="27" spans="1:32">
      <c r="A27" s="85">
        <v>653</v>
      </c>
      <c r="B27" s="86" t="s">
        <v>102</v>
      </c>
      <c r="C27" s="86" t="s">
        <v>103</v>
      </c>
      <c r="D27" s="86" t="s">
        <v>68</v>
      </c>
      <c r="E27" s="86" t="s">
        <v>69</v>
      </c>
      <c r="F27" s="86"/>
      <c r="G27" s="84">
        <v>43350</v>
      </c>
      <c r="H27" s="84" t="s">
        <v>69</v>
      </c>
      <c r="I27" s="87"/>
      <c r="J27" s="88">
        <v>3</v>
      </c>
      <c r="K27" s="89">
        <v>6</v>
      </c>
      <c r="L27" s="89" t="s">
        <v>70</v>
      </c>
      <c r="M27" s="90">
        <v>35</v>
      </c>
      <c r="N27" s="90">
        <v>40</v>
      </c>
      <c r="O27" s="84" t="s">
        <v>10</v>
      </c>
      <c r="P27" s="91" t="s">
        <v>71</v>
      </c>
      <c r="Q27" s="91"/>
      <c r="R27" s="91"/>
      <c r="S27" s="91"/>
      <c r="T27" s="91"/>
      <c r="U27" s="91"/>
      <c r="V27" s="84">
        <v>43417.622359606503</v>
      </c>
      <c r="W27" s="84"/>
      <c r="X27" s="84">
        <f ca="1">IF(Data_Table[[#This Row],[Tower Space Result]]="OK",IF(Data_Table[[#This Row],[Tower_Space_Time]]=0,NOW(),Data_Table[[#This Row],[Tower_Space_Time]]),"")</f>
        <v>43417.622359606503</v>
      </c>
      <c r="Y27" s="84" t="str">
        <f ca="1">IF(Data_Table[[#This Row],[Ground Space Result]]="OK",IF(Data_Table[[#This Row],[CW_Time]]=0,NOW(),Data_Table[[#This Row],[CW_Time]]),"")</f>
        <v/>
      </c>
      <c r="Z27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7" s="93" t="str">
        <f>CONCATENATE(Data_Table[[#This Row],[Site ID]]," (",Data_Table[[#This Row],[Tenant ID]],") Application",IF(Data_Table[[#This Row],[Colo Rev]]&gt;0," Rev "&amp;Data_Table[[#This Row],[Colo Rev]],""),".xlsx")</f>
        <v>ACBA_0104 (BAW5607) Application.xlsx</v>
      </c>
      <c r="AB27" s="91">
        <f t="shared" ca="1" si="2"/>
        <v>50</v>
      </c>
      <c r="AC27" s="93" t="str">
        <f ca="1">LEFT(CELL("filename",A14),Data_Table[[#This Row],[Find Process &amp; Database]]-1)</f>
        <v>D:\OneDrive - apollo-towers.com\Apollo Towers\00-</v>
      </c>
      <c r="AD27" s="93" t="str">
        <f ca="1">Data_Table[Folder Path1]&amp;"Process &amp; Database\Documentation\Colo Applications"</f>
        <v>D:\OneDrive - apollo-towers.com\Apollo Towers\00-Process &amp; Database\Documentation\Colo Applications</v>
      </c>
      <c r="AE27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7" s="94" t="str">
        <f ca="1">Data_Table[[#This Row],[Folder Path3]]&amp;Data_Table[[#This Row],[File Name]]</f>
        <v>D:\OneDrive - apollo-towers.com\Apollo Towers\00-Process &amp; Database\Documentation\Colo Applications\Colo App OML\ACBA_0104 (BAW5607) Application.xlsx</v>
      </c>
    </row>
    <row r="28" spans="1:32">
      <c r="A28" s="85">
        <v>654</v>
      </c>
      <c r="B28" s="86" t="s">
        <v>104</v>
      </c>
      <c r="C28" s="86" t="s">
        <v>105</v>
      </c>
      <c r="D28" s="86" t="s">
        <v>68</v>
      </c>
      <c r="E28" s="86" t="s">
        <v>69</v>
      </c>
      <c r="F28" s="86"/>
      <c r="G28" s="84">
        <v>43350</v>
      </c>
      <c r="H28" s="84" t="s">
        <v>69</v>
      </c>
      <c r="I28" s="87"/>
      <c r="J28" s="88">
        <v>3</v>
      </c>
      <c r="K28" s="89">
        <v>6</v>
      </c>
      <c r="L28" s="89" t="s">
        <v>70</v>
      </c>
      <c r="M28" s="90">
        <v>23</v>
      </c>
      <c r="N28" s="90">
        <v>28</v>
      </c>
      <c r="O28" s="84" t="s">
        <v>10</v>
      </c>
      <c r="P28" s="91" t="s">
        <v>71</v>
      </c>
      <c r="Q28" s="91"/>
      <c r="R28" s="91"/>
      <c r="S28" s="91"/>
      <c r="T28" s="91"/>
      <c r="U28" s="91"/>
      <c r="V28" s="84">
        <v>43417.622361226902</v>
      </c>
      <c r="W28" s="84"/>
      <c r="X28" s="84">
        <f ca="1">IF(Data_Table[[#This Row],[Tower Space Result]]="OK",IF(Data_Table[[#This Row],[Tower_Space_Time]]=0,NOW(),Data_Table[[#This Row],[Tower_Space_Time]]),"")</f>
        <v>43417.622361226902</v>
      </c>
      <c r="Y28" s="84" t="str">
        <f ca="1">IF(Data_Table[[#This Row],[Ground Space Result]]="OK",IF(Data_Table[[#This Row],[CW_Time]]=0,NOW(),Data_Table[[#This Row],[CW_Time]]),"")</f>
        <v/>
      </c>
      <c r="Z28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8" s="93" t="str">
        <f>CONCATENATE(Data_Table[[#This Row],[Site ID]]," (",Data_Table[[#This Row],[Tenant ID]],") Application",IF(Data_Table[[#This Row],[Colo Rev]]&gt;0," Rev "&amp;Data_Table[[#This Row],[Colo Rev]],""),".xlsx")</f>
        <v>ACBA_0099 (BAW5608) Application.xlsx</v>
      </c>
      <c r="AB28" s="91">
        <f t="shared" ca="1" si="2"/>
        <v>50</v>
      </c>
      <c r="AC28" s="93" t="str">
        <f ca="1">LEFT(CELL("filename",A15),Data_Table[[#This Row],[Find Process &amp; Database]]-1)</f>
        <v>D:\OneDrive - apollo-towers.com\Apollo Towers\00-</v>
      </c>
      <c r="AD28" s="93" t="str">
        <f ca="1">Data_Table[Folder Path1]&amp;"Process &amp; Database\Documentation\Colo Applications"</f>
        <v>D:\OneDrive - apollo-towers.com\Apollo Towers\00-Process &amp; Database\Documentation\Colo Applications</v>
      </c>
      <c r="AE28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8" s="94" t="str">
        <f ca="1">Data_Table[[#This Row],[Folder Path3]]&amp;Data_Table[[#This Row],[File Name]]</f>
        <v>D:\OneDrive - apollo-towers.com\Apollo Towers\00-Process &amp; Database\Documentation\Colo Applications\Colo App OML\ACBA_0099 (BAW5608) Application.xlsx</v>
      </c>
    </row>
    <row r="29" spans="1:32">
      <c r="A29" s="85">
        <v>655</v>
      </c>
      <c r="B29" s="86" t="s">
        <v>106</v>
      </c>
      <c r="C29" s="86" t="s">
        <v>107</v>
      </c>
      <c r="D29" s="86" t="s">
        <v>68</v>
      </c>
      <c r="E29" s="86" t="s">
        <v>69</v>
      </c>
      <c r="F29" s="86"/>
      <c r="G29" s="84">
        <v>43353</v>
      </c>
      <c r="H29" s="84" t="s">
        <v>69</v>
      </c>
      <c r="I29" s="87"/>
      <c r="J29" s="88">
        <v>3</v>
      </c>
      <c r="K29" s="89">
        <v>6</v>
      </c>
      <c r="L29" s="89" t="s">
        <v>70</v>
      </c>
      <c r="M29" s="90">
        <v>30</v>
      </c>
      <c r="N29" s="90">
        <v>35</v>
      </c>
      <c r="O29" s="84" t="s">
        <v>10</v>
      </c>
      <c r="P29" s="91"/>
      <c r="Q29" s="91"/>
      <c r="R29" s="91"/>
      <c r="S29" s="91"/>
      <c r="T29" s="91"/>
      <c r="U29" s="91"/>
      <c r="V29" s="84"/>
      <c r="W29" s="84"/>
      <c r="X29" s="84" t="str">
        <f ca="1">IF(Data_Table[[#This Row],[Tower Space Result]]="OK",IF(Data_Table[[#This Row],[Tower_Space_Time]]=0,NOW(),Data_Table[[#This Row],[Tower_Space_Time]]),"")</f>
        <v/>
      </c>
      <c r="Y29" s="84" t="str">
        <f ca="1">IF(Data_Table[[#This Row],[Ground Space Result]]="OK",IF(Data_Table[[#This Row],[CW_Time]]=0,NOW(),Data_Table[[#This Row],[CW_Time]]),"")</f>
        <v/>
      </c>
      <c r="Z29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29" s="93" t="str">
        <f>CONCATENATE(Data_Table[[#This Row],[Site ID]]," (",Data_Table[[#This Row],[Tenant ID]],") Application",IF(Data_Table[[#This Row],[Colo Rev]]&gt;0," Rev "&amp;Data_Table[[#This Row],[Colo Rev]],""),".xlsx")</f>
        <v>ANNP_0256 (NPW2249) Application.xlsx</v>
      </c>
      <c r="AB29" s="91">
        <f t="shared" ca="1" si="2"/>
        <v>50</v>
      </c>
      <c r="AC29" s="93" t="str">
        <f ca="1">LEFT(CELL("filename",A16),Data_Table[[#This Row],[Find Process &amp; Database]]-1)</f>
        <v>D:\OneDrive - apollo-towers.com\Apollo Towers\00-</v>
      </c>
      <c r="AD29" s="93" t="str">
        <f ca="1">Data_Table[Folder Path1]&amp;"Process &amp; Database\Documentation\Colo Applications"</f>
        <v>D:\OneDrive - apollo-towers.com\Apollo Towers\00-Process &amp; Database\Documentation\Colo Applications</v>
      </c>
      <c r="AE29" s="93" t="str">
        <f ca="1">Data_Table[Folder Path2]&amp;"\Colo App "&amp;Data_Table[[#This Row],[Operator]]&amp;"\"</f>
        <v>D:\OneDrive - apollo-towers.com\Apollo Towers\00-Process &amp; Database\Documentation\Colo Applications\Colo App OML\</v>
      </c>
      <c r="AF29" s="94" t="str">
        <f ca="1">Data_Table[[#This Row],[Folder Path3]]&amp;Data_Table[[#This Row],[File Name]]</f>
        <v>D:\OneDrive - apollo-towers.com\Apollo Towers\00-Process &amp; Database\Documentation\Colo Applications\Colo App OML\ANNP_0256 (NPW2249) Application.xlsx</v>
      </c>
    </row>
    <row r="30" spans="1:32">
      <c r="A30" s="85">
        <v>3386</v>
      </c>
      <c r="B30" s="86" t="s">
        <v>108</v>
      </c>
      <c r="C30" s="86" t="s">
        <v>109</v>
      </c>
      <c r="D30" s="86" t="s">
        <v>110</v>
      </c>
      <c r="E30" s="86" t="s">
        <v>69</v>
      </c>
      <c r="F30" s="86" t="s">
        <v>83</v>
      </c>
      <c r="G30" s="84">
        <v>43403</v>
      </c>
      <c r="H30" s="84" t="s">
        <v>111</v>
      </c>
      <c r="I30" s="87"/>
      <c r="J30" s="88">
        <v>3.7669999999999999</v>
      </c>
      <c r="K30" s="89">
        <v>7.3760000000000003</v>
      </c>
      <c r="L30" s="89" t="s">
        <v>70</v>
      </c>
      <c r="M30" s="90">
        <v>36</v>
      </c>
      <c r="N30" s="90">
        <v>41</v>
      </c>
      <c r="O30" s="84" t="s">
        <v>10</v>
      </c>
      <c r="P30" s="91" t="s">
        <v>71</v>
      </c>
      <c r="Q30" s="91" t="s">
        <v>112</v>
      </c>
      <c r="R30" s="91" t="s">
        <v>71</v>
      </c>
      <c r="S30" s="91"/>
      <c r="T30" s="91"/>
      <c r="U30" s="91"/>
      <c r="V30" s="84">
        <v>43417.622362962997</v>
      </c>
      <c r="W30" s="84"/>
      <c r="X30" s="84">
        <f ca="1">IF(Data_Table[[#This Row],[Tower Space Result]]="OK",IF(Data_Table[[#This Row],[Tower_Space_Time]]=0,NOW(),Data_Table[[#This Row],[Tower_Space_Time]]),"")</f>
        <v>43417.622362962997</v>
      </c>
      <c r="Y30" s="84" t="str">
        <f ca="1">IF(Data_Table[[#This Row],[Ground Space Result]]="OK",IF(Data_Table[[#This Row],[CW_Time]]=0,NOW(),Data_Table[[#This Row],[CW_Time]]),"")</f>
        <v/>
      </c>
      <c r="Z30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30" s="93" t="str">
        <f>CONCATENATE(Data_Table[[#This Row],[Site ID]]," (",Data_Table[[#This Row],[Tenant ID]],") Application",IF(Data_Table[[#This Row],[Colo Rev]]&gt;0," Rev "&amp;Data_Table[[#This Row],[Colo Rev]],""),".xlsx")</f>
        <v>ANSG_0463 (SGG00730) Application.xlsx</v>
      </c>
      <c r="AB30" s="91">
        <f t="shared" ca="1" si="2"/>
        <v>50</v>
      </c>
      <c r="AC30" s="93" t="str">
        <f ca="1">LEFT(CELL("filename",A17),Data_Table[[#This Row],[Find Process &amp; Database]]-1)</f>
        <v>D:\OneDrive - apollo-towers.com\Apollo Towers\00-</v>
      </c>
      <c r="AD30" s="93" t="str">
        <f ca="1">Data_Table[Folder Path1]&amp;"Process &amp; Database\Documentation\Colo Applications"</f>
        <v>D:\OneDrive - apollo-towers.com\Apollo Towers\00-Process &amp; Database\Documentation\Colo Applications</v>
      </c>
      <c r="AE30" s="93" t="str">
        <f ca="1">Data_Table[Folder Path2]&amp;"\Colo App "&amp;Data_Table[[#This Row],[Operator]]&amp;"\"</f>
        <v>D:\OneDrive - apollo-towers.com\Apollo Towers\00-Process &amp; Database\Documentation\Colo Applications\Colo App MPT\</v>
      </c>
      <c r="AF30" s="94" t="str">
        <f ca="1">Data_Table[[#This Row],[Folder Path3]]&amp;Data_Table[[#This Row],[File Name]]</f>
        <v>D:\OneDrive - apollo-towers.com\Apollo Towers\00-Process &amp; Database\Documentation\Colo Applications\Colo App MPT\ANSG_0463 (SGG00730) Application.xlsx</v>
      </c>
    </row>
    <row r="31" spans="1:32">
      <c r="A31" s="85">
        <v>3387</v>
      </c>
      <c r="B31" s="86" t="s">
        <v>113</v>
      </c>
      <c r="C31" s="86" t="s">
        <v>114</v>
      </c>
      <c r="D31" s="86" t="s">
        <v>110</v>
      </c>
      <c r="E31" s="86" t="s">
        <v>69</v>
      </c>
      <c r="F31" s="86" t="s">
        <v>83</v>
      </c>
      <c r="G31" s="84">
        <v>43403</v>
      </c>
      <c r="H31" s="84" t="s">
        <v>111</v>
      </c>
      <c r="I31" s="87"/>
      <c r="J31" s="88">
        <v>3.9470000000000001</v>
      </c>
      <c r="K31" s="89">
        <v>8.8360000000000003</v>
      </c>
      <c r="L31" s="89" t="s">
        <v>70</v>
      </c>
      <c r="M31" s="90">
        <v>36</v>
      </c>
      <c r="N31" s="90">
        <v>41</v>
      </c>
      <c r="O31" s="84" t="s">
        <v>10</v>
      </c>
      <c r="P31" s="91" t="s">
        <v>71</v>
      </c>
      <c r="Q31" s="91" t="s">
        <v>115</v>
      </c>
      <c r="R31" s="91" t="s">
        <v>71</v>
      </c>
      <c r="S31" s="91"/>
      <c r="T31" s="91"/>
      <c r="U31" s="91"/>
      <c r="V31" s="84">
        <v>43417.622364004601</v>
      </c>
      <c r="W31" s="84"/>
      <c r="X31" s="84">
        <f ca="1">IF(Data_Table[[#This Row],[Tower Space Result]]="OK",IF(Data_Table[[#This Row],[Tower_Space_Time]]=0,NOW(),Data_Table[[#This Row],[Tower_Space_Time]]),"")</f>
        <v>43417.622364004601</v>
      </c>
      <c r="Y31" s="84" t="str">
        <f ca="1">IF(Data_Table[[#This Row],[Ground Space Result]]="OK",IF(Data_Table[[#This Row],[CW_Time]]=0,NOW(),Data_Table[[#This Row],[CW_Time]]),"")</f>
        <v/>
      </c>
      <c r="Z31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31" s="93" t="str">
        <f>CONCATENATE(Data_Table[[#This Row],[Site ID]]," (",Data_Table[[#This Row],[Tenant ID]],") Application",IF(Data_Table[[#This Row],[Colo Rev]]&gt;0," Rev "&amp;Data_Table[[#This Row],[Colo Rev]],""),".xlsx")</f>
        <v>ANSG_0485 (SGG00698) Application.xlsx</v>
      </c>
      <c r="AB31" s="91">
        <f t="shared" ca="1" si="2"/>
        <v>50</v>
      </c>
      <c r="AC31" s="93" t="str">
        <f ca="1">LEFT(CELL("filename",A18),Data_Table[[#This Row],[Find Process &amp; Database]]-1)</f>
        <v>D:\OneDrive - apollo-towers.com\Apollo Towers\00-</v>
      </c>
      <c r="AD31" s="93" t="str">
        <f ca="1">Data_Table[Folder Path1]&amp;"Process &amp; Database\Documentation\Colo Applications"</f>
        <v>D:\OneDrive - apollo-towers.com\Apollo Towers\00-Process &amp; Database\Documentation\Colo Applications</v>
      </c>
      <c r="AE31" s="93" t="str">
        <f ca="1">Data_Table[Folder Path2]&amp;"\Colo App "&amp;Data_Table[[#This Row],[Operator]]&amp;"\"</f>
        <v>D:\OneDrive - apollo-towers.com\Apollo Towers\00-Process &amp; Database\Documentation\Colo Applications\Colo App MPT\</v>
      </c>
      <c r="AF31" s="94" t="str">
        <f ca="1">Data_Table[[#This Row],[Folder Path3]]&amp;Data_Table[[#This Row],[File Name]]</f>
        <v>D:\OneDrive - apollo-towers.com\Apollo Towers\00-Process &amp; Database\Documentation\Colo Applications\Colo App MPT\ANSG_0485 (SGG00698) Application.xlsx</v>
      </c>
    </row>
    <row r="32" spans="1:32">
      <c r="A32" s="85">
        <v>3391</v>
      </c>
      <c r="B32" s="86" t="s">
        <v>116</v>
      </c>
      <c r="C32" s="86" t="s">
        <v>117</v>
      </c>
      <c r="D32" s="86" t="s">
        <v>110</v>
      </c>
      <c r="E32" s="86" t="s">
        <v>69</v>
      </c>
      <c r="F32" s="86" t="s">
        <v>83</v>
      </c>
      <c r="G32" s="84">
        <v>43404</v>
      </c>
      <c r="H32" s="84" t="s">
        <v>118</v>
      </c>
      <c r="I32" s="87">
        <v>1</v>
      </c>
      <c r="J32" s="88">
        <v>1.8</v>
      </c>
      <c r="K32" s="89">
        <v>3.66</v>
      </c>
      <c r="L32" s="89" t="s">
        <v>70</v>
      </c>
      <c r="M32" s="90">
        <v>18.5</v>
      </c>
      <c r="N32" s="90">
        <v>23.5</v>
      </c>
      <c r="O32" s="84" t="s">
        <v>10</v>
      </c>
      <c r="P32" s="91" t="s">
        <v>71</v>
      </c>
      <c r="Q32" s="91" t="s">
        <v>119</v>
      </c>
      <c r="R32" s="91" t="s">
        <v>14</v>
      </c>
      <c r="S32" s="91"/>
      <c r="T32" s="91"/>
      <c r="U32" s="91"/>
      <c r="V32" s="84">
        <v>43417.622365740703</v>
      </c>
      <c r="W32" s="84"/>
      <c r="X32" s="84">
        <f ca="1">IF(Data_Table[[#This Row],[Tower Space Result]]="OK",IF(Data_Table[[#This Row],[Tower_Space_Time]]=0,NOW(),Data_Table[[#This Row],[Tower_Space_Time]]),"")</f>
        <v>43417.622365740703</v>
      </c>
      <c r="Y32" s="84" t="str">
        <f ca="1">IF(Data_Table[[#This Row],[Ground Space Result]]="OK",IF(Data_Table[[#This Row],[CW_Time]]=0,NOW(),Data_Table[[#This Row],[CW_Time]]),"")</f>
        <v/>
      </c>
      <c r="Z32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32" s="93" t="str">
        <f>CONCATENATE(Data_Table[[#This Row],[Site ID]]," (",Data_Table[[#This Row],[Tenant ID]],") Application",IF(Data_Table[[#This Row],[Colo Rev]]&gt;0," Rev "&amp;Data_Table[[#This Row],[Colo Rev]],""),".xlsx")</f>
        <v>AYYN_0086 (YGN00788) Application Rev 1.xlsx</v>
      </c>
      <c r="AB32" s="91">
        <f t="shared" ca="1" si="2"/>
        <v>50</v>
      </c>
      <c r="AC32" s="93" t="str">
        <f ca="1">LEFT(CELL("filename",A19),Data_Table[[#This Row],[Find Process &amp; Database]]-1)</f>
        <v>D:\OneDrive - apollo-towers.com\Apollo Towers\00-</v>
      </c>
      <c r="AD32" s="93" t="str">
        <f ca="1">Data_Table[Folder Path1]&amp;"Process &amp; Database\Documentation\Colo Applications"</f>
        <v>D:\OneDrive - apollo-towers.com\Apollo Towers\00-Process &amp; Database\Documentation\Colo Applications</v>
      </c>
      <c r="AE32" s="93" t="str">
        <f ca="1">Data_Table[Folder Path2]&amp;"\Colo App "&amp;Data_Table[[#This Row],[Operator]]&amp;"\"</f>
        <v>D:\OneDrive - apollo-towers.com\Apollo Towers\00-Process &amp; Database\Documentation\Colo Applications\Colo App MPT\</v>
      </c>
      <c r="AF32" s="94" t="str">
        <f ca="1">Data_Table[[#This Row],[Folder Path3]]&amp;Data_Table[[#This Row],[File Name]]</f>
        <v>D:\OneDrive - apollo-towers.com\Apollo Towers\00-Process &amp; Database\Documentation\Colo Applications\Colo App MPT\AYYN_0086 (YGN00788) Application Rev 1.xlsx</v>
      </c>
    </row>
    <row r="33" spans="1:32">
      <c r="A33" s="85">
        <v>3401</v>
      </c>
      <c r="B33" s="86" t="s">
        <v>120</v>
      </c>
      <c r="C33" s="86" t="s">
        <v>121</v>
      </c>
      <c r="D33" s="86" t="s">
        <v>110</v>
      </c>
      <c r="E33" s="86" t="s">
        <v>69</v>
      </c>
      <c r="F33" s="86" t="s">
        <v>83</v>
      </c>
      <c r="G33" s="84">
        <v>43409</v>
      </c>
      <c r="H33" s="84" t="s">
        <v>111</v>
      </c>
      <c r="I33" s="87">
        <v>1</v>
      </c>
      <c r="J33" s="88">
        <v>3.5489999999999999</v>
      </c>
      <c r="K33" s="89">
        <v>7.5</v>
      </c>
      <c r="L33" s="89" t="s">
        <v>122</v>
      </c>
      <c r="M33" s="90">
        <v>48</v>
      </c>
      <c r="N33" s="90">
        <v>53</v>
      </c>
      <c r="O33" s="84" t="s">
        <v>10</v>
      </c>
      <c r="P33" s="91" t="s">
        <v>71</v>
      </c>
      <c r="Q33" s="91" t="s">
        <v>123</v>
      </c>
      <c r="R33" s="91" t="s">
        <v>14</v>
      </c>
      <c r="S33" s="91"/>
      <c r="T33" s="91"/>
      <c r="U33" s="91"/>
      <c r="V33" s="84">
        <v>43417.622366782402</v>
      </c>
      <c r="W33" s="84"/>
      <c r="X33" s="84">
        <f ca="1">IF(Data_Table[[#This Row],[Tower Space Result]]="OK",IF(Data_Table[[#This Row],[Tower_Space_Time]]=0,NOW(),Data_Table[[#This Row],[Tower_Space_Time]]),"")</f>
        <v>43417.622366782402</v>
      </c>
      <c r="Y33" s="84" t="str">
        <f ca="1">IF(Data_Table[[#This Row],[Ground Space Result]]="OK",IF(Data_Table[[#This Row],[CW_Time]]=0,NOW(),Data_Table[[#This Row],[CW_Time]]),"")</f>
        <v/>
      </c>
      <c r="Z33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33" s="93" t="str">
        <f>CONCATENATE(Data_Table[[#This Row],[Site ID]]," (",Data_Table[[#This Row],[Tenant ID]],") Application",IF(Data_Table[[#This Row],[Colo Rev]]&gt;0," Rev "&amp;Data_Table[[#This Row],[Colo Rev]],""),".xlsx")</f>
        <v>1-01-05030-010 (SGG00149) Application Rev 1.xlsx</v>
      </c>
      <c r="AB33" s="91">
        <f t="shared" ca="1" si="2"/>
        <v>50</v>
      </c>
      <c r="AC33" s="93" t="str">
        <f ca="1">LEFT(CELL("filename",A20),Data_Table[[#This Row],[Find Process &amp; Database]]-1)</f>
        <v>D:\OneDrive - apollo-towers.com\Apollo Towers\00-</v>
      </c>
      <c r="AD33" s="93" t="str">
        <f ca="1">Data_Table[Folder Path1]&amp;"Process &amp; Database\Documentation\Colo Applications"</f>
        <v>D:\OneDrive - apollo-towers.com\Apollo Towers\00-Process &amp; Database\Documentation\Colo Applications</v>
      </c>
      <c r="AE33" s="93" t="str">
        <f ca="1">Data_Table[Folder Path2]&amp;"\Colo App "&amp;Data_Table[[#This Row],[Operator]]&amp;"\"</f>
        <v>D:\OneDrive - apollo-towers.com\Apollo Towers\00-Process &amp; Database\Documentation\Colo Applications\Colo App MPT\</v>
      </c>
      <c r="AF33" s="94" t="str">
        <f ca="1">Data_Table[[#This Row],[Folder Path3]]&amp;Data_Table[[#This Row],[File Name]]</f>
        <v>D:\OneDrive - apollo-towers.com\Apollo Towers\00-Process &amp; Database\Documentation\Colo Applications\Colo App MPT\1-01-05030-010 (SGG00149) Application Rev 1.xlsx</v>
      </c>
    </row>
    <row r="34" spans="1:32">
      <c r="A34" s="85">
        <v>3413</v>
      </c>
      <c r="B34" s="86" t="s">
        <v>124</v>
      </c>
      <c r="C34" s="86" t="s">
        <v>125</v>
      </c>
      <c r="D34" s="86" t="s">
        <v>110</v>
      </c>
      <c r="E34" s="86" t="s">
        <v>69</v>
      </c>
      <c r="F34" s="86" t="s">
        <v>83</v>
      </c>
      <c r="G34" s="84">
        <v>43417</v>
      </c>
      <c r="H34" s="84" t="s">
        <v>126</v>
      </c>
      <c r="I34" s="87">
        <v>2</v>
      </c>
      <c r="J34" s="88">
        <v>1.4</v>
      </c>
      <c r="K34" s="89">
        <v>3.07</v>
      </c>
      <c r="L34" s="89" t="s">
        <v>122</v>
      </c>
      <c r="M34" s="90">
        <v>45</v>
      </c>
      <c r="N34" s="90">
        <v>50</v>
      </c>
      <c r="O34" s="84" t="s">
        <v>10</v>
      </c>
      <c r="P34" s="91" t="s">
        <v>71</v>
      </c>
      <c r="Q34" s="91" t="s">
        <v>127</v>
      </c>
      <c r="R34" s="91" t="s">
        <v>128</v>
      </c>
      <c r="S34" s="91" t="s">
        <v>71</v>
      </c>
      <c r="T34" s="91" t="s">
        <v>77</v>
      </c>
      <c r="U34" s="91"/>
      <c r="V34" s="84">
        <v>43418.370526620398</v>
      </c>
      <c r="W34" s="84">
        <v>43418.370526620398</v>
      </c>
      <c r="X34" s="84">
        <f ca="1">IF(Data_Table[[#This Row],[Tower Space Result]]="OK",IF(Data_Table[[#This Row],[Tower_Space_Time]]=0,NOW(),Data_Table[[#This Row],[Tower_Space_Time]]),"")</f>
        <v>43418.370526620398</v>
      </c>
      <c r="Y34" s="84">
        <f ca="1">IF(Data_Table[[#This Row],[Ground Space Result]]="OK",IF(Data_Table[[#This Row],[CW_Time]]=0,NOW(),Data_Table[[#This Row],[CW_Time]]),"")</f>
        <v>43418.370526620398</v>
      </c>
      <c r="Z34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34" s="93" t="str">
        <f>CONCATENATE(Data_Table[[#This Row],[Site ID]]," (",Data_Table[[#This Row],[Tenant ID]],") Application",IF(Data_Table[[#This Row],[Colo Rev]]&gt;0," Rev "&amp;Data_Table[[#This Row],[Colo Rev]],""),".xlsx")</f>
        <v>1-01-01002-008 (KCN00372) Application Rev 2.xlsx</v>
      </c>
      <c r="AB34" s="91">
        <f t="shared" ca="1" si="2"/>
        <v>50</v>
      </c>
      <c r="AC34" s="93" t="str">
        <f ca="1">LEFT(CELL("filename",A21),Data_Table[[#This Row],[Find Process &amp; Database]]-1)</f>
        <v>D:\OneDrive - apollo-towers.com\Apollo Towers\00-</v>
      </c>
      <c r="AD34" s="93" t="str">
        <f ca="1">Data_Table[Folder Path1]&amp;"Process &amp; Database\Documentation\Colo Applications"</f>
        <v>D:\OneDrive - apollo-towers.com\Apollo Towers\00-Process &amp; Database\Documentation\Colo Applications</v>
      </c>
      <c r="AE34" s="93" t="str">
        <f ca="1">Data_Table[Folder Path2]&amp;"\Colo App "&amp;Data_Table[[#This Row],[Operator]]&amp;"\"</f>
        <v>D:\OneDrive - apollo-towers.com\Apollo Towers\00-Process &amp; Database\Documentation\Colo Applications\Colo App MPT\</v>
      </c>
      <c r="AF34" s="94" t="str">
        <f ca="1">Data_Table[[#This Row],[Folder Path3]]&amp;Data_Table[[#This Row],[File Name]]</f>
        <v>D:\OneDrive - apollo-towers.com\Apollo Towers\00-Process &amp; Database\Documentation\Colo Applications\Colo App MPT\1-01-01002-008 (KCN00372) Application Rev 2.xlsx</v>
      </c>
    </row>
    <row r="35" spans="1:32">
      <c r="A35" s="85">
        <v>3414</v>
      </c>
      <c r="B35" s="86" t="s">
        <v>129</v>
      </c>
      <c r="C35" s="86" t="s">
        <v>130</v>
      </c>
      <c r="D35" s="86" t="s">
        <v>110</v>
      </c>
      <c r="E35" s="86" t="s">
        <v>69</v>
      </c>
      <c r="F35" s="86" t="s">
        <v>83</v>
      </c>
      <c r="G35" s="84">
        <v>43417</v>
      </c>
      <c r="H35" s="84" t="s">
        <v>126</v>
      </c>
      <c r="I35" s="87">
        <v>1</v>
      </c>
      <c r="J35" s="88">
        <v>1.522</v>
      </c>
      <c r="K35" s="89">
        <v>2.82</v>
      </c>
      <c r="L35" s="89" t="s">
        <v>122</v>
      </c>
      <c r="M35" s="90">
        <v>48</v>
      </c>
      <c r="N35" s="90">
        <v>53</v>
      </c>
      <c r="O35" s="84" t="s">
        <v>10</v>
      </c>
      <c r="P35" s="91" t="s">
        <v>71</v>
      </c>
      <c r="Q35" s="91" t="s">
        <v>131</v>
      </c>
      <c r="R35" s="91"/>
      <c r="S35" s="91" t="s">
        <v>71</v>
      </c>
      <c r="T35" s="91" t="s">
        <v>77</v>
      </c>
      <c r="U35" s="91"/>
      <c r="V35" s="84">
        <v>43418.370527893501</v>
      </c>
      <c r="W35" s="84">
        <v>43418.370527893501</v>
      </c>
      <c r="X35" s="84">
        <f ca="1">IF(Data_Table[[#This Row],[Tower Space Result]]="OK",IF(Data_Table[[#This Row],[Tower_Space_Time]]=0,NOW(),Data_Table[[#This Row],[Tower_Space_Time]]),"")</f>
        <v>43418.370527893501</v>
      </c>
      <c r="Y35" s="84">
        <f ca="1">IF(Data_Table[[#This Row],[Ground Space Result]]="OK",IF(Data_Table[[#This Row],[CW_Time]]=0,NOW(),Data_Table[[#This Row],[CW_Time]]),"")</f>
        <v>43418.370527893501</v>
      </c>
      <c r="Z35" s="92" t="str">
        <f ca="1">HYPERLINK(CheckPath(Data_Table[[#This Row],[File Path]],Data_Table[[#This Row],[File Path]],Data_Table[[#This Row],[Folder Path3]]),CheckPath(Data_Table[[#This Row],[File Path]],"Open File","No File"))</f>
        <v>No File</v>
      </c>
      <c r="AA35" s="93" t="str">
        <f>CONCATENATE(Data_Table[[#This Row],[Site ID]]," (",Data_Table[[#This Row],[Tenant ID]],") Application",IF(Data_Table[[#This Row],[Colo Rev]]&gt;0," Rev "&amp;Data_Table[[#This Row],[Colo Rev]],""),".xlsx")</f>
        <v>1-01-15012-002 (SHN00218) Application Rev 1.xlsx</v>
      </c>
      <c r="AB35" s="91">
        <f t="shared" ca="1" si="2"/>
        <v>50</v>
      </c>
      <c r="AC35" s="93" t="str">
        <f ca="1">LEFT(CELL("filename",A22),Data_Table[[#This Row],[Find Process &amp; Database]]-1)</f>
        <v>D:\OneDrive - apollo-towers.com\Apollo Towers\00-</v>
      </c>
      <c r="AD35" s="93" t="str">
        <f ca="1">Data_Table[Folder Path1]&amp;"Process &amp; Database\Documentation\Colo Applications"</f>
        <v>D:\OneDrive - apollo-towers.com\Apollo Towers\00-Process &amp; Database\Documentation\Colo Applications</v>
      </c>
      <c r="AE35" s="93" t="str">
        <f ca="1">Data_Table[Folder Path2]&amp;"\Colo App "&amp;Data_Table[[#This Row],[Operator]]&amp;"\"</f>
        <v>D:\OneDrive - apollo-towers.com\Apollo Towers\00-Process &amp; Database\Documentation\Colo Applications\Colo App MPT\</v>
      </c>
      <c r="AF35" s="94" t="str">
        <f ca="1">Data_Table[[#This Row],[Folder Path3]]&amp;Data_Table[[#This Row],[File Name]]</f>
        <v>D:\OneDrive - apollo-towers.com\Apollo Towers\00-Process &amp; Database\Documentation\Colo Applications\Colo App MPT\1-01-15012-002 (SHN00218) Application Rev 1.xlsx</v>
      </c>
    </row>
  </sheetData>
  <conditionalFormatting sqref="B16:B35">
    <cfRule type="duplicateValues" dxfId="38" priority="1725"/>
  </conditionalFormatting>
  <conditionalFormatting sqref="C16:C35">
    <cfRule type="duplicateValues" dxfId="37" priority="1726"/>
  </conditionalFormatting>
  <dataValidations count="4">
    <dataValidation type="list" allowBlank="1" showInputMessage="1" showErrorMessage="1" sqref="P16:P35" xr:uid="{00000000-0002-0000-0900-000000000000}">
      <formula1>"OK, Rejected,Review"</formula1>
    </dataValidation>
    <dataValidation type="list" allowBlank="1" showInputMessage="1" showErrorMessage="1" sqref="R15:R35" xr:uid="{92228636-14BA-4524-BB54-50B0F891D562}">
      <formula1>"Not Required"</formula1>
    </dataValidation>
    <dataValidation type="list" allowBlank="1" showInputMessage="1" showErrorMessage="1" sqref="S16:S35" xr:uid="{7F7A0BC9-8775-4D0C-8308-314FA2DED2B7}">
      <formula1>"OK,Rejected,Review"</formula1>
    </dataValidation>
    <dataValidation type="list" allowBlank="1" showInputMessage="1" showErrorMessage="1" sqref="T16:T35" xr:uid="{F352931C-031B-4FC1-B8D6-EF01BF9F11DD}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15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15</xdr:col>
                    <xdr:colOff>304800</xdr:colOff>
                    <xdr:row>11</xdr:row>
                    <xdr:rowOff>146050</xdr:rowOff>
                  </from>
                  <to>
                    <xdr:col>18</xdr:col>
                    <xdr:colOff>850900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dcmitype/"/>
    <ds:schemaRef ds:uri="7a19e65e-9de7-40b1-ad12-4e6965d24380"/>
    <ds:schemaRef ds:uri="http://purl.org/dc/elements/1.1/"/>
    <ds:schemaRef ds:uri="http://purl.org/dc/terms/"/>
    <ds:schemaRef ds:uri="http://schemas.openxmlformats.org/package/2006/metadata/core-properties"/>
    <ds:schemaRef ds:uri="a390e121-60b8-4fd2-9983-43b87f4d395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2019-01-07T03:32:51Z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