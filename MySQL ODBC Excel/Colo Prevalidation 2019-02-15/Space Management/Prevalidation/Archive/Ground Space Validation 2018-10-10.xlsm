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er\OneDrive - apollo-towers.com\Apollo Towers\00-Process &amp; Database\Colo Prevalidation\Space Management\Prevalidation\"/>
    </mc:Choice>
  </mc:AlternateContent>
  <xr:revisionPtr revIDLastSave="379" documentId="10_ncr:80000_{969D83AC-EE78-4A45-B4A0-6C1252E4F7A7}" xr6:coauthVersionLast="37" xr6:coauthVersionMax="37" xr10:uidLastSave="{53187730-F366-4768-9028-4B6D0D7A7984}"/>
  <bookViews>
    <workbookView xWindow="0" yWindow="0" windowWidth="20490" windowHeight="7485" tabRatio="710" xr2:uid="{00000000-000D-0000-FFFF-FFFF00000000}"/>
  </bookViews>
  <sheets>
    <sheet name="Query" sheetId="41" r:id="rId1"/>
  </sheets>
  <functionGroups builtInGroupCount="19"/>
  <definedNames>
    <definedName name="_xlnm._FilterDatabase" localSheetId="0" hidden="1">Query!$A$15:$G$15</definedName>
    <definedName name="Version">#REF!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41" l="1"/>
  <c r="D4" i="41"/>
  <c r="C4" i="41" l="1"/>
  <c r="C5" i="41" s="1"/>
  <c r="B4" i="41" l="1"/>
  <c r="B5" i="41" s="1"/>
  <c r="A4" i="41"/>
</calcChain>
</file>

<file path=xl/sharedStrings.xml><?xml version="1.0" encoding="utf-8"?>
<sst xmlns="http://schemas.openxmlformats.org/spreadsheetml/2006/main" count="227" uniqueCount="121">
  <si>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</si>
  <si>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</si>
  <si>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</si>
  <si>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</si>
  <si>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</si>
  <si>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</si>
  <si>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</si>
  <si>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</si>
  <si>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</si>
  <si>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</si>
  <si>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</si>
  <si>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</si>
  <si>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</si>
  <si>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</si>
  <si>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</si>
  <si>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</si>
  <si>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Site ID</t>
  </si>
  <si>
    <t>Tenant ID</t>
  </si>
  <si>
    <t>Prevalidation Status</t>
  </si>
  <si>
    <t>Ground Space Remarks</t>
  </si>
  <si>
    <t>Ground Space Result</t>
  </si>
  <si>
    <t>CW_Result</t>
  </si>
  <si>
    <t>CW_Remarks</t>
  </si>
  <si>
    <t>Ground Space Validation</t>
  </si>
  <si>
    <t>Site_ID</t>
  </si>
  <si>
    <t>tenant_id</t>
  </si>
  <si>
    <t>Slab_Extension_Needed</t>
  </si>
  <si>
    <t>05preva_view</t>
  </si>
  <si>
    <t>ANMD_0170</t>
  </si>
  <si>
    <t>MAW2986</t>
  </si>
  <si>
    <t>OML</t>
  </si>
  <si>
    <t>OK</t>
  </si>
  <si>
    <t>Yes</t>
  </si>
  <si>
    <t>RT site, need to provide new pole</t>
  </si>
  <si>
    <t>ASTN_0035</t>
  </si>
  <si>
    <t>TAW6249</t>
  </si>
  <si>
    <t>No</t>
  </si>
  <si>
    <t>ANSG_0373</t>
  </si>
  <si>
    <t>SGG0992</t>
  </si>
  <si>
    <t>Mytel</t>
  </si>
  <si>
    <t>AYYN_0100</t>
  </si>
  <si>
    <t>YGN0496</t>
  </si>
  <si>
    <t>ANMD_0080</t>
  </si>
  <si>
    <t>MAW2380</t>
  </si>
  <si>
    <t>New extension slab (2m x 1m)</t>
  </si>
  <si>
    <t>ANMD_0011</t>
  </si>
  <si>
    <t>MDYAMTZ017</t>
  </si>
  <si>
    <t>Amara</t>
  </si>
  <si>
    <t>ACAY_0154</t>
  </si>
  <si>
    <t>AYW5603</t>
  </si>
  <si>
    <t>ACAY_0056</t>
  </si>
  <si>
    <t>AYW5611</t>
  </si>
  <si>
    <t>ACAY_0138</t>
  </si>
  <si>
    <t>AYW5612</t>
  </si>
  <si>
    <t>ACBA_0256</t>
  </si>
  <si>
    <t>BAW5598</t>
  </si>
  <si>
    <t>ASMO_0161</t>
  </si>
  <si>
    <t>MOW6321</t>
  </si>
  <si>
    <t>need to relocate DCDB pole</t>
  </si>
  <si>
    <t>ACBA_0104</t>
  </si>
  <si>
    <t>BAW5607</t>
  </si>
  <si>
    <t>ACBA_0099</t>
  </si>
  <si>
    <t>BAW5608</t>
  </si>
  <si>
    <t>ANNP_0256</t>
  </si>
  <si>
    <t>NPW2249</t>
  </si>
  <si>
    <t>3-00-01014-002</t>
  </si>
  <si>
    <t>Test1</t>
  </si>
  <si>
    <t>Telenor</t>
  </si>
  <si>
    <t>1-01-01009-003</t>
  </si>
  <si>
    <t>ANMD3093</t>
  </si>
  <si>
    <t>1-01-01009-006</t>
  </si>
  <si>
    <t>MPTSite</t>
  </si>
  <si>
    <t>MPT</t>
  </si>
  <si>
    <t>1-01-14013-003</t>
  </si>
  <si>
    <t>My0024</t>
  </si>
  <si>
    <t>ANSG_0483</t>
  </si>
  <si>
    <t>SGG00406</t>
  </si>
  <si>
    <t>AYYN_0609</t>
  </si>
  <si>
    <t>BGE00472</t>
  </si>
  <si>
    <t>AYYN_0529</t>
  </si>
  <si>
    <t>YGN00500</t>
  </si>
  <si>
    <t>1-01-05027-002</t>
  </si>
  <si>
    <t>SGG00113</t>
  </si>
  <si>
    <t>1-01-16011-001</t>
  </si>
  <si>
    <t>SHE00089</t>
  </si>
  <si>
    <t>1-01-14003-002</t>
  </si>
  <si>
    <t>SHS00117</t>
  </si>
  <si>
    <t>1-01-14013-002</t>
  </si>
  <si>
    <t>SHS00185</t>
  </si>
  <si>
    <t>1-01-06008-002</t>
  </si>
  <si>
    <t>TNY00033</t>
  </si>
  <si>
    <t>1-01-01002-007</t>
  </si>
  <si>
    <t>KCN00293</t>
  </si>
  <si>
    <t>1-01-17019-003</t>
  </si>
  <si>
    <t>AWD00111</t>
  </si>
  <si>
    <t>1-01-05027-008</t>
  </si>
  <si>
    <t>SGG00158</t>
  </si>
  <si>
    <t>1-01-05011-006</t>
  </si>
  <si>
    <t>SGG00544</t>
  </si>
  <si>
    <t>1-01-14008-002</t>
  </si>
  <si>
    <t>SHS00382</t>
  </si>
  <si>
    <t>1-01-16001-003</t>
  </si>
  <si>
    <t>SHE00021</t>
  </si>
  <si>
    <t>1-01-14001-019</t>
  </si>
  <si>
    <t>SHS00259</t>
  </si>
  <si>
    <t>1-01-15010-002</t>
  </si>
  <si>
    <t>SHN00092</t>
  </si>
  <si>
    <t>1-01-08002-005</t>
  </si>
  <si>
    <t>BGW00115</t>
  </si>
  <si>
    <t>1-01-11009-003</t>
  </si>
  <si>
    <t>MON00160</t>
  </si>
  <si>
    <t>1-01-14005-005</t>
  </si>
  <si>
    <t>SHS00349</t>
  </si>
  <si>
    <t>1-01-17016-004</t>
  </si>
  <si>
    <t>AWD00498</t>
  </si>
  <si>
    <t>1-01-13004-002</t>
  </si>
  <si>
    <t>YGN00555</t>
  </si>
  <si>
    <t>1-01-17009-002</t>
  </si>
  <si>
    <t>AWD00481</t>
  </si>
  <si>
    <t>1-01-17008-022</t>
  </si>
  <si>
    <t>AWD00548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</si>
</sst>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3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</numFmts>
  <fonts count="25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7" tint="0.59999389629810485"/>
        <bgColor indexed="64"/>
      </patternFill>
    </fill>
  </fills>
  <borders count="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47">
    <xf numFmtId="164" fontId="0" fillId="0" borderId="0" xfId="0"/>
    <xf numFmtId="0" fontId="0" fillId="0" borderId="0" xfId="0" applyNumberFormat="1"/>
    <xf numFmtId="14" fontId="0" fillId="0" borderId="0" xfId="0" applyNumberFormat="1"/>
    <xf numFmtId="14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4" fontId="254" fillId="88" borderId="0" xfId="0" applyNumberFormat="1" applyFont="1" applyFill="1"/>
    <xf numFmtId="0" fontId="0" fillId="89" borderId="73" xfId="0" applyNumberFormat="1" applyFill="1" applyBorder="1"/>
    <xf numFmtId="0" fontId="255" fillId="90" borderId="73" xfId="0" applyNumberFormat="1" applyFont="1" applyFill="1" applyBorder="1"/>
    <xf numFmtId="164" fontId="254" fillId="89" borderId="73" xfId="0" applyFont="1" applyFill="1" applyBorder="1"/>
    <xf numFmtId="0" fontId="254" fillId="91" borderId="73" xfId="0" applyNumberFormat="1" applyFont="1" applyFill="1" applyBorder="1"/>
    <xf numFmtId="14" fontId="254" fillId="91" borderId="73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3" xfId="0" applyNumberFormat="1" applyFont="1" applyFill="1" applyBorder="1" applyProtection="1"/>
    <xf numFmtId="0" fontId="0" fillId="92" borderId="73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4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3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5" xfId="0" applyFill="1" applyBorder="1"/>
    <xf numFmtId="14" fontId="0" fillId="0" borderId="75" xfId="0" applyNumberFormat="1" applyFill="1" applyBorder="1"/>
    <xf numFmtId="0" fontId="0" fillId="0" borderId="75" xfId="0" applyNumberFormat="1" applyFill="1" applyBorder="1"/>
    <xf numFmtId="0" fontId="0" fillId="89" borderId="75" xfId="0" applyNumberFormat="1" applyFill="1" applyBorder="1"/>
    <xf numFmtId="164" fontId="0" fillId="89" borderId="75" xfId="0" applyFill="1" applyBorder="1"/>
    <xf numFmtId="14" fontId="0" fillId="89" borderId="75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164" fontId="254" fillId="94" borderId="75" xfId="0" applyFont="1" applyFill="1" applyBorder="1" applyAlignment="1">
      <alignment horizontal="center" vertical="center" wrapText="1"/>
    </xf>
    <xf numFmtId="0" fontId="0" fillId="0" borderId="76" xfId="0" applyNumberFormat="1" applyFill="1" applyBorder="1"/>
    <xf numFmtId="164" fontId="0" fillId="0" borderId="76" xfId="0" applyFill="1" applyBorder="1"/>
    <xf numFmtId="14" fontId="0" fillId="0" borderId="76" xfId="0" applyNumberFormat="1" applyFill="1" applyBorder="1"/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21"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20"/>
      <tableStyleElement type="headerRow" dxfId="19"/>
    </tableStyle>
    <tableStyle name="Slicer Style 1" pivot="0" table="0" count="1" xr9:uid="{00000000-0011-0000-FFFF-FFFF01000000}">
      <tableStyleElement type="wholeTable" dxfId="18"/>
    </tableStyle>
    <tableStyle name="Slicer Style New" pivot="0" table="0" count="10" xr9:uid="{00000000-0011-0000-FFFF-FFFF02000000}">
      <tableStyleElement type="wholeTable" dxfId="17"/>
      <tableStyleElement type="headerRow" dxfId="1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952500</xdr:colOff>
          <xdr:row>11</xdr:row>
          <xdr:rowOff>142875</xdr:rowOff>
        </xdr:from>
        <xdr:to>
          <xdr:col>5</xdr:col>
          <xdr:colOff>1276350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1485900</xdr:colOff>
          <xdr:row>11</xdr:row>
          <xdr:rowOff>142875</xdr:rowOff>
        </xdr:from>
        <xdr:to>
          <xdr:col>6</xdr:col>
          <xdr:colOff>866775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I57" totalsRowShown="0" headerRowDxfId="13" dataDxfId="11" headerRowBorderDxfId="12" tableBorderDxfId="10" totalsRowBorderDxfId="9">
  <autoFilter ref="A15:I57" xr:uid="{00000000-0009-0000-0100-00000B000000}"/>
  <tableColumns count="9">
    <tableColumn id="1" xr3:uid="{00000000-0010-0000-0700-000001000000}" name="Request ID" dataDxfId="8"/>
    <tableColumn id="2" xr3:uid="{00000000-0010-0000-0700-000002000000}" name="Site ID" dataDxfId="7"/>
    <tableColumn id="3" xr3:uid="{00000000-0010-0000-0700-000003000000}" name="Tenant ID" dataDxfId="6"/>
    <tableColumn id="4" xr3:uid="{00000000-0010-0000-0700-000004000000}" name="Operator" dataDxfId="5"/>
    <tableColumn id="5" xr3:uid="{00000000-0010-0000-0700-000005000000}" name="Request Date" dataDxfId="4"/>
    <tableColumn id="8" xr3:uid="{00000000-0010-0000-0700-000008000000}" name="Prevalidation Status" dataDxfId="3"/>
    <tableColumn id="6" xr3:uid="{00000000-0010-0000-0700-000006000000}" name="Ground Space Result" dataDxfId="2"/>
    <tableColumn id="7" xr3:uid="{CAB39753-F5CD-41F5-8591-3B603CFC5EBC}" name="Slab_Extension_Needed" dataDxfId="1"/>
    <tableColumn id="10" xr3:uid="{DE512B3D-87A0-481D-B81E-2276F060617B}" name="Ground Space Remark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O57"/>
  <sheetViews>
    <sheetView showGridLines="0" tabSelected="1" workbookViewId="0">
      <pane xSplit="3" ySplit="15" topLeftCell="G16" activePane="bottomRight" state="frozen"/>
      <selection pane="topRight" activeCell="D1" sqref="D1"/>
      <selection pane="bottomLeft" activeCell="A16" sqref="A16"/>
      <selection pane="bottomRight" activeCell="G10" sqref="G10:I10"/>
    </sheetView>
  </sheetViews>
  <sheetFormatPr defaultColWidth="9.140625" defaultRowHeight="15"/>
  <cols>
    <col min="1" max="1" width="9.85546875" style="1" customWidth="1"/>
    <col min="2" max="2" width="16.7109375" bestFit="1" customWidth="1"/>
    <col min="3" max="3" width="14" customWidth="1"/>
    <col min="4" max="4" width="11.28515625" bestFit="1" customWidth="1"/>
    <col min="5" max="5" width="15.140625" style="2" bestFit="1" customWidth="1"/>
    <col min="6" max="6" width="29.28515625" style="27" customWidth="1"/>
    <col min="7" max="7" width="14.28515625" style="27" customWidth="1"/>
    <col min="8" max="9" width="62.85546875" style="27" bestFit="1" customWidth="1"/>
    <col min="10" max="10" width="12.85546875" style="27" customWidth="1"/>
    <col min="11" max="11" width="54" style="27" customWidth="1"/>
    <col min="12" max="12" width="13.42578125" style="27" customWidth="1"/>
    <col min="13" max="13" width="9.7109375" style="27" bestFit="1" customWidth="1"/>
    <col min="14" max="14" width="14" style="27" customWidth="1"/>
    <col min="15" max="15" width="15" style="27" customWidth="1"/>
    <col min="16" max="16384" width="9.140625" style="27"/>
  </cols>
  <sheetData>
    <row r="1" spans="1:15" s="5" customFormat="1">
      <c r="A1" s="14" t="s">
        <v>4</v>
      </c>
      <c r="B1" s="15" t="s">
        <v>27</v>
      </c>
      <c r="C1" s="4"/>
      <c r="D1" s="4"/>
      <c r="E1" s="3"/>
      <c r="F1" s="31" t="s">
        <v>12</v>
      </c>
      <c r="G1" s="31"/>
      <c r="H1" s="32"/>
    </row>
    <row r="2" spans="1:15" s="5" customFormat="1">
      <c r="A2" s="14" t="s">
        <v>7</v>
      </c>
      <c r="B2" s="30"/>
      <c r="C2" s="23"/>
      <c r="D2" s="4"/>
      <c r="E2" s="6"/>
      <c r="F2" s="29" t="s">
        <v>15</v>
      </c>
      <c r="G2" s="33" t="s">
        <v>13</v>
      </c>
      <c r="H2" s="33" t="s">
        <v>14</v>
      </c>
      <c r="I2" s="34" t="s">
        <v>11</v>
      </c>
    </row>
    <row r="3" spans="1:15" s="5" customFormat="1">
      <c r="A3" s="13" t="s">
        <v>2</v>
      </c>
      <c r="B3" s="15" t="s">
        <v>21</v>
      </c>
      <c r="C3" s="15" t="s">
        <v>22</v>
      </c>
      <c r="D3" s="39" t="s">
        <v>26</v>
      </c>
      <c r="E3" s="4"/>
    </row>
    <row r="4" spans="1:15" s="8" customFormat="1">
      <c r="A4" s="16">
        <f>MATCH(A3,10:10,0)</f>
        <v>1</v>
      </c>
      <c r="B4" s="16">
        <f>MATCH(B3,10:10,0)</f>
        <v>7</v>
      </c>
      <c r="C4" s="16">
        <f>MATCH(C3,10:10,0)</f>
        <v>9</v>
      </c>
      <c r="D4" s="16">
        <f>MATCH(D3,10:10,0)</f>
        <v>8</v>
      </c>
      <c r="E4" s="7"/>
      <c r="J4" s="12"/>
      <c r="K4" s="12"/>
    </row>
    <row r="5" spans="1:15" s="8" customFormat="1">
      <c r="A5" s="16">
        <v>3347</v>
      </c>
      <c r="B5" s="17" t="str">
        <f>IF(VLOOKUP($A$5,Data_Table[],B4,FALSE)&lt;&gt;0,VLOOKUP($A$5,Data_Table[],B4,FALSE),"")</f>
        <v/>
      </c>
      <c r="C5" s="16" t="str">
        <f>IF(VLOOKUP($A$5,Data_Table[],C4,FALSE)&lt;&gt;0,VLOOKUP($A$5,Data_Table[],C4,FALSE),"")</f>
        <v/>
      </c>
      <c r="D5" s="16" t="str">
        <f>IF(VLOOKUP($A$5,Data_Table[],D4,FALSE)&lt;&gt;0,VLOOKUP($A$5,Data_Table[],D4,FALSE),"")</f>
        <v/>
      </c>
      <c r="E5" s="7"/>
      <c r="J5" s="12"/>
      <c r="K5" s="12"/>
    </row>
    <row r="6" spans="1:15" s="9" customFormat="1">
      <c r="A6" s="14" t="s">
        <v>5</v>
      </c>
      <c r="E6" s="10"/>
    </row>
    <row r="7" spans="1:15" s="9" customFormat="1">
      <c r="A7" s="21" t="s">
        <v>9</v>
      </c>
      <c r="E7" s="10"/>
    </row>
    <row r="8" spans="1:15" s="9" customFormat="1">
      <c r="A8" s="22" t="s">
        <v>10</v>
      </c>
      <c r="E8" s="10"/>
    </row>
    <row r="9" spans="1:15" s="9" customFormat="1">
      <c r="A9" s="26" t="s">
        <v>6</v>
      </c>
      <c r="E9" s="10"/>
    </row>
    <row r="10" spans="1:15" s="9" customFormat="1">
      <c r="A10" s="38" t="s">
        <v>2</v>
      </c>
      <c r="B10" s="39" t="s">
        <v>24</v>
      </c>
      <c r="C10" s="39" t="s">
        <v>25</v>
      </c>
      <c r="D10" s="39" t="s">
        <v>0</v>
      </c>
      <c r="E10" s="40" t="s">
        <v>1</v>
      </c>
      <c r="F10" s="40" t="s">
        <v>9</v>
      </c>
      <c r="G10" s="39" t="s">
        <v>21</v>
      </c>
      <c r="H10" s="39" t="s">
        <v>26</v>
      </c>
      <c r="I10" s="39" t="s">
        <v>22</v>
      </c>
    </row>
    <row r="11" spans="1:15" s="11" customFormat="1">
      <c r="A11" s="41"/>
      <c r="B11" s="41"/>
      <c r="C11" s="41"/>
      <c r="D11" s="41"/>
      <c r="E11" s="42"/>
      <c r="F11" s="41"/>
      <c r="G11" s="41"/>
      <c r="N11" s="10"/>
      <c r="O11" s="10"/>
    </row>
    <row r="13" spans="1:15" ht="21">
      <c r="A13" s="24" t="s">
        <v>23</v>
      </c>
      <c r="C13" s="25"/>
      <c r="D13" s="25"/>
      <c r="E13" s="25"/>
    </row>
    <row r="15" spans="1:15" s="28" customFormat="1" ht="30">
      <c r="A15" s="18" t="s">
        <v>8</v>
      </c>
      <c r="B15" s="19" t="s">
        <v>16</v>
      </c>
      <c r="C15" s="19" t="s">
        <v>17</v>
      </c>
      <c r="D15" s="19" t="s">
        <v>0</v>
      </c>
      <c r="E15" s="20" t="s">
        <v>3</v>
      </c>
      <c r="F15" s="20" t="s">
        <v>18</v>
      </c>
      <c r="G15" s="43" t="s">
        <v>20</v>
      </c>
      <c r="H15" s="43" t="s">
        <v>26</v>
      </c>
      <c r="I15" s="43" t="s">
        <v>19</v>
      </c>
    </row>
    <row r="16" spans="1:15" ht="14.25" customHeight="1">
      <c r="A16" s="37">
        <v>176</v>
      </c>
      <c r="B16" s="35" t="s">
        <v>28</v>
      </c>
      <c r="C16" s="35" t="s">
        <v>29</v>
      </c>
      <c r="D16" s="35" t="s">
        <v>30</v>
      </c>
      <c r="E16" s="36">
        <v>43236</v>
      </c>
      <c r="F16" s="36" t="s">
        <v>10</v>
      </c>
      <c r="G16" s="37" t="s">
        <v>31</v>
      </c>
      <c r="H16" s="37" t="s">
        <v>32</v>
      </c>
      <c r="I16" s="35" t="s">
        <v>33</v>
      </c>
    </row>
    <row r="17" spans="1:9">
      <c r="A17" s="44">
        <v>199</v>
      </c>
      <c r="B17" s="45" t="s">
        <v>34</v>
      </c>
      <c r="C17" s="45" t="s">
        <v>35</v>
      </c>
      <c r="D17" s="45" t="s">
        <v>30</v>
      </c>
      <c r="E17" s="46">
        <v>43236</v>
      </c>
      <c r="F17" s="46" t="s">
        <v>10</v>
      </c>
      <c r="G17" s="44" t="s">
        <v>31</v>
      </c>
      <c r="H17" s="44" t="s">
        <v>36</v>
      </c>
      <c r="I17" s="45"/>
    </row>
    <row r="18" spans="1:9">
      <c r="A18" s="44">
        <v>224</v>
      </c>
      <c r="B18" s="45" t="s">
        <v>37</v>
      </c>
      <c r="C18" s="45" t="s">
        <v>38</v>
      </c>
      <c r="D18" s="45" t="s">
        <v>39</v>
      </c>
      <c r="E18" s="46">
        <v>43245</v>
      </c>
      <c r="F18" s="46" t="s">
        <v>10</v>
      </c>
      <c r="G18" s="44" t="s">
        <v>31</v>
      </c>
      <c r="H18" s="44" t="s">
        <v>36</v>
      </c>
      <c r="I18" s="45"/>
    </row>
    <row r="19" spans="1:9">
      <c r="A19" s="44">
        <v>251</v>
      </c>
      <c r="B19" s="45" t="s">
        <v>40</v>
      </c>
      <c r="C19" s="45" t="s">
        <v>41</v>
      </c>
      <c r="D19" s="45" t="s">
        <v>39</v>
      </c>
      <c r="E19" s="46">
        <v>43267</v>
      </c>
      <c r="F19" s="46" t="s">
        <v>10</v>
      </c>
      <c r="G19" s="44" t="s">
        <v>31</v>
      </c>
      <c r="H19" s="44" t="s">
        <v>36</v>
      </c>
      <c r="I19" s="45"/>
    </row>
    <row r="20" spans="1:9">
      <c r="A20" s="44">
        <v>265</v>
      </c>
      <c r="B20" s="45" t="s">
        <v>42</v>
      </c>
      <c r="C20" s="45" t="s">
        <v>43</v>
      </c>
      <c r="D20" s="45" t="s">
        <v>30</v>
      </c>
      <c r="E20" s="46">
        <v>43299</v>
      </c>
      <c r="F20" s="46" t="s">
        <v>10</v>
      </c>
      <c r="G20" s="44" t="s">
        <v>31</v>
      </c>
      <c r="H20" s="44" t="s">
        <v>32</v>
      </c>
      <c r="I20" s="45" t="s">
        <v>44</v>
      </c>
    </row>
    <row r="21" spans="1:9">
      <c r="A21" s="44">
        <v>275</v>
      </c>
      <c r="B21" s="45" t="s">
        <v>45</v>
      </c>
      <c r="C21" s="45" t="s">
        <v>46</v>
      </c>
      <c r="D21" s="45" t="s">
        <v>47</v>
      </c>
      <c r="E21" s="46">
        <v>43327</v>
      </c>
      <c r="F21" s="46" t="s">
        <v>10</v>
      </c>
      <c r="G21" s="44"/>
      <c r="H21" s="44"/>
      <c r="I21" s="45"/>
    </row>
    <row r="22" spans="1:9">
      <c r="A22" s="44">
        <v>648</v>
      </c>
      <c r="B22" s="45" t="s">
        <v>48</v>
      </c>
      <c r="C22" s="45" t="s">
        <v>49</v>
      </c>
      <c r="D22" s="45" t="s">
        <v>30</v>
      </c>
      <c r="E22" s="46">
        <v>43350</v>
      </c>
      <c r="F22" s="46" t="s">
        <v>10</v>
      </c>
      <c r="G22" s="44" t="s">
        <v>31</v>
      </c>
      <c r="H22" s="44" t="s">
        <v>36</v>
      </c>
      <c r="I22" s="45"/>
    </row>
    <row r="23" spans="1:9">
      <c r="A23" s="44">
        <v>649</v>
      </c>
      <c r="B23" s="45" t="s">
        <v>50</v>
      </c>
      <c r="C23" s="45" t="s">
        <v>51</v>
      </c>
      <c r="D23" s="45" t="s">
        <v>30</v>
      </c>
      <c r="E23" s="46">
        <v>43350</v>
      </c>
      <c r="F23" s="46" t="s">
        <v>10</v>
      </c>
      <c r="G23" s="44" t="s">
        <v>31</v>
      </c>
      <c r="H23" s="44" t="s">
        <v>36</v>
      </c>
      <c r="I23" s="45"/>
    </row>
    <row r="24" spans="1:9">
      <c r="A24" s="44">
        <v>650</v>
      </c>
      <c r="B24" s="45" t="s">
        <v>52</v>
      </c>
      <c r="C24" s="45" t="s">
        <v>53</v>
      </c>
      <c r="D24" s="45" t="s">
        <v>30</v>
      </c>
      <c r="E24" s="46">
        <v>43350</v>
      </c>
      <c r="F24" s="46" t="s">
        <v>10</v>
      </c>
      <c r="G24" s="44" t="s">
        <v>31</v>
      </c>
      <c r="H24" s="44" t="s">
        <v>36</v>
      </c>
      <c r="I24" s="45"/>
    </row>
    <row r="25" spans="1:9">
      <c r="A25" s="44">
        <v>651</v>
      </c>
      <c r="B25" s="45" t="s">
        <v>54</v>
      </c>
      <c r="C25" s="45" t="s">
        <v>55</v>
      </c>
      <c r="D25" s="45" t="s">
        <v>30</v>
      </c>
      <c r="E25" s="46">
        <v>43350</v>
      </c>
      <c r="F25" s="46" t="s">
        <v>10</v>
      </c>
      <c r="G25" s="44" t="s">
        <v>31</v>
      </c>
      <c r="H25" s="44" t="s">
        <v>36</v>
      </c>
      <c r="I25" s="45"/>
    </row>
    <row r="26" spans="1:9">
      <c r="A26" s="44">
        <v>652</v>
      </c>
      <c r="B26" s="45" t="s">
        <v>56</v>
      </c>
      <c r="C26" s="45" t="s">
        <v>57</v>
      </c>
      <c r="D26" s="45" t="s">
        <v>30</v>
      </c>
      <c r="E26" s="46">
        <v>43350</v>
      </c>
      <c r="F26" s="46" t="s">
        <v>10</v>
      </c>
      <c r="G26" s="44" t="s">
        <v>31</v>
      </c>
      <c r="H26" s="44" t="s">
        <v>36</v>
      </c>
      <c r="I26" s="45" t="s">
        <v>58</v>
      </c>
    </row>
    <row r="27" spans="1:9">
      <c r="A27" s="44">
        <v>653</v>
      </c>
      <c r="B27" s="45" t="s">
        <v>59</v>
      </c>
      <c r="C27" s="45" t="s">
        <v>60</v>
      </c>
      <c r="D27" s="45" t="s">
        <v>30</v>
      </c>
      <c r="E27" s="46">
        <v>43350</v>
      </c>
      <c r="F27" s="46" t="s">
        <v>10</v>
      </c>
      <c r="G27" s="44"/>
      <c r="H27" s="44"/>
      <c r="I27" s="45"/>
    </row>
    <row r="28" spans="1:9">
      <c r="A28" s="44">
        <v>654</v>
      </c>
      <c r="B28" s="45" t="s">
        <v>61</v>
      </c>
      <c r="C28" s="45" t="s">
        <v>62</v>
      </c>
      <c r="D28" s="45" t="s">
        <v>30</v>
      </c>
      <c r="E28" s="46">
        <v>43350</v>
      </c>
      <c r="F28" s="46" t="s">
        <v>10</v>
      </c>
      <c r="G28" s="44"/>
      <c r="H28" s="44"/>
      <c r="I28" s="45"/>
    </row>
    <row r="29" spans="1:9">
      <c r="A29" s="44">
        <v>655</v>
      </c>
      <c r="B29" s="45" t="s">
        <v>63</v>
      </c>
      <c r="C29" s="45" t="s">
        <v>64</v>
      </c>
      <c r="D29" s="45" t="s">
        <v>30</v>
      </c>
      <c r="E29" s="46">
        <v>43353</v>
      </c>
      <c r="F29" s="46" t="s">
        <v>10</v>
      </c>
      <c r="G29" s="44"/>
      <c r="H29" s="44"/>
      <c r="I29" s="45"/>
    </row>
    <row r="30" spans="1:9">
      <c r="A30" s="44">
        <v>3338</v>
      </c>
      <c r="B30" s="45" t="s">
        <v>65</v>
      </c>
      <c r="C30" s="45" t="s">
        <v>66</v>
      </c>
      <c r="D30" s="45" t="s">
        <v>67</v>
      </c>
      <c r="E30" s="46">
        <v>43370</v>
      </c>
      <c r="F30" s="46" t="s">
        <v>10</v>
      </c>
      <c r="G30" s="44"/>
      <c r="H30" s="44"/>
      <c r="I30" s="45"/>
    </row>
    <row r="31" spans="1:9">
      <c r="A31" s="44">
        <v>3341</v>
      </c>
      <c r="B31" s="45" t="s">
        <v>68</v>
      </c>
      <c r="C31" s="45" t="s">
        <v>69</v>
      </c>
      <c r="D31" s="45" t="s">
        <v>47</v>
      </c>
      <c r="E31" s="46">
        <v>43378</v>
      </c>
      <c r="F31" s="46" t="s">
        <v>10</v>
      </c>
      <c r="G31" s="44"/>
      <c r="H31" s="44"/>
      <c r="I31" s="45"/>
    </row>
    <row r="32" spans="1:9">
      <c r="A32" s="44">
        <v>3342</v>
      </c>
      <c r="B32" s="45" t="s">
        <v>70</v>
      </c>
      <c r="C32" s="45" t="s">
        <v>71</v>
      </c>
      <c r="D32" s="45" t="s">
        <v>72</v>
      </c>
      <c r="E32" s="46">
        <v>43378</v>
      </c>
      <c r="F32" s="46" t="s">
        <v>10</v>
      </c>
      <c r="G32" s="44"/>
      <c r="H32" s="44"/>
      <c r="I32" s="45"/>
    </row>
    <row r="33" spans="1:9">
      <c r="A33" s="44">
        <v>3346</v>
      </c>
      <c r="B33" s="45" t="s">
        <v>73</v>
      </c>
      <c r="C33" s="45" t="s">
        <v>74</v>
      </c>
      <c r="D33" s="45" t="s">
        <v>39</v>
      </c>
      <c r="E33" s="46">
        <v>43382</v>
      </c>
      <c r="F33" s="46" t="s">
        <v>10</v>
      </c>
      <c r="G33" s="44" t="s">
        <v>31</v>
      </c>
      <c r="H33" s="44"/>
      <c r="I33" s="45"/>
    </row>
    <row r="34" spans="1:9">
      <c r="A34" s="44">
        <v>3347</v>
      </c>
      <c r="B34" s="45" t="s">
        <v>73</v>
      </c>
      <c r="C34" s="45" t="s">
        <v>74</v>
      </c>
      <c r="D34" s="45" t="s">
        <v>39</v>
      </c>
      <c r="E34" s="46">
        <v>43383</v>
      </c>
      <c r="F34" s="46" t="s">
        <v>10</v>
      </c>
      <c r="G34" s="44"/>
      <c r="H34" s="44"/>
      <c r="I34" s="45"/>
    </row>
    <row r="35" spans="1:9">
      <c r="A35" s="44">
        <v>3348</v>
      </c>
      <c r="B35" s="45" t="s">
        <v>75</v>
      </c>
      <c r="C35" s="45" t="s">
        <v>76</v>
      </c>
      <c r="D35" s="45" t="s">
        <v>72</v>
      </c>
      <c r="E35" s="46">
        <v>43384</v>
      </c>
      <c r="F35" s="46" t="s">
        <v>10</v>
      </c>
      <c r="G35" s="44"/>
      <c r="H35" s="44"/>
      <c r="I35" s="45"/>
    </row>
    <row r="36" spans="1:9">
      <c r="A36" s="44">
        <v>3349</v>
      </c>
      <c r="B36" s="45" t="s">
        <v>77</v>
      </c>
      <c r="C36" s="45" t="s">
        <v>78</v>
      </c>
      <c r="D36" s="45" t="s">
        <v>72</v>
      </c>
      <c r="E36" s="46">
        <v>43384</v>
      </c>
      <c r="F36" s="46" t="s">
        <v>10</v>
      </c>
      <c r="G36" s="44"/>
      <c r="H36" s="44"/>
      <c r="I36" s="45"/>
    </row>
    <row r="37" spans="1:9">
      <c r="A37" s="44">
        <v>3351</v>
      </c>
      <c r="B37" s="45" t="s">
        <v>79</v>
      </c>
      <c r="C37" s="45" t="s">
        <v>80</v>
      </c>
      <c r="D37" s="45" t="s">
        <v>72</v>
      </c>
      <c r="E37" s="46">
        <v>43384</v>
      </c>
      <c r="F37" s="46" t="s">
        <v>10</v>
      </c>
      <c r="G37" s="44"/>
      <c r="H37" s="44"/>
      <c r="I37" s="45"/>
    </row>
    <row r="38" spans="1:9">
      <c r="A38" s="44">
        <v>3352</v>
      </c>
      <c r="B38" s="45" t="s">
        <v>81</v>
      </c>
      <c r="C38" s="45" t="s">
        <v>82</v>
      </c>
      <c r="D38" s="45" t="s">
        <v>72</v>
      </c>
      <c r="E38" s="46">
        <v>43388</v>
      </c>
      <c r="F38" s="46" t="s">
        <v>10</v>
      </c>
      <c r="G38" s="44"/>
      <c r="H38" s="44"/>
      <c r="I38" s="45"/>
    </row>
    <row r="39" spans="1:9">
      <c r="A39" s="44">
        <v>3353</v>
      </c>
      <c r="B39" s="45" t="s">
        <v>83</v>
      </c>
      <c r="C39" s="45" t="s">
        <v>84</v>
      </c>
      <c r="D39" s="45" t="s">
        <v>72</v>
      </c>
      <c r="E39" s="46">
        <v>43388</v>
      </c>
      <c r="F39" s="46" t="s">
        <v>10</v>
      </c>
      <c r="G39" s="44"/>
      <c r="H39" s="44"/>
      <c r="I39" s="45"/>
    </row>
    <row r="40" spans="1:9">
      <c r="A40" s="44">
        <v>3354</v>
      </c>
      <c r="B40" s="45" t="s">
        <v>85</v>
      </c>
      <c r="C40" s="45" t="s">
        <v>86</v>
      </c>
      <c r="D40" s="45" t="s">
        <v>72</v>
      </c>
      <c r="E40" s="46">
        <v>43388</v>
      </c>
      <c r="F40" s="46" t="s">
        <v>10</v>
      </c>
      <c r="G40" s="44"/>
      <c r="H40" s="44"/>
      <c r="I40" s="45"/>
    </row>
    <row r="41" spans="1:9">
      <c r="A41" s="44">
        <v>3355</v>
      </c>
      <c r="B41" s="45" t="s">
        <v>87</v>
      </c>
      <c r="C41" s="45" t="s">
        <v>88</v>
      </c>
      <c r="D41" s="45" t="s">
        <v>72</v>
      </c>
      <c r="E41" s="46">
        <v>43388</v>
      </c>
      <c r="F41" s="46" t="s">
        <v>10</v>
      </c>
      <c r="G41" s="44"/>
      <c r="H41" s="44"/>
      <c r="I41" s="45"/>
    </row>
    <row r="42" spans="1:9">
      <c r="A42" s="44">
        <v>3356</v>
      </c>
      <c r="B42" s="45" t="s">
        <v>89</v>
      </c>
      <c r="C42" s="45" t="s">
        <v>90</v>
      </c>
      <c r="D42" s="45" t="s">
        <v>72</v>
      </c>
      <c r="E42" s="46">
        <v>43388</v>
      </c>
      <c r="F42" s="46" t="s">
        <v>10</v>
      </c>
      <c r="G42" s="44"/>
      <c r="H42" s="44"/>
      <c r="I42" s="45"/>
    </row>
    <row r="43" spans="1:9">
      <c r="A43" s="44">
        <v>3357</v>
      </c>
      <c r="B43" s="45" t="s">
        <v>91</v>
      </c>
      <c r="C43" s="45" t="s">
        <v>92</v>
      </c>
      <c r="D43" s="45" t="s">
        <v>72</v>
      </c>
      <c r="E43" s="46">
        <v>43388</v>
      </c>
      <c r="F43" s="46" t="s">
        <v>10</v>
      </c>
      <c r="G43" s="44"/>
      <c r="H43" s="44"/>
      <c r="I43" s="45"/>
    </row>
    <row r="44" spans="1:9">
      <c r="A44" s="44">
        <v>3358</v>
      </c>
      <c r="B44" s="45" t="s">
        <v>93</v>
      </c>
      <c r="C44" s="45" t="s">
        <v>94</v>
      </c>
      <c r="D44" s="45" t="s">
        <v>72</v>
      </c>
      <c r="E44" s="46">
        <v>43388</v>
      </c>
      <c r="F44" s="46" t="s">
        <v>10</v>
      </c>
      <c r="G44" s="44"/>
      <c r="H44" s="44"/>
      <c r="I44" s="45"/>
    </row>
    <row r="45" spans="1:9">
      <c r="A45" s="44">
        <v>3359</v>
      </c>
      <c r="B45" s="45" t="s">
        <v>95</v>
      </c>
      <c r="C45" s="45" t="s">
        <v>96</v>
      </c>
      <c r="D45" s="45" t="s">
        <v>72</v>
      </c>
      <c r="E45" s="46">
        <v>43388</v>
      </c>
      <c r="F45" s="46" t="s">
        <v>10</v>
      </c>
      <c r="G45" s="44"/>
      <c r="H45" s="44"/>
      <c r="I45" s="45"/>
    </row>
    <row r="46" spans="1:9">
      <c r="A46" s="44">
        <v>3360</v>
      </c>
      <c r="B46" s="45" t="s">
        <v>97</v>
      </c>
      <c r="C46" s="45" t="s">
        <v>98</v>
      </c>
      <c r="D46" s="45" t="s">
        <v>72</v>
      </c>
      <c r="E46" s="46">
        <v>43388</v>
      </c>
      <c r="F46" s="46" t="s">
        <v>10</v>
      </c>
      <c r="G46" s="44"/>
      <c r="H46" s="44"/>
      <c r="I46" s="45"/>
    </row>
    <row r="47" spans="1:9">
      <c r="A47" s="44">
        <v>3361</v>
      </c>
      <c r="B47" s="45" t="s">
        <v>99</v>
      </c>
      <c r="C47" s="45" t="s">
        <v>100</v>
      </c>
      <c r="D47" s="45" t="s">
        <v>72</v>
      </c>
      <c r="E47" s="46">
        <v>43388</v>
      </c>
      <c r="F47" s="46" t="s">
        <v>10</v>
      </c>
      <c r="G47" s="44"/>
      <c r="H47" s="44"/>
      <c r="I47" s="45"/>
    </row>
    <row r="48" spans="1:9">
      <c r="A48" s="44">
        <v>3362</v>
      </c>
      <c r="B48" s="45" t="s">
        <v>101</v>
      </c>
      <c r="C48" s="45" t="s">
        <v>102</v>
      </c>
      <c r="D48" s="45" t="s">
        <v>72</v>
      </c>
      <c r="E48" s="46">
        <v>43388</v>
      </c>
      <c r="F48" s="46" t="s">
        <v>10</v>
      </c>
      <c r="G48" s="44"/>
      <c r="H48" s="44"/>
      <c r="I48" s="45"/>
    </row>
    <row r="49" spans="1:9">
      <c r="A49" s="44">
        <v>3363</v>
      </c>
      <c r="B49" s="45" t="s">
        <v>103</v>
      </c>
      <c r="C49" s="45" t="s">
        <v>104</v>
      </c>
      <c r="D49" s="45" t="s">
        <v>72</v>
      </c>
      <c r="E49" s="46">
        <v>43388</v>
      </c>
      <c r="F49" s="46" t="s">
        <v>10</v>
      </c>
      <c r="G49" s="44"/>
      <c r="H49" s="44"/>
      <c r="I49" s="45"/>
    </row>
    <row r="50" spans="1:9">
      <c r="A50" s="44">
        <v>3364</v>
      </c>
      <c r="B50" s="45" t="s">
        <v>105</v>
      </c>
      <c r="C50" s="45" t="s">
        <v>106</v>
      </c>
      <c r="D50" s="45" t="s">
        <v>72</v>
      </c>
      <c r="E50" s="46">
        <v>43388</v>
      </c>
      <c r="F50" s="46" t="s">
        <v>10</v>
      </c>
      <c r="G50" s="44"/>
      <c r="H50" s="44"/>
      <c r="I50" s="45"/>
    </row>
    <row r="51" spans="1:9">
      <c r="A51" s="44">
        <v>3365</v>
      </c>
      <c r="B51" s="45" t="s">
        <v>107</v>
      </c>
      <c r="C51" s="45" t="s">
        <v>108</v>
      </c>
      <c r="D51" s="45" t="s">
        <v>72</v>
      </c>
      <c r="E51" s="46">
        <v>43388</v>
      </c>
      <c r="F51" s="46" t="s">
        <v>10</v>
      </c>
      <c r="G51" s="44"/>
      <c r="H51" s="44"/>
      <c r="I51" s="45"/>
    </row>
    <row r="52" spans="1:9">
      <c r="A52" s="44">
        <v>3366</v>
      </c>
      <c r="B52" s="45" t="s">
        <v>109</v>
      </c>
      <c r="C52" s="45" t="s">
        <v>110</v>
      </c>
      <c r="D52" s="45" t="s">
        <v>72</v>
      </c>
      <c r="E52" s="46">
        <v>43388</v>
      </c>
      <c r="F52" s="46" t="s">
        <v>10</v>
      </c>
      <c r="G52" s="44"/>
      <c r="H52" s="44"/>
      <c r="I52" s="45"/>
    </row>
    <row r="53" spans="1:9">
      <c r="A53" s="44">
        <v>3367</v>
      </c>
      <c r="B53" s="45" t="s">
        <v>111</v>
      </c>
      <c r="C53" s="45" t="s">
        <v>112</v>
      </c>
      <c r="D53" s="45" t="s">
        <v>72</v>
      </c>
      <c r="E53" s="46">
        <v>43388</v>
      </c>
      <c r="F53" s="46" t="s">
        <v>10</v>
      </c>
      <c r="G53" s="44"/>
      <c r="H53" s="44"/>
      <c r="I53" s="45"/>
    </row>
    <row r="54" spans="1:9">
      <c r="A54" s="44">
        <v>3368</v>
      </c>
      <c r="B54" s="45" t="s">
        <v>113</v>
      </c>
      <c r="C54" s="45" t="s">
        <v>114</v>
      </c>
      <c r="D54" s="45" t="s">
        <v>72</v>
      </c>
      <c r="E54" s="46">
        <v>43388</v>
      </c>
      <c r="F54" s="46" t="s">
        <v>10</v>
      </c>
      <c r="G54" s="44"/>
      <c r="H54" s="44"/>
      <c r="I54" s="45"/>
    </row>
    <row r="55" spans="1:9">
      <c r="A55" s="44">
        <v>3369</v>
      </c>
      <c r="B55" s="45" t="s">
        <v>115</v>
      </c>
      <c r="C55" s="45" t="s">
        <v>116</v>
      </c>
      <c r="D55" s="45" t="s">
        <v>72</v>
      </c>
      <c r="E55" s="46">
        <v>43388</v>
      </c>
      <c r="F55" s="46" t="s">
        <v>10</v>
      </c>
      <c r="G55" s="44"/>
      <c r="H55" s="44"/>
      <c r="I55" s="45"/>
    </row>
    <row r="56" spans="1:9">
      <c r="A56" s="44">
        <v>3370</v>
      </c>
      <c r="B56" s="45" t="s">
        <v>117</v>
      </c>
      <c r="C56" s="45" t="s">
        <v>118</v>
      </c>
      <c r="D56" s="45" t="s">
        <v>72</v>
      </c>
      <c r="E56" s="46">
        <v>43388</v>
      </c>
      <c r="F56" s="46" t="s">
        <v>10</v>
      </c>
      <c r="G56" s="44"/>
      <c r="H56" s="44"/>
      <c r="I56" s="45"/>
    </row>
    <row r="57" spans="1:9">
      <c r="A57" s="44">
        <v>3371</v>
      </c>
      <c r="B57" s="45" t="s">
        <v>119</v>
      </c>
      <c r="C57" s="45" t="s">
        <v>120</v>
      </c>
      <c r="D57" s="45" t="s">
        <v>72</v>
      </c>
      <c r="E57" s="46">
        <v>43388</v>
      </c>
      <c r="F57" s="46" t="s">
        <v>10</v>
      </c>
      <c r="G57" s="44"/>
      <c r="H57" s="44"/>
      <c r="I57" s="45"/>
    </row>
  </sheetData>
  <conditionalFormatting sqref="B16:B57">
    <cfRule type="duplicateValues" dxfId="15" priority="1695"/>
  </conditionalFormatting>
  <conditionalFormatting sqref="C16:C57">
    <cfRule type="duplicateValues" dxfId="14" priority="1696"/>
  </conditionalFormatting>
  <dataValidations count="1">
    <dataValidation type="list" allowBlank="1" showInputMessage="1" showErrorMessage="1" sqref="G16:H57" xr:uid="{00000000-0002-0000-0900-00000000000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952500</xdr:colOff>
                    <xdr:row>0</xdr:row>
                    <xdr:rowOff>142875</xdr:rowOff>
                  </from>
                  <to>
                    <xdr:col>5</xdr:col>
                    <xdr:colOff>1276350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5</xdr:col>
                    <xdr:colOff>1485900</xdr:colOff>
                    <xdr:row>0</xdr:row>
                    <xdr:rowOff>142875</xdr:rowOff>
                  </from>
                  <to>
                    <xdr:col>6</xdr:col>
                    <xdr:colOff>866775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schemas.openxmlformats.org/package/2006/metadata/core-properties"/>
    <ds:schemaRef ds:uri="http://purl.org/dc/dcmitype/"/>
    <ds:schemaRef ds:uri="7a19e65e-9de7-40b1-ad12-4e6965d24380"/>
    <ds:schemaRef ds:uri="a390e121-60b8-4fd2-9983-43b87f4d395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2018-10-16T07:18:33Z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