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 - apollo-towers.com\Apollo Towers\00-Process &amp; Database\Colo Prevalidation\Space Management\Prevalidation\"/>
    </mc:Choice>
  </mc:AlternateContent>
  <xr:revisionPtr revIDLastSave="1077" documentId="13_ncr:1_{D2C4BD25-71A8-498A-BCF6-9C1C96742808}" xr6:coauthVersionLast="40" xr6:coauthVersionMax="40" xr10:uidLastSave="{31B329B4-8F33-4D26-98CA-F6D502EFF425}"/>
  <bookViews>
    <workbookView xWindow="0" yWindow="0" windowWidth="15350" windowHeight="5850" tabRatio="710" xr2:uid="{00000000-000D-0000-FFFF-FFFF00000000}"/>
  </bookViews>
  <sheets>
    <sheet name="Query" sheetId="41" r:id="rId1"/>
    <sheet name="File Extension" sheetId="42" r:id="rId2"/>
  </sheets>
  <functionGroups builtInGroupCount="19"/>
  <externalReferences>
    <externalReference r:id="rId3"/>
  </externalReferences>
  <definedNames>
    <definedName name="_xlnm._FilterDatabase" localSheetId="1" hidden="1">'File Extension'!#REF!</definedName>
    <definedName name="_xlnm._FilterDatabase" localSheetId="0" hidden="1">Query!$A$15:$P$15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4" i="42" l="1"/>
  <c r="H14" i="42"/>
  <c r="G14" i="42"/>
  <c r="F14" i="42"/>
  <c r="E14" i="42"/>
  <c r="D14" i="42"/>
  <c r="C14" i="42"/>
  <c r="B14" i="42"/>
  <c r="B8" i="42"/>
  <c r="B7" i="42" s="1"/>
  <c r="A4" i="42"/>
  <c r="I4" i="41" l="1"/>
  <c r="M4" i="41"/>
  <c r="M5" i="41" l="1"/>
  <c r="L4" i="41"/>
  <c r="L5" i="41" s="1"/>
  <c r="K4" i="41"/>
  <c r="K5" i="41" s="1"/>
  <c r="J4" i="41"/>
  <c r="J5" i="41" s="1"/>
  <c r="U14" i="41"/>
  <c r="T14" i="41"/>
  <c r="S14" i="41"/>
  <c r="V14" i="41"/>
  <c r="X14" i="41"/>
  <c r="Z14" i="41" l="1"/>
  <c r="I5" i="41" l="1"/>
  <c r="H4" i="41"/>
  <c r="H5" i="41" s="1"/>
  <c r="G4" i="41"/>
  <c r="G5" i="41" s="1"/>
  <c r="F4" i="41"/>
  <c r="F5" i="41" s="1"/>
  <c r="E4" i="41"/>
  <c r="E5" i="41" s="1"/>
  <c r="D4" i="41"/>
  <c r="D5" i="41" s="1"/>
  <c r="B14" i="41" l="1"/>
  <c r="C14" i="41"/>
  <c r="D14" i="41"/>
  <c r="E14" i="41"/>
  <c r="F14" i="41"/>
  <c r="G14" i="41"/>
  <c r="H14" i="41"/>
  <c r="I14" i="41"/>
  <c r="J14" i="41"/>
  <c r="K14" i="41"/>
  <c r="L14" i="41"/>
  <c r="M14" i="41"/>
  <c r="N14" i="41"/>
  <c r="O14" i="41"/>
  <c r="P14" i="41"/>
  <c r="Q14" i="41"/>
  <c r="R14" i="41"/>
  <c r="C4" i="41" l="1"/>
  <c r="C5" i="41" s="1"/>
  <c r="B4" i="41" l="1"/>
  <c r="B5" i="41" s="1"/>
  <c r="A4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<sst xmlns="http://schemas.openxmlformats.org/spreadsheetml/2006/main" count="103" uniqueCount="77">
  <si>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</si>
  <si>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</si>
  <si>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</si>
  <si>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</si>
  <si>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</si>
  <si>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</si>
  <si>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</si>
  <si>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</si>
  <si>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</si>
  <si>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</si>
  <si>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</si>
  <si>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</si>
  <si>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</si>
  <si>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</si>
  <si>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</si>
  <si>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</si>
  <si>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</si>
  <si>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</si>
  <si>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</si>
  <si>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</si>
  <si>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</si>
  <si>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</si>
  <si>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</si>
  <si>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</si>
  <si>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</si>
  <si>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</si>
  <si>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</si>
  <si>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05preva_view</t>
  </si>
  <si>
    <t>Site_ID</t>
  </si>
  <si>
    <t>tenant_id</t>
  </si>
  <si>
    <t>Capacity_Requested</t>
  </si>
  <si>
    <t>Capacity_Model</t>
  </si>
  <si>
    <t>Tower_Space_Result</t>
  </si>
  <si>
    <t>Tower_Space_Remarks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</si>
  <si>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</si>
  <si>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</si>
  <si>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</si>
  <si>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</si>
  <si>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</si>
  <si>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</si>
  <si>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</si>
  <si>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</si>
  <si>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</si>
  <si>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</si>
  <si>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</si>
  <si>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</si>
  <si>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</si>
  <si>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</si>
  <si>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</si>
  <si>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Tower Space Result</t>
  </si>
  <si>
    <t>Tower Space Remarks</t>
  </si>
  <si>
    <t>Structural_Result</t>
  </si>
  <si>
    <t>Structural Requirement</t>
  </si>
  <si>
    <t>Tower_Space_Time</t>
  </si>
  <si>
    <t>Upon Tower Space Logic</t>
  </si>
  <si>
    <t>Tower &amp; Ground Space Validation</t>
  </si>
  <si>
    <t>Ground Space Result</t>
  </si>
  <si>
    <t>Tower Time Logic</t>
  </si>
  <si>
    <t>Slab Extension Needed</t>
  </si>
  <si>
    <t>Ground Space Remarks</t>
  </si>
  <si>
    <t>CW_Result</t>
  </si>
  <si>
    <t>Slab_Extension_Needed</t>
  </si>
  <si>
    <t>CW_Remarks</t>
  </si>
  <si>
    <t>Ground Time Logic</t>
  </si>
  <si>
    <t>CW_Time</t>
  </si>
  <si>
    <t>OML</t>
  </si>
  <si>
    <t>Amara</t>
  </si>
  <si>
    <t>Mytel</t>
  </si>
  <si>
    <t>MPT</t>
  </si>
  <si>
    <t>02operator</t>
  </si>
  <si>
    <t>Operator_Id</t>
  </si>
  <si>
    <t>Colo_App_Extension</t>
  </si>
  <si>
    <t>File Extension</t>
  </si>
  <si>
    <t>.pdf</t>
  </si>
  <si>
    <t>.xlsx</t>
  </si>
  <si>
    <t>.xlsb</t>
  </si>
  <si>
    <t>Telenor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</si>
</sst>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6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  <numFmt numFmtId="302" formatCode="&quot;CAR-&quot;0000"/>
  </numFmts>
  <fonts count="26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128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4" borderId="72" xfId="0" applyNumberFormat="1" applyFont="1" applyFill="1" applyBorder="1" applyAlignment="1" applyProtection="1">
      <alignment horizontal="center" vertical="center" wrapText="1"/>
    </xf>
    <xf numFmtId="164" fontId="254" fillId="94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4" borderId="0" xfId="0" applyFont="1" applyFill="1"/>
    <xf numFmtId="0" fontId="254" fillId="94" borderId="0" xfId="0" applyNumberFormat="1" applyFont="1" applyFill="1"/>
    <xf numFmtId="164" fontId="0" fillId="94" borderId="0" xfId="0" applyFill="1"/>
    <xf numFmtId="0" fontId="0" fillId="94" borderId="0" xfId="0" applyNumberFormat="1" applyFill="1"/>
    <xf numFmtId="14" fontId="0" fillId="94" borderId="0" xfId="0" applyNumberFormat="1" applyFill="1"/>
    <xf numFmtId="164" fontId="0" fillId="94" borderId="0" xfId="0" applyFill="1" applyAlignment="1">
      <alignment horizontal="center"/>
    </xf>
    <xf numFmtId="164" fontId="254" fillId="94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4" borderId="76" xfId="0" applyFill="1" applyBorder="1"/>
    <xf numFmtId="164" fontId="0" fillId="94" borderId="78" xfId="0" applyFill="1" applyBorder="1"/>
    <xf numFmtId="164" fontId="0" fillId="95" borderId="72" xfId="0" applyFill="1" applyBorder="1" applyAlignment="1">
      <alignment horizontal="center" vertical="center" wrapText="1"/>
    </xf>
    <xf numFmtId="14" fontId="0" fillId="96" borderId="72" xfId="0" applyNumberFormat="1" applyFill="1" applyBorder="1" applyAlignment="1">
      <alignment horizontal="center" vertical="center" wrapText="1"/>
    </xf>
    <xf numFmtId="164" fontId="254" fillId="96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4" borderId="0" xfId="0" applyNumberFormat="1" applyFill="1" applyAlignment="1">
      <alignment horizontal="center"/>
    </xf>
    <xf numFmtId="0" fontId="0" fillId="94" borderId="76" xfId="0" applyNumberFormat="1" applyFill="1" applyBorder="1"/>
    <xf numFmtId="164" fontId="259" fillId="0" borderId="76" xfId="33833" applyFill="1" applyBorder="1" applyAlignment="1">
      <alignment horizontal="center"/>
    </xf>
    <xf numFmtId="164" fontId="254" fillId="91" borderId="72" xfId="0" applyFon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164" fontId="260" fillId="94" borderId="0" xfId="0" applyFont="1" applyFill="1" applyBorder="1"/>
    <xf numFmtId="0" fontId="260" fillId="94" borderId="74" xfId="0" applyNumberFormat="1" applyFont="1" applyFill="1" applyBorder="1"/>
    <xf numFmtId="14" fontId="260" fillId="88" borderId="0" xfId="0" applyNumberFormat="1" applyFont="1" applyFill="1"/>
    <xf numFmtId="164" fontId="254" fillId="98" borderId="72" xfId="0" applyFont="1" applyFill="1" applyBorder="1" applyAlignment="1">
      <alignment horizontal="center" vertical="center" wrapText="1"/>
    </xf>
    <xf numFmtId="164" fontId="254" fillId="99" borderId="72" xfId="0" applyFont="1" applyFill="1" applyBorder="1" applyAlignment="1">
      <alignment horizontal="center" vertical="center" wrapText="1"/>
    </xf>
    <xf numFmtId="0" fontId="255" fillId="0" borderId="80" xfId="0" applyNumberFormat="1" applyFont="1" applyFill="1" applyBorder="1" applyAlignment="1" applyProtection="1"/>
    <xf numFmtId="164" fontId="254" fillId="0" borderId="73" xfId="0" applyFont="1" applyFill="1" applyBorder="1" applyAlignment="1" applyProtection="1"/>
    <xf numFmtId="164" fontId="254" fillId="88" borderId="0" xfId="0" applyFont="1" applyFill="1" applyBorder="1" applyAlignment="1" applyProtection="1"/>
    <xf numFmtId="0" fontId="254" fillId="88" borderId="0" xfId="0" applyNumberFormat="1" applyFont="1" applyFill="1" applyBorder="1" applyAlignment="1" applyProtection="1">
      <alignment horizontal="center"/>
    </xf>
    <xf numFmtId="164" fontId="254" fillId="88" borderId="0" xfId="0" applyFont="1" applyFill="1" applyAlignment="1" applyProtection="1"/>
    <xf numFmtId="0" fontId="255" fillId="88" borderId="80" xfId="0" applyNumberFormat="1" applyFont="1" applyFill="1" applyBorder="1" applyAlignment="1" applyProtection="1"/>
    <xf numFmtId="164" fontId="254" fillId="88" borderId="73" xfId="0" applyFont="1" applyFill="1" applyBorder="1" applyAlignment="1" applyProtection="1"/>
    <xf numFmtId="0" fontId="0" fillId="0" borderId="76" xfId="0" applyNumberFormat="1" applyFill="1" applyBorder="1" applyAlignment="1" applyProtection="1"/>
    <xf numFmtId="164" fontId="254" fillId="0" borderId="76" xfId="0" applyFont="1" applyFill="1" applyBorder="1" applyAlignment="1" applyProtection="1"/>
    <xf numFmtId="0" fontId="254" fillId="0" borderId="76" xfId="0" applyNumberFormat="1" applyFont="1" applyFill="1" applyBorder="1" applyAlignment="1" applyProtection="1"/>
    <xf numFmtId="0" fontId="254" fillId="88" borderId="0" xfId="0" applyNumberFormat="1" applyFont="1" applyFill="1" applyBorder="1" applyAlignment="1" applyProtection="1"/>
    <xf numFmtId="0" fontId="254" fillId="88" borderId="0" xfId="0" applyNumberFormat="1" applyFont="1" applyFill="1" applyAlignment="1" applyProtection="1"/>
    <xf numFmtId="0" fontId="255" fillId="88" borderId="50" xfId="0" applyNumberFormat="1" applyFont="1" applyFill="1" applyBorder="1" applyAlignment="1" applyProtection="1"/>
    <xf numFmtId="164" fontId="0" fillId="88" borderId="0" xfId="0" applyFill="1" applyAlignment="1" applyProtection="1"/>
    <xf numFmtId="164" fontId="0" fillId="88" borderId="0" xfId="0" applyFill="1" applyBorder="1" applyAlignment="1" applyProtection="1"/>
    <xf numFmtId="0" fontId="0" fillId="88" borderId="0" xfId="0" applyNumberFormat="1" applyFill="1" applyBorder="1" applyAlignment="1" applyProtection="1">
      <alignment horizontal="center"/>
    </xf>
    <xf numFmtId="0" fontId="0" fillId="88" borderId="0" xfId="0" applyNumberFormat="1" applyFill="1" applyAlignment="1" applyProtection="1"/>
    <xf numFmtId="164" fontId="0" fillId="88" borderId="0" xfId="0" applyNumberFormat="1" applyFill="1" applyAlignment="1" applyProtection="1"/>
    <xf numFmtId="0" fontId="198" fillId="88" borderId="0" xfId="0" applyNumberFormat="1" applyFont="1" applyFill="1" applyAlignment="1" applyProtection="1"/>
    <xf numFmtId="0" fontId="0" fillId="88" borderId="0" xfId="0" applyNumberFormat="1" applyFill="1" applyBorder="1" applyAlignment="1" applyProtection="1"/>
    <xf numFmtId="164" fontId="255" fillId="0" borderId="76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Border="1" applyAlignment="1" applyProtection="1">
      <alignment horizontal="center"/>
    </xf>
    <xf numFmtId="0" fontId="258" fillId="0" borderId="0" xfId="0" applyNumberFormat="1" applyFont="1" applyAlignment="1" applyProtection="1">
      <alignment horizontal="center" vertical="center"/>
    </xf>
    <xf numFmtId="0" fontId="258" fillId="0" borderId="0" xfId="0" applyNumberFormat="1" applyFont="1" applyBorder="1" applyAlignment="1" applyProtection="1">
      <alignment horizontal="center" vertical="center"/>
    </xf>
    <xf numFmtId="0" fontId="258" fillId="0" borderId="0" xfId="0" applyNumberFormat="1" applyFont="1" applyFill="1" applyAlignment="1" applyProtection="1">
      <alignment horizontal="center" vertical="center"/>
    </xf>
    <xf numFmtId="164" fontId="254" fillId="88" borderId="76" xfId="0" applyFont="1" applyFill="1" applyBorder="1" applyAlignment="1" applyProtection="1">
      <alignment horizontal="center" vertical="center" wrapText="1"/>
    </xf>
    <xf numFmtId="164" fontId="254" fillId="0" borderId="0" xfId="0" applyFont="1" applyFill="1" applyAlignment="1" applyProtection="1">
      <alignment horizontal="center" vertical="center" wrapText="1"/>
    </xf>
    <xf numFmtId="302" fontId="0" fillId="0" borderId="76" xfId="0" applyNumberFormat="1" applyBorder="1" applyAlignment="1" applyProtection="1">
      <protection locked="0"/>
    </xf>
    <xf numFmtId="0" fontId="0" fillId="0" borderId="76" xfId="0" applyNumberFormat="1" applyBorder="1" applyAlignment="1" applyProtection="1">
      <protection locked="0"/>
    </xf>
    <xf numFmtId="164" fontId="0" fillId="0" borderId="0" xfId="0" applyFill="1" applyAlignment="1" applyProtection="1">
      <protection locked="0"/>
    </xf>
    <xf numFmtId="302" fontId="0" fillId="0" borderId="79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164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64" fontId="0" fillId="0" borderId="0" xfId="0" applyFill="1" applyBorder="1" applyAlignment="1" applyProtection="1">
      <protection locked="0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&quot;CAR-&quot;0000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50"/>
      <tableStyleElement type="headerRow" dxfId="49"/>
    </tableStyle>
    <tableStyle name="Slicer Style 1" pivot="0" table="0" count="1" xr9:uid="{00000000-0011-0000-FFFF-FFFF01000000}">
      <tableStyleElement type="wholeTable" dxfId="48"/>
    </tableStyle>
    <tableStyle name="Slicer Style New" pivot="0" table="0" count="10" xr9:uid="{00000000-0011-0000-FFFF-FFFF02000000}">
      <tableStyleElement type="wholeTable" dxfId="47"/>
      <tableStyleElement type="headerRow" dxfId="46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952500</xdr:colOff>
          <xdr:row>11</xdr:row>
          <xdr:rowOff>139700</xdr:rowOff>
        </xdr:from>
        <xdr:to>
          <xdr:col>15</xdr:col>
          <xdr:colOff>95250</xdr:colOff>
          <xdr:row>13</xdr:row>
          <xdr:rowOff>25400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11</xdr:row>
          <xdr:rowOff>139700</xdr:rowOff>
        </xdr:from>
        <xdr:to>
          <xdr:col>18</xdr:col>
          <xdr:colOff>844550</xdr:colOff>
          <xdr:row>13</xdr:row>
          <xdr:rowOff>25400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63500</xdr:colOff>
          <xdr:row>11</xdr:row>
          <xdr:rowOff>152400</xdr:rowOff>
        </xdr:from>
        <xdr:to>
          <xdr:col>6</xdr:col>
          <xdr:colOff>457200</xdr:colOff>
          <xdr:row>13</xdr:row>
          <xdr:rowOff>38100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neDrive%20-%20apollo-towers.com\Apollo%20Towers\00-Process%20&amp;%20Database\Colo%20Prevalidation\Commercial\Account%20Manager\AM%20Review%202019-01-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pace Dashboard"/>
      <sheetName val="Validation"/>
      <sheetName val="File Extension"/>
      <sheetName val="AM Review 2019-01-23"/>
    </sheetNames>
    <definedNames>
      <definedName name="RevertPrevalidation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F16" insertRow="1" totalsRowShown="0" headerRowDxfId="45" dataDxfId="43" headerRowBorderDxfId="44" tableBorderDxfId="42" totalsRowBorderDxfId="41">
  <autoFilter ref="A15:AF16" xr:uid="{00000000-0009-0000-0100-00000B000000}"/>
  <tableColumns count="32">
    <tableColumn id="1" xr3:uid="{00000000-0010-0000-0700-000001000000}" name="Request ID" dataDxfId="40"/>
    <tableColumn id="2" xr3:uid="{00000000-0010-0000-0700-000002000000}" name="Site ID" dataDxfId="39"/>
    <tableColumn id="3" xr3:uid="{00000000-0010-0000-0700-000003000000}" name="Tenant ID" dataDxfId="38"/>
    <tableColumn id="4" xr3:uid="{00000000-0010-0000-0700-000004000000}" name="Operator" dataDxfId="37"/>
    <tableColumn id="25" xr3:uid="{61B09CA9-4544-44D6-BE96-9B107C3C9ED4}" name="Tenant Category" dataDxfId="36"/>
    <tableColumn id="26" xr3:uid="{0E4513F3-5C50-40B1-9F2C-D92FC4B7EAC8}" name="Tenant Status" dataDxfId="35"/>
    <tableColumn id="5" xr3:uid="{00000000-0010-0000-0700-000005000000}" name="Request Date" dataDxfId="34"/>
    <tableColumn id="27" xr3:uid="{CD7E10AF-8E3A-4980-A562-1BCE30CFFEB8}" name="Scope/Project" dataDxfId="33"/>
    <tableColumn id="28" xr3:uid="{D0C5F708-DCE2-45B9-87EB-D222FD1205C7}" name="Colo Rev" dataDxfId="32"/>
    <tableColumn id="13" xr3:uid="{136E2166-0E30-468A-94C3-D7AE8BF21A89}" name="Power Requested" dataDxfId="31"/>
    <tableColumn id="14" xr3:uid="{C16CC0D0-6B4A-4FF9-AB63-4A952A4618CE}" name="Capacity Requested" dataDxfId="30"/>
    <tableColumn id="7" xr3:uid="{25F7F1F8-2120-46DB-875B-AA3727E2CE40}" name="Capacity Model" dataDxfId="29"/>
    <tableColumn id="15" xr3:uid="{7FAC9ECD-A672-4D53-B91E-DF0E6B0B5283}" name="Lower Space Requested" dataDxfId="28"/>
    <tableColumn id="16" xr3:uid="{31165041-B815-44CB-AB40-6795E0C04B17}" name="Upper Space Requested" dataDxfId="27"/>
    <tableColumn id="8" xr3:uid="{00000000-0010-0000-0700-000008000000}" name="Prevalidation Status" dataDxfId="26"/>
    <tableColumn id="6" xr3:uid="{00000000-0010-0000-0700-000006000000}" name="Tower Space Result" dataDxfId="25"/>
    <tableColumn id="9" xr3:uid="{40E677FE-B3EB-4058-BADF-DEE83CB47F42}" name="Tower Space Remarks" dataDxfId="24"/>
    <tableColumn id="11" xr3:uid="{009F4DE7-1C35-486F-A5E0-2E1476D3EE15}" name="Structural Requirement" dataDxfId="23"/>
    <tableColumn id="30" xr3:uid="{9E816600-5C4D-497C-A6CF-2C8CA54BE8D4}" name="Ground Space Result" dataDxfId="22"/>
    <tableColumn id="31" xr3:uid="{4E496B46-6027-4AC8-8451-97DF2F792EB4}" name="Slab Extension Needed" dataDxfId="21"/>
    <tableColumn id="29" xr3:uid="{3F1F7BE8-018E-4FB4-A514-F4DE4466152B}" name="Ground Space Remarks" dataDxfId="20"/>
    <tableColumn id="12" xr3:uid="{48F20D1A-1F60-451F-925E-68CCCDA888C6}" name="Tower_Space_Time" dataDxfId="19"/>
    <tableColumn id="32" xr3:uid="{7EC402F6-B31C-46A3-90A7-419DB424A1D2}" name="CW_Time" dataDxfId="18"/>
    <tableColumn id="10" xr3:uid="{0AC08758-BE59-4004-A5F5-E55DA91D500C}" name="Tower Time Logic" dataDxfId="17">
      <calculatedColumnFormula>IF(Data_Table[[#This Row],[Tower Space Result]]="OK",IF(Data_Table[[#This Row],[Tower_Space_Time]]=0,NOW(),Data_Table[[#This Row],[Tower_Space_Time]]),"")</calculatedColumnFormula>
    </tableColumn>
    <tableColumn id="33" xr3:uid="{80B00D7C-F106-4666-BE29-63E83704F48B}" name="Ground Time Logic" dataDxfId="16">
      <calculatedColumnFormula>IF(Data_Table[[#This Row],[Ground Space Result]]="OK",IF(Data_Table[[#This Row],[CW_Time]]=0,NOW(),Data_Table[[#This Row],[CW_Time]]),"")</calculatedColumnFormula>
    </tableColumn>
    <tableColumn id="17" xr3:uid="{4B513C1E-3405-473B-806D-B0F33ACE8A0A}" name="Colo Application File" dataDxfId="15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2">
      <calculatedColumnFormula>CONCATENATE(Data_Table[[#This Row],[Site ID]]," (",Data_Table[[#This Row],[Tenant ID]],") Application",IF(Data_Table[[#This Row],[Colo Rev]]&gt;0," Rev "&amp;Data_Table[[#This Row],[Colo Rev]],""),VLOOKUP(Data_Table[[#This Row],[Operator]],FileExtension[],2,FALSE))</calculatedColumnFormula>
    </tableColumn>
    <tableColumn id="19" xr3:uid="{07CF1E39-C0CB-458B-8A77-CF1073125BEE}" name="Find Process &amp; Database" dataDxfId="14">
      <calculatedColumnFormula>FIND("Process &amp; Database\",CELL("filename",$A$1))</calculatedColumnFormula>
    </tableColumn>
    <tableColumn id="20" xr3:uid="{7547EEA9-CD05-4991-B82E-B4F61C153041}" name="Folder Path1" dataDxfId="13">
      <calculatedColumnFormula>LEFT(CELL("filename",A3),Data_Table[[#This Row],[Find Process &amp; Database]]-1)</calculatedColumnFormula>
    </tableColumn>
    <tableColumn id="21" xr3:uid="{29FE3CDC-AA66-4DAF-B94D-9F284E306FBC}" name="Folder Path2" dataDxfId="12">
      <calculatedColumnFormula>Data_Table[Folder Path1]&amp;"Process &amp; Database\Documentation\Colo Applications"</calculatedColumnFormula>
    </tableColumn>
    <tableColumn id="22" xr3:uid="{608DE0E9-6CEE-4354-994A-755A9BEC14A1}" name="Folder Path3" dataDxfId="11">
      <calculatedColumnFormula>Data_Table[Folder Path2]&amp;"\Colo App "&amp;Data_Table[[#This Row],[Operator]]&amp;"\"</calculatedColumnFormula>
    </tableColumn>
    <tableColumn id="24" xr3:uid="{0E058ACE-FD3F-425C-9A69-D0FC3C773E27}" name="File Path" dataDxfId="10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A3EE63-CE9C-4E43-BF4D-092479D9D117}" name="FileExtension" displayName="FileExtension" ref="A15:B20" totalsRowShown="0" headerRowDxfId="9" dataDxfId="7" headerRowBorderDxfId="8" tableBorderDxfId="6" totalsRowBorderDxfId="5">
  <autoFilter ref="A15:B20" xr:uid="{00000000-0009-0000-0100-000004000000}"/>
  <tableColumns count="2">
    <tableColumn id="72" xr3:uid="{4E23B284-26D5-4FE6-81A8-B93F7119BAEA}" name="Operator_Id" dataDxfId="4"/>
    <tableColumn id="73" xr3:uid="{5CF53884-7E0D-48B6-BDE0-400237199F65}" name="Colo_App_Extension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F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81640625" style="1" customWidth="1"/>
    <col min="2" max="2" width="16.7265625" bestFit="1" customWidth="1"/>
    <col min="3" max="3" width="14" customWidth="1"/>
    <col min="4" max="4" width="11.26953125" bestFit="1" customWidth="1" collapsed="1"/>
    <col min="5" max="6" width="11.26953125" hidden="1" customWidth="1" outlineLevel="1"/>
    <col min="7" max="7" width="15.1796875" style="3" bestFit="1" customWidth="1" collapsed="1"/>
    <col min="8" max="8" width="15.1796875" style="3" hidden="1" customWidth="1" outlineLevel="1"/>
    <col min="9" max="9" width="6" style="3" hidden="1" customWidth="1" outlineLevel="1"/>
    <col min="10" max="10" width="14.81640625" style="3" hidden="1" customWidth="1" outlineLevel="1"/>
    <col min="11" max="12" width="11.26953125" style="1" hidden="1" customWidth="1" outlineLevel="1"/>
    <col min="13" max="13" width="13.54296875" hidden="1" customWidth="1" outlineLevel="1"/>
    <col min="14" max="14" width="13.7265625" style="2" hidden="1" customWidth="1" outlineLevel="1"/>
    <col min="15" max="15" width="17.7265625" style="33" customWidth="1"/>
    <col min="16" max="16" width="11.81640625" style="33" customWidth="1" collapsed="1"/>
    <col min="17" max="17" width="51.7265625" style="33" hidden="1" customWidth="1" outlineLevel="1"/>
    <col min="18" max="18" width="17.26953125" style="33" hidden="1" customWidth="1" outlineLevel="1"/>
    <col min="19" max="19" width="17.26953125" style="33" customWidth="1" collapsed="1"/>
    <col min="20" max="20" width="17.26953125" style="33" hidden="1" customWidth="1" outlineLevel="1"/>
    <col min="21" max="21" width="43" style="33" hidden="1" customWidth="1" outlineLevel="1"/>
    <col min="22" max="25" width="17.26953125" style="33" hidden="1" customWidth="1"/>
    <col min="26" max="26" width="17" style="33" customWidth="1" collapsed="1"/>
    <col min="27" max="27" width="32.81640625" style="33" hidden="1" customWidth="1" outlineLevel="1"/>
    <col min="28" max="28" width="46" style="62" hidden="1" customWidth="1"/>
    <col min="29" max="29" width="9.7265625" style="63" hidden="1" customWidth="1"/>
    <col min="30" max="30" width="14" style="62" hidden="1" customWidth="1"/>
    <col min="31" max="31" width="15" style="62" hidden="1" customWidth="1"/>
    <col min="32" max="32" width="9.1796875" style="62" hidden="1" customWidth="1"/>
    <col min="33" max="16384" width="9.1796875" style="33"/>
  </cols>
  <sheetData>
    <row r="1" spans="1:32" s="9" customFormat="1" hidden="1">
      <c r="A1" s="20" t="s">
        <v>4</v>
      </c>
      <c r="B1" s="21" t="s">
        <v>27</v>
      </c>
      <c r="C1" s="8"/>
      <c r="D1" s="8"/>
      <c r="E1" s="8"/>
      <c r="F1" s="8"/>
      <c r="G1" s="6"/>
      <c r="H1" s="18"/>
      <c r="I1" s="18"/>
      <c r="J1" s="18"/>
      <c r="K1" s="7"/>
      <c r="L1" s="52"/>
      <c r="M1" s="5"/>
      <c r="N1" s="8"/>
      <c r="O1" s="37" t="s">
        <v>12</v>
      </c>
      <c r="P1" s="37"/>
      <c r="Q1" s="37"/>
      <c r="R1" s="38"/>
      <c r="S1" s="38"/>
      <c r="T1" s="38"/>
      <c r="U1" s="38"/>
      <c r="V1" s="38"/>
      <c r="W1" s="38"/>
      <c r="X1" s="38"/>
      <c r="Y1" s="38"/>
      <c r="AB1" s="60"/>
      <c r="AC1" s="61"/>
      <c r="AD1" s="60"/>
      <c r="AE1" s="60"/>
      <c r="AF1" s="60"/>
    </row>
    <row r="2" spans="1:32" s="9" customFormat="1" hidden="1">
      <c r="A2" s="20" t="s">
        <v>7</v>
      </c>
      <c r="B2" s="36"/>
      <c r="C2" s="29"/>
      <c r="D2" s="8"/>
      <c r="E2" s="8"/>
      <c r="F2" s="8"/>
      <c r="G2" s="10"/>
      <c r="H2" s="10"/>
      <c r="I2" s="10"/>
      <c r="J2" s="10"/>
      <c r="K2" s="11"/>
      <c r="L2" s="11"/>
      <c r="M2" s="8"/>
      <c r="N2" s="8"/>
      <c r="O2" s="35" t="s">
        <v>15</v>
      </c>
      <c r="P2" s="53"/>
      <c r="Q2" s="39" t="s">
        <v>13</v>
      </c>
      <c r="R2" s="39" t="s">
        <v>14</v>
      </c>
      <c r="S2" s="39"/>
      <c r="T2" s="39"/>
      <c r="U2" s="39"/>
      <c r="V2" s="39"/>
      <c r="W2" s="39"/>
      <c r="X2" s="39"/>
      <c r="Y2" s="39"/>
      <c r="Z2" s="40" t="s">
        <v>11</v>
      </c>
      <c r="AB2" s="60"/>
      <c r="AC2" s="61"/>
      <c r="AD2" s="60"/>
      <c r="AE2" s="60"/>
      <c r="AF2" s="60"/>
    </row>
    <row r="3" spans="1:32" s="9" customFormat="1" hidden="1">
      <c r="A3" s="19" t="s">
        <v>2</v>
      </c>
      <c r="B3" s="45" t="s">
        <v>32</v>
      </c>
      <c r="C3" s="45" t="s">
        <v>33</v>
      </c>
      <c r="D3" s="46" t="s">
        <v>30</v>
      </c>
      <c r="E3" s="46" t="s">
        <v>31</v>
      </c>
      <c r="F3" s="46" t="s">
        <v>17</v>
      </c>
      <c r="G3" s="46" t="s">
        <v>18</v>
      </c>
      <c r="H3" s="45" t="s">
        <v>51</v>
      </c>
      <c r="I3" s="79" t="s">
        <v>53</v>
      </c>
      <c r="J3" s="45" t="s">
        <v>60</v>
      </c>
      <c r="K3" s="45" t="s">
        <v>61</v>
      </c>
      <c r="L3" s="45" t="s">
        <v>62</v>
      </c>
      <c r="M3" s="79" t="s">
        <v>64</v>
      </c>
      <c r="AB3" s="60"/>
      <c r="AC3" s="61"/>
      <c r="AD3" s="60"/>
      <c r="AE3" s="60"/>
      <c r="AF3" s="60"/>
    </row>
    <row r="4" spans="1:32" s="12" customFormat="1" hidden="1">
      <c r="A4" s="22">
        <f t="shared" ref="A4:H4" si="0">MATCH(A3,10:10,0)</f>
        <v>1</v>
      </c>
      <c r="B4" s="22">
        <f t="shared" si="0"/>
        <v>16</v>
      </c>
      <c r="C4" s="22">
        <f t="shared" si="0"/>
        <v>17</v>
      </c>
      <c r="D4" s="22">
        <f t="shared" si="0"/>
        <v>11</v>
      </c>
      <c r="E4" s="22">
        <f t="shared" si="0"/>
        <v>12</v>
      </c>
      <c r="F4" s="22">
        <f t="shared" si="0"/>
        <v>13</v>
      </c>
      <c r="G4" s="22">
        <f t="shared" si="0"/>
        <v>14</v>
      </c>
      <c r="H4" s="22">
        <f t="shared" si="0"/>
        <v>18</v>
      </c>
      <c r="I4" s="80">
        <f>MATCH(I3,10:10,0)+2</f>
        <v>24</v>
      </c>
      <c r="J4" s="22">
        <f>MATCH(J3,10:10,0)</f>
        <v>19</v>
      </c>
      <c r="K4" s="22">
        <f>MATCH(K3,10:10,0)</f>
        <v>20</v>
      </c>
      <c r="L4" s="22">
        <f>MATCH(L3,10:10,0)</f>
        <v>21</v>
      </c>
      <c r="M4" s="80">
        <f>MATCH(M3,10:10,0)+2</f>
        <v>25</v>
      </c>
      <c r="AA4" s="17"/>
      <c r="AB4" s="61"/>
      <c r="AC4" s="61"/>
      <c r="AD4" s="61"/>
      <c r="AE4" s="61"/>
      <c r="AF4" s="61"/>
    </row>
    <row r="5" spans="1:32" s="12" customFormat="1" hidden="1">
      <c r="A5" s="22">
        <v>3667</v>
      </c>
      <c r="B5" s="23" t="e">
        <f>IF(VLOOKUP($A$5,Data_Table[],B4,FALSE)&lt;&gt;0,VLOOKUP($A$5,Data_Table[],B4,FALSE),"")</f>
        <v>#N/A</v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22" t="e">
        <f>IF(VLOOKUP($A$5,Data_Table[],E4,FALSE)&lt;&gt;0,VLOOKUP($A$5,Data_Table[],E4,FALSE),"")</f>
        <v>#N/A</v>
      </c>
      <c r="F5" s="22" t="e">
        <f>IF(VLOOKUP($A$5,Data_Table[],F4,FALSE)&lt;&gt;0,VLOOKUP($A$5,Data_Table[],F4,FALSE),"")</f>
        <v>#N/A</v>
      </c>
      <c r="G5" s="22" t="e">
        <f>IF(VLOOKUP($A$5,Data_Table[],G4,FALSE)&lt;&gt;0,VLOOKUP($A$5,Data_Table[],G4,FALSE),"")</f>
        <v>#N/A</v>
      </c>
      <c r="H5" s="22" t="e">
        <f>IF(VLOOKUP($A$5,Data_Table[],H4,FALSE)&lt;&gt;0,VLOOKUP($A$5,Data_Table[],H4,FALSE),"")</f>
        <v>#N/A</v>
      </c>
      <c r="I5" s="80" t="e">
        <f>IF(VLOOKUP($A$5,Data_Table[],I4,FALSE)&lt;&gt;0,VLOOKUP($A$5,Data_Table[],I4,FALSE),"")</f>
        <v>#N/A</v>
      </c>
      <c r="J5" s="22" t="e">
        <f>IF(VLOOKUP($A$5,Data_Table[],J4,FALSE)&lt;&gt;0,VLOOKUP($A$5,Data_Table[],J4,FALSE),"")</f>
        <v>#N/A</v>
      </c>
      <c r="K5" s="22" t="e">
        <f>IF(VLOOKUP($A$5,Data_Table[],K4,FALSE)&lt;&gt;0,VLOOKUP($A$5,Data_Table[],K4,FALSE),"")</f>
        <v>#N/A</v>
      </c>
      <c r="L5" s="22" t="e">
        <f>IF(VLOOKUP($A$5,Data_Table[],L4,FALSE)&lt;&gt;0,VLOOKUP($A$5,Data_Table[],L4,FALSE),"")</f>
        <v>#N/A</v>
      </c>
      <c r="M5" s="80" t="e">
        <f>IF(VLOOKUP($A$5,Data_Table[],M4,FALSE)&lt;&gt;0,VLOOKUP($A$5,Data_Table[],M4,FALSE),"")</f>
        <v>#N/A</v>
      </c>
      <c r="AA5" s="17"/>
      <c r="AB5" s="61"/>
      <c r="AC5" s="61"/>
      <c r="AD5" s="61"/>
      <c r="AE5" s="61"/>
      <c r="AF5" s="61"/>
    </row>
    <row r="6" spans="1:32" s="13" customFormat="1" hidden="1">
      <c r="A6" s="20" t="s">
        <v>5</v>
      </c>
      <c r="G6" s="14"/>
      <c r="H6" s="14"/>
      <c r="I6" s="81" t="s">
        <v>54</v>
      </c>
      <c r="J6" s="14"/>
      <c r="K6" s="15"/>
      <c r="L6" s="15"/>
      <c r="N6" s="16"/>
      <c r="AB6" s="62"/>
      <c r="AC6" s="63"/>
      <c r="AD6" s="62"/>
      <c r="AE6" s="62"/>
      <c r="AF6" s="62"/>
    </row>
    <row r="7" spans="1:32" s="13" customFormat="1" hidden="1">
      <c r="A7" s="27" t="s">
        <v>9</v>
      </c>
      <c r="B7" s="27"/>
      <c r="G7" s="14"/>
      <c r="H7" s="14"/>
      <c r="I7" s="14"/>
      <c r="J7" s="14"/>
      <c r="K7" s="15"/>
      <c r="L7" s="15"/>
      <c r="N7" s="16"/>
      <c r="AB7" s="62"/>
      <c r="AC7" s="63"/>
      <c r="AD7" s="62"/>
      <c r="AE7" s="62"/>
      <c r="AF7" s="62"/>
    </row>
    <row r="8" spans="1:32" s="13" customFormat="1" hidden="1">
      <c r="A8" s="28" t="s">
        <v>10</v>
      </c>
      <c r="B8" s="28"/>
      <c r="G8" s="14"/>
      <c r="H8" s="14"/>
      <c r="I8" s="14"/>
      <c r="J8" s="14"/>
      <c r="K8" s="15"/>
      <c r="L8" s="15"/>
      <c r="N8" s="16"/>
      <c r="AB8" s="62"/>
      <c r="AC8" s="63"/>
      <c r="AD8" s="62"/>
      <c r="AE8" s="62"/>
      <c r="AF8" s="62"/>
    </row>
    <row r="9" spans="1:32" s="13" customFormat="1" hidden="1">
      <c r="A9" s="32" t="s">
        <v>6</v>
      </c>
      <c r="G9" s="14"/>
      <c r="H9" s="14"/>
      <c r="I9" s="14"/>
      <c r="J9" s="14"/>
      <c r="K9" s="15"/>
      <c r="L9" s="15"/>
      <c r="N9" s="16"/>
      <c r="AB9" s="62"/>
      <c r="AC9" s="63"/>
      <c r="AD9" s="62"/>
      <c r="AE9" s="62"/>
      <c r="AF9" s="62"/>
    </row>
    <row r="10" spans="1:32" s="13" customFormat="1" hidden="1">
      <c r="A10" s="44" t="s">
        <v>2</v>
      </c>
      <c r="B10" s="45" t="s">
        <v>28</v>
      </c>
      <c r="C10" s="45" t="s">
        <v>29</v>
      </c>
      <c r="D10" s="45" t="s">
        <v>0</v>
      </c>
      <c r="E10" s="45" t="s">
        <v>40</v>
      </c>
      <c r="F10" s="45" t="s">
        <v>43</v>
      </c>
      <c r="G10" s="46" t="s">
        <v>1</v>
      </c>
      <c r="H10" s="46" t="s">
        <v>44</v>
      </c>
      <c r="I10" s="46" t="s">
        <v>45</v>
      </c>
      <c r="J10" s="46" t="s">
        <v>16</v>
      </c>
      <c r="K10" s="46" t="s">
        <v>30</v>
      </c>
      <c r="L10" s="46" t="s">
        <v>31</v>
      </c>
      <c r="M10" s="46" t="s">
        <v>17</v>
      </c>
      <c r="N10" s="46" t="s">
        <v>18</v>
      </c>
      <c r="O10" s="46" t="s">
        <v>9</v>
      </c>
      <c r="P10" s="45" t="s">
        <v>32</v>
      </c>
      <c r="Q10" s="45" t="s">
        <v>33</v>
      </c>
      <c r="R10" s="45" t="s">
        <v>51</v>
      </c>
      <c r="S10" s="45" t="s">
        <v>60</v>
      </c>
      <c r="T10" s="45" t="s">
        <v>61</v>
      </c>
      <c r="U10" s="45" t="s">
        <v>62</v>
      </c>
      <c r="V10" s="53" t="s">
        <v>53</v>
      </c>
      <c r="W10" s="53" t="s">
        <v>64</v>
      </c>
      <c r="X10" s="53"/>
      <c r="Y10" s="53"/>
      <c r="AB10" s="62"/>
      <c r="AC10" s="62"/>
      <c r="AD10" s="62"/>
      <c r="AE10" s="62"/>
      <c r="AF10" s="62"/>
    </row>
    <row r="11" spans="1:32" s="15" customFormat="1" hidden="1">
      <c r="A11" s="47"/>
      <c r="B11" s="47"/>
      <c r="C11" s="47"/>
      <c r="D11" s="47"/>
      <c r="E11" s="47"/>
      <c r="F11" s="47"/>
      <c r="G11" s="48"/>
      <c r="H11" s="48"/>
      <c r="I11" s="48"/>
      <c r="J11" s="48"/>
      <c r="K11" s="47"/>
      <c r="L11" s="47"/>
      <c r="M11" s="47"/>
      <c r="N11" s="47"/>
      <c r="O11" s="47"/>
      <c r="AA11" s="13"/>
      <c r="AB11" s="62"/>
      <c r="AC11" s="64"/>
      <c r="AD11" s="63"/>
      <c r="AE11" s="63"/>
      <c r="AF11" s="62"/>
    </row>
    <row r="13" spans="1:32" ht="21">
      <c r="A13" s="30" t="s">
        <v>55</v>
      </c>
      <c r="C13" s="31"/>
      <c r="D13" s="31"/>
      <c r="E13" s="31"/>
      <c r="F13" s="31"/>
      <c r="G13" s="31"/>
      <c r="H13" s="31"/>
      <c r="I13" s="31"/>
      <c r="J13" s="4"/>
    </row>
    <row r="14" spans="1:32" s="56" customFormat="1" ht="15" customHeight="1">
      <c r="A14" s="54"/>
      <c r="B14" s="55" t="str">
        <f t="shared" ref="B14:V14" si="1">IFERROR(IF(HLOOKUP(B10,$3:$3,1,FALSE)&lt;&gt;"",".",""),"")</f>
        <v/>
      </c>
      <c r="C14" s="55" t="str">
        <f t="shared" si="1"/>
        <v/>
      </c>
      <c r="D14" s="55" t="str">
        <f t="shared" si="1"/>
        <v/>
      </c>
      <c r="E14" s="55" t="str">
        <f t="shared" si="1"/>
        <v/>
      </c>
      <c r="F14" s="55" t="str">
        <f t="shared" si="1"/>
        <v/>
      </c>
      <c r="G14" s="55" t="str">
        <f t="shared" si="1"/>
        <v/>
      </c>
      <c r="H14" s="55" t="str">
        <f t="shared" si="1"/>
        <v/>
      </c>
      <c r="I14" s="55" t="str">
        <f t="shared" si="1"/>
        <v/>
      </c>
      <c r="J14" s="55" t="str">
        <f t="shared" si="1"/>
        <v/>
      </c>
      <c r="K14" s="55" t="str">
        <f t="shared" si="1"/>
        <v>.</v>
      </c>
      <c r="L14" s="55" t="str">
        <f t="shared" si="1"/>
        <v>.</v>
      </c>
      <c r="M14" s="55" t="str">
        <f t="shared" si="1"/>
        <v>.</v>
      </c>
      <c r="N14" s="55" t="str">
        <f t="shared" si="1"/>
        <v>.</v>
      </c>
      <c r="O14" s="55" t="str">
        <f t="shared" si="1"/>
        <v/>
      </c>
      <c r="P14" s="55" t="str">
        <f t="shared" si="1"/>
        <v>.</v>
      </c>
      <c r="Q14" s="55" t="str">
        <f t="shared" si="1"/>
        <v>.</v>
      </c>
      <c r="R14" s="55" t="str">
        <f t="shared" si="1"/>
        <v>.</v>
      </c>
      <c r="S14" s="55" t="str">
        <f t="shared" si="1"/>
        <v>.</v>
      </c>
      <c r="T14" s="55" t="str">
        <f t="shared" si="1"/>
        <v>.</v>
      </c>
      <c r="U14" s="55" t="str">
        <f t="shared" si="1"/>
        <v>.</v>
      </c>
      <c r="V14" s="55" t="str">
        <f t="shared" si="1"/>
        <v>.</v>
      </c>
      <c r="W14" s="55"/>
      <c r="X14" s="55" t="str">
        <f>IFERROR(IF(HLOOKUP(X10,$3:$3,1,FALSE)&lt;&gt;"",".",""),"")</f>
        <v/>
      </c>
      <c r="Y14" s="55"/>
      <c r="Z14" s="55" t="str">
        <f>IFERROR(IF(HLOOKUP(Z10,$3:$3,1,FALSE)&lt;&gt;"",".",""),"")</f>
        <v/>
      </c>
      <c r="AB14" s="65"/>
      <c r="AC14" s="74"/>
      <c r="AD14" s="65"/>
      <c r="AE14" s="65"/>
      <c r="AF14" s="65"/>
    </row>
    <row r="15" spans="1:32" s="34" customFormat="1" ht="29">
      <c r="A15" s="24" t="s">
        <v>8</v>
      </c>
      <c r="B15" s="25" t="s">
        <v>22</v>
      </c>
      <c r="C15" s="70" t="s">
        <v>23</v>
      </c>
      <c r="D15" s="70" t="s">
        <v>0</v>
      </c>
      <c r="E15" s="70" t="s">
        <v>41</v>
      </c>
      <c r="F15" s="70" t="s">
        <v>42</v>
      </c>
      <c r="G15" s="71" t="s">
        <v>3</v>
      </c>
      <c r="H15" s="71" t="s">
        <v>47</v>
      </c>
      <c r="I15" s="71" t="s">
        <v>46</v>
      </c>
      <c r="J15" s="72" t="s">
        <v>19</v>
      </c>
      <c r="K15" s="72" t="s">
        <v>25</v>
      </c>
      <c r="L15" s="72" t="s">
        <v>26</v>
      </c>
      <c r="M15" s="72" t="s">
        <v>20</v>
      </c>
      <c r="N15" s="72" t="s">
        <v>21</v>
      </c>
      <c r="O15" s="26" t="s">
        <v>24</v>
      </c>
      <c r="P15" s="77" t="s">
        <v>49</v>
      </c>
      <c r="Q15" s="77" t="s">
        <v>50</v>
      </c>
      <c r="R15" s="78" t="s">
        <v>52</v>
      </c>
      <c r="S15" s="83" t="s">
        <v>56</v>
      </c>
      <c r="T15" s="83" t="s">
        <v>58</v>
      </c>
      <c r="U15" s="83" t="s">
        <v>59</v>
      </c>
      <c r="V15" s="79" t="s">
        <v>53</v>
      </c>
      <c r="W15" s="79" t="s">
        <v>64</v>
      </c>
      <c r="X15" s="82" t="s">
        <v>57</v>
      </c>
      <c r="Y15" s="82" t="s">
        <v>63</v>
      </c>
      <c r="Z15" s="59" t="s">
        <v>48</v>
      </c>
      <c r="AA15" s="59" t="s">
        <v>34</v>
      </c>
      <c r="AB15" s="57" t="s">
        <v>35</v>
      </c>
      <c r="AC15" s="57" t="s">
        <v>36</v>
      </c>
      <c r="AD15" s="58" t="s">
        <v>37</v>
      </c>
      <c r="AE15" s="58" t="s">
        <v>38</v>
      </c>
      <c r="AF15" s="66" t="s">
        <v>39</v>
      </c>
    </row>
    <row r="16" spans="1:32" ht="14.25" customHeight="1">
      <c r="A16" s="67"/>
      <c r="B16" s="41"/>
      <c r="C16" s="41"/>
      <c r="D16" s="41"/>
      <c r="E16" s="41"/>
      <c r="F16" s="41"/>
      <c r="G16" s="42"/>
      <c r="H16" s="42"/>
      <c r="I16" s="73"/>
      <c r="J16" s="51"/>
      <c r="K16" s="50"/>
      <c r="L16" s="50"/>
      <c r="M16" s="49"/>
      <c r="N16" s="49"/>
      <c r="O16" s="42"/>
      <c r="P16" s="43"/>
      <c r="Q16" s="43"/>
      <c r="R16" s="43"/>
      <c r="S16" s="43"/>
      <c r="T16" s="43"/>
      <c r="U16" s="43"/>
      <c r="V16" s="42"/>
      <c r="W16" s="42"/>
      <c r="X16" s="42"/>
      <c r="Y16" s="42"/>
      <c r="Z16" s="76"/>
      <c r="AA16" s="41"/>
      <c r="AB16" s="75"/>
      <c r="AC16" s="68"/>
      <c r="AD16" s="68"/>
      <c r="AE16" s="68"/>
      <c r="AF16" s="69"/>
    </row>
  </sheetData>
  <conditionalFormatting sqref="B16">
    <cfRule type="duplicateValues" dxfId="1" priority="1727"/>
  </conditionalFormatting>
  <conditionalFormatting sqref="C16">
    <cfRule type="duplicateValues" dxfId="0" priority="1728"/>
  </conditionalFormatting>
  <dataValidations count="4">
    <dataValidation type="list" allowBlank="1" showInputMessage="1" showErrorMessage="1" sqref="P16" xr:uid="{00000000-0002-0000-0900-000000000000}">
      <formula1>"OK, Rejected,Review"</formula1>
    </dataValidation>
    <dataValidation type="list" allowBlank="1" showInputMessage="1" showErrorMessage="1" sqref="R15:R16" xr:uid="{92228636-14BA-4524-BB54-50B0F891D562}">
      <formula1>"Not Required"</formula1>
    </dataValidation>
    <dataValidation type="list" allowBlank="1" showInputMessage="1" showErrorMessage="1" sqref="S16" xr:uid="{7F7A0BC9-8775-4D0C-8308-314FA2DED2B7}">
      <formula1>"OK,Rejected,Review"</formula1>
    </dataValidation>
    <dataValidation type="list" allowBlank="1" showInputMessage="1" showErrorMessage="1" sqref="T16" xr:uid="{F352931C-031B-4FC1-B8D6-EF01BF9F11DD}">
      <formula1>"Yes,No"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6</xdr:col>
                    <xdr:colOff>952500</xdr:colOff>
                    <xdr:row>11</xdr:row>
                    <xdr:rowOff>146050</xdr:rowOff>
                  </from>
                  <to>
                    <xdr:col>15</xdr:col>
                    <xdr:colOff>95250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15</xdr:col>
                    <xdr:colOff>304800</xdr:colOff>
                    <xdr:row>11</xdr:row>
                    <xdr:rowOff>146050</xdr:rowOff>
                  </from>
                  <to>
                    <xdr:col>18</xdr:col>
                    <xdr:colOff>850900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534F-A585-4013-86C3-4DAED872E714}">
  <sheetPr codeName="Sheet19">
    <tabColor theme="6"/>
    <outlinePr summaryBelow="0" summaryRight="0"/>
  </sheetPr>
  <dimension ref="A1:CQ20"/>
  <sheetViews>
    <sheetView showGridLines="0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B28" sqref="B28"/>
    </sheetView>
  </sheetViews>
  <sheetFormatPr defaultColWidth="9.1796875" defaultRowHeight="14.5"/>
  <cols>
    <col min="1" max="1" width="8.54296875" style="124" customWidth="1"/>
    <col min="2" max="2" width="16.7265625" style="123" bestFit="1" customWidth="1"/>
    <col min="3" max="3" width="9.81640625" style="123" customWidth="1"/>
    <col min="4" max="9" width="14.1796875" style="123" customWidth="1"/>
    <col min="10" max="32" width="13.81640625" style="123" customWidth="1"/>
    <col min="33" max="33" width="51.1796875" style="125" bestFit="1" customWidth="1"/>
    <col min="34" max="34" width="5.7265625" style="125" customWidth="1"/>
    <col min="35" max="35" width="61.26953125" style="123" customWidth="1"/>
    <col min="36" max="36" width="5.7265625" style="125" customWidth="1" collapsed="1"/>
    <col min="37" max="37" width="18.1796875" style="125" customWidth="1"/>
    <col min="38" max="38" width="58.453125" style="125" customWidth="1"/>
    <col min="39" max="39" width="17" style="125" customWidth="1" collapsed="1"/>
    <col min="40" max="40" width="54.453125" style="125" customWidth="1"/>
    <col min="41" max="41" width="5.7265625" style="123" customWidth="1" collapsed="1"/>
    <col min="42" max="42" width="81.1796875" style="123" customWidth="1"/>
    <col min="43" max="43" width="17" style="125" customWidth="1" collapsed="1"/>
    <col min="44" max="44" width="15.81640625" style="123" customWidth="1"/>
    <col min="45" max="45" width="5.26953125" style="123" customWidth="1"/>
    <col min="46" max="46" width="32" style="123" customWidth="1"/>
    <col min="47" max="47" width="24.1796875" style="123" customWidth="1"/>
    <col min="48" max="48" width="6" style="123" customWidth="1"/>
    <col min="49" max="50" width="24.1796875" style="123" customWidth="1"/>
    <col min="51" max="51" width="5.7265625" style="123" customWidth="1" collapsed="1"/>
    <col min="52" max="52" width="49" style="123" customWidth="1"/>
    <col min="53" max="53" width="5.7265625" style="123" customWidth="1" collapsed="1"/>
    <col min="54" max="54" width="24.1796875" style="123" customWidth="1"/>
    <col min="55" max="55" width="8" style="123" customWidth="1"/>
    <col min="56" max="64" width="38.81640625" style="123" customWidth="1"/>
    <col min="65" max="65" width="24.1796875" style="123" customWidth="1"/>
    <col min="66" max="66" width="35" style="123" customWidth="1"/>
    <col min="67" max="67" width="4.26953125" style="125" customWidth="1" collapsed="1"/>
    <col min="68" max="68" width="31.1796875" style="123" customWidth="1"/>
    <col min="69" max="69" width="4.26953125" style="123" customWidth="1" collapsed="1"/>
    <col min="70" max="70" width="22.1796875" style="123" customWidth="1"/>
    <col min="71" max="71" width="7.7265625" style="123" customWidth="1"/>
    <col min="72" max="74" width="34.81640625" style="123" customWidth="1"/>
    <col min="75" max="75" width="20" style="123" customWidth="1"/>
    <col min="76" max="77" width="22.1796875" style="123" customWidth="1"/>
    <col min="78" max="78" width="13.26953125" style="123" bestFit="1" customWidth="1"/>
    <col min="79" max="79" width="22.1796875" style="123" customWidth="1"/>
    <col min="80" max="80" width="14.1796875" style="123" customWidth="1"/>
    <col min="81" max="84" width="4.26953125" style="126" customWidth="1"/>
    <col min="85" max="85" width="58.453125" style="127" customWidth="1"/>
    <col min="86" max="86" width="10" style="127" customWidth="1"/>
    <col min="87" max="87" width="41.81640625" style="127" customWidth="1"/>
    <col min="88" max="88" width="12.54296875" style="127" customWidth="1"/>
    <col min="89" max="89" width="19.453125" style="127" customWidth="1"/>
    <col min="90" max="90" width="57.453125" style="127" customWidth="1"/>
    <col min="91" max="91" width="22.26953125" style="127" customWidth="1"/>
    <col min="92" max="92" width="30.1796875" style="127" customWidth="1"/>
    <col min="93" max="93" width="47.7265625" style="127" customWidth="1"/>
    <col min="94" max="95" width="9.1796875" style="127"/>
    <col min="96" max="16384" width="9.1796875" style="120"/>
  </cols>
  <sheetData>
    <row r="1" spans="1:95" s="88" customFormat="1" hidden="1">
      <c r="A1" s="84" t="s">
        <v>4</v>
      </c>
      <c r="B1" s="85" t="s">
        <v>69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7"/>
      <c r="AK1" s="87"/>
      <c r="AL1" s="87"/>
      <c r="AM1" s="87"/>
    </row>
    <row r="2" spans="1:95" s="88" customFormat="1" hidden="1">
      <c r="A2" s="89" t="s">
        <v>7</v>
      </c>
      <c r="B2" s="90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7"/>
      <c r="AK2" s="87"/>
      <c r="AL2" s="87"/>
      <c r="AM2" s="87"/>
    </row>
    <row r="3" spans="1:95" s="88" customFormat="1" hidden="1">
      <c r="A3" s="91" t="s">
        <v>70</v>
      </c>
      <c r="B3" s="92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7"/>
      <c r="AH3" s="87"/>
      <c r="AI3" s="87"/>
      <c r="AJ3" s="87"/>
    </row>
    <row r="4" spans="1:95" s="95" customFormat="1" hidden="1">
      <c r="A4" s="93">
        <f>MATCH(A3,10:10,0)</f>
        <v>1</v>
      </c>
      <c r="B4" s="93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87"/>
      <c r="AH4" s="87"/>
      <c r="AI4" s="87"/>
      <c r="AJ4" s="87"/>
    </row>
    <row r="5" spans="1:95" s="95" customFormat="1" hidden="1">
      <c r="A5" s="93">
        <v>3475</v>
      </c>
      <c r="B5" s="93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87"/>
      <c r="AH5" s="87"/>
      <c r="AI5" s="87"/>
      <c r="AJ5" s="87"/>
    </row>
    <row r="6" spans="1:95" s="97" customFormat="1" hidden="1">
      <c r="A6" s="96" t="s">
        <v>5</v>
      </c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9"/>
      <c r="AK6" s="99"/>
      <c r="AL6" s="99"/>
      <c r="AM6" s="99"/>
    </row>
    <row r="7" spans="1:95" s="97" customFormat="1" hidden="1">
      <c r="A7" s="100"/>
      <c r="B7" s="100" t="str">
        <f>IF(B8&lt;&gt;"","Operator","")</f>
        <v/>
      </c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9"/>
      <c r="AK7" s="99"/>
      <c r="AL7" s="99"/>
      <c r="AM7" s="99"/>
    </row>
    <row r="8" spans="1:95" s="97" customFormat="1" hidden="1">
      <c r="A8" s="101"/>
      <c r="B8" s="101" t="str">
        <f>IF($C$13&lt;&gt;"",$C$13,"")</f>
        <v/>
      </c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9"/>
      <c r="AK8" s="99"/>
      <c r="AL8" s="99"/>
      <c r="AM8" s="99"/>
    </row>
    <row r="9" spans="1:95" s="103" customFormat="1" hidden="1">
      <c r="A9" s="102" t="s">
        <v>6</v>
      </c>
      <c r="B9" s="100"/>
      <c r="AM9" s="99"/>
      <c r="AN9" s="99"/>
      <c r="AO9" s="99"/>
      <c r="AP9" s="99"/>
    </row>
    <row r="10" spans="1:95" s="86" customFormat="1" hidden="1">
      <c r="A10" s="91" t="s">
        <v>70</v>
      </c>
      <c r="B10" s="104" t="s">
        <v>71</v>
      </c>
      <c r="AJ10" s="87"/>
      <c r="AK10" s="87"/>
      <c r="AL10" s="87"/>
      <c r="AM10" s="87"/>
    </row>
    <row r="11" spans="1:95" s="100" customFormat="1" hidden="1"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  <c r="BM11" s="103"/>
      <c r="BN11" s="103"/>
      <c r="BO11" s="103"/>
      <c r="BP11" s="103"/>
      <c r="BQ11" s="103"/>
      <c r="BR11" s="103"/>
      <c r="BS11" s="99"/>
      <c r="BT11" s="99"/>
      <c r="BU11" s="99"/>
      <c r="BV11" s="99"/>
    </row>
    <row r="12" spans="1:95" s="106" customFormat="1">
      <c r="A12" s="105"/>
      <c r="C12" s="107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9"/>
      <c r="BY12" s="109"/>
      <c r="BZ12" s="109"/>
      <c r="CA12" s="109"/>
    </row>
    <row r="13" spans="1:95" s="106" customFormat="1" ht="21">
      <c r="A13" s="110" t="s">
        <v>72</v>
      </c>
      <c r="B13" s="111"/>
      <c r="C13" s="110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11"/>
      <c r="AH13" s="111"/>
      <c r="AI13" s="111"/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11"/>
      <c r="BB13" s="111"/>
      <c r="BC13" s="111"/>
      <c r="BD13" s="111"/>
      <c r="BE13" s="111"/>
      <c r="BF13" s="111"/>
      <c r="BG13" s="111"/>
      <c r="BH13" s="111"/>
      <c r="BI13" s="111"/>
      <c r="BJ13" s="111"/>
      <c r="BK13" s="111"/>
      <c r="BL13" s="111"/>
      <c r="BM13" s="111"/>
      <c r="BN13" s="111"/>
      <c r="BO13" s="111"/>
      <c r="BP13" s="111"/>
      <c r="BQ13" s="111"/>
      <c r="BR13" s="111"/>
      <c r="BS13" s="111"/>
      <c r="BT13" s="111"/>
      <c r="BU13" s="111"/>
      <c r="BV13" s="111"/>
      <c r="BW13" s="111"/>
      <c r="BX13" s="111"/>
      <c r="BY13" s="111"/>
      <c r="BZ13" s="111"/>
      <c r="CA13" s="111"/>
      <c r="CB13" s="112"/>
      <c r="CC13" s="112"/>
      <c r="CD13" s="112"/>
      <c r="CE13" s="112"/>
    </row>
    <row r="14" spans="1:95" s="115" customFormat="1" ht="15" customHeight="1">
      <c r="A14" s="113"/>
      <c r="B14" s="113" t="str">
        <f>IFERROR(IF(HLOOKUP(B10,$3:$3,1,FALSE)&lt;&gt;"",".",""),"")</f>
        <v/>
      </c>
      <c r="C14" s="113" t="str">
        <f>IFERROR(IF(HLOOKUP(#REF!,$3:$3,1,FALSE)&lt;&gt;"",".",""),"")</f>
        <v/>
      </c>
      <c r="D14" s="113" t="str">
        <f>IFERROR(IF(HLOOKUP(#REF!,$3:$3,1,FALSE)&lt;&gt;"",".",""),"")</f>
        <v/>
      </c>
      <c r="E14" s="113" t="str">
        <f>IFERROR(IF(HLOOKUP(#REF!,$3:$3,1,FALSE)&lt;&gt;"",".",""),"")</f>
        <v/>
      </c>
      <c r="F14" s="113" t="str">
        <f>IFERROR(IF(HLOOKUP(#REF!,$3:$3,1,FALSE)&lt;&gt;"",".",""),"")</f>
        <v/>
      </c>
      <c r="G14" s="113" t="str">
        <f>IFERROR(IF(HLOOKUP(#REF!,$3:$3,1,FALSE)&lt;&gt;"",".",""),"")</f>
        <v/>
      </c>
      <c r="H14" s="113" t="str">
        <f>IFERROR(IF(HLOOKUP(#REF!,$3:$3,1,FALSE)&lt;&gt;"",".",""),"")</f>
        <v/>
      </c>
      <c r="I14" s="113" t="str">
        <f>IFERROR(IF(HLOOKUP(#REF!,$3:$3,1,FALSE)&lt;&gt;"",".",""),"")</f>
        <v/>
      </c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</row>
    <row r="15" spans="1:95" s="117" customFormat="1" ht="54" customHeight="1">
      <c r="A15" s="116" t="s">
        <v>70</v>
      </c>
      <c r="B15" s="116" t="s">
        <v>71</v>
      </c>
    </row>
    <row r="16" spans="1:95">
      <c r="A16" s="118" t="s">
        <v>66</v>
      </c>
      <c r="B16" s="119" t="s">
        <v>73</v>
      </c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  <c r="AF16" s="120"/>
      <c r="AG16" s="120"/>
      <c r="AH16" s="120"/>
      <c r="AI16" s="120"/>
      <c r="AJ16" s="120"/>
      <c r="AK16" s="120"/>
      <c r="AL16" s="120"/>
      <c r="AM16" s="120"/>
      <c r="AN16" s="120"/>
      <c r="AO16" s="120"/>
      <c r="AP16" s="120"/>
      <c r="AQ16" s="120"/>
      <c r="AR16" s="120"/>
      <c r="AS16" s="120"/>
      <c r="AT16" s="120"/>
      <c r="AU16" s="120"/>
      <c r="AV16" s="120"/>
      <c r="AW16" s="120"/>
      <c r="AX16" s="120"/>
      <c r="AY16" s="120"/>
      <c r="AZ16" s="120"/>
      <c r="BA16" s="120"/>
      <c r="BB16" s="120"/>
      <c r="BC16" s="120"/>
      <c r="BD16" s="120"/>
      <c r="BE16" s="120"/>
      <c r="BF16" s="120"/>
      <c r="BG16" s="120"/>
      <c r="BH16" s="120"/>
      <c r="BI16" s="120"/>
      <c r="BJ16" s="120"/>
      <c r="BK16" s="120"/>
      <c r="BL16" s="120"/>
      <c r="BM16" s="120"/>
      <c r="BN16" s="120"/>
      <c r="BO16" s="120"/>
      <c r="BP16" s="120"/>
      <c r="BQ16" s="120"/>
      <c r="BR16" s="120"/>
      <c r="BS16" s="120"/>
      <c r="BT16" s="120"/>
      <c r="BU16" s="120"/>
      <c r="BV16" s="120"/>
      <c r="BW16" s="120"/>
      <c r="BX16" s="120"/>
      <c r="BY16" s="120"/>
      <c r="BZ16" s="120"/>
      <c r="CA16" s="120"/>
      <c r="CB16" s="120"/>
      <c r="CC16" s="120"/>
      <c r="CD16" s="120"/>
      <c r="CE16" s="120"/>
      <c r="CF16" s="120"/>
      <c r="CG16" s="120"/>
      <c r="CH16" s="120"/>
      <c r="CI16" s="120"/>
      <c r="CJ16" s="120"/>
      <c r="CK16" s="120"/>
      <c r="CL16" s="120"/>
      <c r="CM16" s="120"/>
      <c r="CN16" s="120"/>
      <c r="CO16" s="120"/>
      <c r="CP16" s="120"/>
      <c r="CQ16" s="120"/>
    </row>
    <row r="17" spans="1:2">
      <c r="A17" s="121" t="s">
        <v>68</v>
      </c>
      <c r="B17" s="122" t="s">
        <v>74</v>
      </c>
    </row>
    <row r="18" spans="1:2">
      <c r="A18" s="121" t="s">
        <v>67</v>
      </c>
      <c r="B18" s="122" t="s">
        <v>75</v>
      </c>
    </row>
    <row r="19" spans="1:2">
      <c r="A19" s="121" t="s">
        <v>65</v>
      </c>
      <c r="B19" s="122" t="s">
        <v>74</v>
      </c>
    </row>
    <row r="20" spans="1:2">
      <c r="A20" s="121" t="s">
        <v>76</v>
      </c>
      <c r="B20" s="122" t="s">
        <v>74</v>
      </c>
    </row>
  </sheetData>
  <sheetProtection insertColumns="0" insertRows="0" insertHyperlink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1]!RevertPrevalidation">
                <anchor>
                  <from>
                    <xdr:col>5</xdr:col>
                    <xdr:colOff>69850</xdr:colOff>
                    <xdr:row>11</xdr:row>
                    <xdr:rowOff>152400</xdr:rowOff>
                  </from>
                  <to>
                    <xdr:col>6</xdr:col>
                    <xdr:colOff>457200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69826DD-C980-43D7-9D08-CC30784BDC22}">
  <ds:schemaRefs>
    <ds:schemaRef ds:uri="a390e121-60b8-4fd2-9983-43b87f4d3957"/>
    <ds:schemaRef ds:uri="http://purl.org/dc/terms/"/>
    <ds:schemaRef ds:uri="http://purl.org/dc/elements/1.1/"/>
    <ds:schemaRef ds:uri="http://purl.org/dc/dcmitype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7a19e65e-9de7-40b1-ad12-4e6965d24380"/>
  </ds:schemaRefs>
</ds:datastoreItem>
</file>

<file path=customXml/itemProps2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Query</vt:lpstr>
      <vt:lpstr>File Extension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2019-01-28T08:09:02Z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