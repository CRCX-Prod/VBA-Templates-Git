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Mailing\"/>
    </mc:Choice>
  </mc:AlternateContent>
  <xr:revisionPtr revIDLastSave="9" documentId="14_{173383C9-572F-4B03-828C-90BB74DA9079}" xr6:coauthVersionLast="38" xr6:coauthVersionMax="38" xr10:uidLastSave="{00AFBAA9-588A-49F0-98D8-65EFD5661781}"/>
  <bookViews>
    <workbookView xWindow="0" yWindow="0" windowWidth="20490" windowHeight="8625" tabRatio="710" xr2:uid="{00000000-000D-0000-FFFF-FFFF00000000}"/>
  </bookViews>
  <sheets>
    <sheet name="Mailing" sheetId="78" r:id="rId1"/>
    <sheet name="MySQL" sheetId="80" state="hidden" r:id="rId2"/>
    <sheet name="Team Lookup" sheetId="82" state="hidden" r:id="rId3"/>
    <sheet name="User Lookup" sheetId="83" r:id="rId4"/>
  </sheets>
  <functionGroups builtInGroupCount="19"/>
  <definedNames>
    <definedName name="ExternalData_1" localSheetId="1" hidden="1">MySQL!$A$1:$BC$30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78" l="1"/>
  <c r="C4" i="78"/>
  <c r="G4" i="78" s="1"/>
  <c r="H4" i="78"/>
  <c r="O4" i="78" s="1"/>
  <c r="I4" i="78"/>
  <c r="J4" i="78"/>
  <c r="B5" i="78"/>
  <c r="C5" i="78"/>
  <c r="G5" i="78" s="1"/>
  <c r="H5" i="78"/>
  <c r="O5" i="78" s="1"/>
  <c r="I5" i="78"/>
  <c r="J5" i="78"/>
  <c r="B6" i="78"/>
  <c r="C6" i="78"/>
  <c r="G6" i="78" s="1"/>
  <c r="H6" i="78"/>
  <c r="O6" i="78" s="1"/>
  <c r="I6" i="78"/>
  <c r="J6" i="78"/>
  <c r="B7" i="78"/>
  <c r="C7" i="78"/>
  <c r="G7" i="78"/>
  <c r="H7" i="78"/>
  <c r="O7" i="78" s="1"/>
  <c r="I7" i="78"/>
  <c r="J7" i="78"/>
  <c r="B8" i="78"/>
  <c r="C8" i="78"/>
  <c r="G8" i="78"/>
  <c r="H8" i="78"/>
  <c r="O8" i="78" s="1"/>
  <c r="I8" i="78"/>
  <c r="J8" i="78"/>
  <c r="B9" i="78"/>
  <c r="C9" i="78"/>
  <c r="G9" i="78"/>
  <c r="H9" i="78"/>
  <c r="O9" i="78" s="1"/>
  <c r="I9" i="78"/>
  <c r="J9" i="78"/>
  <c r="B10" i="78"/>
  <c r="C10" i="78"/>
  <c r="G10" i="78"/>
  <c r="H10" i="78"/>
  <c r="O10" i="78" s="1"/>
  <c r="I10" i="78"/>
  <c r="J10" i="78"/>
  <c r="B11" i="78"/>
  <c r="C11" i="78"/>
  <c r="G11" i="78"/>
  <c r="H11" i="78"/>
  <c r="O11" i="78" s="1"/>
  <c r="I11" i="78"/>
  <c r="J11" i="78"/>
  <c r="B12" i="78"/>
  <c r="C12" i="78"/>
  <c r="G12" i="78"/>
  <c r="H12" i="78"/>
  <c r="O12" i="78" s="1"/>
  <c r="I12" i="78"/>
  <c r="J12" i="78"/>
  <c r="B13" i="78"/>
  <c r="C13" i="78"/>
  <c r="G13" i="78"/>
  <c r="H13" i="78"/>
  <c r="O13" i="78" s="1"/>
  <c r="I13" i="78"/>
  <c r="J13" i="78"/>
  <c r="B14" i="78"/>
  <c r="C14" i="78"/>
  <c r="G14" i="78"/>
  <c r="H14" i="78"/>
  <c r="O14" i="78" s="1"/>
  <c r="I14" i="78"/>
  <c r="J14" i="78"/>
  <c r="B15" i="78"/>
  <c r="C15" i="78"/>
  <c r="G15" i="78"/>
  <c r="H15" i="78"/>
  <c r="O15" i="78" s="1"/>
  <c r="I15" i="78"/>
  <c r="J15" i="78"/>
  <c r="B16" i="78"/>
  <c r="C16" i="78"/>
  <c r="G16" i="78"/>
  <c r="H16" i="78"/>
  <c r="O16" i="78" s="1"/>
  <c r="I16" i="78"/>
  <c r="J16" i="78"/>
  <c r="M7" i="78"/>
  <c r="K4" i="78"/>
  <c r="K15" i="78"/>
  <c r="M14" i="78"/>
  <c r="M12" i="78"/>
  <c r="N12" i="78"/>
  <c r="L9" i="78"/>
  <c r="M5" i="78"/>
  <c r="M6" i="78"/>
  <c r="K7" i="78"/>
  <c r="K6" i="78"/>
  <c r="L16" i="78"/>
  <c r="L8" i="78"/>
  <c r="K16" i="78"/>
  <c r="N10" i="78"/>
  <c r="M8" i="78"/>
  <c r="N8" i="78"/>
  <c r="L5" i="78"/>
  <c r="N9" i="78"/>
  <c r="L4" i="78"/>
  <c r="N5" i="78"/>
  <c r="K10" i="78"/>
  <c r="M11" i="78"/>
  <c r="K8" i="78"/>
  <c r="N13" i="78"/>
  <c r="L7" i="78"/>
  <c r="M16" i="78"/>
  <c r="N16" i="78"/>
  <c r="L13" i="78"/>
  <c r="K5" i="78"/>
  <c r="M10" i="78"/>
  <c r="K11" i="78"/>
  <c r="K14" i="78"/>
  <c r="M15" i="78"/>
  <c r="K12" i="78"/>
  <c r="K13" i="78"/>
  <c r="M4" i="78"/>
  <c r="N4" i="78"/>
  <c r="M9" i="78"/>
  <c r="L12" i="78"/>
  <c r="K9" i="78"/>
  <c r="M13" i="78"/>
  <c r="N15" i="78"/>
  <c r="S15" i="78" l="1"/>
  <c r="S5" i="78"/>
  <c r="R13" i="78"/>
  <c r="R10" i="78"/>
  <c r="R6" i="78"/>
  <c r="Q4" i="78"/>
  <c r="R5" i="78"/>
  <c r="S9" i="78"/>
  <c r="Q12" i="78"/>
  <c r="Q13" i="78"/>
  <c r="Q9" i="78"/>
  <c r="Q5" i="78"/>
  <c r="R9" i="78"/>
  <c r="S16" i="78"/>
  <c r="S12" i="78"/>
  <c r="S8" i="78"/>
  <c r="S4" i="78"/>
  <c r="R16" i="78"/>
  <c r="R12" i="78"/>
  <c r="R8" i="78"/>
  <c r="R4" i="78"/>
  <c r="Q7" i="78"/>
  <c r="R14" i="78"/>
  <c r="S10" i="78"/>
  <c r="S13" i="78"/>
  <c r="Q8" i="78"/>
  <c r="R15" i="78"/>
  <c r="R11" i="78"/>
  <c r="R7" i="78"/>
  <c r="Q16" i="78"/>
  <c r="P14" i="78"/>
  <c r="P6" i="78"/>
  <c r="P10" i="78"/>
  <c r="P11" i="78"/>
  <c r="P7" i="78"/>
  <c r="P9" i="78"/>
  <c r="P5" i="78"/>
  <c r="P13" i="78"/>
  <c r="P15" i="78"/>
  <c r="P16" i="78"/>
  <c r="P12" i="78"/>
  <c r="P8" i="78"/>
  <c r="P4" i="78"/>
  <c r="H2" i="78"/>
  <c r="H3" i="78"/>
  <c r="I2" i="78"/>
  <c r="I3" i="78"/>
  <c r="N7" i="78"/>
  <c r="N6" i="78"/>
  <c r="L6" i="78"/>
  <c r="N11" i="78"/>
  <c r="L14" i="78"/>
  <c r="L15" i="78"/>
  <c r="L11" i="78"/>
  <c r="L10" i="78"/>
  <c r="N14" i="78"/>
  <c r="Q10" i="78" l="1"/>
  <c r="Q14" i="78"/>
  <c r="S14" i="78"/>
  <c r="S6" i="78"/>
  <c r="Q11" i="78"/>
  <c r="S11" i="78"/>
  <c r="Q6" i="78"/>
  <c r="S7" i="78"/>
  <c r="Q15" i="78"/>
  <c r="C2" i="78"/>
  <c r="G2" i="78" s="1"/>
  <c r="C3" i="78"/>
  <c r="G3" i="78" s="1"/>
  <c r="B2" i="78"/>
  <c r="B3" i="78"/>
  <c r="O2" i="78" l="1"/>
  <c r="O3" i="78"/>
  <c r="J2" i="78"/>
  <c r="J3" i="78"/>
  <c r="L2" i="78"/>
  <c r="N2" i="78"/>
  <c r="M2" i="78"/>
  <c r="L3" i="78"/>
  <c r="N3" i="78"/>
  <c r="K3" i="78"/>
  <c r="K2" i="78"/>
  <c r="M3" i="78"/>
  <c r="S3" i="78" l="1"/>
  <c r="Q3" i="78"/>
  <c r="S2" i="78"/>
  <c r="R3" i="78"/>
  <c r="R2" i="78"/>
  <c r="Q2" i="78"/>
  <c r="P2" i="78"/>
  <c r="P3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refreshOnLoad="1" saveData="1">
    <dbPr connection="Provider=Microsoft.Mashup.OleDb.1;Data Source=$Workbook$;Location=05colo_validation;Extended Properties=&quot;&quot;" command="SELECT * FROM [05colo_validation]"/>
  </connection>
</connections>
</file>

<file path=xl/sharedStrings.xml><?xml version="1.0" encoding="utf-8"?>
<sst xmlns="http://schemas.openxmlformats.org/spreadsheetml/2006/main" count="907" uniqueCount="381">
  <si>
    <t>Operator</t>
  </si>
  <si>
    <t>Open_Date</t>
  </si>
  <si>
    <t>05_id</t>
  </si>
  <si>
    <t>Power_Requested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</si>
  <si>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</si>
  <si>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</si>
  <si>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</si>
  <si>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</si>
  <si>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</si>
  <si>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</si>
  <si>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</si>
  <si>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</si>
  <si>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</si>
  <si>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</si>
  <si>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Community_Result</t>
  </si>
  <si>
    <t>Community_Remarks</t>
  </si>
  <si>
    <t>Status</t>
  </si>
  <si>
    <t>Under Prevalidation</t>
  </si>
  <si>
    <t>General_Remark</t>
  </si>
  <si>
    <t>Mytel</t>
  </si>
  <si>
    <t>MPT</t>
  </si>
  <si>
    <t>Legacy</t>
  </si>
  <si>
    <t>04Id_Project</t>
  </si>
  <si>
    <t>Pan Asia</t>
  </si>
  <si>
    <t>Colocation</t>
  </si>
  <si>
    <t>1-01-05027-009</t>
  </si>
  <si>
    <t>SGG00227</t>
  </si>
  <si>
    <t>1-01-05030-010</t>
  </si>
  <si>
    <t>SGG00149</t>
  </si>
  <si>
    <t>Apollo</t>
  </si>
  <si>
    <t>OML</t>
  </si>
  <si>
    <t>ANMD_0011</t>
  </si>
  <si>
    <t>MDYAMTZ017</t>
  </si>
  <si>
    <t>Amara</t>
  </si>
  <si>
    <t>ANMD_0170</t>
  </si>
  <si>
    <t>MAW2986</t>
  </si>
  <si>
    <t>ANSG_0373</t>
  </si>
  <si>
    <t>SGG0992</t>
  </si>
  <si>
    <t>ANSG_0463</t>
  </si>
  <si>
    <t>Rejected</t>
  </si>
  <si>
    <t>ASTN_0035</t>
  </si>
  <si>
    <t>TAW6249</t>
  </si>
  <si>
    <t>AYYN_0086</t>
  </si>
  <si>
    <t>AYYN_0100</t>
  </si>
  <si>
    <t>YGN0496</t>
  </si>
  <si>
    <t>AYYN_0529</t>
  </si>
  <si>
    <t>Region</t>
  </si>
  <si>
    <t>Northern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</si>
  <si>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</si>
  <si>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</si>
  <si>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</si>
  <si>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</si>
  <si>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</si>
  <si>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</si>
  <si>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</si>
  <si>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</si>
  <si>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</si>
  <si>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</si>
  <si>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</si>
  <si>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</si>
  <si>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</si>
  <si>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</si>
  <si>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</si>
  <si>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</si>
  <si>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</si>
  <si>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</si>
  <si>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Past issues with OML colo, negotiate rent increase before agreeing</t>
  </si>
  <si>
    <t>Name</t>
  </si>
  <si>
    <t>Rob</t>
  </si>
  <si>
    <t>charles.richeux@apollo-towers.com</t>
  </si>
  <si>
    <t>May</t>
  </si>
  <si>
    <t>Rudy</t>
  </si>
  <si>
    <t>Total</t>
  </si>
  <si>
    <t>Column1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</si>
  <si>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</si>
  <si>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</si>
  <si>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</si>
  <si>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</si>
  <si>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</si>
  <si>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</si>
  <si>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</si>
  <si>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</si>
  <si>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</si>
  <si>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</si>
  <si>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</si>
  <si>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</si>
  <si>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</si>
  <si>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</si>
  <si>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</si>
  <si>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</si>
  <si>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</si>
  <si>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</si>
  <si>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</si>
  <si>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</si>
  <si>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</si>
  <si>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</si>
  <si>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</si>
  <si>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</si>
  <si>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</si>
  <si>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</si>
  <si>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</si>
  <si>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</si>
  <si>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</si>
  <si>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</si>
  <si>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</si>
  <si>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</si>
  <si>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</si>
  <si>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</si>
  <si>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</si>
  <si>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</si>
  <si>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</si>
  <si>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26</t>
  </si>
  <si>
    <t>31</t>
  </si>
  <si>
    <t>27</t>
  </si>
  <si>
    <t>32</t>
  </si>
  <si>
    <t>36</t>
  </si>
  <si>
    <t>35</t>
  </si>
  <si>
    <t>1</t>
  </si>
  <si>
    <t>41</t>
  </si>
  <si>
    <t>SQM</t>
  </si>
  <si>
    <t>48</t>
  </si>
  <si>
    <t>53</t>
  </si>
  <si>
    <t>Not Required</t>
  </si>
  <si>
    <t>33</t>
  </si>
  <si>
    <t>38</t>
  </si>
  <si>
    <t>21</t>
  </si>
  <si>
    <t>3</t>
  </si>
  <si>
    <t>LTE</t>
  </si>
  <si>
    <t>49</t>
  </si>
  <si>
    <t>ANMD_0132</t>
  </si>
  <si>
    <t>MDY00422</t>
  </si>
  <si>
    <t>17</t>
  </si>
  <si>
    <t>22</t>
  </si>
  <si>
    <t/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</si>
  <si>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</si>
  <si>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</si>
  <si>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</si>
  <si>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</si>
  <si>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</si>
  <si>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</si>
  <si>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</si>
  <si>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</si>
  <si>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</si>
  <si>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</si>
  <si>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</si>
  <si>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</si>
  <si>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</si>
  <si>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</si>
  <si>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New Colocation</t>
  </si>
  <si>
    <t>Column2</t>
  </si>
  <si>
    <t>Lookup</t>
  </si>
  <si>
    <t>Account</t>
  </si>
  <si>
    <t>Strengthened Tower(TML+OML+MYTEL+AMARA+KSGM(OLD+NEW)):158.86 %</t>
  </si>
  <si>
    <t>Pending</t>
  </si>
  <si>
    <t>Charles Richeux</t>
  </si>
  <si>
    <t>Charles</t>
  </si>
  <si>
    <t>Thet Su Darli Lin</t>
  </si>
  <si>
    <t>thet.su.darli.lin@panasiatower.net</t>
  </si>
  <si>
    <t>Moe Nu San</t>
  </si>
  <si>
    <t>moe.nu.san@panasiatower.net</t>
  </si>
  <si>
    <t>Htet Htet Lin</t>
  </si>
  <si>
    <t>htethtet.lin@apollo-towers.com</t>
  </si>
  <si>
    <t>Orlando Pascual</t>
  </si>
  <si>
    <t>Pasky</t>
  </si>
  <si>
    <t>orlando.pascual@panasiatower.com</t>
  </si>
  <si>
    <t xml:space="preserve">Yves Monnier </t>
  </si>
  <si>
    <t>Yves</t>
  </si>
  <si>
    <t>yves.monnier@apollo-towers.com</t>
  </si>
  <si>
    <t>Tin Zar Ni Htun</t>
  </si>
  <si>
    <t>tin.zar.ni.tun@panasiatower.net</t>
  </si>
  <si>
    <t>Adriaan Coetzee</t>
  </si>
  <si>
    <t>Adriaan</t>
  </si>
  <si>
    <t>adriaan.coetzee@apollo-towers.com</t>
  </si>
  <si>
    <t>Kitcha Kulchonsathid</t>
  </si>
  <si>
    <t>Kitcha</t>
  </si>
  <si>
    <t>kitcha.kulchonsathid@panasiatower.net</t>
  </si>
  <si>
    <t>Ohnmar Soe Than</t>
  </si>
  <si>
    <t>Ohnmar</t>
  </si>
  <si>
    <t>ohnmar.soe@panasiatower.com</t>
  </si>
  <si>
    <t>Thant Thiri</t>
  </si>
  <si>
    <t>thant.thiri@panasiatower.net</t>
  </si>
  <si>
    <t>Robert Lemonnier</t>
  </si>
  <si>
    <t>Robert</t>
  </si>
  <si>
    <t>robert.lemonnier@apollo-towers.com</t>
  </si>
  <si>
    <t>Steven Fotheringham</t>
  </si>
  <si>
    <t>Steve</t>
  </si>
  <si>
    <t>steve.fotheringham@panasiatower.com</t>
  </si>
  <si>
    <t>May Zin Wint</t>
  </si>
  <si>
    <t>may.zin.wint@panasiatower.net</t>
  </si>
  <si>
    <t>Phyo Min Swe</t>
  </si>
  <si>
    <t>phyo.min.swe@panasiatower.net</t>
  </si>
  <si>
    <t>Bhanu Ojha</t>
  </si>
  <si>
    <t>Bhanu</t>
  </si>
  <si>
    <t>bhanu.ojha@apollo-towers.com</t>
  </si>
  <si>
    <t>Aung Myo Thiha (Alvin)</t>
  </si>
  <si>
    <t>Alvin</t>
  </si>
  <si>
    <t>alvin.aung@apollo-towers.com</t>
  </si>
  <si>
    <t xml:space="preserve">Rob Matteo </t>
  </si>
  <si>
    <t>rob.matteo@apollo-towers.com</t>
  </si>
  <si>
    <t>Min Khine Wai</t>
  </si>
  <si>
    <t>min.khine.wai@panasiatower.net</t>
  </si>
  <si>
    <t>Roderick Mariano</t>
  </si>
  <si>
    <t>Roderick</t>
  </si>
  <si>
    <t>roderick.mariano@apollo-towers.com</t>
  </si>
  <si>
    <t>Veasna Leang</t>
  </si>
  <si>
    <t>Veasna</t>
  </si>
  <si>
    <t>veasna.leang@panasiatower.net</t>
  </si>
  <si>
    <t>Narita Dequico</t>
  </si>
  <si>
    <t>Narita</t>
  </si>
  <si>
    <t>narita.dequico@panasiatower.net</t>
  </si>
  <si>
    <t>Kyaw Zin Htet</t>
  </si>
  <si>
    <t>kyaw.zin.htet@panasiatower.net</t>
  </si>
  <si>
    <t>Su Latt Htar</t>
  </si>
  <si>
    <t>sulatt.htar@apollo-towers.com</t>
  </si>
  <si>
    <t>Win Myat</t>
  </si>
  <si>
    <t>win.myat@panasiatower.net</t>
  </si>
  <si>
    <t>Thint Myat May</t>
  </si>
  <si>
    <t>thintmyat.may@apollo-towers.com</t>
  </si>
  <si>
    <t>Myo Aung</t>
  </si>
  <si>
    <t>myo.aung@apollo-towers.com</t>
  </si>
  <si>
    <t>Theint Thazin Tun</t>
  </si>
  <si>
    <t>theint.thazin.tun@panasiatower.net</t>
  </si>
  <si>
    <t>Anil Kiran Bathula</t>
  </si>
  <si>
    <t>Anil</t>
  </si>
  <si>
    <t>anilkiran.bathula@apollo-towers.com</t>
  </si>
  <si>
    <t>Christopher Arthur Thomson</t>
  </si>
  <si>
    <t>Chris</t>
  </si>
  <si>
    <t>Chris.Thomson@apollo-towers.com</t>
  </si>
  <si>
    <t xml:space="preserve">Gurwinder Singh </t>
  </si>
  <si>
    <t>Gurwinder</t>
  </si>
  <si>
    <t>gurwinder.singh@apollo-towers.com</t>
  </si>
  <si>
    <t>Paul Mc Sherry</t>
  </si>
  <si>
    <t>Paul</t>
  </si>
  <si>
    <t>paul.mcsherry@panasiatower.net</t>
  </si>
  <si>
    <t>Rudy Grunewald</t>
  </si>
  <si>
    <t>rudy.grunewald@panasiatower.net</t>
  </si>
  <si>
    <t>Jumpon U</t>
  </si>
  <si>
    <t>jumpon.u@panasiatower.net</t>
  </si>
  <si>
    <t>Total New</t>
  </si>
  <si>
    <t>Text New</t>
  </si>
  <si>
    <t>Quick Name</t>
  </si>
  <si>
    <t>Design &amp; Engineering</t>
  </si>
  <si>
    <t>Community &amp; Security</t>
  </si>
  <si>
    <t>Space Management</t>
  </si>
  <si>
    <t>Power Management</t>
  </si>
  <si>
    <t>Estate Management</t>
  </si>
  <si>
    <t>Team to send</t>
  </si>
  <si>
    <t>Email</t>
  </si>
  <si>
    <t>Mail Address not send</t>
  </si>
  <si>
    <t>Power_Average_Requested</t>
  </si>
  <si>
    <t>Power_Peak_Requested</t>
  </si>
  <si>
    <t>Power_Average</t>
  </si>
  <si>
    <t>Power_Peak</t>
  </si>
  <si>
    <t>Tower_Space_Time</t>
  </si>
  <si>
    <t>Power_Time</t>
  </si>
  <si>
    <t>Structural_Time</t>
  </si>
  <si>
    <t>CW_Time</t>
  </si>
  <si>
    <t>LandLord_Time</t>
  </si>
  <si>
    <t>Community_Time</t>
  </si>
  <si>
    <t xml:space="preserve">Site has 10 hours DG NS or Grid connect/UG PE/Take the risk-outages </t>
  </si>
  <si>
    <t xml:space="preserve">Existing on tower actual - OML 9.75 sqm /MPT - 5.82 sqm / Mytel - 1.74 sqm  )- Added RRU and Change RF Dimension </t>
  </si>
  <si>
    <t>Existing Tower: OML+TML+KSGM (OLD+NEW) = 114.3% (Estimate strengthening weight = 646 kg)
Existing Tower: OML+TML+KSGM (OLD) = 114.3%</t>
  </si>
  <si>
    <t>1-2 weeks</t>
  </si>
  <si>
    <t>DCDB for MPT tapping from OML integrated cabinet</t>
  </si>
  <si>
    <t>1-01-15012-002</t>
  </si>
  <si>
    <t>SHN00218</t>
  </si>
  <si>
    <t>TS  _ v1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</si>
  <si>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</si>
  <si>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</si>
  <si>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 xml:space="preserve">No action needed </t>
  </si>
  <si>
    <t>AYYN_0583</t>
  </si>
  <si>
    <t>YGNSPTR021</t>
  </si>
  <si>
    <t>r-remove</t>
  </si>
  <si>
    <t>Existing on tower - ( Assume ) TML with 4.48 EPA/ OML with 7.13 EPA / MPT with 1.02 EPA /Mytel with 2.09 EPA/ Amara with 3.52 EPA  ( Remove MW )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</si>
  <si>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</si>
  <si>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</si>
  <si>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</si>
  <si>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</si>
  <si>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</si>
  <si>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</si>
  <si>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</si>
  <si>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</si>
  <si>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</si>
  <si>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</si>
  <si>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</si>
  <si>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</si>
  <si>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</si>
  <si>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</si>
  <si>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</si>
  <si>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</si>
  <si>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ASMO_0202</t>
  </si>
  <si>
    <t>MOW6163</t>
  </si>
  <si>
    <t>54</t>
  </si>
  <si>
    <t xml:space="preserve">Requested OML EPA - 3.78 EPA ( Require Colo Apps for more details ) -  Existing on tower ( assume ) TML - 8.36 EPA / Mytel - 5.41 EPA </t>
  </si>
  <si>
    <t xml:space="preserve">Can use the existing slab - Space to reconfirm base on TSS </t>
  </si>
  <si>
    <t>3-6 months</t>
  </si>
  <si>
    <t>Grid connection only - 12 Hrs NS - Offgrid</t>
  </si>
  <si>
    <t>AYYN_0508</t>
  </si>
  <si>
    <t>YAW7800</t>
  </si>
  <si>
    <t xml:space="preserve">Requested OML EPA - 3.78 EPA ( Require Colo Apps for more details ) -  Existing on tower ( assume ) TML - 4.66 EPA / Mytel - 2.55 EPA /Amara 3.42 EPA </t>
  </si>
  <si>
    <t>Full K10 UG required - need to plan</t>
  </si>
  <si>
    <t>AYYN_0534</t>
  </si>
  <si>
    <t>YAW7825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</si>
  <si>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</si>
  <si>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</si>
  <si>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AYYN_0611</t>
  </si>
  <si>
    <t>YAW4436</t>
  </si>
  <si>
    <t xml:space="preserve">Requested OML EPA - 3.78 EPA ( Require Colo Apps for more details ) -  Existing on tower ( assume ) TML - 5.42 EPA / Mytel Colo Apps- 5.45 EPA /MPT  4.66 EPA </t>
  </si>
  <si>
    <t>grid connection complete - DCDB only</t>
  </si>
  <si>
    <t>AYYN_0306</t>
  </si>
  <si>
    <t>YAW7763</t>
  </si>
  <si>
    <t>10</t>
  </si>
  <si>
    <t>Requested OML EPA - 3.78 EPA ( Require Colo Apps for more details ) -  Existing on tower ( assume ) TML - 3.02 EPA</t>
  </si>
  <si>
    <t>DCDB only</t>
  </si>
  <si>
    <t>YAW4447</t>
  </si>
  <si>
    <t xml:space="preserve">Requested OML EPA - 3.78 EPA ( Require Colo Apps for more details ) -  Existing on tower ( assume ) TML - 4.65 EPA / MPT- 4.70 EPA </t>
  </si>
  <si>
    <t>Ready perm power</t>
  </si>
  <si>
    <t>Other</t>
  </si>
  <si>
    <t xml:space="preserve">Existing on tower actual - OML 9.18 sqm /MPT - 2.69 sqm / TML - 3.20 sqm  ) change 1 RF to smaller dimension </t>
  </si>
  <si>
    <t>120 days min</t>
  </si>
  <si>
    <t xml:space="preserve">PE upgrade required </t>
  </si>
  <si>
    <t>Send Email</t>
  </si>
  <si>
    <t>Yvonne Steele</t>
  </si>
  <si>
    <t>Yvonne</t>
  </si>
  <si>
    <t>yvonne.steele@apollo-towers.com</t>
  </si>
  <si>
    <t>Admin</t>
  </si>
  <si>
    <t>Account Manager, MPT Account Manager, Telenor Account Manager, Amara Account Manager</t>
  </si>
  <si>
    <t>Telenor Account Manager, Account Manager</t>
  </si>
  <si>
    <t>OML Account Manager, Account Manager</t>
  </si>
  <si>
    <t>Project Management</t>
  </si>
  <si>
    <t>Commercial Manager</t>
  </si>
  <si>
    <t>Regional Manager</t>
  </si>
  <si>
    <t>Northern Region</t>
  </si>
  <si>
    <t>MPT Account Manager, Telenor Account Manager, Account Manager, Amara Account Manager</t>
  </si>
  <si>
    <t>Southern Region</t>
  </si>
  <si>
    <t>Mytel Account Manager, Account Manager</t>
  </si>
  <si>
    <t>MPT Account Manager, Account Manager</t>
  </si>
  <si>
    <t>Project Manager</t>
  </si>
  <si>
    <t>Central Region</t>
  </si>
  <si>
    <t>Project Management, Amara Account Manager, Account Manager</t>
  </si>
  <si>
    <t>Community &amp; Security, Estate Management</t>
  </si>
  <si>
    <t>Process Group</t>
  </si>
  <si>
    <t>Text OK</t>
  </si>
  <si>
    <t>Text Rejected</t>
  </si>
  <si>
    <t>Test Not Required</t>
  </si>
  <si>
    <t>Text Pending</t>
  </si>
  <si>
    <t>Approved</t>
  </si>
  <si>
    <t>Account Manager</t>
  </si>
  <si>
    <t>Rental increase was granted sometime in August 2016, which doubled the initial agreed rate; LL/Lessor recently asking for 100k/month on top of the current rate of 400k/month</t>
  </si>
  <si>
    <t>Strengthened Tower : OML+TML+MYTEL+AMARA (OLD+NEW) =  206.4%
GTL did not consider underground water in design strengthening calculation since this site has flood history that is the reason why the foundation is failing.</t>
  </si>
  <si>
    <t xml:space="preserve">2-May-18:Regarding Power, OML Cannot be allowed this time as the site has 12 hrs. of long NS. Battery also cannot be upgraded as site has the maximum battery capacity already.   </t>
  </si>
  <si>
    <t>19-Nov-18: Okay with easy micro solution
16-July-18: Tower already strengthening without consider OML (Information from Alvin)
Records says, not possible for co-location due community not allowing the DG to run when grid is down during night time -TML hub site</t>
  </si>
  <si>
    <t xml:space="preserve"> Current  Existing Foundation Stress(TML+MYTEL+AMARA): 424%
(Becouse Leadcom not consider ground water level) </t>
  </si>
  <si>
    <t>19-Oct-18: Okay with easy micro solution
16-July-18: Tower already strengthening without consider OML (Information from Alvin)</t>
  </si>
  <si>
    <t>19-Nov-18: Okay with easy micro solution
16-July-18: EPA over design and rejected by Emilio. (Information from Alvin
Records says, not possible for co-locaton due to DG noise complaint, grid connection on hold because of high VCC</t>
  </si>
  <si>
    <t>19-Nov-18: If structural team is okay then can go with easy micro soultion
6-July-17: Structural issue cant go for any co-location.</t>
  </si>
  <si>
    <t>19-Nov-18: owner donest allow any additional equipment. We negotitated with additional payment for ACS but owner refused.
OML dismantled because of higher power load required by OML.
23-Jun-17: OML disconnected dismantled equipment today and On air date (22-Oct-15) removed.
29-Mar-17: OML equipment will be dismantled and On air date will be deleted then.
26-Sep-15: Site added in list as per OML tracker</t>
  </si>
  <si>
    <t>EXISTING TOWER(OP1+OP4+OP3(OLD+NEW)):    102.93%
EXISTING TOWER(OP1+OP4+OP3(OLD)):  103.77%</t>
  </si>
  <si>
    <t>Existing on tower - ( Assume ) TML with 6.19 EPA/ OML with  12.24 EPA /   MPT with 3.86 EPA  ( Change 1 RF Bigger Dimension and add RRU )</t>
  </si>
  <si>
    <t>N/A</t>
  </si>
  <si>
    <t>Monitor PE poss candiate for PE upgrade</t>
  </si>
  <si>
    <t>1-01-05010-002</t>
  </si>
  <si>
    <t>SGG00209</t>
  </si>
  <si>
    <t>TS _ v1</t>
  </si>
  <si>
    <t>1-01-05010-006</t>
  </si>
  <si>
    <t>SGG00232</t>
  </si>
  <si>
    <t>2</t>
  </si>
  <si>
    <t>45.5</t>
  </si>
  <si>
    <t>53.5</t>
  </si>
  <si>
    <t>1-01-05009-003</t>
  </si>
  <si>
    <t>SGG00236</t>
  </si>
  <si>
    <t>46</t>
  </si>
  <si>
    <t>51</t>
  </si>
  <si>
    <t>1-01-14007-014</t>
  </si>
  <si>
    <t>SHN00080</t>
  </si>
  <si>
    <t>1-01-15013-007</t>
  </si>
  <si>
    <t>SHN00086</t>
  </si>
  <si>
    <t>1-01-14007-002</t>
  </si>
  <si>
    <t>SHS00093</t>
  </si>
  <si>
    <t>Exchange</t>
  </si>
  <si>
    <t>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</si>
</sst>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9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4" fillId="0" borderId="0" applyNumberFormat="0" applyFill="0" applyBorder="0" applyAlignment="0" applyProtection="0"/>
  </cellStyleXfs>
  <cellXfs count="7">
    <xf numFmtId="164" fontId="0" fillId="0" borderId="0" xfId="0"/>
    <xf numFmtId="0" fontId="0" fillId="0" borderId="0" xfId="0" applyNumberFormat="1"/>
    <xf numFmtId="164" fontId="255" fillId="0" borderId="0" xfId="0" applyFont="1"/>
    <xf numFmtId="0" fontId="255" fillId="0" borderId="0" xfId="0" applyNumberFormat="1" applyFont="1"/>
    <xf numFmtId="164" fontId="255" fillId="0" borderId="0" xfId="33834" applyFont="1"/>
    <xf numFmtId="164" fontId="255" fillId="0" borderId="0" xfId="0" applyNumberFormat="1" applyFont="1"/>
    <xf numFmtId="164" fontId="0" fillId="87" borderId="0" xfId="0" applyFill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77"/>
      <tableStyleElement type="headerRow" dxfId="76"/>
    </tableStyle>
    <tableStyle name="Slicer Style 1" pivot="0" table="0" count="1" xr9:uid="{917E408E-E507-419E-BA36-A54E390599E0}">
      <tableStyleElement type="wholeTable" dxfId="75"/>
    </tableStyle>
    <tableStyle name="Slicer Style New" pivot="0" table="0" count="10" xr9:uid="{3ED34236-7CBC-44D3-996B-E73F682D0979}">
      <tableStyleElement type="wholeTable" dxfId="74"/>
      <tableStyleElement type="headerRow" dxfId="7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966B6E7C-7BEA-4BB6-A796-54916FC19FD8}" autoFormatId="16" applyNumberFormats="0" applyBorderFormats="0" applyFontFormats="0" applyPatternFormats="0" applyAlignmentFormats="0" applyWidthHeightFormats="0">
  <queryTableRefresh nextId="56">
    <queryTableFields count="5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  <queryTableField id="46" name="Power_Average_Requested" tableColumnId="46"/>
      <queryTableField id="47" name="Power_Peak_Requested" tableColumnId="47"/>
      <queryTableField id="48" name="Power_Average" tableColumnId="48"/>
      <queryTableField id="49" name="Power_Peak" tableColumnId="49"/>
      <queryTableField id="50" name="Tower_Space_Time" tableColumnId="50"/>
      <queryTableField id="51" name="Power_Time" tableColumnId="51"/>
      <queryTableField id="52" name="Structural_Time" tableColumnId="52"/>
      <queryTableField id="53" name="CW_Time" tableColumnId="53"/>
      <queryTableField id="54" name="LandLord_Time" tableColumnId="54"/>
      <queryTableField id="55" name="Community_Time" tableColumnId="5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1:S16" totalsRowShown="0" dataDxfId="72">
  <autoFilter ref="A1:S16" xr:uid="{4DA332E1-3F5F-4221-AD5B-7DAEFAF0E4F2}"/>
  <tableColumns count="19">
    <tableColumn id="1" xr3:uid="{27E7D68E-179B-46CD-8C23-F14495D9429F}" name="Name" dataDxfId="71"/>
    <tableColumn id="13" xr3:uid="{B2659D67-6F53-460E-95C8-49D95C99C62A}" name="Quick Name" dataDxfId="70">
      <calculatedColumnFormula>VLOOKUP(Table2[[#This Row],[Name]],Table1[],2,FALSE)</calculatedColumnFormula>
    </tableColumn>
    <tableColumn id="2" xr3:uid="{6837C8FE-3C1B-4155-80EE-F90EA7478B36}" name="Mail Address not send" dataDxfId="69">
      <calculatedColumnFormula>VLOOKUP(Table2[[#This Row],[Name]],Table1[],3,FALSE)</calculatedColumnFormula>
    </tableColumn>
    <tableColumn id="9" xr3:uid="{8998F9D4-AB69-4674-B1BF-8A70B3296CFD}" name="Account" dataDxfId="68"/>
    <tableColumn id="3" xr3:uid="{77640CAF-7246-4F81-B017-10B9AD592F20}" name="Team to send" dataDxfId="67"/>
    <tableColumn id="8" xr3:uid="{D4D5A45D-1783-4775-8536-0BAB6CC39862}" name="Send Email" dataDxfId="66"/>
    <tableColumn id="16" xr3:uid="{BCFDD1A1-9F1F-43DC-B1E4-05FEF0CDC20C}" name="Email" dataDxfId="65">
      <calculatedColumnFormula>IF(Table2[[#This Row],[Send Email]]="Yes",IF(Table2[[#This Row],[Team to send]]&lt;&gt;"",Table2[[#This Row],[Mail Address not send]],""),"")</calculatedColumnFormula>
    </tableColumn>
    <tableColumn id="14" xr3:uid="{85D88B44-7148-4624-959A-689063809994}" name="Total New" dataDxfId="64">
      <calculatedColumnFormula>COUNTIFS(Validation[Status],"Under Prevalidation",Validation[Operator],Table2[[#This Row],[Account]],Validation[Open_Date],TODAY())</calculatedColumnFormula>
    </tableColumn>
    <tableColumn id="6" xr3:uid="{A95C0D4D-011A-4CFD-8625-E31384F35D2E}" name="Total" dataDxfId="63">
      <calculatedColumnFormula>COUNTIFS(Validation[Status],"Under Prevalidation",Validation[Operator],Table2[[#This Row],[Account]])</calculatedColumnFormula>
    </tableColumn>
    <tableColumn id="5" xr3:uid="{936CA2FA-8AC9-4143-8A0F-6BAE1194FFF3}" name="Lookup" dataDxfId="62">
      <calculatedColumnFormula>VLOOKUP(Table2[[#This Row],[Team to send]],Table4[#All],2,FALSE)</calculatedColumnFormula>
    </tableColumn>
    <tableColumn id="4" xr3:uid="{A17D9097-4E9F-47D6-831E-BE1427A18ACC}" name="Approved" dataDxfId="61">
      <calculatedColumnFormula>COUNTIFS(INDIRECT("Validation["&amp;Table2[[#This Row],[Lookup]]&amp;"]"),"OK",Validation[Operator],Table2[[#This Row],[Account]])</calculatedColumnFormula>
    </tableColumn>
    <tableColumn id="11" xr3:uid="{09A3E616-402D-424A-9EA1-6C5616C3C3F8}" name="Rejected" dataDxfId="60">
      <calculatedColumnFormula>COUNTIFS(INDIRECT("Validation["&amp;Table2[[#This Row],[Lookup]]&amp;"]"),"Rejected",Validation[Operator],Table2[[#This Row],[Account]])</calculatedColumnFormula>
    </tableColumn>
    <tableColumn id="10" xr3:uid="{446D47C5-C928-4778-AB1A-E66F5571669B}" name="Not Required" dataDxfId="59">
      <calculatedColumnFormula>COUNTIFS(INDIRECT("Validation["&amp;Table2[[#This Row],[Lookup]]&amp;"]"),"Not Required",Validation[Operator],Table2[[#This Row],[Account]])</calculatedColumnFormula>
    </tableColumn>
    <tableColumn id="7" xr3:uid="{13322DB8-14C0-4933-B04F-021A6CD56824}" name="Pending" dataDxfId="58">
      <calculatedColumnFormula>COUNTIFS(INDIRECT("Validation["&amp;Table2[[#This Row],[Lookup]]&amp;"]"),"",Validation[Operator],Table2[[#This Row],[Account]])+COUNTIFS(INDIRECT("Validation["&amp;Table2[[#This Row],[Lookup]]&amp;"]"),"Review",Validation[Operator],Table2[[#This Row],[Account]])</calculatedColumnFormula>
    </tableColumn>
    <tableColumn id="15" xr3:uid="{BB12B2DD-1BB5-482C-B15A-3118A9E1E03C}" name="Text New" dataDxfId="57">
      <calculatedColumnFormula>IF(Table2[[#This Row],[Total New]]&gt;0,Table2[[#This Row],[Total New]]&amp;" "&amp;Table2[[#This Row],[Account]]&amp;" colocation request(s) have been created today.","")</calculatedColumnFormula>
    </tableColumn>
    <tableColumn id="12" xr3:uid="{456E2792-C88C-483E-A5EE-B3701A17DE44}" name="Text OK" dataDxfId="56">
      <calculatedColumnFormula>IFERROR(Table2[[#This Row],[Approved]]&amp;" "&amp;Table2[[#Headers],[Approved]],"")</calculatedColumnFormula>
    </tableColumn>
    <tableColumn id="17" xr3:uid="{B7EA8F3E-57FF-49D1-A449-699A94BE5DA2}" name="Text Rejected" dataDxfId="55">
      <calculatedColumnFormula>IFERROR(Table2[[#This Row],[Rejected]]&amp;" "&amp;Table2[[#Headers],[Rejected]],"")</calculatedColumnFormula>
    </tableColumn>
    <tableColumn id="18" xr3:uid="{1E998E11-60BB-49B1-9A38-B4934E400C1B}" name="Test Not Required" dataDxfId="54">
      <calculatedColumnFormula>IFERROR(Table2[[#This Row],[Not Required]]&amp;" "&amp;Table2[[#Headers],[Not Required]],"")</calculatedColumnFormula>
    </tableColumn>
    <tableColumn id="19" xr3:uid="{4F9BD1FE-578B-4AF1-8B76-166986C91CE8}" name="Text Pending" dataDxfId="53">
      <calculatedColumnFormula>IFERROR(Table2[[#This Row],[Pending]]&amp;" "&amp;Table2[[#Headers],[Pending]],"")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Validation" displayName="Validation" ref="A1:BC30" tableType="queryTable" totalsRowShown="0" dataDxfId="52">
  <autoFilter ref="A1:BC30" xr:uid="{81D773C8-933B-4F17-A867-2EA5A0D84B26}"/>
  <tableColumns count="55">
    <tableColumn id="1" xr3:uid="{CCB9BF83-819E-4336-AB05-2EE555D031E3}" uniqueName="1" name="Site_ID" queryTableFieldId="1" dataDxfId="44"/>
    <tableColumn id="2" xr3:uid="{4FC42687-BAB1-4253-82C0-D9ED74E1E4A1}" uniqueName="2" name="Legacy" queryTableFieldId="2" dataDxfId="43"/>
    <tableColumn id="3" xr3:uid="{583EECE5-E8A0-445A-9B40-7AB634157035}" uniqueName="3" name="02_id" queryTableFieldId="3" dataDxfId="42"/>
    <tableColumn id="4" xr3:uid="{2F214A6B-C8B1-4900-BF23-7E766FE986BC}" uniqueName="4" name="tenant_id" queryTableFieldId="4" dataDxfId="41"/>
    <tableColumn id="5" xr3:uid="{007FBA5A-091B-4957-80E9-409CDD857473}" uniqueName="5" name="01site_id" queryTableFieldId="5" dataDxfId="40"/>
    <tableColumn id="6" xr3:uid="{BF8ECA1A-6576-4E3C-BB19-1D7089F16C18}" uniqueName="6" name="Operator" queryTableFieldId="6" dataDxfId="39"/>
    <tableColumn id="7" xr3:uid="{EAA139FC-37BA-4BB4-967F-F836197C2E42}" uniqueName="7" name="Tenant_Category" queryTableFieldId="7" dataDxfId="38"/>
    <tableColumn id="8" xr3:uid="{9D4154E1-E478-43CF-82F4-B253C19E9ED8}" uniqueName="8" name="Tenant_Status" queryTableFieldId="8" dataDxfId="37"/>
    <tableColumn id="9" xr3:uid="{B08F0C64-E436-4C11-BFB0-AF6EF26479EE}" uniqueName="9" name="05_id" queryTableFieldId="9" dataDxfId="36"/>
    <tableColumn id="10" xr3:uid="{59FBBE0A-988B-41F3-B691-C0B53DDF5AA2}" uniqueName="10" name="02tenant" queryTableFieldId="10" dataDxfId="35"/>
    <tableColumn id="11" xr3:uid="{55C8E027-C6AA-4A96-88B9-1322FD3C020E}" uniqueName="11" name="04Id_Project" queryTableFieldId="11" dataDxfId="34"/>
    <tableColumn id="12" xr3:uid="{5D013100-FE6B-4A55-B5FD-E822671C33A2}" uniqueName="12" name="Colo_Rev" queryTableFieldId="12" dataDxfId="33"/>
    <tableColumn id="13" xr3:uid="{86D5C944-16E1-4721-AB41-BAFEAC0A7ADF}" uniqueName="13" name="Open_Date" queryTableFieldId="13" dataDxfId="32"/>
    <tableColumn id="14" xr3:uid="{1612A99B-C9EB-487E-811D-3B4CAD214CC2}" uniqueName="14" name="Close_Date" queryTableFieldId="14" dataDxfId="31"/>
    <tableColumn id="15" xr3:uid="{32DE53BF-D2E0-4FC8-BCE7-8606039C6982}" uniqueName="15" name="Power_Requested" queryTableFieldId="15" dataDxfId="30"/>
    <tableColumn id="16" xr3:uid="{ED7BBE69-5788-4FD6-A4B2-293DC720FC0E}" uniqueName="16" name="Capacity_Requested" queryTableFieldId="16" dataDxfId="29"/>
    <tableColumn id="17" xr3:uid="{A5FD2D82-C3C0-4B05-ADCB-334DBB8D1B36}" uniqueName="17" name="Capacity_Model" queryTableFieldId="17" dataDxfId="28"/>
    <tableColumn id="18" xr3:uid="{09B93BDE-281E-48C6-89A5-3E4A34393527}" uniqueName="18" name="Lower_Requested" queryTableFieldId="18" dataDxfId="27"/>
    <tableColumn id="19" xr3:uid="{E5E11DE1-D84F-46DD-A712-E35708B1DC6C}" uniqueName="19" name="Upper_Requested" queryTableFieldId="19" dataDxfId="26"/>
    <tableColumn id="20" xr3:uid="{6FA3FC87-C604-41D2-B451-E0FF5228642A}" uniqueName="20" name="Status" queryTableFieldId="20" dataDxfId="25"/>
    <tableColumn id="21" xr3:uid="{4E83E4EC-C84B-48F5-B7F2-BE2B80A12D59}" uniqueName="21" name="General_Remark" queryTableFieldId="21" dataDxfId="24"/>
    <tableColumn id="22" xr3:uid="{CE334186-C923-4A5F-A014-BBC4AD8617C0}" uniqueName="22" name="LandLord_Result" queryTableFieldId="22" dataDxfId="23"/>
    <tableColumn id="23" xr3:uid="{EF50F0D3-2AFD-4FE6-9242-0CADDB57700F}" uniqueName="23" name="LandLord_Remarks" queryTableFieldId="23" dataDxfId="22"/>
    <tableColumn id="24" xr3:uid="{216A34A1-A4CA-48C2-8907-508504D542E3}" uniqueName="24" name="Tower_Space_Result" queryTableFieldId="24" dataDxfId="21"/>
    <tableColumn id="25" xr3:uid="{B66D1ABF-FABB-4910-BAA6-7F447056AC64}" uniqueName="25" name="Tower_Space_Remarks" queryTableFieldId="25" dataDxfId="20"/>
    <tableColumn id="26" xr3:uid="{FD4437EA-F459-4832-BC0E-E9D58879DD1B}" uniqueName="26" name="Structural_Result" queryTableFieldId="26" dataDxfId="19"/>
    <tableColumn id="27" xr3:uid="{7BA8C052-FC57-46FD-BB82-04A0D363C3BB}" uniqueName="27" name="Tower_Extension" queryTableFieldId="27" dataDxfId="18"/>
    <tableColumn id="28" xr3:uid="{3DA79349-9822-4DC0-B268-A1896A447007}" uniqueName="28" name="Structural_Remarks" queryTableFieldId="28" dataDxfId="17"/>
    <tableColumn id="29" xr3:uid="{FFF22088-1ADD-4428-A65C-4C3F980A9CFD}" uniqueName="29" name="CW_Result" queryTableFieldId="29" dataDxfId="16"/>
    <tableColumn id="30" xr3:uid="{EE004B09-6A28-4F64-8EAD-B84FC24DB3EC}" uniqueName="30" name="Slab_Extension_Needed" queryTableFieldId="30" dataDxfId="15"/>
    <tableColumn id="31" xr3:uid="{D70DB695-44BA-4208-8894-596CFD46749E}" uniqueName="31" name="CW_Remarks" queryTableFieldId="31" dataDxfId="14"/>
    <tableColumn id="32" xr3:uid="{7823D6DF-B31B-43B7-8E4C-DDC2B64656D0}" uniqueName="32" name="Power_Result" queryTableFieldId="32" dataDxfId="13"/>
    <tableColumn id="33" xr3:uid="{C5DEFAA5-9ECF-4E79-9705-7EC36D900A05}" uniqueName="33" name="Power_Suggested" queryTableFieldId="33" dataDxfId="12"/>
    <tableColumn id="34" xr3:uid="{D581C14F-5EA2-4205-B212-B54CB77E582B}" uniqueName="34" name="Power_Forecast" queryTableFieldId="34" dataDxfId="11"/>
    <tableColumn id="35" xr3:uid="{357D7521-4396-4C78-AAF5-74D46B7B96F1}" uniqueName="35" name="Power_Remarks" queryTableFieldId="35" dataDxfId="10"/>
    <tableColumn id="36" xr3:uid="{8CA025B0-C34A-44D4-B568-9ED08D7DD806}" uniqueName="36" name="Community_Result" queryTableFieldId="36" dataDxfId="9"/>
    <tableColumn id="37" xr3:uid="{A9445C1D-2291-4EE6-A26B-14337E254CD4}" uniqueName="37" name="Community_Remarks" queryTableFieldId="37" dataDxfId="8"/>
    <tableColumn id="38" xr3:uid="{134D0A09-B809-4AA0-9B41-5E7A07A446C2}" uniqueName="38" name="RM_Review" queryTableFieldId="38" dataDxfId="7"/>
    <tableColumn id="39" xr3:uid="{179C96D6-411E-4F43-99CB-9B2ED9373114}" uniqueName="39" name="RM_Remarks" queryTableFieldId="39" dataDxfId="6"/>
    <tableColumn id="40" xr3:uid="{A373B83F-0F05-486C-A1FC-8321ED6E00FB}" uniqueName="40" name="PM_Forecast" queryTableFieldId="40" dataDxfId="5"/>
    <tableColumn id="41" xr3:uid="{DE440740-E7FD-45D0-B925-0223466F15CB}" uniqueName="41" name="PM_Review" queryTableFieldId="41" dataDxfId="4"/>
    <tableColumn id="42" xr3:uid="{EA36B953-5AD0-4987-B50B-3912F4499663}" uniqueName="42" name="PM_Remarks" queryTableFieldId="42" dataDxfId="3"/>
    <tableColumn id="43" xr3:uid="{3AA0AC74-5180-419B-9248-4A04040D8710}" uniqueName="43" name="ROI_Review" queryTableFieldId="43" dataDxfId="2"/>
    <tableColumn id="44" xr3:uid="{DD690C3B-698D-416B-A4DD-70789549FEC7}" uniqueName="44" name="ROI_Remarks" queryTableFieldId="44" dataDxfId="1"/>
    <tableColumn id="45" xr3:uid="{925F6B31-FB7D-4E0D-8B21-620319E9B7FD}" uniqueName="45" name="Region" queryTableFieldId="45" dataDxfId="0"/>
    <tableColumn id="46" xr3:uid="{70799C96-12D7-477C-BF36-ECFC5C599A5B}" uniqueName="46" name="Power_Average_Requested" queryTableFieldId="46"/>
    <tableColumn id="47" xr3:uid="{50384DB3-5144-4C1C-823C-55AC4C9A27EE}" uniqueName="47" name="Power_Peak_Requested" queryTableFieldId="47"/>
    <tableColumn id="48" xr3:uid="{0FF61408-1207-44D3-8998-6111BC950760}" uniqueName="48" name="Power_Average" queryTableFieldId="48"/>
    <tableColumn id="49" xr3:uid="{A8B9B3A1-F70A-456E-BC81-0AEE34BDD6DF}" uniqueName="49" name="Power_Peak" queryTableFieldId="49"/>
    <tableColumn id="50" xr3:uid="{D70F24AF-1189-466C-BDE8-54506FB4B67B}" uniqueName="50" name="Tower_Space_Time" queryTableFieldId="50"/>
    <tableColumn id="51" xr3:uid="{EC32B744-31DB-4E17-B703-B5AF9E68C052}" uniqueName="51" name="Power_Time" queryTableFieldId="51"/>
    <tableColumn id="52" xr3:uid="{F084D160-91C3-4BC0-AB4F-A620C2265EC7}" uniqueName="52" name="Structural_Time" queryTableFieldId="52"/>
    <tableColumn id="53" xr3:uid="{32FD953E-CEB0-42CB-B117-7A004649EDA8}" uniqueName="53" name="CW_Time" queryTableFieldId="53"/>
    <tableColumn id="54" xr3:uid="{2C24F091-EC10-473C-952D-131361355C92}" uniqueName="54" name="LandLord_Time" queryTableFieldId="54"/>
    <tableColumn id="55" xr3:uid="{E344A366-C736-4E0F-BBE3-0862D4A0E17E}" uniqueName="55" name="Community_Time" queryTableField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0DDF0E-2808-462A-B172-38A0A34B13D0}" name="Table4" displayName="Table4" ref="A1:B9" totalsRowShown="0">
  <autoFilter ref="A1:B9" xr:uid="{49D685D0-AF9B-414B-BCE4-AFC7B8F127AF}"/>
  <tableColumns count="2">
    <tableColumn id="1" xr3:uid="{0255D363-39C5-448A-AD01-A39FA7D2CC81}" name="Column1"/>
    <tableColumn id="2" xr3:uid="{6B8B3C4E-E62A-4770-B018-810B3914A5A0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CF471-0450-465F-BC4D-E12013DAED00}" name="Table1" displayName="Table1" ref="A1:D36" totalsRowShown="0" dataDxfId="51">
  <autoFilter ref="A1:D36" xr:uid="{DEE2658B-BD54-4B03-9CD0-55566D90ABF8}"/>
  <sortState xmlns:xlrd2="http://schemas.microsoft.com/office/spreadsheetml/2017/richdata2" ref="A2:C35">
    <sortCondition ref="A1:A35"/>
  </sortState>
  <tableColumns count="4">
    <tableColumn id="1" xr3:uid="{77A98044-BB66-414E-8C99-1D4E9D8EF360}" name="Name" dataDxfId="50"/>
    <tableColumn id="2" xr3:uid="{E8F84070-DA6B-4CB4-9CAF-EAB35B17CD77}" name="Quick Name" dataDxfId="49"/>
    <tableColumn id="3" xr3:uid="{387F355A-5F66-4B0A-BB51-64973ED4C408}" name="Mail Address not send" dataDxfId="48"/>
    <tableColumn id="4" xr3:uid="{2A0BF16E-1F89-4CCA-8D83-307EA327F1B2}" name="Process Group" dataDxfId="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sheetPr>
    <outlinePr summaryBelow="0" summaryRight="0"/>
  </sheetPr>
  <dimension ref="A1:S16"/>
  <sheetViews>
    <sheetView tabSelected="1" topLeftCell="D1" workbookViewId="0">
      <selection activeCell="P1" sqref="P1:S1048576"/>
    </sheetView>
  </sheetViews>
  <sheetFormatPr defaultRowHeight="15" outlineLevelCol="1"/>
  <cols>
    <col min="1" max="1" width="27.42578125" customWidth="1"/>
    <col min="2" max="3" width="27.42578125" hidden="1" customWidth="1"/>
    <col min="4" max="6" width="34.28515625" customWidth="1"/>
    <col min="7" max="7" width="37.5703125" bestFit="1" customWidth="1" collapsed="1"/>
    <col min="8" max="8" width="12.28515625" hidden="1" customWidth="1" outlineLevel="1"/>
    <col min="9" max="9" width="7.7109375" hidden="1" customWidth="1" outlineLevel="1"/>
    <col min="10" max="10" width="18.140625" style="1" hidden="1" customWidth="1" outlineLevel="1"/>
    <col min="11" max="11" width="10.5703125" style="1" hidden="1" customWidth="1" outlineLevel="1"/>
    <col min="12" max="12" width="16.140625" style="1" hidden="1" customWidth="1" outlineLevel="1"/>
    <col min="13" max="13" width="15.140625" style="1" hidden="1" customWidth="1" outlineLevel="1"/>
    <col min="14" max="14" width="10.5703125" style="1" hidden="1" customWidth="1" outlineLevel="1"/>
    <col min="15" max="15" width="11.7109375" style="1" hidden="1" customWidth="1" outlineLevel="1"/>
    <col min="16" max="16" width="11.140625" hidden="1" customWidth="1"/>
    <col min="17" max="17" width="15.5703125" hidden="1" customWidth="1"/>
    <col min="18" max="18" width="19.5703125" hidden="1" customWidth="1"/>
    <col min="19" max="19" width="14.85546875" hidden="1" customWidth="1"/>
  </cols>
  <sheetData>
    <row r="1" spans="1:19">
      <c r="A1" t="s">
        <v>67</v>
      </c>
      <c r="B1" t="s">
        <v>240</v>
      </c>
      <c r="C1" t="s">
        <v>248</v>
      </c>
      <c r="D1" t="s">
        <v>151</v>
      </c>
      <c r="E1" t="s">
        <v>246</v>
      </c>
      <c r="F1" t="s">
        <v>321</v>
      </c>
      <c r="G1" t="s">
        <v>247</v>
      </c>
      <c r="H1" s="1" t="s">
        <v>238</v>
      </c>
      <c r="I1" s="1" t="s">
        <v>72</v>
      </c>
      <c r="J1" s="1" t="s">
        <v>150</v>
      </c>
      <c r="K1" s="1" t="s">
        <v>346</v>
      </c>
      <c r="L1" s="1" t="s">
        <v>39</v>
      </c>
      <c r="M1" s="1" t="s">
        <v>122</v>
      </c>
      <c r="N1" s="1" t="s">
        <v>153</v>
      </c>
      <c r="O1" s="6" t="s">
        <v>239</v>
      </c>
      <c r="P1" s="6" t="s">
        <v>342</v>
      </c>
      <c r="Q1" s="6" t="s">
        <v>343</v>
      </c>
      <c r="R1" s="6" t="s">
        <v>344</v>
      </c>
      <c r="S1" s="6" t="s">
        <v>345</v>
      </c>
    </row>
    <row r="2" spans="1:19">
      <c r="A2" s="2" t="s">
        <v>154</v>
      </c>
      <c r="B2" s="2" t="str">
        <f>VLOOKUP(Table2[[#This Row],[Name]],Table1[],2,FALSE)</f>
        <v>Charles</v>
      </c>
      <c r="C2" s="4" t="str">
        <f>VLOOKUP(Table2[[#This Row],[Name]],Table1[],3,FALSE)</f>
        <v>charles.richeux@apollo-towers.com</v>
      </c>
      <c r="D2" s="4" t="s">
        <v>20</v>
      </c>
      <c r="E2" s="2" t="s">
        <v>243</v>
      </c>
      <c r="F2" s="2" t="s">
        <v>51</v>
      </c>
      <c r="G2" s="2" t="str">
        <f>IF(Table2[[#This Row],[Send Email]]="Yes",IF(Table2[[#This Row],[Team to send]]&lt;&gt;"",Table2[[#This Row],[Mail Address not send]],""),"")</f>
        <v>charles.richeux@apollo-towers.com</v>
      </c>
      <c r="H2" s="3">
        <f ca="1">COUNTIFS(Validation[Status],"Under Prevalidation",Validation[Operator],Table2[[#This Row],[Account]],Validation[Open_Date],TODAY())</f>
        <v>6</v>
      </c>
      <c r="I2" s="3">
        <f>COUNTIFS(Validation[Status],"Under Prevalidation",Validation[Operator],Table2[[#This Row],[Account]])</f>
        <v>13</v>
      </c>
      <c r="J2" s="3" t="str">
        <f>VLOOKUP(Table2[[#This Row],[Team to send]],Table4[#All],2,FALSE)</f>
        <v>Tower_Space_Result</v>
      </c>
      <c r="K2" s="3">
        <f ca="1">COUNTIFS(INDIRECT("Validation["&amp;Table2[[#This Row],[Lookup]]&amp;"]"),"OK",Validation[Operator],Table2[[#This Row],[Account]])</f>
        <v>7</v>
      </c>
      <c r="L2" s="3">
        <f ca="1">COUNTIFS(INDIRECT("Validation["&amp;Table2[[#This Row],[Lookup]]&amp;"]"),"Rejected",Validation[Operator],Table2[[#This Row],[Account]])</f>
        <v>0</v>
      </c>
      <c r="M2" s="3">
        <f ca="1">COUNTIFS(INDIRECT("Validation["&amp;Table2[[#This Row],[Lookup]]&amp;"]"),"Not Required",Validation[Operator],Table2[[#This Row],[Account]])</f>
        <v>0</v>
      </c>
      <c r="N2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6</v>
      </c>
      <c r="O2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2" s="3" t="str">
        <f ca="1">IFERROR(Table2[[#This Row],[Approved]]&amp;" "&amp;Table2[[#Headers],[Approved]],"")</f>
        <v>7 Approved</v>
      </c>
      <c r="Q2" s="3" t="str">
        <f ca="1">IFERROR(Table2[[#This Row],[Rejected]]&amp;" "&amp;Table2[[#Headers],[Rejected]],"")</f>
        <v>0 Rejected</v>
      </c>
      <c r="R2" s="3" t="str">
        <f ca="1">IFERROR(Table2[[#This Row],[Not Required]]&amp;" "&amp;Table2[[#Headers],[Not Required]],"")</f>
        <v>0 Not Required</v>
      </c>
      <c r="S2" s="3" t="str">
        <f ca="1">IFERROR(Table2[[#This Row],[Pending]]&amp;" "&amp;Table2[[#Headers],[Pending]],"")</f>
        <v>6 Pending</v>
      </c>
    </row>
    <row r="3" spans="1:19">
      <c r="A3" s="2" t="s">
        <v>176</v>
      </c>
      <c r="B3" s="2" t="str">
        <f>VLOOKUP(Table2[[#This Row],[Name]],Table1[],2,FALSE)</f>
        <v>Ohnmar</v>
      </c>
      <c r="C3" s="2" t="str">
        <f>VLOOKUP(Table2[[#This Row],[Name]],Table1[],3,FALSE)</f>
        <v>ohnmar.soe@panasiatower.com</v>
      </c>
      <c r="D3" s="2" t="s">
        <v>20</v>
      </c>
      <c r="E3" s="2" t="s">
        <v>243</v>
      </c>
      <c r="F3" s="2"/>
      <c r="G3" s="2" t="str">
        <f>IF(Table2[[#This Row],[Send Email]]="Yes",IF(Table2[[#This Row],[Team to send]]&lt;&gt;"",Table2[[#This Row],[Mail Address not send]],""),"")</f>
        <v/>
      </c>
      <c r="H3" s="3">
        <f ca="1">COUNTIFS(Validation[Status],"Under Prevalidation",Validation[Operator],Table2[[#This Row],[Account]],Validation[Open_Date],TODAY())</f>
        <v>6</v>
      </c>
      <c r="I3" s="3">
        <f>COUNTIFS(Validation[Status],"Under Prevalidation",Validation[Operator],Table2[[#This Row],[Account]])</f>
        <v>13</v>
      </c>
      <c r="J3" s="3" t="str">
        <f>VLOOKUP(Table2[[#This Row],[Team to send]],Table4[#All],2,FALSE)</f>
        <v>Tower_Space_Result</v>
      </c>
      <c r="K3" s="3">
        <f ca="1">COUNTIFS(INDIRECT("Validation["&amp;Table2[[#This Row],[Lookup]]&amp;"]"),"OK",Validation[Operator],Table2[[#This Row],[Account]])</f>
        <v>7</v>
      </c>
      <c r="L3" s="3">
        <f ca="1">COUNTIFS(INDIRECT("Validation["&amp;Table2[[#This Row],[Lookup]]&amp;"]"),"Rejected",Validation[Operator],Table2[[#This Row],[Account]])</f>
        <v>0</v>
      </c>
      <c r="M3" s="3">
        <f ca="1">COUNTIFS(INDIRECT("Validation["&amp;Table2[[#This Row],[Lookup]]&amp;"]"),"Not Required",Validation[Operator],Table2[[#This Row],[Account]])</f>
        <v>0</v>
      </c>
      <c r="N3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6</v>
      </c>
      <c r="O3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3" s="3" t="str">
        <f ca="1">IFERROR(Table2[[#This Row],[Approved]]&amp;" "&amp;Table2[[#Headers],[Approved]],"")</f>
        <v>7 Approved</v>
      </c>
      <c r="Q3" s="3" t="str">
        <f ca="1">IFERROR(Table2[[#This Row],[Rejected]]&amp;" "&amp;Table2[[#Headers],[Rejected]],"")</f>
        <v>0 Rejected</v>
      </c>
      <c r="R3" s="3" t="str">
        <f ca="1">IFERROR(Table2[[#This Row],[Not Required]]&amp;" "&amp;Table2[[#Headers],[Not Required]],"")</f>
        <v>0 Not Required</v>
      </c>
      <c r="S3" s="3" t="str">
        <f ca="1">IFERROR(Table2[[#This Row],[Pending]]&amp;" "&amp;Table2[[#Headers],[Pending]],"")</f>
        <v>6 Pending</v>
      </c>
    </row>
    <row r="4" spans="1:19">
      <c r="A4" s="2" t="s">
        <v>158</v>
      </c>
      <c r="B4" s="5" t="str">
        <f>VLOOKUP(Table2[[#This Row],[Name]],Table1[],2,FALSE)</f>
        <v>Moe Nu San</v>
      </c>
      <c r="C4" s="5" t="str">
        <f>VLOOKUP(Table2[[#This Row],[Name]],Table1[],3,FALSE)</f>
        <v>moe.nu.san@panasiatower.net</v>
      </c>
      <c r="D4" s="2" t="s">
        <v>20</v>
      </c>
      <c r="E4" s="5" t="s">
        <v>243</v>
      </c>
      <c r="F4" s="2" t="s">
        <v>51</v>
      </c>
      <c r="G4" s="2" t="str">
        <f>IF(Table2[[#This Row],[Send Email]]="Yes",IF(Table2[[#This Row],[Team to send]]&lt;&gt;"",Table2[[#This Row],[Mail Address not send]],""),"")</f>
        <v>moe.nu.san@panasiatower.net</v>
      </c>
      <c r="H4" s="3">
        <f ca="1">COUNTIFS(Validation[Status],"Under Prevalidation",Validation[Operator],Table2[[#This Row],[Account]],Validation[Open_Date],TODAY())</f>
        <v>6</v>
      </c>
      <c r="I4" s="3">
        <f>COUNTIFS(Validation[Status],"Under Prevalidation",Validation[Operator],Table2[[#This Row],[Account]])</f>
        <v>13</v>
      </c>
      <c r="J4" s="3" t="str">
        <f>VLOOKUP(Table2[[#This Row],[Team to send]],Table4[#All],2,FALSE)</f>
        <v>Tower_Space_Result</v>
      </c>
      <c r="K4" s="3">
        <f ca="1">COUNTIFS(INDIRECT("Validation["&amp;Table2[[#This Row],[Lookup]]&amp;"]"),"OK",Validation[Operator],Table2[[#This Row],[Account]])</f>
        <v>7</v>
      </c>
      <c r="L4" s="3">
        <f ca="1">COUNTIFS(INDIRECT("Validation["&amp;Table2[[#This Row],[Lookup]]&amp;"]"),"Rejected",Validation[Operator],Table2[[#This Row],[Account]])</f>
        <v>0</v>
      </c>
      <c r="M4" s="3">
        <f ca="1">COUNTIFS(INDIRECT("Validation["&amp;Table2[[#This Row],[Lookup]]&amp;"]"),"Not Required",Validation[Operator],Table2[[#This Row],[Account]])</f>
        <v>0</v>
      </c>
      <c r="N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6</v>
      </c>
      <c r="O4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4" s="3" t="str">
        <f ca="1">IFERROR(Table2[[#This Row],[Approved]]&amp;" "&amp;Table2[[#Headers],[Approved]],"")</f>
        <v>7 Approved</v>
      </c>
      <c r="Q4" s="3" t="str">
        <f ca="1">IFERROR(Table2[[#This Row],[Rejected]]&amp;" "&amp;Table2[[#Headers],[Rejected]],"")</f>
        <v>0 Rejected</v>
      </c>
      <c r="R4" s="3" t="str">
        <f ca="1">IFERROR(Table2[[#This Row],[Not Required]]&amp;" "&amp;Table2[[#Headers],[Not Required]],"")</f>
        <v>0 Not Required</v>
      </c>
      <c r="S4" s="3" t="str">
        <f ca="1">IFERROR(Table2[[#This Row],[Pending]]&amp;" "&amp;Table2[[#Headers],[Pending]],"")</f>
        <v>6 Pending</v>
      </c>
    </row>
    <row r="5" spans="1:19">
      <c r="A5" s="2" t="s">
        <v>199</v>
      </c>
      <c r="B5" s="5" t="str">
        <f>VLOOKUP(Table2[[#This Row],[Name]],Table1[],2,FALSE)</f>
        <v>Min Khine Wai</v>
      </c>
      <c r="C5" s="5" t="str">
        <f>VLOOKUP(Table2[[#This Row],[Name]],Table1[],3,FALSE)</f>
        <v>min.khine.wai@panasiatower.net</v>
      </c>
      <c r="D5" s="2" t="s">
        <v>20</v>
      </c>
      <c r="E5" s="5" t="s">
        <v>244</v>
      </c>
      <c r="F5" s="2" t="s">
        <v>51</v>
      </c>
      <c r="G5" s="2" t="str">
        <f>IF(Table2[[#This Row],[Send Email]]="Yes",IF(Table2[[#This Row],[Team to send]]&lt;&gt;"",Table2[[#This Row],[Mail Address not send]],""),"")</f>
        <v>min.khine.wai@panasiatower.net</v>
      </c>
      <c r="H5" s="3">
        <f ca="1">COUNTIFS(Validation[Status],"Under Prevalidation",Validation[Operator],Table2[[#This Row],[Account]],Validation[Open_Date],TODAY())</f>
        <v>6</v>
      </c>
      <c r="I5" s="3">
        <f>COUNTIFS(Validation[Status],"Under Prevalidation",Validation[Operator],Table2[[#This Row],[Account]])</f>
        <v>13</v>
      </c>
      <c r="J5" s="3" t="str">
        <f>VLOOKUP(Table2[[#This Row],[Team to send]],Table4[#All],2,FALSE)</f>
        <v>Power_Result</v>
      </c>
      <c r="K5" s="3">
        <f ca="1">COUNTIFS(INDIRECT("Validation["&amp;Table2[[#This Row],[Lookup]]&amp;"]"),"OK",Validation[Operator],Table2[[#This Row],[Account]])</f>
        <v>4</v>
      </c>
      <c r="L5" s="3">
        <f ca="1">COUNTIFS(INDIRECT("Validation["&amp;Table2[[#This Row],[Lookup]]&amp;"]"),"Rejected",Validation[Operator],Table2[[#This Row],[Account]])</f>
        <v>0</v>
      </c>
      <c r="M5" s="3">
        <f ca="1">COUNTIFS(INDIRECT("Validation["&amp;Table2[[#This Row],[Lookup]]&amp;"]"),"Not Required",Validation[Operator],Table2[[#This Row],[Account]])</f>
        <v>0</v>
      </c>
      <c r="N5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9</v>
      </c>
      <c r="O5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5" s="3" t="str">
        <f ca="1">IFERROR(Table2[[#This Row],[Approved]]&amp;" "&amp;Table2[[#Headers],[Approved]],"")</f>
        <v>4 Approved</v>
      </c>
      <c r="Q5" s="3" t="str">
        <f ca="1">IFERROR(Table2[[#This Row],[Rejected]]&amp;" "&amp;Table2[[#Headers],[Rejected]],"")</f>
        <v>0 Rejected</v>
      </c>
      <c r="R5" s="3" t="str">
        <f ca="1">IFERROR(Table2[[#This Row],[Not Required]]&amp;" "&amp;Table2[[#Headers],[Not Required]],"")</f>
        <v>0 Not Required</v>
      </c>
      <c r="S5" s="3" t="str">
        <f ca="1">IFERROR(Table2[[#This Row],[Pending]]&amp;" "&amp;Table2[[#Headers],[Pending]],"")</f>
        <v>9 Pending</v>
      </c>
    </row>
    <row r="6" spans="1:19">
      <c r="A6" s="2" t="s">
        <v>210</v>
      </c>
      <c r="B6" s="5" t="str">
        <f>VLOOKUP(Table2[[#This Row],[Name]],Table1[],2,FALSE)</f>
        <v>Kyaw Zin Htet</v>
      </c>
      <c r="C6" s="5" t="str">
        <f>VLOOKUP(Table2[[#This Row],[Name]],Table1[],3,FALSE)</f>
        <v>kyaw.zin.htet@panasiatower.net</v>
      </c>
      <c r="D6" s="2" t="s">
        <v>20</v>
      </c>
      <c r="E6" s="5" t="s">
        <v>242</v>
      </c>
      <c r="F6" s="2" t="s">
        <v>51</v>
      </c>
      <c r="G6" s="5" t="str">
        <f>IF(Table2[[#This Row],[Send Email]]="Yes",IF(Table2[[#This Row],[Team to send]]&lt;&gt;"",Table2[[#This Row],[Mail Address not send]],""),"")</f>
        <v>kyaw.zin.htet@panasiatower.net</v>
      </c>
      <c r="H6" s="3">
        <f ca="1">COUNTIFS(Validation[Status],"Under Prevalidation",Validation[Operator],Table2[[#This Row],[Account]],Validation[Open_Date],TODAY())</f>
        <v>6</v>
      </c>
      <c r="I6" s="3">
        <f>COUNTIFS(Validation[Status],"Under Prevalidation",Validation[Operator],Table2[[#This Row],[Account]])</f>
        <v>13</v>
      </c>
      <c r="J6" s="3" t="str">
        <f>VLOOKUP(Table2[[#This Row],[Team to send]],Table4[#All],2,FALSE)</f>
        <v>Community_Result</v>
      </c>
      <c r="K6" s="3">
        <f ca="1">COUNTIFS(INDIRECT("Validation["&amp;Table2[[#This Row],[Lookup]]&amp;"]"),"OK",Validation[Operator],Table2[[#This Row],[Account]])</f>
        <v>2</v>
      </c>
      <c r="L6" s="3">
        <f ca="1">COUNTIFS(INDIRECT("Validation["&amp;Table2[[#This Row],[Lookup]]&amp;"]"),"Rejected",Validation[Operator],Table2[[#This Row],[Account]])</f>
        <v>0</v>
      </c>
      <c r="M6" s="3">
        <f ca="1">COUNTIFS(INDIRECT("Validation["&amp;Table2[[#This Row],[Lookup]]&amp;"]"),"Not Required",Validation[Operator],Table2[[#This Row],[Account]])</f>
        <v>4</v>
      </c>
      <c r="N6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6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6" s="3" t="str">
        <f ca="1">IFERROR(Table2[[#This Row],[Approved]]&amp;" "&amp;Table2[[#Headers],[Approved]],"")</f>
        <v>2 Approved</v>
      </c>
      <c r="Q6" s="3" t="str">
        <f ca="1">IFERROR(Table2[[#This Row],[Rejected]]&amp;" "&amp;Table2[[#Headers],[Rejected]],"")</f>
        <v>0 Rejected</v>
      </c>
      <c r="R6" s="3" t="str">
        <f ca="1">IFERROR(Table2[[#This Row],[Not Required]]&amp;" "&amp;Table2[[#Headers],[Not Required]],"")</f>
        <v>4 Not Required</v>
      </c>
      <c r="S6" s="3" t="str">
        <f ca="1">IFERROR(Table2[[#This Row],[Pending]]&amp;" "&amp;Table2[[#Headers],[Pending]],"")</f>
        <v>7 Pending</v>
      </c>
    </row>
    <row r="7" spans="1:19">
      <c r="A7" s="2" t="s">
        <v>173</v>
      </c>
      <c r="B7" s="5" t="str">
        <f>VLOOKUP(Table2[[#This Row],[Name]],Table1[],2,FALSE)</f>
        <v>Kitcha</v>
      </c>
      <c r="C7" s="5" t="str">
        <f>VLOOKUP(Table2[[#This Row],[Name]],Table1[],3,FALSE)</f>
        <v>kitcha.kulchonsathid@panasiatower.net</v>
      </c>
      <c r="D7" s="2" t="s">
        <v>20</v>
      </c>
      <c r="E7" s="5" t="s">
        <v>241</v>
      </c>
      <c r="F7" s="2"/>
      <c r="G7" s="5" t="str">
        <f>IF(Table2[[#This Row],[Send Email]]="Yes",IF(Table2[[#This Row],[Team to send]]&lt;&gt;"",Table2[[#This Row],[Mail Address not send]],""),"")</f>
        <v/>
      </c>
      <c r="H7" s="3">
        <f ca="1">COUNTIFS(Validation[Status],"Under Prevalidation",Validation[Operator],Table2[[#This Row],[Account]],Validation[Open_Date],TODAY())</f>
        <v>6</v>
      </c>
      <c r="I7" s="3">
        <f>COUNTIFS(Validation[Status],"Under Prevalidation",Validation[Operator],Table2[[#This Row],[Account]])</f>
        <v>13</v>
      </c>
      <c r="J7" s="3" t="str">
        <f>VLOOKUP(Table2[[#This Row],[Team to send]],Table4[#All],2,FALSE)</f>
        <v>Structural_Result</v>
      </c>
      <c r="K7" s="3">
        <f ca="1">COUNTIFS(INDIRECT("Validation["&amp;Table2[[#This Row],[Lookup]]&amp;"]"),"OK",Validation[Operator],Table2[[#This Row],[Account]])</f>
        <v>4</v>
      </c>
      <c r="L7" s="3">
        <f ca="1">COUNTIFS(INDIRECT("Validation["&amp;Table2[[#This Row],[Lookup]]&amp;"]"),"Rejected",Validation[Operator],Table2[[#This Row],[Account]])</f>
        <v>2</v>
      </c>
      <c r="M7" s="3">
        <f ca="1">COUNTIFS(INDIRECT("Validation["&amp;Table2[[#This Row],[Lookup]]&amp;"]"),"Not Required",Validation[Operator],Table2[[#This Row],[Account]])</f>
        <v>0</v>
      </c>
      <c r="N7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7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7" s="3" t="str">
        <f ca="1">IFERROR(Table2[[#This Row],[Approved]]&amp;" "&amp;Table2[[#Headers],[Approved]],"")</f>
        <v>4 Approved</v>
      </c>
      <c r="Q7" s="3" t="str">
        <f ca="1">IFERROR(Table2[[#This Row],[Rejected]]&amp;" "&amp;Table2[[#Headers],[Rejected]],"")</f>
        <v>2 Rejected</v>
      </c>
      <c r="R7" s="3" t="str">
        <f ca="1">IFERROR(Table2[[#This Row],[Not Required]]&amp;" "&amp;Table2[[#Headers],[Not Required]],"")</f>
        <v>0 Not Required</v>
      </c>
      <c r="S7" s="3" t="str">
        <f ca="1">IFERROR(Table2[[#This Row],[Pending]]&amp;" "&amp;Table2[[#Headers],[Pending]],"")</f>
        <v>7 Pending</v>
      </c>
    </row>
    <row r="8" spans="1:19">
      <c r="A8" s="2" t="s">
        <v>236</v>
      </c>
      <c r="B8" s="5" t="str">
        <f>VLOOKUP(Table2[[#This Row],[Name]],Table1[],2,FALSE)</f>
        <v>Jumpon U</v>
      </c>
      <c r="C8" s="5" t="str">
        <f>VLOOKUP(Table2[[#This Row],[Name]],Table1[],3,FALSE)</f>
        <v>jumpon.u@panasiatower.net</v>
      </c>
      <c r="D8" s="2" t="s">
        <v>20</v>
      </c>
      <c r="E8" s="5" t="s">
        <v>241</v>
      </c>
      <c r="F8" s="2"/>
      <c r="G8" s="5" t="str">
        <f>IF(Table2[[#This Row],[Send Email]]="Yes",IF(Table2[[#This Row],[Team to send]]&lt;&gt;"",Table2[[#This Row],[Mail Address not send]],""),"")</f>
        <v/>
      </c>
      <c r="H8" s="3">
        <f ca="1">COUNTIFS(Validation[Status],"Under Prevalidation",Validation[Operator],Table2[[#This Row],[Account]],Validation[Open_Date],TODAY())</f>
        <v>6</v>
      </c>
      <c r="I8" s="3">
        <f>COUNTIFS(Validation[Status],"Under Prevalidation",Validation[Operator],Table2[[#This Row],[Account]])</f>
        <v>13</v>
      </c>
      <c r="J8" s="3" t="str">
        <f>VLOOKUP(Table2[[#This Row],[Team to send]],Table4[#All],2,FALSE)</f>
        <v>Structural_Result</v>
      </c>
      <c r="K8" s="3">
        <f ca="1">COUNTIFS(INDIRECT("Validation["&amp;Table2[[#This Row],[Lookup]]&amp;"]"),"OK",Validation[Operator],Table2[[#This Row],[Account]])</f>
        <v>4</v>
      </c>
      <c r="L8" s="3">
        <f ca="1">COUNTIFS(INDIRECT("Validation["&amp;Table2[[#This Row],[Lookup]]&amp;"]"),"Rejected",Validation[Operator],Table2[[#This Row],[Account]])</f>
        <v>2</v>
      </c>
      <c r="M8" s="3">
        <f ca="1">COUNTIFS(INDIRECT("Validation["&amp;Table2[[#This Row],[Lookup]]&amp;"]"),"Not Required",Validation[Operator],Table2[[#This Row],[Account]])</f>
        <v>0</v>
      </c>
      <c r="N8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8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8" s="3" t="str">
        <f ca="1">IFERROR(Table2[[#This Row],[Approved]]&amp;" "&amp;Table2[[#Headers],[Approved]],"")</f>
        <v>4 Approved</v>
      </c>
      <c r="Q8" s="3" t="str">
        <f ca="1">IFERROR(Table2[[#This Row],[Rejected]]&amp;" "&amp;Table2[[#Headers],[Rejected]],"")</f>
        <v>2 Rejected</v>
      </c>
      <c r="R8" s="3" t="str">
        <f ca="1">IFERROR(Table2[[#This Row],[Not Required]]&amp;" "&amp;Table2[[#Headers],[Not Required]],"")</f>
        <v>0 Not Required</v>
      </c>
      <c r="S8" s="3" t="str">
        <f ca="1">IFERROR(Table2[[#This Row],[Pending]]&amp;" "&amp;Table2[[#Headers],[Pending]],"")</f>
        <v>7 Pending</v>
      </c>
    </row>
    <row r="9" spans="1:19">
      <c r="A9" s="2" t="s">
        <v>234</v>
      </c>
      <c r="B9" s="5" t="str">
        <f>VLOOKUP(Table2[[#This Row],[Name]],Table1[],2,FALSE)</f>
        <v>Rudy</v>
      </c>
      <c r="C9" s="5" t="str">
        <f>VLOOKUP(Table2[[#This Row],[Name]],Table1[],3,FALSE)</f>
        <v>rudy.grunewald@panasiatower.net</v>
      </c>
      <c r="D9" s="2" t="s">
        <v>20</v>
      </c>
      <c r="E9" s="5" t="s">
        <v>241</v>
      </c>
      <c r="F9" s="2"/>
      <c r="G9" s="5" t="str">
        <f>IF(Table2[[#This Row],[Send Email]]="Yes",IF(Table2[[#This Row],[Team to send]]&lt;&gt;"",Table2[[#This Row],[Mail Address not send]],""),"")</f>
        <v/>
      </c>
      <c r="H9" s="3">
        <f ca="1">COUNTIFS(Validation[Status],"Under Prevalidation",Validation[Operator],Table2[[#This Row],[Account]],Validation[Open_Date],TODAY())</f>
        <v>6</v>
      </c>
      <c r="I9" s="3">
        <f>COUNTIFS(Validation[Status],"Under Prevalidation",Validation[Operator],Table2[[#This Row],[Account]])</f>
        <v>13</v>
      </c>
      <c r="J9" s="3" t="str">
        <f>VLOOKUP(Table2[[#This Row],[Team to send]],Table4[#All],2,FALSE)</f>
        <v>Structural_Result</v>
      </c>
      <c r="K9" s="3">
        <f ca="1">COUNTIFS(INDIRECT("Validation["&amp;Table2[[#This Row],[Lookup]]&amp;"]"),"OK",Validation[Operator],Table2[[#This Row],[Account]])</f>
        <v>4</v>
      </c>
      <c r="L9" s="3">
        <f ca="1">COUNTIFS(INDIRECT("Validation["&amp;Table2[[#This Row],[Lookup]]&amp;"]"),"Rejected",Validation[Operator],Table2[[#This Row],[Account]])</f>
        <v>2</v>
      </c>
      <c r="M9" s="3">
        <f ca="1">COUNTIFS(INDIRECT("Validation["&amp;Table2[[#This Row],[Lookup]]&amp;"]"),"Not Required",Validation[Operator],Table2[[#This Row],[Account]])</f>
        <v>0</v>
      </c>
      <c r="N9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9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9" s="3" t="str">
        <f ca="1">IFERROR(Table2[[#This Row],[Approved]]&amp;" "&amp;Table2[[#Headers],[Approved]],"")</f>
        <v>4 Approved</v>
      </c>
      <c r="Q9" s="3" t="str">
        <f ca="1">IFERROR(Table2[[#This Row],[Rejected]]&amp;" "&amp;Table2[[#Headers],[Rejected]],"")</f>
        <v>2 Rejected</v>
      </c>
      <c r="R9" s="3" t="str">
        <f ca="1">IFERROR(Table2[[#This Row],[Not Required]]&amp;" "&amp;Table2[[#Headers],[Not Required]],"")</f>
        <v>0 Not Required</v>
      </c>
      <c r="S9" s="3" t="str">
        <f ca="1">IFERROR(Table2[[#This Row],[Pending]]&amp;" "&amp;Table2[[#Headers],[Pending]],"")</f>
        <v>7 Pending</v>
      </c>
    </row>
    <row r="10" spans="1:19">
      <c r="A10" s="2" t="s">
        <v>187</v>
      </c>
      <c r="B10" s="5" t="str">
        <f>VLOOKUP(Table2[[#This Row],[Name]],Table1[],2,FALSE)</f>
        <v>May</v>
      </c>
      <c r="C10" s="5" t="str">
        <f>VLOOKUP(Table2[[#This Row],[Name]],Table1[],3,FALSE)</f>
        <v>may.zin.wint@panasiatower.net</v>
      </c>
      <c r="D10" s="2" t="s">
        <v>20</v>
      </c>
      <c r="E10" s="5" t="s">
        <v>243</v>
      </c>
      <c r="F10" s="2"/>
      <c r="G10" s="5" t="str">
        <f>IF(Table2[[#This Row],[Send Email]]="Yes",IF(Table2[[#This Row],[Team to send]]&lt;&gt;"",Table2[[#This Row],[Mail Address not send]],""),"")</f>
        <v/>
      </c>
      <c r="H10" s="3">
        <f ca="1">COUNTIFS(Validation[Status],"Under Prevalidation",Validation[Operator],Table2[[#This Row],[Account]],Validation[Open_Date],TODAY())</f>
        <v>6</v>
      </c>
      <c r="I10" s="3">
        <f>COUNTIFS(Validation[Status],"Under Prevalidation",Validation[Operator],Table2[[#This Row],[Account]])</f>
        <v>13</v>
      </c>
      <c r="J10" s="3" t="str">
        <f>VLOOKUP(Table2[[#This Row],[Team to send]],Table4[#All],2,FALSE)</f>
        <v>Tower_Space_Result</v>
      </c>
      <c r="K10" s="3">
        <f ca="1">COUNTIFS(INDIRECT("Validation["&amp;Table2[[#This Row],[Lookup]]&amp;"]"),"OK",Validation[Operator],Table2[[#This Row],[Account]])</f>
        <v>7</v>
      </c>
      <c r="L10" s="3">
        <f ca="1">COUNTIFS(INDIRECT("Validation["&amp;Table2[[#This Row],[Lookup]]&amp;"]"),"Rejected",Validation[Operator],Table2[[#This Row],[Account]])</f>
        <v>0</v>
      </c>
      <c r="M10" s="3">
        <f ca="1">COUNTIFS(INDIRECT("Validation["&amp;Table2[[#This Row],[Lookup]]&amp;"]"),"Not Required",Validation[Operator],Table2[[#This Row],[Account]])</f>
        <v>0</v>
      </c>
      <c r="N10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6</v>
      </c>
      <c r="O10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0" s="3" t="str">
        <f ca="1">IFERROR(Table2[[#This Row],[Approved]]&amp;" "&amp;Table2[[#Headers],[Approved]],"")</f>
        <v>7 Approved</v>
      </c>
      <c r="Q10" s="3" t="str">
        <f ca="1">IFERROR(Table2[[#This Row],[Rejected]]&amp;" "&amp;Table2[[#Headers],[Rejected]],"")</f>
        <v>0 Rejected</v>
      </c>
      <c r="R10" s="3" t="str">
        <f ca="1">IFERROR(Table2[[#This Row],[Not Required]]&amp;" "&amp;Table2[[#Headers],[Not Required]],"")</f>
        <v>0 Not Required</v>
      </c>
      <c r="S10" s="3" t="str">
        <f ca="1">IFERROR(Table2[[#This Row],[Pending]]&amp;" "&amp;Table2[[#Headers],[Pending]],"")</f>
        <v>6 Pending</v>
      </c>
    </row>
    <row r="11" spans="1:19">
      <c r="A11" s="2" t="s">
        <v>220</v>
      </c>
      <c r="B11" s="5" t="str">
        <f>VLOOKUP(Table2[[#This Row],[Name]],Table1[],2,FALSE)</f>
        <v>Theint Thazin Tun</v>
      </c>
      <c r="C11" s="5" t="str">
        <f>VLOOKUP(Table2[[#This Row],[Name]],Table1[],3,FALSE)</f>
        <v>theint.thazin.tun@panasiatower.net</v>
      </c>
      <c r="D11" s="2" t="s">
        <v>20</v>
      </c>
      <c r="E11" s="5" t="s">
        <v>241</v>
      </c>
      <c r="F11" s="2"/>
      <c r="G11" s="5" t="str">
        <f>IF(Table2[[#This Row],[Send Email]]="Yes",IF(Table2[[#This Row],[Team to send]]&lt;&gt;"",Table2[[#This Row],[Mail Address not send]],""),"")</f>
        <v/>
      </c>
      <c r="H11" s="3">
        <f ca="1">COUNTIFS(Validation[Status],"Under Prevalidation",Validation[Operator],Table2[[#This Row],[Account]],Validation[Open_Date],TODAY())</f>
        <v>6</v>
      </c>
      <c r="I11" s="3">
        <f>COUNTIFS(Validation[Status],"Under Prevalidation",Validation[Operator],Table2[[#This Row],[Account]])</f>
        <v>13</v>
      </c>
      <c r="J11" s="3" t="str">
        <f>VLOOKUP(Table2[[#This Row],[Team to send]],Table4[#All],2,FALSE)</f>
        <v>Structural_Result</v>
      </c>
      <c r="K11" s="3">
        <f ca="1">COUNTIFS(INDIRECT("Validation["&amp;Table2[[#This Row],[Lookup]]&amp;"]"),"OK",Validation[Operator],Table2[[#This Row],[Account]])</f>
        <v>4</v>
      </c>
      <c r="L11" s="3">
        <f ca="1">COUNTIFS(INDIRECT("Validation["&amp;Table2[[#This Row],[Lookup]]&amp;"]"),"Rejected",Validation[Operator],Table2[[#This Row],[Account]])</f>
        <v>2</v>
      </c>
      <c r="M11" s="3">
        <f ca="1">COUNTIFS(INDIRECT("Validation["&amp;Table2[[#This Row],[Lookup]]&amp;"]"),"Not Required",Validation[Operator],Table2[[#This Row],[Account]])</f>
        <v>0</v>
      </c>
      <c r="N11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11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1" s="3" t="str">
        <f ca="1">IFERROR(Table2[[#This Row],[Approved]]&amp;" "&amp;Table2[[#Headers],[Approved]],"")</f>
        <v>4 Approved</v>
      </c>
      <c r="Q11" s="3" t="str">
        <f ca="1">IFERROR(Table2[[#This Row],[Rejected]]&amp;" "&amp;Table2[[#Headers],[Rejected]],"")</f>
        <v>2 Rejected</v>
      </c>
      <c r="R11" s="3" t="str">
        <f ca="1">IFERROR(Table2[[#This Row],[Not Required]]&amp;" "&amp;Table2[[#Headers],[Not Required]],"")</f>
        <v>0 Not Required</v>
      </c>
      <c r="S11" s="3" t="str">
        <f ca="1">IFERROR(Table2[[#This Row],[Pending]]&amp;" "&amp;Table2[[#Headers],[Pending]],"")</f>
        <v>7 Pending</v>
      </c>
    </row>
    <row r="12" spans="1:19">
      <c r="A12" s="2" t="s">
        <v>197</v>
      </c>
      <c r="B12" s="5" t="str">
        <f>VLOOKUP(Table2[[#This Row],[Name]],Table1[],2,FALSE)</f>
        <v>Rob</v>
      </c>
      <c r="C12" s="5" t="str">
        <f>VLOOKUP(Table2[[#This Row],[Name]],Table1[],3,FALSE)</f>
        <v>rob.matteo@apollo-towers.com</v>
      </c>
      <c r="D12" s="2" t="s">
        <v>20</v>
      </c>
      <c r="E12" s="5" t="s">
        <v>244</v>
      </c>
      <c r="F12" s="2"/>
      <c r="G12" s="5" t="str">
        <f>IF(Table2[[#This Row],[Send Email]]="Yes",IF(Table2[[#This Row],[Team to send]]&lt;&gt;"",Table2[[#This Row],[Mail Address not send]],""),"")</f>
        <v/>
      </c>
      <c r="H12" s="3">
        <f ca="1">COUNTIFS(Validation[Status],"Under Prevalidation",Validation[Operator],Table2[[#This Row],[Account]],Validation[Open_Date],TODAY())</f>
        <v>6</v>
      </c>
      <c r="I12" s="3">
        <f>COUNTIFS(Validation[Status],"Under Prevalidation",Validation[Operator],Table2[[#This Row],[Account]])</f>
        <v>13</v>
      </c>
      <c r="J12" s="3" t="str">
        <f>VLOOKUP(Table2[[#This Row],[Team to send]],Table4[#All],2,FALSE)</f>
        <v>Power_Result</v>
      </c>
      <c r="K12" s="3">
        <f ca="1">COUNTIFS(INDIRECT("Validation["&amp;Table2[[#This Row],[Lookup]]&amp;"]"),"OK",Validation[Operator],Table2[[#This Row],[Account]])</f>
        <v>4</v>
      </c>
      <c r="L12" s="3">
        <f ca="1">COUNTIFS(INDIRECT("Validation["&amp;Table2[[#This Row],[Lookup]]&amp;"]"),"Rejected",Validation[Operator],Table2[[#This Row],[Account]])</f>
        <v>0</v>
      </c>
      <c r="M12" s="3">
        <f ca="1">COUNTIFS(INDIRECT("Validation["&amp;Table2[[#This Row],[Lookup]]&amp;"]"),"Not Required",Validation[Operator],Table2[[#This Row],[Account]])</f>
        <v>0</v>
      </c>
      <c r="N12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9</v>
      </c>
      <c r="O12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2" s="3" t="str">
        <f ca="1">IFERROR(Table2[[#This Row],[Approved]]&amp;" "&amp;Table2[[#Headers],[Approved]],"")</f>
        <v>4 Approved</v>
      </c>
      <c r="Q12" s="3" t="str">
        <f ca="1">IFERROR(Table2[[#This Row],[Rejected]]&amp;" "&amp;Table2[[#Headers],[Rejected]],"")</f>
        <v>0 Rejected</v>
      </c>
      <c r="R12" s="3" t="str">
        <f ca="1">IFERROR(Table2[[#This Row],[Not Required]]&amp;" "&amp;Table2[[#Headers],[Not Required]],"")</f>
        <v>0 Not Required</v>
      </c>
      <c r="S12" s="3" t="str">
        <f ca="1">IFERROR(Table2[[#This Row],[Pending]]&amp;" "&amp;Table2[[#Headers],[Pending]],"")</f>
        <v>9 Pending</v>
      </c>
    </row>
    <row r="13" spans="1:19">
      <c r="A13" s="2" t="s">
        <v>231</v>
      </c>
      <c r="B13" s="5" t="str">
        <f>VLOOKUP(Table2[[#This Row],[Name]],Table1[],2,FALSE)</f>
        <v>Paul</v>
      </c>
      <c r="C13" s="5" t="str">
        <f>VLOOKUP(Table2[[#This Row],[Name]],Table1[],3,FALSE)</f>
        <v>paul.mcsherry@panasiatower.net</v>
      </c>
      <c r="D13" s="2" t="s">
        <v>20</v>
      </c>
      <c r="E13" s="5" t="s">
        <v>242</v>
      </c>
      <c r="F13" s="2"/>
      <c r="G13" s="5" t="str">
        <f>IF(Table2[[#This Row],[Send Email]]="Yes",IF(Table2[[#This Row],[Team to send]]&lt;&gt;"",Table2[[#This Row],[Mail Address not send]],""),"")</f>
        <v/>
      </c>
      <c r="H13" s="3">
        <f ca="1">COUNTIFS(Validation[Status],"Under Prevalidation",Validation[Operator],Table2[[#This Row],[Account]],Validation[Open_Date],TODAY())</f>
        <v>6</v>
      </c>
      <c r="I13" s="3">
        <f>COUNTIFS(Validation[Status],"Under Prevalidation",Validation[Operator],Table2[[#This Row],[Account]])</f>
        <v>13</v>
      </c>
      <c r="J13" s="3" t="str">
        <f>VLOOKUP(Table2[[#This Row],[Team to send]],Table4[#All],2,FALSE)</f>
        <v>Community_Result</v>
      </c>
      <c r="K13" s="3">
        <f ca="1">COUNTIFS(INDIRECT("Validation["&amp;Table2[[#This Row],[Lookup]]&amp;"]"),"OK",Validation[Operator],Table2[[#This Row],[Account]])</f>
        <v>2</v>
      </c>
      <c r="L13" s="3">
        <f ca="1">COUNTIFS(INDIRECT("Validation["&amp;Table2[[#This Row],[Lookup]]&amp;"]"),"Rejected",Validation[Operator],Table2[[#This Row],[Account]])</f>
        <v>0</v>
      </c>
      <c r="M13" s="3">
        <f ca="1">COUNTIFS(INDIRECT("Validation["&amp;Table2[[#This Row],[Lookup]]&amp;"]"),"Not Required",Validation[Operator],Table2[[#This Row],[Account]])</f>
        <v>4</v>
      </c>
      <c r="N13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13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3" s="3" t="str">
        <f ca="1">IFERROR(Table2[[#This Row],[Approved]]&amp;" "&amp;Table2[[#Headers],[Approved]],"")</f>
        <v>2 Approved</v>
      </c>
      <c r="Q13" s="3" t="str">
        <f ca="1">IFERROR(Table2[[#This Row],[Rejected]]&amp;" "&amp;Table2[[#Headers],[Rejected]],"")</f>
        <v>0 Rejected</v>
      </c>
      <c r="R13" s="3" t="str">
        <f ca="1">IFERROR(Table2[[#This Row],[Not Required]]&amp;" "&amp;Table2[[#Headers],[Not Required]],"")</f>
        <v>4 Not Required</v>
      </c>
      <c r="S13" s="3" t="str">
        <f ca="1">IFERROR(Table2[[#This Row],[Pending]]&amp;" "&amp;Table2[[#Headers],[Pending]],"")</f>
        <v>7 Pending</v>
      </c>
    </row>
    <row r="14" spans="1:19">
      <c r="A14" s="2" t="s">
        <v>216</v>
      </c>
      <c r="B14" s="5" t="str">
        <f>VLOOKUP(Table2[[#This Row],[Name]],Table1[],2,FALSE)</f>
        <v>Thint Myat May</v>
      </c>
      <c r="C14" s="5" t="str">
        <f>VLOOKUP(Table2[[#This Row],[Name]],Table1[],3,FALSE)</f>
        <v>thintmyat.may@apollo-towers.com</v>
      </c>
      <c r="D14" s="2" t="s">
        <v>20</v>
      </c>
      <c r="E14" s="5" t="s">
        <v>242</v>
      </c>
      <c r="F14" s="2"/>
      <c r="G14" s="5" t="str">
        <f>IF(Table2[[#This Row],[Send Email]]="Yes",IF(Table2[[#This Row],[Team to send]]&lt;&gt;"",Table2[[#This Row],[Mail Address not send]],""),"")</f>
        <v/>
      </c>
      <c r="H14" s="3">
        <f ca="1">COUNTIFS(Validation[Status],"Under Prevalidation",Validation[Operator],Table2[[#This Row],[Account]],Validation[Open_Date],TODAY())</f>
        <v>6</v>
      </c>
      <c r="I14" s="3">
        <f>COUNTIFS(Validation[Status],"Under Prevalidation",Validation[Operator],Table2[[#This Row],[Account]])</f>
        <v>13</v>
      </c>
      <c r="J14" s="3" t="str">
        <f>VLOOKUP(Table2[[#This Row],[Team to send]],Table4[#All],2,FALSE)</f>
        <v>Community_Result</v>
      </c>
      <c r="K14" s="3">
        <f ca="1">COUNTIFS(INDIRECT("Validation["&amp;Table2[[#This Row],[Lookup]]&amp;"]"),"OK",Validation[Operator],Table2[[#This Row],[Account]])</f>
        <v>2</v>
      </c>
      <c r="L14" s="3">
        <f ca="1">COUNTIFS(INDIRECT("Validation["&amp;Table2[[#This Row],[Lookup]]&amp;"]"),"Rejected",Validation[Operator],Table2[[#This Row],[Account]])</f>
        <v>0</v>
      </c>
      <c r="M14" s="3">
        <f ca="1">COUNTIFS(INDIRECT("Validation["&amp;Table2[[#This Row],[Lookup]]&amp;"]"),"Not Required",Validation[Operator],Table2[[#This Row],[Account]])</f>
        <v>4</v>
      </c>
      <c r="N1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14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4" s="3" t="str">
        <f ca="1">IFERROR(Table2[[#This Row],[Approved]]&amp;" "&amp;Table2[[#Headers],[Approved]],"")</f>
        <v>2 Approved</v>
      </c>
      <c r="Q14" s="3" t="str">
        <f ca="1">IFERROR(Table2[[#This Row],[Rejected]]&amp;" "&amp;Table2[[#Headers],[Rejected]],"")</f>
        <v>0 Rejected</v>
      </c>
      <c r="R14" s="3" t="str">
        <f ca="1">IFERROR(Table2[[#This Row],[Not Required]]&amp;" "&amp;Table2[[#Headers],[Not Required]],"")</f>
        <v>4 Not Required</v>
      </c>
      <c r="S14" s="3" t="str">
        <f ca="1">IFERROR(Table2[[#This Row],[Pending]]&amp;" "&amp;Table2[[#Headers],[Pending]],"")</f>
        <v>7 Pending</v>
      </c>
    </row>
    <row r="15" spans="1:19">
      <c r="A15" s="2" t="s">
        <v>222</v>
      </c>
      <c r="B15" s="5" t="str">
        <f>VLOOKUP(Table2[[#This Row],[Name]],Table1[],2,FALSE)</f>
        <v>Anil</v>
      </c>
      <c r="C15" s="5" t="str">
        <f>VLOOKUP(Table2[[#This Row],[Name]],Table1[],3,FALSE)</f>
        <v>anilkiran.bathula@apollo-towers.com</v>
      </c>
      <c r="D15" s="2" t="s">
        <v>20</v>
      </c>
      <c r="E15" s="5" t="s">
        <v>245</v>
      </c>
      <c r="F15" s="2"/>
      <c r="G15" s="5" t="str">
        <f>IF(Table2[[#This Row],[Send Email]]="Yes",IF(Table2[[#This Row],[Team to send]]&lt;&gt;"",Table2[[#This Row],[Mail Address not send]],""),"")</f>
        <v/>
      </c>
      <c r="H15" s="3">
        <f ca="1">COUNTIFS(Validation[Status],"Under Prevalidation",Validation[Operator],Table2[[#This Row],[Account]],Validation[Open_Date],TODAY())</f>
        <v>6</v>
      </c>
      <c r="I15" s="3">
        <f>COUNTIFS(Validation[Status],"Under Prevalidation",Validation[Operator],Table2[[#This Row],[Account]])</f>
        <v>13</v>
      </c>
      <c r="J15" s="3" t="str">
        <f>VLOOKUP(Table2[[#This Row],[Team to send]],Table4[#All],2,FALSE)</f>
        <v>LandLord_Result</v>
      </c>
      <c r="K15" s="3">
        <f ca="1">COUNTIFS(INDIRECT("Validation["&amp;Table2[[#This Row],[Lookup]]&amp;"]"),"OK",Validation[Operator],Table2[[#This Row],[Account]])</f>
        <v>2</v>
      </c>
      <c r="L15" s="3">
        <f ca="1">COUNTIFS(INDIRECT("Validation["&amp;Table2[[#This Row],[Lookup]]&amp;"]"),"Rejected",Validation[Operator],Table2[[#This Row],[Account]])</f>
        <v>0</v>
      </c>
      <c r="M15" s="3">
        <f ca="1">COUNTIFS(INDIRECT("Validation["&amp;Table2[[#This Row],[Lookup]]&amp;"]"),"Not Required",Validation[Operator],Table2[[#This Row],[Account]])</f>
        <v>4</v>
      </c>
      <c r="N15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15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5" s="3" t="str">
        <f ca="1">IFERROR(Table2[[#This Row],[Approved]]&amp;" "&amp;Table2[[#Headers],[Approved]],"")</f>
        <v>2 Approved</v>
      </c>
      <c r="Q15" s="3" t="str">
        <f ca="1">IFERROR(Table2[[#This Row],[Rejected]]&amp;" "&amp;Table2[[#Headers],[Rejected]],"")</f>
        <v>0 Rejected</v>
      </c>
      <c r="R15" s="3" t="str">
        <f ca="1">IFERROR(Table2[[#This Row],[Not Required]]&amp;" "&amp;Table2[[#Headers],[Not Required]],"")</f>
        <v>4 Not Required</v>
      </c>
      <c r="S15" s="3" t="str">
        <f ca="1">IFERROR(Table2[[#This Row],[Pending]]&amp;" "&amp;Table2[[#Headers],[Pending]],"")</f>
        <v>7 Pending</v>
      </c>
    </row>
    <row r="16" spans="1:19">
      <c r="A16" s="2" t="s">
        <v>207</v>
      </c>
      <c r="B16" s="5" t="str">
        <f>VLOOKUP(Table2[[#This Row],[Name]],Table1[],2,FALSE)</f>
        <v>Narita</v>
      </c>
      <c r="C16" s="5" t="str">
        <f>VLOOKUP(Table2[[#This Row],[Name]],Table1[],3,FALSE)</f>
        <v>narita.dequico@panasiatower.net</v>
      </c>
      <c r="D16" s="2" t="s">
        <v>20</v>
      </c>
      <c r="E16" s="5" t="s">
        <v>245</v>
      </c>
      <c r="F16" s="2"/>
      <c r="G16" s="5" t="str">
        <f>IF(Table2[[#This Row],[Send Email]]="Yes",IF(Table2[[#This Row],[Team to send]]&lt;&gt;"",Table2[[#This Row],[Mail Address not send]],""),"")</f>
        <v/>
      </c>
      <c r="H16" s="3">
        <f ca="1">COUNTIFS(Validation[Status],"Under Prevalidation",Validation[Operator],Table2[[#This Row],[Account]],Validation[Open_Date],TODAY())</f>
        <v>6</v>
      </c>
      <c r="I16" s="3">
        <f>COUNTIFS(Validation[Status],"Under Prevalidation",Validation[Operator],Table2[[#This Row],[Account]])</f>
        <v>13</v>
      </c>
      <c r="J16" s="3" t="str">
        <f>VLOOKUP(Table2[[#This Row],[Team to send]],Table4[#All],2,FALSE)</f>
        <v>LandLord_Result</v>
      </c>
      <c r="K16" s="3">
        <f ca="1">COUNTIFS(INDIRECT("Validation["&amp;Table2[[#This Row],[Lookup]]&amp;"]"),"OK",Validation[Operator],Table2[[#This Row],[Account]])</f>
        <v>2</v>
      </c>
      <c r="L16" s="3">
        <f ca="1">COUNTIFS(INDIRECT("Validation["&amp;Table2[[#This Row],[Lookup]]&amp;"]"),"Rejected",Validation[Operator],Table2[[#This Row],[Account]])</f>
        <v>0</v>
      </c>
      <c r="M16" s="3">
        <f ca="1">COUNTIFS(INDIRECT("Validation["&amp;Table2[[#This Row],[Lookup]]&amp;"]"),"Not Required",Validation[Operator],Table2[[#This Row],[Account]])</f>
        <v>4</v>
      </c>
      <c r="N16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7</v>
      </c>
      <c r="O16" s="3" t="str">
        <f ca="1">IF(Table2[[#This Row],[Total New]]&gt;0,Table2[[#This Row],[Total New]]&amp;" "&amp;Table2[[#This Row],[Account]]&amp;" colocation request(s) have been created today.","")</f>
        <v>6 MPT colocation request(s) have been created today.</v>
      </c>
      <c r="P16" s="3" t="str">
        <f ca="1">IFERROR(Table2[[#This Row],[Approved]]&amp;" "&amp;Table2[[#Headers],[Approved]],"")</f>
        <v>2 Approved</v>
      </c>
      <c r="Q16" s="3" t="str">
        <f ca="1">IFERROR(Table2[[#This Row],[Rejected]]&amp;" "&amp;Table2[[#Headers],[Rejected]],"")</f>
        <v>0 Rejected</v>
      </c>
      <c r="R16" s="3" t="str">
        <f ca="1">IFERROR(Table2[[#This Row],[Not Required]]&amp;" "&amp;Table2[[#Headers],[Not Required]],"")</f>
        <v>4 Not Required</v>
      </c>
      <c r="S16" s="3" t="str">
        <f ca="1">IFERROR(Table2[[#This Row],[Pending]]&amp;" "&amp;Table2[[#Headers],[Pending]],"")</f>
        <v>7 Pending</v>
      </c>
    </row>
  </sheetData>
  <conditionalFormatting sqref="G2:G16">
    <cfRule type="notContainsBlanks" dxfId="46" priority="3">
      <formula>LEN(TRIM(G2))&gt;0</formula>
    </cfRule>
    <cfRule type="containsBlanks" dxfId="45" priority="4">
      <formula>LEN(TRIM(G2))=0</formula>
    </cfRule>
  </conditionalFormatting>
  <dataValidations count="2">
    <dataValidation type="list" allowBlank="1" showInputMessage="1" showErrorMessage="1" sqref="F2:F16" xr:uid="{3BD9B9A3-A401-476E-A9EF-8BD10729DD8F}">
      <formula1>"Yes,No"</formula1>
    </dataValidation>
    <dataValidation type="list" allowBlank="1" showInputMessage="1" showErrorMessage="1" sqref="D2:D16" xr:uid="{4C562810-6FB2-4D4E-AD12-3E12F0DFBFDA}">
      <formula1>"OML,MPT,Amara,Mytel,Telenor,All Account"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8E86D6-CE2E-4450-B076-B26CFAA452A6}">
          <x14:formula1>
            <xm:f>'Team Lookup'!$A$2:$A$9</xm:f>
          </x14:formula1>
          <xm:sqref>E2:E16</xm:sqref>
        </x14:dataValidation>
        <x14:dataValidation type="list" allowBlank="1" showInputMessage="1" showErrorMessage="1" xr:uid="{53EAC6D2-F623-4FC3-8C00-1142B88B28AD}">
          <x14:formula1>
            <xm:f>'User Lookup'!$A$2:$A$35</xm:f>
          </x14:formula1>
          <xm:sqref>A2:A16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BC30"/>
  <sheetViews>
    <sheetView workbookViewId="0">
      <selection activeCell="J12" sqref="J12"/>
    </sheetView>
  </sheetViews>
  <sheetFormatPr defaultRowHeight="15"/>
  <cols>
    <col min="1" max="1" width="14.28515625" bestFit="1" customWidth="1"/>
    <col min="3" max="3" width="8" bestFit="1" customWidth="1"/>
    <col min="4" max="4" width="13.14062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" bestFit="1" customWidth="1"/>
    <col min="9" max="9" width="8" bestFit="1" customWidth="1"/>
    <col min="10" max="10" width="11.140625" bestFit="1" customWidth="1"/>
    <col min="11" max="11" width="18.710937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19" bestFit="1" customWidth="1"/>
    <col min="21" max="21" width="18.28515625" bestFit="1" customWidth="1"/>
    <col min="22" max="22" width="18" bestFit="1" customWidth="1"/>
    <col min="23" max="23" width="81.140625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53.42578125" bestFit="1" customWidth="1"/>
    <col min="32" max="32" width="15.7109375" bestFit="1" customWidth="1"/>
    <col min="33" max="33" width="19.28515625" bestFit="1" customWidth="1"/>
    <col min="34" max="34" width="43.85546875" bestFit="1" customWidth="1"/>
    <col min="35" max="35" width="63.42578125" bestFit="1" customWidth="1"/>
    <col min="36" max="36" width="20.42578125" bestFit="1" customWidth="1"/>
    <col min="37" max="37" width="61.425781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14" bestFit="1" customWidth="1"/>
    <col min="44" max="44" width="15" bestFit="1" customWidth="1"/>
    <col min="45" max="45" width="9.42578125" bestFit="1" customWidth="1"/>
    <col min="46" max="46" width="28.42578125" bestFit="1" customWidth="1"/>
    <col min="47" max="47" width="25.28515625" bestFit="1" customWidth="1"/>
    <col min="48" max="48" width="17.42578125" bestFit="1" customWidth="1"/>
    <col min="49" max="49" width="14.28515625" bestFit="1" customWidth="1"/>
    <col min="50" max="50" width="20.7109375" bestFit="1" customWidth="1"/>
    <col min="51" max="51" width="14.42578125" bestFit="1" customWidth="1"/>
    <col min="52" max="52" width="17.42578125" bestFit="1" customWidth="1"/>
    <col min="53" max="53" width="13.28515625" bestFit="1" customWidth="1"/>
    <col min="54" max="54" width="16.85546875" bestFit="1" customWidth="1"/>
    <col min="55" max="55" width="19.140625" bestFit="1" customWidth="1"/>
  </cols>
  <sheetData>
    <row r="1" spans="1:55">
      <c r="A1" t="s">
        <v>74</v>
      </c>
      <c r="B1" t="s">
        <v>21</v>
      </c>
      <c r="C1" t="s">
        <v>75</v>
      </c>
      <c r="D1" t="s">
        <v>76</v>
      </c>
      <c r="E1" t="s">
        <v>77</v>
      </c>
      <c r="F1" t="s">
        <v>0</v>
      </c>
      <c r="G1" t="s">
        <v>78</v>
      </c>
      <c r="H1" t="s">
        <v>79</v>
      </c>
      <c r="I1" t="s">
        <v>2</v>
      </c>
      <c r="J1" t="s">
        <v>80</v>
      </c>
      <c r="K1" t="s">
        <v>22</v>
      </c>
      <c r="L1" t="s">
        <v>81</v>
      </c>
      <c r="M1" t="s">
        <v>1</v>
      </c>
      <c r="N1" t="s">
        <v>82</v>
      </c>
      <c r="O1" t="s">
        <v>3</v>
      </c>
      <c r="P1" t="s">
        <v>83</v>
      </c>
      <c r="Q1" t="s">
        <v>84</v>
      </c>
      <c r="R1" t="s">
        <v>5</v>
      </c>
      <c r="S1" t="s">
        <v>4</v>
      </c>
      <c r="T1" t="s">
        <v>16</v>
      </c>
      <c r="U1" t="s">
        <v>18</v>
      </c>
      <c r="V1" t="s">
        <v>85</v>
      </c>
      <c r="W1" t="s">
        <v>86</v>
      </c>
      <c r="X1" t="s">
        <v>87</v>
      </c>
      <c r="Y1" t="s">
        <v>88</v>
      </c>
      <c r="Z1" t="s">
        <v>10</v>
      </c>
      <c r="AA1" t="s">
        <v>89</v>
      </c>
      <c r="AB1" t="s">
        <v>11</v>
      </c>
      <c r="AC1" t="s">
        <v>12</v>
      </c>
      <c r="AD1" t="s">
        <v>90</v>
      </c>
      <c r="AE1" t="s">
        <v>13</v>
      </c>
      <c r="AF1" t="s">
        <v>7</v>
      </c>
      <c r="AG1" t="s">
        <v>6</v>
      </c>
      <c r="AH1" t="s">
        <v>9</v>
      </c>
      <c r="AI1" t="s">
        <v>8</v>
      </c>
      <c r="AJ1" t="s">
        <v>14</v>
      </c>
      <c r="AK1" t="s">
        <v>15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46</v>
      </c>
      <c r="AT1" t="s">
        <v>249</v>
      </c>
      <c r="AU1" t="s">
        <v>250</v>
      </c>
      <c r="AV1" t="s">
        <v>251</v>
      </c>
      <c r="AW1" t="s">
        <v>252</v>
      </c>
      <c r="AX1" t="s">
        <v>253</v>
      </c>
      <c r="AY1" t="s">
        <v>254</v>
      </c>
      <c r="AZ1" t="s">
        <v>255</v>
      </c>
      <c r="BA1" t="s">
        <v>256</v>
      </c>
      <c r="BB1" t="s">
        <v>257</v>
      </c>
      <c r="BC1" t="s">
        <v>258</v>
      </c>
    </row>
    <row r="2" spans="1:55">
      <c r="A2" s="1" t="s">
        <v>34</v>
      </c>
      <c r="B2" s="1" t="s">
        <v>29</v>
      </c>
      <c r="C2" s="1">
        <v>176</v>
      </c>
      <c r="D2" s="1" t="s">
        <v>35</v>
      </c>
      <c r="E2" s="1" t="s">
        <v>34</v>
      </c>
      <c r="F2" s="1" t="s">
        <v>30</v>
      </c>
      <c r="G2" s="1" t="s">
        <v>24</v>
      </c>
      <c r="H2" s="1"/>
      <c r="I2" s="1">
        <v>176</v>
      </c>
      <c r="J2" s="1">
        <v>176</v>
      </c>
      <c r="K2" s="1" t="s">
        <v>24</v>
      </c>
      <c r="L2" s="1"/>
      <c r="M2" s="1">
        <v>43236</v>
      </c>
      <c r="N2" s="1"/>
      <c r="O2" s="1">
        <v>3</v>
      </c>
      <c r="P2" s="1"/>
      <c r="Q2" s="1" t="s">
        <v>98</v>
      </c>
      <c r="R2" s="1"/>
      <c r="S2" s="1"/>
      <c r="T2" s="1" t="s">
        <v>17</v>
      </c>
      <c r="U2" s="1"/>
      <c r="V2" s="1" t="s">
        <v>48</v>
      </c>
      <c r="W2" s="1" t="s">
        <v>53</v>
      </c>
      <c r="X2" s="1" t="s">
        <v>48</v>
      </c>
      <c r="Y2" s="1" t="s">
        <v>54</v>
      </c>
      <c r="Z2" s="1" t="s">
        <v>50</v>
      </c>
      <c r="AA2" s="1" t="s">
        <v>49</v>
      </c>
      <c r="AB2" s="1" t="s">
        <v>55</v>
      </c>
      <c r="AC2" s="1" t="s">
        <v>48</v>
      </c>
      <c r="AD2" s="1" t="s">
        <v>51</v>
      </c>
      <c r="AE2" s="1" t="s">
        <v>59</v>
      </c>
      <c r="AF2" s="1" t="s">
        <v>48</v>
      </c>
      <c r="AG2" s="1">
        <v>2</v>
      </c>
      <c r="AH2" s="1" t="s">
        <v>58</v>
      </c>
      <c r="AI2" s="1" t="s">
        <v>57</v>
      </c>
      <c r="AJ2" s="1" t="s">
        <v>48</v>
      </c>
      <c r="AK2" s="1"/>
      <c r="AL2" s="1"/>
      <c r="AM2" s="1"/>
      <c r="AN2" s="1"/>
      <c r="AO2" s="1"/>
      <c r="AP2" s="1"/>
      <c r="AQ2" s="1"/>
      <c r="AR2" s="1"/>
      <c r="AS2" s="1" t="s">
        <v>47</v>
      </c>
      <c r="AU2">
        <v>3</v>
      </c>
      <c r="AW2">
        <v>2</v>
      </c>
      <c r="AX2">
        <v>43417.622350231497</v>
      </c>
      <c r="AY2">
        <v>43417.673041087997</v>
      </c>
      <c r="BA2">
        <v>43417.729835069404</v>
      </c>
      <c r="BB2">
        <v>43417.688149884299</v>
      </c>
      <c r="BC2">
        <v>43417.684575347201</v>
      </c>
    </row>
    <row r="3" spans="1:55">
      <c r="A3" s="1" t="s">
        <v>40</v>
      </c>
      <c r="B3" s="1" t="s">
        <v>29</v>
      </c>
      <c r="C3" s="1">
        <v>199</v>
      </c>
      <c r="D3" s="1" t="s">
        <v>41</v>
      </c>
      <c r="E3" s="1" t="s">
        <v>40</v>
      </c>
      <c r="F3" s="1" t="s">
        <v>30</v>
      </c>
      <c r="G3" s="1" t="s">
        <v>24</v>
      </c>
      <c r="H3" s="1"/>
      <c r="I3" s="1">
        <v>199</v>
      </c>
      <c r="J3" s="1">
        <v>199</v>
      </c>
      <c r="K3" s="1" t="s">
        <v>24</v>
      </c>
      <c r="L3" s="1"/>
      <c r="M3" s="1">
        <v>43236</v>
      </c>
      <c r="N3" s="1"/>
      <c r="O3" s="1">
        <v>3</v>
      </c>
      <c r="P3" s="1"/>
      <c r="Q3" s="1" t="s">
        <v>98</v>
      </c>
      <c r="R3" s="1"/>
      <c r="S3" s="1"/>
      <c r="T3" s="1" t="s">
        <v>17</v>
      </c>
      <c r="U3" s="1"/>
      <c r="V3" s="1" t="s">
        <v>48</v>
      </c>
      <c r="W3" s="1" t="s">
        <v>52</v>
      </c>
      <c r="X3" s="1" t="s">
        <v>48</v>
      </c>
      <c r="Y3" s="1" t="s">
        <v>48</v>
      </c>
      <c r="Z3" s="1" t="s">
        <v>48</v>
      </c>
      <c r="AA3" s="1"/>
      <c r="AB3" s="1" t="s">
        <v>48</v>
      </c>
      <c r="AC3" s="1" t="s">
        <v>48</v>
      </c>
      <c r="AD3" s="1" t="s">
        <v>49</v>
      </c>
      <c r="AE3" s="1"/>
      <c r="AF3" s="1" t="s">
        <v>50</v>
      </c>
      <c r="AG3" s="1"/>
      <c r="AH3" s="1"/>
      <c r="AI3" s="1" t="s">
        <v>56</v>
      </c>
      <c r="AJ3" s="1" t="s">
        <v>50</v>
      </c>
      <c r="AK3" s="1"/>
      <c r="AL3" s="1"/>
      <c r="AM3" s="1"/>
      <c r="AN3" s="1"/>
      <c r="AO3" s="1"/>
      <c r="AP3" s="1"/>
      <c r="AQ3" s="1"/>
      <c r="AR3" s="1"/>
      <c r="AS3" s="1" t="s">
        <v>99</v>
      </c>
      <c r="AU3">
        <v>3</v>
      </c>
      <c r="AX3">
        <v>43417.627321874999</v>
      </c>
      <c r="AZ3">
        <v>43417.680085069398</v>
      </c>
      <c r="BA3">
        <v>43417.7112494213</v>
      </c>
      <c r="BB3">
        <v>43417.688151041701</v>
      </c>
    </row>
    <row r="4" spans="1:55">
      <c r="A4" s="1" t="s">
        <v>36</v>
      </c>
      <c r="B4" s="1" t="s">
        <v>29</v>
      </c>
      <c r="C4" s="1">
        <v>224</v>
      </c>
      <c r="D4" s="1" t="s">
        <v>37</v>
      </c>
      <c r="E4" s="1" t="s">
        <v>36</v>
      </c>
      <c r="F4" s="1" t="s">
        <v>19</v>
      </c>
      <c r="G4" s="1" t="s">
        <v>24</v>
      </c>
      <c r="H4" s="1"/>
      <c r="I4" s="1">
        <v>224</v>
      </c>
      <c r="J4" s="1">
        <v>224</v>
      </c>
      <c r="K4" s="1" t="s">
        <v>24</v>
      </c>
      <c r="L4" s="1"/>
      <c r="M4" s="1">
        <v>43245</v>
      </c>
      <c r="N4" s="1"/>
      <c r="O4" s="1">
        <v>2</v>
      </c>
      <c r="P4" s="1">
        <v>6</v>
      </c>
      <c r="Q4" s="1" t="s">
        <v>98</v>
      </c>
      <c r="R4" s="1" t="s">
        <v>100</v>
      </c>
      <c r="S4" s="1" t="s">
        <v>101</v>
      </c>
      <c r="T4" s="1" t="s">
        <v>17</v>
      </c>
      <c r="U4" s="1"/>
      <c r="V4" s="1" t="s">
        <v>48</v>
      </c>
      <c r="W4" s="1" t="s">
        <v>61</v>
      </c>
      <c r="X4" s="1" t="s">
        <v>48</v>
      </c>
      <c r="Y4" s="1" t="s">
        <v>48</v>
      </c>
      <c r="Z4" s="1" t="s">
        <v>48</v>
      </c>
      <c r="AA4" s="1" t="s">
        <v>49</v>
      </c>
      <c r="AB4" s="1"/>
      <c r="AC4" s="1" t="s">
        <v>48</v>
      </c>
      <c r="AD4" s="1" t="s">
        <v>49</v>
      </c>
      <c r="AE4" s="1"/>
      <c r="AF4" s="1" t="s">
        <v>50</v>
      </c>
      <c r="AG4" s="1">
        <v>2</v>
      </c>
      <c r="AH4" s="1" t="s">
        <v>62</v>
      </c>
      <c r="AI4" s="1" t="s">
        <v>63</v>
      </c>
      <c r="AJ4" s="1" t="s">
        <v>48</v>
      </c>
      <c r="AK4" s="1"/>
      <c r="AL4" s="1"/>
      <c r="AM4" s="1"/>
      <c r="AN4" s="1"/>
      <c r="AO4" s="1"/>
      <c r="AP4" s="1"/>
      <c r="AQ4" s="1"/>
      <c r="AR4" s="1"/>
      <c r="AS4" s="1" t="s">
        <v>47</v>
      </c>
      <c r="AU4">
        <v>2</v>
      </c>
      <c r="AW4">
        <v>2</v>
      </c>
      <c r="AX4">
        <v>43417.622353009298</v>
      </c>
      <c r="AZ4">
        <v>43417.680085648099</v>
      </c>
      <c r="BA4">
        <v>43417.71125</v>
      </c>
      <c r="BB4">
        <v>43417.688151388902</v>
      </c>
      <c r="BC4">
        <v>43417.684578588</v>
      </c>
    </row>
    <row r="5" spans="1:55">
      <c r="A5" s="1" t="s">
        <v>43</v>
      </c>
      <c r="B5" s="1" t="s">
        <v>29</v>
      </c>
      <c r="C5" s="1">
        <v>251</v>
      </c>
      <c r="D5" s="1" t="s">
        <v>44</v>
      </c>
      <c r="E5" s="1" t="s">
        <v>43</v>
      </c>
      <c r="F5" s="1" t="s">
        <v>19</v>
      </c>
      <c r="G5" s="1" t="s">
        <v>24</v>
      </c>
      <c r="H5" s="1" t="s">
        <v>102</v>
      </c>
      <c r="I5" s="1">
        <v>251</v>
      </c>
      <c r="J5" s="1">
        <v>251</v>
      </c>
      <c r="K5" s="1" t="s">
        <v>24</v>
      </c>
      <c r="L5" s="1"/>
      <c r="M5" s="1">
        <v>43267</v>
      </c>
      <c r="N5" s="1"/>
      <c r="O5" s="1">
        <v>2</v>
      </c>
      <c r="P5" s="1">
        <v>6</v>
      </c>
      <c r="Q5" s="1" t="s">
        <v>98</v>
      </c>
      <c r="R5" s="1" t="s">
        <v>103</v>
      </c>
      <c r="S5" s="1" t="s">
        <v>104</v>
      </c>
      <c r="T5" s="1" t="s">
        <v>17</v>
      </c>
      <c r="U5" s="1"/>
      <c r="V5" s="1" t="s">
        <v>48</v>
      </c>
      <c r="W5" s="1" t="s">
        <v>64</v>
      </c>
      <c r="X5" s="1" t="s">
        <v>48</v>
      </c>
      <c r="Y5" s="1" t="s">
        <v>48</v>
      </c>
      <c r="Z5" s="1" t="s">
        <v>48</v>
      </c>
      <c r="AA5" s="1" t="s">
        <v>49</v>
      </c>
      <c r="AB5" s="1"/>
      <c r="AC5" s="1" t="s">
        <v>48</v>
      </c>
      <c r="AD5" s="1" t="s">
        <v>49</v>
      </c>
      <c r="AE5" s="1"/>
      <c r="AF5" s="1" t="s">
        <v>48</v>
      </c>
      <c r="AG5" s="1">
        <v>2</v>
      </c>
      <c r="AH5" s="1" t="s">
        <v>60</v>
      </c>
      <c r="AI5" s="1" t="s">
        <v>65</v>
      </c>
      <c r="AJ5" s="1" t="s">
        <v>48</v>
      </c>
      <c r="AK5" s="1"/>
      <c r="AL5" s="1"/>
      <c r="AM5" s="1"/>
      <c r="AN5" s="1"/>
      <c r="AO5" s="1"/>
      <c r="AP5" s="1"/>
      <c r="AQ5" s="1"/>
      <c r="AR5" s="1"/>
      <c r="AS5" s="1" t="s">
        <v>99</v>
      </c>
      <c r="AU5">
        <v>2</v>
      </c>
      <c r="AW5">
        <v>2</v>
      </c>
      <c r="AX5">
        <v>43417.626841782403</v>
      </c>
      <c r="AY5">
        <v>43417.673045254603</v>
      </c>
      <c r="AZ5">
        <v>43417.680086458298</v>
      </c>
      <c r="BA5">
        <v>43417.711250578701</v>
      </c>
      <c r="BB5">
        <v>43417.688152893497</v>
      </c>
      <c r="BC5">
        <v>43417.6845791667</v>
      </c>
    </row>
    <row r="6" spans="1:55">
      <c r="A6" s="1" t="s">
        <v>31</v>
      </c>
      <c r="B6" s="1" t="s">
        <v>29</v>
      </c>
      <c r="C6" s="1">
        <v>275</v>
      </c>
      <c r="D6" s="1" t="s">
        <v>32</v>
      </c>
      <c r="E6" s="1" t="s">
        <v>31</v>
      </c>
      <c r="F6" s="1" t="s">
        <v>33</v>
      </c>
      <c r="G6" s="1" t="s">
        <v>24</v>
      </c>
      <c r="H6" s="1"/>
      <c r="I6" s="1">
        <v>275</v>
      </c>
      <c r="J6" s="1">
        <v>275</v>
      </c>
      <c r="K6" s="1" t="s">
        <v>24</v>
      </c>
      <c r="L6" s="1"/>
      <c r="M6" s="1">
        <v>43327</v>
      </c>
      <c r="N6" s="1"/>
      <c r="O6" s="1">
        <v>2.5</v>
      </c>
      <c r="P6" s="1">
        <v>3</v>
      </c>
      <c r="Q6" s="1" t="s">
        <v>98</v>
      </c>
      <c r="R6" s="1" t="s">
        <v>107</v>
      </c>
      <c r="S6" s="1" t="s">
        <v>108</v>
      </c>
      <c r="T6" s="1" t="s">
        <v>17</v>
      </c>
      <c r="U6" s="1"/>
      <c r="V6" s="1" t="s">
        <v>48</v>
      </c>
      <c r="W6" s="1"/>
      <c r="X6" s="1" t="s">
        <v>48</v>
      </c>
      <c r="Y6" s="1"/>
      <c r="Z6" s="1"/>
      <c r="AA6" s="1" t="s">
        <v>49</v>
      </c>
      <c r="AB6" s="1"/>
      <c r="AC6" s="1"/>
      <c r="AD6" s="1"/>
      <c r="AE6" s="1"/>
      <c r="AF6" s="1" t="s">
        <v>48</v>
      </c>
      <c r="AG6" s="1"/>
      <c r="AH6" s="1" t="s">
        <v>109</v>
      </c>
      <c r="AI6" s="1" t="s">
        <v>110</v>
      </c>
      <c r="AJ6" s="1" t="s">
        <v>50</v>
      </c>
      <c r="AK6" s="1" t="s">
        <v>66</v>
      </c>
      <c r="AL6" s="1"/>
      <c r="AM6" s="1"/>
      <c r="AN6" s="1"/>
      <c r="AO6" s="1"/>
      <c r="AP6" s="1"/>
      <c r="AQ6" s="1"/>
      <c r="AR6" s="1"/>
      <c r="AS6" s="1" t="s">
        <v>47</v>
      </c>
      <c r="AU6">
        <v>2.5</v>
      </c>
      <c r="AX6">
        <v>43417.622354629602</v>
      </c>
      <c r="AY6">
        <v>43417.673047453703</v>
      </c>
      <c r="BB6">
        <v>43424.368673379598</v>
      </c>
    </row>
    <row r="7" spans="1:55">
      <c r="A7" s="1" t="s">
        <v>38</v>
      </c>
      <c r="B7" s="1" t="s">
        <v>29</v>
      </c>
      <c r="C7" s="1">
        <v>4662</v>
      </c>
      <c r="D7" s="1" t="s">
        <v>134</v>
      </c>
      <c r="E7" s="1" t="s">
        <v>38</v>
      </c>
      <c r="F7" s="1" t="s">
        <v>20</v>
      </c>
      <c r="G7" s="1" t="s">
        <v>24</v>
      </c>
      <c r="H7" s="1" t="s">
        <v>102</v>
      </c>
      <c r="I7" s="1">
        <v>3386</v>
      </c>
      <c r="J7" s="1">
        <v>4662</v>
      </c>
      <c r="K7" s="1" t="s">
        <v>127</v>
      </c>
      <c r="L7" s="1" t="s">
        <v>133</v>
      </c>
      <c r="M7" s="1">
        <v>43403</v>
      </c>
      <c r="N7" s="1"/>
      <c r="O7" s="1">
        <v>3.7669999999999999</v>
      </c>
      <c r="P7" s="1">
        <v>7.3760000000000003</v>
      </c>
      <c r="Q7" s="1" t="s">
        <v>98</v>
      </c>
      <c r="R7" s="1" t="s">
        <v>115</v>
      </c>
      <c r="S7" s="1" t="s">
        <v>118</v>
      </c>
      <c r="T7" s="1" t="s">
        <v>17</v>
      </c>
      <c r="U7" s="1"/>
      <c r="V7" s="1" t="s">
        <v>122</v>
      </c>
      <c r="W7" s="1"/>
      <c r="X7" s="1" t="s">
        <v>48</v>
      </c>
      <c r="Y7" s="1" t="s">
        <v>135</v>
      </c>
      <c r="Z7" s="1" t="s">
        <v>48</v>
      </c>
      <c r="AA7" s="1" t="s">
        <v>49</v>
      </c>
      <c r="AB7" s="1" t="s">
        <v>136</v>
      </c>
      <c r="AC7" s="1"/>
      <c r="AD7" s="1"/>
      <c r="AE7" s="1"/>
      <c r="AF7" s="1" t="s">
        <v>50</v>
      </c>
      <c r="AG7" s="1">
        <v>2</v>
      </c>
      <c r="AH7" s="1"/>
      <c r="AI7" s="1" t="s">
        <v>137</v>
      </c>
      <c r="AJ7" s="1" t="s">
        <v>50</v>
      </c>
      <c r="AK7" s="1" t="s">
        <v>66</v>
      </c>
      <c r="AL7" s="1"/>
      <c r="AM7" s="1"/>
      <c r="AN7" s="1"/>
      <c r="AO7" s="1"/>
      <c r="AP7" s="1"/>
      <c r="AQ7" s="1"/>
      <c r="AR7" s="1"/>
      <c r="AS7" s="1" t="s">
        <v>47</v>
      </c>
      <c r="AU7">
        <v>3.7669999999999999</v>
      </c>
      <c r="AW7">
        <v>2</v>
      </c>
      <c r="AX7">
        <v>43417.622362962997</v>
      </c>
      <c r="AZ7">
        <v>43417.6800903935</v>
      </c>
    </row>
    <row r="8" spans="1:55">
      <c r="A8" s="1" t="s">
        <v>138</v>
      </c>
      <c r="B8" s="1" t="s">
        <v>29</v>
      </c>
      <c r="C8" s="1">
        <v>4666</v>
      </c>
      <c r="D8" s="1" t="s">
        <v>139</v>
      </c>
      <c r="E8" s="1" t="s">
        <v>138</v>
      </c>
      <c r="F8" s="1" t="s">
        <v>20</v>
      </c>
      <c r="G8" s="1" t="s">
        <v>24</v>
      </c>
      <c r="H8" s="1" t="s">
        <v>102</v>
      </c>
      <c r="I8" s="1">
        <v>3387</v>
      </c>
      <c r="J8" s="1">
        <v>4666</v>
      </c>
      <c r="K8" s="1" t="s">
        <v>127</v>
      </c>
      <c r="L8" s="1" t="s">
        <v>133</v>
      </c>
      <c r="M8" s="1">
        <v>43403</v>
      </c>
      <c r="N8" s="1"/>
      <c r="O8" s="1">
        <v>3.9470000000000001</v>
      </c>
      <c r="P8" s="1">
        <v>8.8360000000000003</v>
      </c>
      <c r="Q8" s="1" t="s">
        <v>98</v>
      </c>
      <c r="R8" s="1" t="s">
        <v>115</v>
      </c>
      <c r="S8" s="1" t="s">
        <v>118</v>
      </c>
      <c r="T8" s="1" t="s">
        <v>17</v>
      </c>
      <c r="U8" s="1"/>
      <c r="V8" s="1" t="s">
        <v>122</v>
      </c>
      <c r="W8" s="1"/>
      <c r="X8" s="1" t="s">
        <v>48</v>
      </c>
      <c r="Y8" s="1" t="s">
        <v>140</v>
      </c>
      <c r="Z8" s="1" t="s">
        <v>48</v>
      </c>
      <c r="AA8" s="1" t="s">
        <v>49</v>
      </c>
      <c r="AB8" s="1" t="s">
        <v>141</v>
      </c>
      <c r="AC8" s="1"/>
      <c r="AD8" s="1"/>
      <c r="AE8" s="1"/>
      <c r="AF8" s="1" t="s">
        <v>50</v>
      </c>
      <c r="AG8" s="1">
        <v>1</v>
      </c>
      <c r="AH8" s="1"/>
      <c r="AI8" s="1" t="s">
        <v>259</v>
      </c>
      <c r="AJ8" s="1" t="s">
        <v>48</v>
      </c>
      <c r="AK8" s="1"/>
      <c r="AL8" s="1"/>
      <c r="AM8" s="1"/>
      <c r="AN8" s="1"/>
      <c r="AO8" s="1"/>
      <c r="AP8" s="1"/>
      <c r="AQ8" s="1"/>
      <c r="AR8" s="1"/>
      <c r="AS8" s="1" t="s">
        <v>47</v>
      </c>
      <c r="AU8">
        <v>3.9470000000000001</v>
      </c>
      <c r="AW8">
        <v>1</v>
      </c>
      <c r="AX8">
        <v>43417.622364004601</v>
      </c>
      <c r="AZ8">
        <v>43417.680090972201</v>
      </c>
      <c r="BC8">
        <v>43417.684614814803</v>
      </c>
    </row>
    <row r="9" spans="1:55">
      <c r="A9" s="1" t="s">
        <v>42</v>
      </c>
      <c r="B9" s="1" t="s">
        <v>29</v>
      </c>
      <c r="C9" s="1">
        <v>4235</v>
      </c>
      <c r="D9" s="1" t="s">
        <v>142</v>
      </c>
      <c r="E9" s="1" t="s">
        <v>42</v>
      </c>
      <c r="F9" s="1" t="s">
        <v>20</v>
      </c>
      <c r="G9" s="1" t="s">
        <v>24</v>
      </c>
      <c r="H9" s="1" t="s">
        <v>102</v>
      </c>
      <c r="I9" s="1">
        <v>3391</v>
      </c>
      <c r="J9" s="1">
        <v>4235</v>
      </c>
      <c r="K9" s="1" t="s">
        <v>143</v>
      </c>
      <c r="L9" s="1" t="s">
        <v>117</v>
      </c>
      <c r="M9" s="1">
        <v>43404</v>
      </c>
      <c r="N9" s="1"/>
      <c r="O9" s="1">
        <v>1.8</v>
      </c>
      <c r="P9" s="1">
        <v>3.66</v>
      </c>
      <c r="Q9" s="1" t="s">
        <v>98</v>
      </c>
      <c r="R9" s="1" t="s">
        <v>144</v>
      </c>
      <c r="S9" s="1" t="s">
        <v>145</v>
      </c>
      <c r="T9" s="1" t="s">
        <v>17</v>
      </c>
      <c r="U9" s="1"/>
      <c r="V9" s="1" t="s">
        <v>122</v>
      </c>
      <c r="W9" s="1"/>
      <c r="X9" s="1" t="s">
        <v>48</v>
      </c>
      <c r="Y9" s="1" t="s">
        <v>146</v>
      </c>
      <c r="Z9" s="1" t="s">
        <v>39</v>
      </c>
      <c r="AA9" s="1" t="s">
        <v>51</v>
      </c>
      <c r="AB9" s="1" t="s">
        <v>152</v>
      </c>
      <c r="AC9" s="1"/>
      <c r="AD9" s="1"/>
      <c r="AE9" s="1"/>
      <c r="AF9" s="1" t="s">
        <v>48</v>
      </c>
      <c r="AG9" s="1"/>
      <c r="AH9" s="1" t="s">
        <v>109</v>
      </c>
      <c r="AI9" s="1" t="s">
        <v>147</v>
      </c>
      <c r="AJ9" s="1" t="s">
        <v>122</v>
      </c>
      <c r="AK9" s="1"/>
      <c r="AL9" s="1"/>
      <c r="AM9" s="1"/>
      <c r="AN9" s="1"/>
      <c r="AO9" s="1"/>
      <c r="AP9" s="1"/>
      <c r="AQ9" s="1"/>
      <c r="AR9" s="1"/>
      <c r="AS9" s="1" t="s">
        <v>99</v>
      </c>
      <c r="AU9">
        <v>1.8</v>
      </c>
      <c r="AX9">
        <v>43417.622365740703</v>
      </c>
      <c r="AY9">
        <v>43417.673062731497</v>
      </c>
    </row>
    <row r="10" spans="1:55">
      <c r="A10" s="1" t="s">
        <v>27</v>
      </c>
      <c r="B10" s="1" t="s">
        <v>23</v>
      </c>
      <c r="C10" s="1">
        <v>2379</v>
      </c>
      <c r="D10" s="1" t="s">
        <v>28</v>
      </c>
      <c r="E10" s="1" t="s">
        <v>27</v>
      </c>
      <c r="F10" s="1" t="s">
        <v>20</v>
      </c>
      <c r="G10" s="1" t="s">
        <v>24</v>
      </c>
      <c r="H10" s="1" t="s">
        <v>102</v>
      </c>
      <c r="I10" s="1">
        <v>3401</v>
      </c>
      <c r="J10" s="1">
        <v>2379</v>
      </c>
      <c r="K10" s="1" t="s">
        <v>127</v>
      </c>
      <c r="L10" s="1" t="s">
        <v>117</v>
      </c>
      <c r="M10" s="1">
        <v>43409</v>
      </c>
      <c r="N10" s="1"/>
      <c r="O10" s="1">
        <v>3.5489999999999999</v>
      </c>
      <c r="P10" s="1">
        <v>7.5</v>
      </c>
      <c r="Q10" s="1" t="s">
        <v>119</v>
      </c>
      <c r="R10" s="1" t="s">
        <v>120</v>
      </c>
      <c r="S10" s="1" t="s">
        <v>121</v>
      </c>
      <c r="T10" s="1" t="s">
        <v>17</v>
      </c>
      <c r="U10" s="1"/>
      <c r="V10" s="1" t="s">
        <v>122</v>
      </c>
      <c r="W10" s="1"/>
      <c r="X10" s="1" t="s">
        <v>48</v>
      </c>
      <c r="Y10" s="1" t="s">
        <v>260</v>
      </c>
      <c r="Z10" s="1" t="s">
        <v>39</v>
      </c>
      <c r="AA10" s="1" t="s">
        <v>49</v>
      </c>
      <c r="AB10" s="1" t="s">
        <v>261</v>
      </c>
      <c r="AC10" s="1"/>
      <c r="AD10" s="1"/>
      <c r="AE10" s="1"/>
      <c r="AF10" s="1" t="s">
        <v>48</v>
      </c>
      <c r="AG10" s="1"/>
      <c r="AH10" s="1" t="s">
        <v>262</v>
      </c>
      <c r="AI10" s="1" t="s">
        <v>263</v>
      </c>
      <c r="AJ10" s="1" t="s">
        <v>122</v>
      </c>
      <c r="AK10" s="1"/>
      <c r="AL10" s="1"/>
      <c r="AM10" s="1"/>
      <c r="AN10" s="1"/>
      <c r="AO10" s="1"/>
      <c r="AP10" s="1"/>
      <c r="AQ10" s="1"/>
      <c r="AR10" s="1"/>
      <c r="AS10" s="1" t="s">
        <v>47</v>
      </c>
      <c r="AU10">
        <v>3.5489999999999999</v>
      </c>
      <c r="AW10">
        <v>1.6</v>
      </c>
      <c r="AX10">
        <v>43417.622366782402</v>
      </c>
      <c r="AY10">
        <v>43419.752466435202</v>
      </c>
    </row>
    <row r="11" spans="1:55">
      <c r="A11" s="1" t="s">
        <v>264</v>
      </c>
      <c r="B11" s="1" t="s">
        <v>23</v>
      </c>
      <c r="C11" s="1">
        <v>2198</v>
      </c>
      <c r="D11" s="1" t="s">
        <v>265</v>
      </c>
      <c r="E11" s="1" t="s">
        <v>264</v>
      </c>
      <c r="F11" s="1" t="s">
        <v>20</v>
      </c>
      <c r="G11" s="1" t="s">
        <v>24</v>
      </c>
      <c r="H11" s="1" t="s">
        <v>102</v>
      </c>
      <c r="I11" s="1">
        <v>3414</v>
      </c>
      <c r="J11" s="1">
        <v>2198</v>
      </c>
      <c r="K11" s="1" t="s">
        <v>266</v>
      </c>
      <c r="L11" s="1" t="s">
        <v>117</v>
      </c>
      <c r="M11" s="1">
        <v>43417</v>
      </c>
      <c r="N11" s="1"/>
      <c r="O11" s="1">
        <v>1.522</v>
      </c>
      <c r="P11" s="1">
        <v>2.82</v>
      </c>
      <c r="Q11" s="1" t="s">
        <v>119</v>
      </c>
      <c r="R11" s="1" t="s">
        <v>120</v>
      </c>
      <c r="S11" s="1" t="s">
        <v>121</v>
      </c>
      <c r="T11" s="1" t="s">
        <v>17</v>
      </c>
      <c r="U11" s="1"/>
      <c r="V11" s="1" t="s">
        <v>50</v>
      </c>
      <c r="W11" s="1" t="s">
        <v>348</v>
      </c>
      <c r="X11" s="1" t="s">
        <v>48</v>
      </c>
      <c r="Y11" s="1" t="s">
        <v>267</v>
      </c>
      <c r="Z11" s="1" t="s">
        <v>48</v>
      </c>
      <c r="AA11" s="1" t="s">
        <v>49</v>
      </c>
      <c r="AB11" s="1" t="s">
        <v>268</v>
      </c>
      <c r="AC11" s="1" t="s">
        <v>48</v>
      </c>
      <c r="AD11" s="1" t="s">
        <v>49</v>
      </c>
      <c r="AE11" s="1" t="s">
        <v>269</v>
      </c>
      <c r="AF11" s="1" t="s">
        <v>48</v>
      </c>
      <c r="AG11" s="1"/>
      <c r="AH11" s="1" t="s">
        <v>262</v>
      </c>
      <c r="AI11" s="1" t="s">
        <v>263</v>
      </c>
      <c r="AJ11" s="1" t="s">
        <v>122</v>
      </c>
      <c r="AK11" s="1"/>
      <c r="AL11" s="1"/>
      <c r="AM11" s="1"/>
      <c r="AN11" s="1"/>
      <c r="AO11" s="1"/>
      <c r="AP11" s="1"/>
      <c r="AQ11" s="1"/>
      <c r="AR11" s="1"/>
      <c r="AS11" s="1" t="s">
        <v>47</v>
      </c>
      <c r="AW11">
        <v>1.6</v>
      </c>
      <c r="AX11">
        <v>43418.370527893501</v>
      </c>
      <c r="AY11">
        <v>43419.752471064799</v>
      </c>
      <c r="AZ11">
        <v>43419.439039814803</v>
      </c>
      <c r="BA11">
        <v>43418.370527893501</v>
      </c>
    </row>
    <row r="12" spans="1:55">
      <c r="A12" s="1" t="s">
        <v>270</v>
      </c>
      <c r="B12" s="1" t="s">
        <v>29</v>
      </c>
      <c r="C12" s="1">
        <v>3834</v>
      </c>
      <c r="D12" s="1" t="s">
        <v>271</v>
      </c>
      <c r="E12" s="1" t="s">
        <v>270</v>
      </c>
      <c r="F12" s="1" t="s">
        <v>33</v>
      </c>
      <c r="G12" s="1"/>
      <c r="H12" s="1" t="s">
        <v>102</v>
      </c>
      <c r="I12" s="1">
        <v>3415</v>
      </c>
      <c r="J12" s="1">
        <v>3834</v>
      </c>
      <c r="K12" s="1" t="s">
        <v>272</v>
      </c>
      <c r="L12" s="1" t="s">
        <v>117</v>
      </c>
      <c r="M12" s="1">
        <v>43418</v>
      </c>
      <c r="N12" s="1"/>
      <c r="O12" s="1"/>
      <c r="P12" s="1">
        <v>6</v>
      </c>
      <c r="Q12" s="1" t="s">
        <v>98</v>
      </c>
      <c r="R12" s="1" t="s">
        <v>114</v>
      </c>
      <c r="S12" s="1" t="s">
        <v>116</v>
      </c>
      <c r="T12" s="1" t="s">
        <v>17</v>
      </c>
      <c r="U12" s="1"/>
      <c r="V12" s="1" t="s">
        <v>122</v>
      </c>
      <c r="W12" s="1"/>
      <c r="X12" s="1" t="s">
        <v>48</v>
      </c>
      <c r="Y12" s="1" t="s">
        <v>273</v>
      </c>
      <c r="Z12" s="1"/>
      <c r="AA12" s="1"/>
      <c r="AB12" s="1"/>
      <c r="AC12" s="1" t="s">
        <v>122</v>
      </c>
      <c r="AD12" s="1"/>
      <c r="AE12" s="1"/>
      <c r="AF12" s="1" t="s">
        <v>122</v>
      </c>
      <c r="AG12" s="1"/>
      <c r="AH12" s="1"/>
      <c r="AI12" s="1"/>
      <c r="AJ12" s="1" t="s">
        <v>122</v>
      </c>
      <c r="AK12" s="1"/>
      <c r="AL12" s="1" t="s">
        <v>122</v>
      </c>
      <c r="AM12" s="1"/>
      <c r="AN12" s="1"/>
      <c r="AO12" s="1" t="s">
        <v>122</v>
      </c>
      <c r="AP12" s="1"/>
      <c r="AQ12" s="1"/>
      <c r="AR12" s="1"/>
      <c r="AS12" s="1" t="s">
        <v>99</v>
      </c>
      <c r="AX12">
        <v>43419.733995254603</v>
      </c>
    </row>
    <row r="13" spans="1:55">
      <c r="A13" s="1" t="s">
        <v>274</v>
      </c>
      <c r="B13" s="1" t="s">
        <v>29</v>
      </c>
      <c r="C13" s="1">
        <v>3891</v>
      </c>
      <c r="D13" s="1" t="s">
        <v>275</v>
      </c>
      <c r="E13" s="1" t="s">
        <v>274</v>
      </c>
      <c r="F13" s="1" t="s">
        <v>33</v>
      </c>
      <c r="G13" s="1"/>
      <c r="H13" s="1" t="s">
        <v>102</v>
      </c>
      <c r="I13" s="1">
        <v>3416</v>
      </c>
      <c r="J13" s="1">
        <v>3891</v>
      </c>
      <c r="K13" s="1" t="s">
        <v>276</v>
      </c>
      <c r="L13" s="1" t="s">
        <v>117</v>
      </c>
      <c r="M13" s="1">
        <v>43419</v>
      </c>
      <c r="N13" s="1"/>
      <c r="O13" s="1"/>
      <c r="P13" s="1">
        <v>3</v>
      </c>
      <c r="Q13" s="1" t="s">
        <v>119</v>
      </c>
      <c r="R13" s="1" t="s">
        <v>103</v>
      </c>
      <c r="S13" s="1" t="s">
        <v>104</v>
      </c>
      <c r="T13" s="1" t="s">
        <v>17</v>
      </c>
      <c r="U13" s="1"/>
      <c r="V13" s="1" t="s">
        <v>122</v>
      </c>
      <c r="W13" s="1"/>
      <c r="X13" s="1" t="s">
        <v>48</v>
      </c>
      <c r="Y13" s="1" t="s">
        <v>277</v>
      </c>
      <c r="Z13" s="1" t="s">
        <v>39</v>
      </c>
      <c r="AA13" s="1" t="s">
        <v>49</v>
      </c>
      <c r="AB13" s="1" t="s">
        <v>349</v>
      </c>
      <c r="AC13" s="1" t="s">
        <v>122</v>
      </c>
      <c r="AD13" s="1"/>
      <c r="AE13" s="1"/>
      <c r="AF13" s="1" t="s">
        <v>122</v>
      </c>
      <c r="AG13" s="1"/>
      <c r="AH13" s="1"/>
      <c r="AI13" s="1"/>
      <c r="AJ13" s="1" t="s">
        <v>122</v>
      </c>
      <c r="AK13" s="1"/>
      <c r="AL13" s="1" t="s">
        <v>122</v>
      </c>
      <c r="AM13" s="1"/>
      <c r="AN13" s="1"/>
      <c r="AO13" s="1" t="s">
        <v>122</v>
      </c>
      <c r="AP13" s="1"/>
      <c r="AQ13" s="1"/>
      <c r="AR13" s="1"/>
      <c r="AS13" s="1" t="s">
        <v>99</v>
      </c>
      <c r="AX13">
        <v>43419.7339959491</v>
      </c>
    </row>
    <row r="14" spans="1:55">
      <c r="A14" s="1" t="s">
        <v>278</v>
      </c>
      <c r="B14" s="1" t="s">
        <v>29</v>
      </c>
      <c r="C14" s="1">
        <v>3870</v>
      </c>
      <c r="D14" s="1" t="s">
        <v>279</v>
      </c>
      <c r="E14" s="1" t="s">
        <v>278</v>
      </c>
      <c r="F14" s="1" t="s">
        <v>33</v>
      </c>
      <c r="G14" s="1"/>
      <c r="H14" s="1" t="s">
        <v>102</v>
      </c>
      <c r="I14" s="1">
        <v>3417</v>
      </c>
      <c r="J14" s="1">
        <v>3870</v>
      </c>
      <c r="K14" s="1" t="s">
        <v>276</v>
      </c>
      <c r="L14" s="1" t="s">
        <v>117</v>
      </c>
      <c r="M14" s="1">
        <v>43419</v>
      </c>
      <c r="N14" s="1"/>
      <c r="O14" s="1"/>
      <c r="P14" s="1">
        <v>3.1</v>
      </c>
      <c r="Q14" s="1" t="s">
        <v>119</v>
      </c>
      <c r="R14" s="1" t="s">
        <v>280</v>
      </c>
      <c r="S14" s="1" t="s">
        <v>281</v>
      </c>
      <c r="T14" s="1" t="s">
        <v>17</v>
      </c>
      <c r="U14" s="1"/>
      <c r="V14" s="1" t="s">
        <v>122</v>
      </c>
      <c r="W14" s="1"/>
      <c r="X14" s="1" t="s">
        <v>48</v>
      </c>
      <c r="Y14" s="1" t="s">
        <v>282</v>
      </c>
      <c r="Z14" s="1"/>
      <c r="AA14" s="1"/>
      <c r="AB14" s="1"/>
      <c r="AC14" s="1" t="s">
        <v>122</v>
      </c>
      <c r="AD14" s="1"/>
      <c r="AE14" s="1"/>
      <c r="AF14" s="1" t="s">
        <v>122</v>
      </c>
      <c r="AG14" s="1"/>
      <c r="AH14" s="1"/>
      <c r="AI14" s="1"/>
      <c r="AJ14" s="1" t="s">
        <v>122</v>
      </c>
      <c r="AK14" s="1"/>
      <c r="AL14" s="1" t="s">
        <v>122</v>
      </c>
      <c r="AM14" s="1"/>
      <c r="AN14" s="1"/>
      <c r="AO14" s="1" t="s">
        <v>122</v>
      </c>
      <c r="AP14" s="1"/>
      <c r="AQ14" s="1"/>
      <c r="AR14" s="1"/>
      <c r="AS14" s="1" t="s">
        <v>99</v>
      </c>
      <c r="AX14">
        <v>43419.733996643503</v>
      </c>
    </row>
    <row r="15" spans="1:55">
      <c r="A15" s="1" t="s">
        <v>283</v>
      </c>
      <c r="B15" s="1" t="s">
        <v>29</v>
      </c>
      <c r="C15" s="1">
        <v>3832</v>
      </c>
      <c r="D15" s="1" t="s">
        <v>284</v>
      </c>
      <c r="E15" s="1" t="s">
        <v>283</v>
      </c>
      <c r="F15" s="1" t="s">
        <v>33</v>
      </c>
      <c r="G15" s="1"/>
      <c r="H15" s="1" t="s">
        <v>102</v>
      </c>
      <c r="I15" s="1">
        <v>3418</v>
      </c>
      <c r="J15" s="1">
        <v>3832</v>
      </c>
      <c r="K15" s="1" t="s">
        <v>276</v>
      </c>
      <c r="L15" s="1" t="s">
        <v>117</v>
      </c>
      <c r="M15" s="1">
        <v>43419</v>
      </c>
      <c r="N15" s="1"/>
      <c r="O15" s="1"/>
      <c r="P15" s="1">
        <v>2.97</v>
      </c>
      <c r="Q15" s="1" t="s">
        <v>119</v>
      </c>
      <c r="R15" s="1" t="s">
        <v>112</v>
      </c>
      <c r="S15" s="1" t="s">
        <v>116</v>
      </c>
      <c r="T15" s="1" t="s">
        <v>17</v>
      </c>
      <c r="U15" s="1"/>
      <c r="V15" s="1" t="s">
        <v>122</v>
      </c>
      <c r="W15" s="1"/>
      <c r="X15" s="1" t="s">
        <v>48</v>
      </c>
      <c r="Y15" s="1" t="s">
        <v>285</v>
      </c>
      <c r="Z15" s="1"/>
      <c r="AA15" s="1"/>
      <c r="AB15" s="1"/>
      <c r="AC15" s="1" t="s">
        <v>122</v>
      </c>
      <c r="AD15" s="1"/>
      <c r="AE15" s="1"/>
      <c r="AF15" s="1" t="s">
        <v>122</v>
      </c>
      <c r="AG15" s="1"/>
      <c r="AH15" s="1"/>
      <c r="AI15" s="1"/>
      <c r="AJ15" s="1" t="s">
        <v>122</v>
      </c>
      <c r="AK15" s="1"/>
      <c r="AL15" s="1" t="s">
        <v>122</v>
      </c>
      <c r="AM15" s="1"/>
      <c r="AN15" s="1"/>
      <c r="AO15" s="1" t="s">
        <v>122</v>
      </c>
      <c r="AP15" s="1"/>
      <c r="AQ15" s="1"/>
      <c r="AR15" s="1"/>
      <c r="AS15" s="1" t="s">
        <v>99</v>
      </c>
      <c r="AX15">
        <v>43419.733997222203</v>
      </c>
    </row>
    <row r="16" spans="1:55">
      <c r="A16" s="1" t="s">
        <v>286</v>
      </c>
      <c r="B16" s="1" t="s">
        <v>29</v>
      </c>
      <c r="C16" s="1">
        <v>3822</v>
      </c>
      <c r="D16" s="1" t="s">
        <v>287</v>
      </c>
      <c r="E16" s="1" t="s">
        <v>286</v>
      </c>
      <c r="F16" s="1" t="s">
        <v>33</v>
      </c>
      <c r="G16" s="1"/>
      <c r="H16" s="1" t="s">
        <v>102</v>
      </c>
      <c r="I16" s="1">
        <v>3419</v>
      </c>
      <c r="J16" s="1">
        <v>3822</v>
      </c>
      <c r="K16" s="1" t="s">
        <v>276</v>
      </c>
      <c r="L16" s="1" t="s">
        <v>117</v>
      </c>
      <c r="M16" s="1">
        <v>43419</v>
      </c>
      <c r="N16" s="1"/>
      <c r="O16" s="1"/>
      <c r="P16" s="1">
        <v>3</v>
      </c>
      <c r="Q16" s="1" t="s">
        <v>119</v>
      </c>
      <c r="R16" s="1"/>
      <c r="S16" s="1" t="s">
        <v>288</v>
      </c>
      <c r="T16" s="1" t="s">
        <v>17</v>
      </c>
      <c r="U16" s="1"/>
      <c r="V16" s="1" t="s">
        <v>122</v>
      </c>
      <c r="W16" s="1"/>
      <c r="X16" s="1" t="s">
        <v>48</v>
      </c>
      <c r="Y16" s="1" t="s">
        <v>289</v>
      </c>
      <c r="Z16" s="1"/>
      <c r="AA16" s="1"/>
      <c r="AB16" s="1"/>
      <c r="AC16" s="1" t="s">
        <v>122</v>
      </c>
      <c r="AD16" s="1"/>
      <c r="AE16" s="1"/>
      <c r="AF16" s="1" t="s">
        <v>122</v>
      </c>
      <c r="AG16" s="1"/>
      <c r="AH16" s="1"/>
      <c r="AI16" s="1"/>
      <c r="AJ16" s="1" t="s">
        <v>122</v>
      </c>
      <c r="AK16" s="1"/>
      <c r="AL16" s="1" t="s">
        <v>122</v>
      </c>
      <c r="AM16" s="1"/>
      <c r="AN16" s="1"/>
      <c r="AO16" s="1" t="s">
        <v>122</v>
      </c>
      <c r="AP16" s="1"/>
      <c r="AQ16" s="1"/>
      <c r="AR16" s="1"/>
      <c r="AS16" s="1" t="s">
        <v>99</v>
      </c>
      <c r="AX16">
        <v>43419.733998032403</v>
      </c>
    </row>
    <row r="17" spans="1:55">
      <c r="A17" s="1" t="s">
        <v>290</v>
      </c>
      <c r="B17" s="1" t="s">
        <v>29</v>
      </c>
      <c r="C17" s="1">
        <v>50</v>
      </c>
      <c r="D17" s="1" t="s">
        <v>291</v>
      </c>
      <c r="E17" s="1" t="s">
        <v>290</v>
      </c>
      <c r="F17" s="1" t="s">
        <v>30</v>
      </c>
      <c r="G17" s="1" t="s">
        <v>24</v>
      </c>
      <c r="H17" s="1"/>
      <c r="I17" s="1">
        <v>3420</v>
      </c>
      <c r="J17" s="1">
        <v>50</v>
      </c>
      <c r="K17" s="1" t="s">
        <v>148</v>
      </c>
      <c r="L17" s="1" t="s">
        <v>117</v>
      </c>
      <c r="M17" s="1">
        <v>43419</v>
      </c>
      <c r="N17" s="1"/>
      <c r="O17" s="1"/>
      <c r="P17" s="1">
        <v>4.5</v>
      </c>
      <c r="Q17" s="1" t="s">
        <v>98</v>
      </c>
      <c r="R17" s="1" t="s">
        <v>128</v>
      </c>
      <c r="S17" s="1" t="s">
        <v>292</v>
      </c>
      <c r="T17" s="1" t="s">
        <v>17</v>
      </c>
      <c r="U17" s="1"/>
      <c r="V17" s="1" t="s">
        <v>48</v>
      </c>
      <c r="W17" s="1" t="s">
        <v>350</v>
      </c>
      <c r="X17" s="1" t="s">
        <v>48</v>
      </c>
      <c r="Y17" s="1" t="s">
        <v>293</v>
      </c>
      <c r="Z17" s="1"/>
      <c r="AA17" s="1"/>
      <c r="AB17" s="1"/>
      <c r="AC17" s="1" t="s">
        <v>48</v>
      </c>
      <c r="AD17" s="1" t="s">
        <v>49</v>
      </c>
      <c r="AE17" s="1" t="s">
        <v>294</v>
      </c>
      <c r="AF17" s="1" t="s">
        <v>39</v>
      </c>
      <c r="AG17" s="1"/>
      <c r="AH17" s="1" t="s">
        <v>295</v>
      </c>
      <c r="AI17" s="1" t="s">
        <v>296</v>
      </c>
      <c r="AJ17" s="1" t="s">
        <v>48</v>
      </c>
      <c r="AK17" s="1"/>
      <c r="AL17" s="1"/>
      <c r="AM17" s="1"/>
      <c r="AN17" s="1"/>
      <c r="AO17" s="1"/>
      <c r="AP17" s="1"/>
      <c r="AQ17" s="1"/>
      <c r="AR17" s="1"/>
      <c r="AS17" s="1" t="s">
        <v>99</v>
      </c>
      <c r="AT17">
        <v>3</v>
      </c>
      <c r="AU17">
        <v>3.6</v>
      </c>
      <c r="AX17">
        <v>43419.733998726901</v>
      </c>
      <c r="BA17">
        <v>43419.733998726901</v>
      </c>
      <c r="BB17">
        <v>43424.368688078699</v>
      </c>
      <c r="BC17">
        <v>43419.657818055603</v>
      </c>
    </row>
    <row r="18" spans="1:55">
      <c r="A18" s="1" t="s">
        <v>297</v>
      </c>
      <c r="B18" s="1" t="s">
        <v>29</v>
      </c>
      <c r="C18" s="1">
        <v>115</v>
      </c>
      <c r="D18" s="1" t="s">
        <v>298</v>
      </c>
      <c r="E18" s="1" t="s">
        <v>297</v>
      </c>
      <c r="F18" s="1" t="s">
        <v>30</v>
      </c>
      <c r="G18" s="1" t="s">
        <v>24</v>
      </c>
      <c r="H18" s="1"/>
      <c r="I18" s="1">
        <v>3421</v>
      </c>
      <c r="J18" s="1">
        <v>115</v>
      </c>
      <c r="K18" s="1" t="s">
        <v>148</v>
      </c>
      <c r="L18" s="1" t="s">
        <v>117</v>
      </c>
      <c r="M18" s="1">
        <v>43419</v>
      </c>
      <c r="N18" s="1"/>
      <c r="O18" s="1"/>
      <c r="P18" s="1">
        <v>4.5</v>
      </c>
      <c r="Q18" s="1" t="s">
        <v>98</v>
      </c>
      <c r="R18" s="1" t="s">
        <v>125</v>
      </c>
      <c r="S18" s="1" t="s">
        <v>111</v>
      </c>
      <c r="T18" s="1" t="s">
        <v>17</v>
      </c>
      <c r="U18" s="1"/>
      <c r="V18" s="1" t="s">
        <v>48</v>
      </c>
      <c r="W18" s="1" t="s">
        <v>351</v>
      </c>
      <c r="X18" s="1" t="s">
        <v>48</v>
      </c>
      <c r="Y18" s="1" t="s">
        <v>299</v>
      </c>
      <c r="Z18" s="1" t="s">
        <v>39</v>
      </c>
      <c r="AA18" s="1" t="s">
        <v>51</v>
      </c>
      <c r="AB18" s="1" t="s">
        <v>352</v>
      </c>
      <c r="AC18" s="1" t="s">
        <v>48</v>
      </c>
      <c r="AD18" s="1" t="s">
        <v>49</v>
      </c>
      <c r="AE18" s="1" t="s">
        <v>294</v>
      </c>
      <c r="AF18" s="1" t="s">
        <v>48</v>
      </c>
      <c r="AG18" s="1"/>
      <c r="AH18" s="1" t="s">
        <v>262</v>
      </c>
      <c r="AI18" s="1" t="s">
        <v>300</v>
      </c>
      <c r="AJ18" s="1" t="s">
        <v>48</v>
      </c>
      <c r="AK18" s="1" t="s">
        <v>50</v>
      </c>
      <c r="AL18" s="1"/>
      <c r="AM18" s="1"/>
      <c r="AN18" s="1"/>
      <c r="AO18" s="1"/>
      <c r="AP18" s="1"/>
      <c r="AQ18" s="1"/>
      <c r="AR18" s="1"/>
      <c r="AS18" s="1" t="s">
        <v>99</v>
      </c>
      <c r="AT18">
        <v>3</v>
      </c>
      <c r="AU18">
        <v>3.6</v>
      </c>
      <c r="AX18">
        <v>43419.733999421303</v>
      </c>
      <c r="AY18">
        <v>43420.401276041703</v>
      </c>
      <c r="BA18">
        <v>43419.733999421303</v>
      </c>
      <c r="BB18">
        <v>43424.391512499998</v>
      </c>
      <c r="BC18">
        <v>43419.657820254601</v>
      </c>
    </row>
    <row r="19" spans="1:55">
      <c r="A19" s="1" t="s">
        <v>301</v>
      </c>
      <c r="B19" s="1" t="s">
        <v>29</v>
      </c>
      <c r="C19" s="1">
        <v>93</v>
      </c>
      <c r="D19" s="1" t="s">
        <v>302</v>
      </c>
      <c r="E19" s="1" t="s">
        <v>301</v>
      </c>
      <c r="F19" s="1" t="s">
        <v>30</v>
      </c>
      <c r="G19" s="1" t="s">
        <v>24</v>
      </c>
      <c r="H19" s="1"/>
      <c r="I19" s="1">
        <v>3422</v>
      </c>
      <c r="J19" s="1">
        <v>93</v>
      </c>
      <c r="K19" s="1" t="s">
        <v>148</v>
      </c>
      <c r="L19" s="1" t="s">
        <v>117</v>
      </c>
      <c r="M19" s="1">
        <v>43419</v>
      </c>
      <c r="N19" s="1"/>
      <c r="O19" s="1"/>
      <c r="P19" s="1">
        <v>4.5</v>
      </c>
      <c r="Q19" s="1" t="s">
        <v>98</v>
      </c>
      <c r="R19" s="1" t="s">
        <v>132</v>
      </c>
      <c r="S19" s="1" t="s">
        <v>113</v>
      </c>
      <c r="T19" s="1" t="s">
        <v>17</v>
      </c>
      <c r="U19" s="1"/>
      <c r="V19" s="1" t="s">
        <v>48</v>
      </c>
      <c r="W19" s="1" t="s">
        <v>353</v>
      </c>
      <c r="X19" s="1" t="s">
        <v>50</v>
      </c>
      <c r="Y19" s="1" t="s">
        <v>303</v>
      </c>
      <c r="Z19" s="1"/>
      <c r="AA19" s="1"/>
      <c r="AB19" s="1"/>
      <c r="AC19" s="1" t="s">
        <v>48</v>
      </c>
      <c r="AD19" s="1" t="s">
        <v>49</v>
      </c>
      <c r="AE19" s="1" t="s">
        <v>294</v>
      </c>
      <c r="AF19" s="1" t="s">
        <v>48</v>
      </c>
      <c r="AG19" s="1"/>
      <c r="AH19" s="1" t="s">
        <v>109</v>
      </c>
      <c r="AI19" s="1" t="s">
        <v>304</v>
      </c>
      <c r="AJ19" s="1" t="s">
        <v>48</v>
      </c>
      <c r="AK19" s="1"/>
      <c r="AL19" s="1"/>
      <c r="AM19" s="1"/>
      <c r="AN19" s="1"/>
      <c r="AO19" s="1"/>
      <c r="AP19" s="1"/>
      <c r="AQ19" s="1"/>
      <c r="AR19" s="1"/>
      <c r="AS19" s="1" t="s">
        <v>99</v>
      </c>
      <c r="AT19">
        <v>3</v>
      </c>
      <c r="AU19">
        <v>3.6</v>
      </c>
      <c r="AY19">
        <v>43420.401277314799</v>
      </c>
      <c r="BA19">
        <v>43419.734000231503</v>
      </c>
      <c r="BB19">
        <v>43424.368692592601</v>
      </c>
      <c r="BC19">
        <v>43419.6578226852</v>
      </c>
    </row>
    <row r="20" spans="1:55">
      <c r="A20" s="1" t="s">
        <v>305</v>
      </c>
      <c r="B20" s="1" t="s">
        <v>29</v>
      </c>
      <c r="C20" s="1">
        <v>30</v>
      </c>
      <c r="D20" s="1" t="s">
        <v>306</v>
      </c>
      <c r="E20" s="1" t="s">
        <v>305</v>
      </c>
      <c r="F20" s="1" t="s">
        <v>30</v>
      </c>
      <c r="G20" s="1" t="s">
        <v>24</v>
      </c>
      <c r="H20" s="1"/>
      <c r="I20" s="1">
        <v>3423</v>
      </c>
      <c r="J20" s="1">
        <v>30</v>
      </c>
      <c r="K20" s="1" t="s">
        <v>148</v>
      </c>
      <c r="L20" s="1" t="s">
        <v>117</v>
      </c>
      <c r="M20" s="1">
        <v>43419</v>
      </c>
      <c r="N20" s="1"/>
      <c r="O20" s="1"/>
      <c r="P20" s="1">
        <v>4.5</v>
      </c>
      <c r="Q20" s="1" t="s">
        <v>98</v>
      </c>
      <c r="R20" s="1" t="s">
        <v>105</v>
      </c>
      <c r="S20" s="1" t="s">
        <v>106</v>
      </c>
      <c r="T20" s="1" t="s">
        <v>17</v>
      </c>
      <c r="U20" s="1"/>
      <c r="V20" s="1" t="s">
        <v>48</v>
      </c>
      <c r="W20" s="1" t="s">
        <v>354</v>
      </c>
      <c r="X20" s="1" t="s">
        <v>48</v>
      </c>
      <c r="Y20" s="1" t="s">
        <v>307</v>
      </c>
      <c r="Z20" s="1"/>
      <c r="AA20" s="1"/>
      <c r="AB20" s="1"/>
      <c r="AC20" s="1" t="s">
        <v>48</v>
      </c>
      <c r="AD20" s="1" t="s">
        <v>49</v>
      </c>
      <c r="AE20" s="1" t="s">
        <v>294</v>
      </c>
      <c r="AF20" s="1" t="s">
        <v>48</v>
      </c>
      <c r="AG20" s="1"/>
      <c r="AH20" s="1" t="s">
        <v>109</v>
      </c>
      <c r="AI20" s="1" t="s">
        <v>308</v>
      </c>
      <c r="AJ20" s="1" t="s">
        <v>48</v>
      </c>
      <c r="AK20" s="1"/>
      <c r="AL20" s="1"/>
      <c r="AM20" s="1"/>
      <c r="AN20" s="1"/>
      <c r="AO20" s="1"/>
      <c r="AP20" s="1"/>
      <c r="AQ20" s="1"/>
      <c r="AR20" s="1"/>
      <c r="AS20" s="1" t="s">
        <v>99</v>
      </c>
      <c r="AT20">
        <v>3</v>
      </c>
      <c r="AU20">
        <v>3.6</v>
      </c>
      <c r="AX20">
        <v>43419.734001388897</v>
      </c>
      <c r="AY20">
        <v>43420.401278587997</v>
      </c>
      <c r="BA20">
        <v>43419.734001388897</v>
      </c>
      <c r="BB20">
        <v>43424.391513773102</v>
      </c>
      <c r="BC20">
        <v>43419.657825347203</v>
      </c>
    </row>
    <row r="21" spans="1:55">
      <c r="A21" s="1" t="s">
        <v>309</v>
      </c>
      <c r="B21" s="1" t="s">
        <v>29</v>
      </c>
      <c r="C21" s="1">
        <v>87</v>
      </c>
      <c r="D21" s="1" t="s">
        <v>310</v>
      </c>
      <c r="E21" s="1" t="s">
        <v>309</v>
      </c>
      <c r="F21" s="1" t="s">
        <v>30</v>
      </c>
      <c r="G21" s="1" t="s">
        <v>24</v>
      </c>
      <c r="H21" s="1"/>
      <c r="I21" s="1">
        <v>3424</v>
      </c>
      <c r="J21" s="1">
        <v>87</v>
      </c>
      <c r="K21" s="1" t="s">
        <v>148</v>
      </c>
      <c r="L21" s="1" t="s">
        <v>117</v>
      </c>
      <c r="M21" s="1">
        <v>43419</v>
      </c>
      <c r="N21" s="1"/>
      <c r="O21" s="1"/>
      <c r="P21" s="1">
        <v>4.5</v>
      </c>
      <c r="Q21" s="1" t="s">
        <v>98</v>
      </c>
      <c r="R21" s="1" t="s">
        <v>311</v>
      </c>
      <c r="S21" s="1" t="s">
        <v>105</v>
      </c>
      <c r="T21" s="1" t="s">
        <v>17</v>
      </c>
      <c r="U21" s="1"/>
      <c r="V21" s="1" t="s">
        <v>48</v>
      </c>
      <c r="W21" s="1" t="s">
        <v>355</v>
      </c>
      <c r="X21" s="1" t="s">
        <v>48</v>
      </c>
      <c r="Y21" s="1" t="s">
        <v>312</v>
      </c>
      <c r="Z21" s="1"/>
      <c r="AA21" s="1"/>
      <c r="AB21" s="1"/>
      <c r="AC21" s="1" t="s">
        <v>48</v>
      </c>
      <c r="AD21" s="1" t="s">
        <v>49</v>
      </c>
      <c r="AE21" s="1" t="s">
        <v>294</v>
      </c>
      <c r="AF21" s="1" t="s">
        <v>48</v>
      </c>
      <c r="AG21" s="1"/>
      <c r="AH21" s="1" t="s">
        <v>109</v>
      </c>
      <c r="AI21" s="1" t="s">
        <v>313</v>
      </c>
      <c r="AJ21" s="1" t="s">
        <v>48</v>
      </c>
      <c r="AK21" s="1"/>
      <c r="AL21" s="1"/>
      <c r="AM21" s="1"/>
      <c r="AN21" s="1"/>
      <c r="AO21" s="1"/>
      <c r="AP21" s="1"/>
      <c r="AQ21" s="1"/>
      <c r="AR21" s="1"/>
      <c r="AS21" s="1" t="s">
        <v>99</v>
      </c>
      <c r="AT21">
        <v>3</v>
      </c>
      <c r="AU21">
        <v>3.6</v>
      </c>
      <c r="AX21">
        <v>43420.419846643497</v>
      </c>
      <c r="AY21">
        <v>43420.401281712999</v>
      </c>
      <c r="BA21">
        <v>43419.734002199097</v>
      </c>
      <c r="BB21">
        <v>43424.368693518503</v>
      </c>
      <c r="BC21">
        <v>43419.657826620401</v>
      </c>
    </row>
    <row r="22" spans="1:55">
      <c r="A22" s="1" t="s">
        <v>45</v>
      </c>
      <c r="B22" s="1" t="s">
        <v>29</v>
      </c>
      <c r="C22" s="1">
        <v>31</v>
      </c>
      <c r="D22" s="1" t="s">
        <v>314</v>
      </c>
      <c r="E22" s="1" t="s">
        <v>45</v>
      </c>
      <c r="F22" s="1" t="s">
        <v>30</v>
      </c>
      <c r="G22" s="1"/>
      <c r="H22" s="1"/>
      <c r="I22" s="1">
        <v>3425</v>
      </c>
      <c r="J22" s="1">
        <v>31</v>
      </c>
      <c r="K22" s="1" t="s">
        <v>148</v>
      </c>
      <c r="L22" s="1" t="s">
        <v>117</v>
      </c>
      <c r="M22" s="1">
        <v>43419</v>
      </c>
      <c r="N22" s="1"/>
      <c r="O22" s="1"/>
      <c r="P22" s="1">
        <v>4.5</v>
      </c>
      <c r="Q22" s="1" t="s">
        <v>98</v>
      </c>
      <c r="R22" s="1" t="s">
        <v>132</v>
      </c>
      <c r="S22" s="1" t="s">
        <v>113</v>
      </c>
      <c r="T22" s="1" t="s">
        <v>17</v>
      </c>
      <c r="U22" s="1"/>
      <c r="V22" s="1" t="s">
        <v>39</v>
      </c>
      <c r="W22" s="1" t="s">
        <v>356</v>
      </c>
      <c r="X22" s="1" t="s">
        <v>48</v>
      </c>
      <c r="Y22" s="1" t="s">
        <v>315</v>
      </c>
      <c r="Z22" s="1"/>
      <c r="AA22" s="1"/>
      <c r="AB22" s="1"/>
      <c r="AC22" s="1" t="s">
        <v>48</v>
      </c>
      <c r="AD22" s="1" t="s">
        <v>49</v>
      </c>
      <c r="AE22" s="1" t="s">
        <v>294</v>
      </c>
      <c r="AF22" s="1" t="s">
        <v>48</v>
      </c>
      <c r="AG22" s="1"/>
      <c r="AH22" s="1"/>
      <c r="AI22" s="1" t="s">
        <v>316</v>
      </c>
      <c r="AJ22" s="1" t="s">
        <v>48</v>
      </c>
      <c r="AK22" s="1"/>
      <c r="AL22" s="1"/>
      <c r="AM22" s="1"/>
      <c r="AN22" s="1"/>
      <c r="AO22" s="1"/>
      <c r="AP22" s="1"/>
      <c r="AQ22" s="1"/>
      <c r="AR22" s="1"/>
      <c r="AS22" s="1" t="s">
        <v>99</v>
      </c>
      <c r="AT22">
        <v>3</v>
      </c>
      <c r="AU22">
        <v>3.6</v>
      </c>
      <c r="AX22">
        <v>43419.734003124999</v>
      </c>
      <c r="AY22">
        <v>43420.401282523097</v>
      </c>
      <c r="BA22">
        <v>43419.734003124999</v>
      </c>
      <c r="BC22">
        <v>43419.657829282398</v>
      </c>
    </row>
    <row r="23" spans="1:55">
      <c r="A23" s="1" t="s">
        <v>25</v>
      </c>
      <c r="B23" s="1" t="s">
        <v>23</v>
      </c>
      <c r="C23" s="1">
        <v>2185</v>
      </c>
      <c r="D23" s="1" t="s">
        <v>26</v>
      </c>
      <c r="E23" s="1" t="s">
        <v>25</v>
      </c>
      <c r="F23" s="1" t="s">
        <v>20</v>
      </c>
      <c r="G23" s="1" t="s">
        <v>24</v>
      </c>
      <c r="H23" s="1" t="s">
        <v>102</v>
      </c>
      <c r="I23" s="1">
        <v>3426</v>
      </c>
      <c r="J23" s="1">
        <v>2185</v>
      </c>
      <c r="K23" s="1" t="s">
        <v>317</v>
      </c>
      <c r="L23" s="1" t="s">
        <v>126</v>
      </c>
      <c r="M23" s="1">
        <v>43419</v>
      </c>
      <c r="N23" s="1"/>
      <c r="O23" s="1"/>
      <c r="P23" s="1">
        <v>3.3250000000000002</v>
      </c>
      <c r="Q23" s="1" t="s">
        <v>119</v>
      </c>
      <c r="R23" s="1" t="s">
        <v>123</v>
      </c>
      <c r="S23" s="1" t="s">
        <v>124</v>
      </c>
      <c r="T23" s="1" t="s">
        <v>17</v>
      </c>
      <c r="U23" s="1"/>
      <c r="V23" s="1" t="s">
        <v>48</v>
      </c>
      <c r="W23" s="1"/>
      <c r="X23" s="1" t="s">
        <v>48</v>
      </c>
      <c r="Y23" s="1" t="s">
        <v>318</v>
      </c>
      <c r="Z23" s="1" t="s">
        <v>48</v>
      </c>
      <c r="AA23" s="1" t="s">
        <v>49</v>
      </c>
      <c r="AB23" s="1" t="s">
        <v>357</v>
      </c>
      <c r="AC23" s="1" t="s">
        <v>48</v>
      </c>
      <c r="AD23" s="1" t="s">
        <v>49</v>
      </c>
      <c r="AE23" s="1" t="s">
        <v>269</v>
      </c>
      <c r="AF23" s="1" t="s">
        <v>50</v>
      </c>
      <c r="AG23" s="1"/>
      <c r="AH23" s="1" t="s">
        <v>319</v>
      </c>
      <c r="AI23" s="1" t="s">
        <v>320</v>
      </c>
      <c r="AJ23" s="1" t="s">
        <v>122</v>
      </c>
      <c r="AK23" s="1"/>
      <c r="AL23" s="1"/>
      <c r="AM23" s="1"/>
      <c r="AN23" s="1"/>
      <c r="AO23" s="1"/>
      <c r="AP23" s="1"/>
      <c r="AQ23" s="1"/>
      <c r="AR23" s="1"/>
      <c r="AS23" s="1" t="s">
        <v>47</v>
      </c>
      <c r="AT23">
        <v>2.1259999999999999</v>
      </c>
      <c r="AU23">
        <v>4.0149999999999997</v>
      </c>
      <c r="AW23">
        <v>2.2999999999999998</v>
      </c>
      <c r="AX23">
        <v>43420.419850462997</v>
      </c>
      <c r="AZ23">
        <v>43423.465950347199</v>
      </c>
      <c r="BA23">
        <v>43420.419850462997</v>
      </c>
      <c r="BB23">
        <v>43424.368695601901</v>
      </c>
    </row>
    <row r="24" spans="1:55">
      <c r="A24" s="1" t="s">
        <v>129</v>
      </c>
      <c r="B24" s="1" t="s">
        <v>29</v>
      </c>
      <c r="C24" s="1">
        <v>5915</v>
      </c>
      <c r="D24" s="1" t="s">
        <v>130</v>
      </c>
      <c r="E24" s="1" t="s">
        <v>129</v>
      </c>
      <c r="F24" s="1" t="s">
        <v>20</v>
      </c>
      <c r="G24" s="1" t="s">
        <v>24</v>
      </c>
      <c r="H24" s="1" t="s">
        <v>102</v>
      </c>
      <c r="I24" s="1">
        <v>3428</v>
      </c>
      <c r="J24" s="1">
        <v>5915</v>
      </c>
      <c r="K24" s="1" t="s">
        <v>317</v>
      </c>
      <c r="L24" s="1" t="s">
        <v>117</v>
      </c>
      <c r="M24" s="1">
        <v>43420</v>
      </c>
      <c r="N24" s="1"/>
      <c r="O24" s="1"/>
      <c r="P24" s="1">
        <v>3.4</v>
      </c>
      <c r="Q24" s="1" t="s">
        <v>98</v>
      </c>
      <c r="R24" s="1" t="s">
        <v>131</v>
      </c>
      <c r="S24" s="1" t="s">
        <v>132</v>
      </c>
      <c r="T24" s="1" t="s">
        <v>17</v>
      </c>
      <c r="U24" s="1"/>
      <c r="V24" s="1" t="s">
        <v>48</v>
      </c>
      <c r="W24" s="1"/>
      <c r="X24" s="1" t="s">
        <v>48</v>
      </c>
      <c r="Y24" s="1" t="s">
        <v>358</v>
      </c>
      <c r="Z24" s="1"/>
      <c r="AA24" s="1"/>
      <c r="AB24" s="1"/>
      <c r="AC24" s="1" t="s">
        <v>48</v>
      </c>
      <c r="AD24" s="1" t="s">
        <v>49</v>
      </c>
      <c r="AE24" s="1" t="s">
        <v>269</v>
      </c>
      <c r="AF24" s="1" t="s">
        <v>48</v>
      </c>
      <c r="AG24" s="1"/>
      <c r="AH24" s="1" t="s">
        <v>359</v>
      </c>
      <c r="AI24" s="1" t="s">
        <v>360</v>
      </c>
      <c r="AJ24" s="1" t="s">
        <v>48</v>
      </c>
      <c r="AK24" s="1"/>
      <c r="AL24" s="1"/>
      <c r="AM24" s="1"/>
      <c r="AN24" s="1"/>
      <c r="AO24" s="1"/>
      <c r="AP24" s="1"/>
      <c r="AQ24" s="1"/>
      <c r="AR24" s="1"/>
      <c r="AS24" s="1" t="s">
        <v>47</v>
      </c>
      <c r="AT24">
        <v>1.66</v>
      </c>
      <c r="AU24">
        <v>2.75</v>
      </c>
      <c r="AX24">
        <v>43423.505152777798</v>
      </c>
      <c r="AY24">
        <v>43423.728602546304</v>
      </c>
      <c r="BA24">
        <v>43423.505152777798</v>
      </c>
      <c r="BB24">
        <v>43424.368697222199</v>
      </c>
      <c r="BC24">
        <v>43423.766301273201</v>
      </c>
    </row>
    <row r="25" spans="1:55">
      <c r="A25" s="1" t="s">
        <v>361</v>
      </c>
      <c r="B25" s="1" t="s">
        <v>23</v>
      </c>
      <c r="C25" s="1">
        <v>2292</v>
      </c>
      <c r="D25" s="1" t="s">
        <v>362</v>
      </c>
      <c r="E25" s="1" t="s">
        <v>361</v>
      </c>
      <c r="F25" s="1" t="s">
        <v>20</v>
      </c>
      <c r="G25" s="1" t="s">
        <v>24</v>
      </c>
      <c r="H25" s="1" t="s">
        <v>102</v>
      </c>
      <c r="I25" s="1">
        <v>3429</v>
      </c>
      <c r="J25" s="1">
        <v>2292</v>
      </c>
      <c r="K25" s="1" t="s">
        <v>363</v>
      </c>
      <c r="L25" s="1" t="s">
        <v>117</v>
      </c>
      <c r="M25" s="1">
        <v>43424</v>
      </c>
      <c r="N25" s="1"/>
      <c r="O25" s="1"/>
      <c r="P25" s="1"/>
      <c r="Q25" s="1" t="s">
        <v>119</v>
      </c>
      <c r="R25" s="1" t="s">
        <v>120</v>
      </c>
      <c r="S25" s="1" t="s">
        <v>121</v>
      </c>
      <c r="T25" s="1" t="s">
        <v>17</v>
      </c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 t="s">
        <v>47</v>
      </c>
      <c r="AT25">
        <v>1</v>
      </c>
      <c r="AU25">
        <v>1.4</v>
      </c>
    </row>
    <row r="26" spans="1:55">
      <c r="A26" s="1" t="s">
        <v>364</v>
      </c>
      <c r="B26" s="1" t="s">
        <v>23</v>
      </c>
      <c r="C26" s="1">
        <v>2296</v>
      </c>
      <c r="D26" s="1" t="s">
        <v>365</v>
      </c>
      <c r="E26" s="1" t="s">
        <v>364</v>
      </c>
      <c r="F26" s="1" t="s">
        <v>20</v>
      </c>
      <c r="G26" s="1" t="s">
        <v>24</v>
      </c>
      <c r="H26" s="1" t="s">
        <v>102</v>
      </c>
      <c r="I26" s="1">
        <v>3430</v>
      </c>
      <c r="J26" s="1">
        <v>2296</v>
      </c>
      <c r="K26" s="1" t="s">
        <v>363</v>
      </c>
      <c r="L26" s="1" t="s">
        <v>366</v>
      </c>
      <c r="M26" s="1">
        <v>43424</v>
      </c>
      <c r="N26" s="1"/>
      <c r="O26" s="1"/>
      <c r="P26" s="1"/>
      <c r="Q26" s="1" t="s">
        <v>119</v>
      </c>
      <c r="R26" s="1" t="s">
        <v>367</v>
      </c>
      <c r="S26" s="1" t="s">
        <v>368</v>
      </c>
      <c r="T26" s="1" t="s">
        <v>17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 t="s">
        <v>47</v>
      </c>
      <c r="AT26">
        <v>1.1619999999999999</v>
      </c>
      <c r="AU26">
        <v>1.68</v>
      </c>
    </row>
    <row r="27" spans="1:55">
      <c r="A27" s="1" t="s">
        <v>369</v>
      </c>
      <c r="B27" s="1" t="s">
        <v>23</v>
      </c>
      <c r="C27" s="1">
        <v>2335</v>
      </c>
      <c r="D27" s="1" t="s">
        <v>370</v>
      </c>
      <c r="E27" s="1" t="s">
        <v>369</v>
      </c>
      <c r="F27" s="1" t="s">
        <v>20</v>
      </c>
      <c r="G27" s="1" t="s">
        <v>24</v>
      </c>
      <c r="H27" s="1" t="s">
        <v>102</v>
      </c>
      <c r="I27" s="1">
        <v>3431</v>
      </c>
      <c r="J27" s="1">
        <v>2335</v>
      </c>
      <c r="K27" s="1" t="s">
        <v>363</v>
      </c>
      <c r="L27" s="1" t="s">
        <v>366</v>
      </c>
      <c r="M27" s="1">
        <v>43424</v>
      </c>
      <c r="N27" s="1"/>
      <c r="O27" s="1"/>
      <c r="P27" s="1"/>
      <c r="Q27" s="1" t="s">
        <v>119</v>
      </c>
      <c r="R27" s="1" t="s">
        <v>371</v>
      </c>
      <c r="S27" s="1" t="s">
        <v>372</v>
      </c>
      <c r="T27" s="1" t="s">
        <v>17</v>
      </c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 t="s">
        <v>47</v>
      </c>
      <c r="AT27">
        <v>1</v>
      </c>
      <c r="AU27">
        <v>1.4</v>
      </c>
    </row>
    <row r="28" spans="1:55">
      <c r="A28" s="1" t="s">
        <v>373</v>
      </c>
      <c r="B28" s="1" t="s">
        <v>23</v>
      </c>
      <c r="C28" s="1">
        <v>2194</v>
      </c>
      <c r="D28" s="1" t="s">
        <v>374</v>
      </c>
      <c r="E28" s="1" t="s">
        <v>373</v>
      </c>
      <c r="F28" s="1" t="s">
        <v>20</v>
      </c>
      <c r="G28" s="1" t="s">
        <v>24</v>
      </c>
      <c r="H28" s="1" t="s">
        <v>102</v>
      </c>
      <c r="I28" s="1">
        <v>3432</v>
      </c>
      <c r="J28" s="1">
        <v>2194</v>
      </c>
      <c r="K28" s="1" t="s">
        <v>363</v>
      </c>
      <c r="L28" s="1" t="s">
        <v>366</v>
      </c>
      <c r="M28" s="1">
        <v>43424</v>
      </c>
      <c r="N28" s="1"/>
      <c r="O28" s="1"/>
      <c r="P28" s="1"/>
      <c r="Q28" s="1" t="s">
        <v>119</v>
      </c>
      <c r="R28" s="1" t="s">
        <v>120</v>
      </c>
      <c r="S28" s="1" t="s">
        <v>121</v>
      </c>
      <c r="T28" s="1" t="s">
        <v>17</v>
      </c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 t="s">
        <v>47</v>
      </c>
      <c r="AT28">
        <v>1</v>
      </c>
      <c r="AU28">
        <v>1.462</v>
      </c>
    </row>
    <row r="29" spans="1:55">
      <c r="A29" s="1" t="s">
        <v>375</v>
      </c>
      <c r="B29" s="1" t="s">
        <v>23</v>
      </c>
      <c r="C29" s="1">
        <v>2233</v>
      </c>
      <c r="D29" s="1" t="s">
        <v>376</v>
      </c>
      <c r="E29" s="1" t="s">
        <v>375</v>
      </c>
      <c r="F29" s="1" t="s">
        <v>20</v>
      </c>
      <c r="G29" s="1" t="s">
        <v>24</v>
      </c>
      <c r="H29" s="1" t="s">
        <v>102</v>
      </c>
      <c r="I29" s="1">
        <v>3433</v>
      </c>
      <c r="J29" s="1">
        <v>2233</v>
      </c>
      <c r="K29" s="1" t="s">
        <v>127</v>
      </c>
      <c r="L29" s="1" t="s">
        <v>366</v>
      </c>
      <c r="M29" s="1">
        <v>43424</v>
      </c>
      <c r="N29" s="1"/>
      <c r="O29" s="1"/>
      <c r="P29" s="1"/>
      <c r="Q29" s="1" t="s">
        <v>119</v>
      </c>
      <c r="R29" s="1" t="s">
        <v>120</v>
      </c>
      <c r="S29" s="1" t="s">
        <v>121</v>
      </c>
      <c r="T29" s="1" t="s">
        <v>17</v>
      </c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 t="s">
        <v>47</v>
      </c>
      <c r="AT29">
        <v>2.0590000000000002</v>
      </c>
      <c r="AU29">
        <v>3.6110000000000002</v>
      </c>
    </row>
    <row r="30" spans="1:55">
      <c r="A30" s="1" t="s">
        <v>377</v>
      </c>
      <c r="B30" s="1" t="s">
        <v>23</v>
      </c>
      <c r="C30" s="1">
        <v>2047</v>
      </c>
      <c r="D30" s="1" t="s">
        <v>378</v>
      </c>
      <c r="E30" s="1" t="s">
        <v>377</v>
      </c>
      <c r="F30" s="1" t="s">
        <v>20</v>
      </c>
      <c r="G30" s="1" t="s">
        <v>24</v>
      </c>
      <c r="H30" s="1" t="s">
        <v>102</v>
      </c>
      <c r="I30" s="1">
        <v>3434</v>
      </c>
      <c r="J30" s="1">
        <v>2047</v>
      </c>
      <c r="K30" s="1" t="s">
        <v>379</v>
      </c>
      <c r="L30" s="1" t="s">
        <v>366</v>
      </c>
      <c r="M30" s="1">
        <v>43424</v>
      </c>
      <c r="N30" s="1"/>
      <c r="O30" s="1"/>
      <c r="P30" s="1"/>
      <c r="Q30" s="1" t="s">
        <v>119</v>
      </c>
      <c r="R30" s="1" t="s">
        <v>120</v>
      </c>
      <c r="S30" s="1" t="s">
        <v>121</v>
      </c>
      <c r="T30" s="1" t="s">
        <v>17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 t="s">
        <v>380</v>
      </c>
      <c r="AT30">
        <v>2.16</v>
      </c>
      <c r="AU30">
        <v>2.7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E74-0FDC-45A2-86AA-5BE8ECFF1911}">
  <dimension ref="A1:B9"/>
  <sheetViews>
    <sheetView workbookViewId="0">
      <selection activeCell="A9" sqref="A9"/>
    </sheetView>
  </sheetViews>
  <sheetFormatPr defaultRowHeight="15"/>
  <cols>
    <col min="1" max="1" width="21" bestFit="1" customWidth="1"/>
    <col min="2" max="2" width="11" customWidth="1"/>
  </cols>
  <sheetData>
    <row r="1" spans="1:2">
      <c r="A1" t="s">
        <v>73</v>
      </c>
      <c r="B1" t="s">
        <v>149</v>
      </c>
    </row>
    <row r="2" spans="1:2">
      <c r="A2" s="2" t="s">
        <v>245</v>
      </c>
      <c r="B2" t="s">
        <v>85</v>
      </c>
    </row>
    <row r="3" spans="1:2">
      <c r="A3" s="2" t="s">
        <v>243</v>
      </c>
      <c r="B3" t="s">
        <v>87</v>
      </c>
    </row>
    <row r="4" spans="1:2">
      <c r="A4" s="2" t="s">
        <v>241</v>
      </c>
      <c r="B4" t="s">
        <v>10</v>
      </c>
    </row>
    <row r="5" spans="1:2">
      <c r="A5" s="2" t="s">
        <v>244</v>
      </c>
      <c r="B5" t="s">
        <v>7</v>
      </c>
    </row>
    <row r="6" spans="1:2">
      <c r="A6" s="2" t="s">
        <v>242</v>
      </c>
      <c r="B6" t="s">
        <v>14</v>
      </c>
    </row>
    <row r="7" spans="1:2">
      <c r="A7" t="s">
        <v>331</v>
      </c>
    </row>
    <row r="8" spans="1:2">
      <c r="A8" t="s">
        <v>337</v>
      </c>
    </row>
    <row r="9" spans="1:2">
      <c r="A9" t="s">
        <v>347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C2F8-E3F4-4611-803E-0D4EC48BD81A}">
  <dimension ref="A1:D36"/>
  <sheetViews>
    <sheetView showGridLines="0" workbookViewId="0">
      <selection activeCell="A2" sqref="A2"/>
    </sheetView>
  </sheetViews>
  <sheetFormatPr defaultRowHeight="15"/>
  <cols>
    <col min="1" max="1" width="27.42578125" customWidth="1"/>
    <col min="2" max="3" width="27.42578125" hidden="1" customWidth="1"/>
    <col min="4" max="4" width="85.42578125" bestFit="1" customWidth="1"/>
  </cols>
  <sheetData>
    <row r="1" spans="1:4">
      <c r="A1" t="s">
        <v>67</v>
      </c>
      <c r="B1" t="s">
        <v>240</v>
      </c>
      <c r="C1" t="s">
        <v>248</v>
      </c>
      <c r="D1" t="s">
        <v>341</v>
      </c>
    </row>
    <row r="2" spans="1:4">
      <c r="A2" s="2" t="s">
        <v>170</v>
      </c>
      <c r="B2" s="2" t="s">
        <v>171</v>
      </c>
      <c r="C2" s="2" t="s">
        <v>172</v>
      </c>
      <c r="D2" s="2" t="s">
        <v>332</v>
      </c>
    </row>
    <row r="3" spans="1:4">
      <c r="A3" s="2" t="s">
        <v>222</v>
      </c>
      <c r="B3" s="2" t="s">
        <v>223</v>
      </c>
      <c r="C3" s="2" t="s">
        <v>224</v>
      </c>
      <c r="D3" s="2" t="s">
        <v>245</v>
      </c>
    </row>
    <row r="4" spans="1:4">
      <c r="A4" s="2" t="s">
        <v>194</v>
      </c>
      <c r="B4" s="2" t="s">
        <v>195</v>
      </c>
      <c r="C4" s="2" t="s">
        <v>196</v>
      </c>
      <c r="D4" s="2" t="s">
        <v>329</v>
      </c>
    </row>
    <row r="5" spans="1:4">
      <c r="A5" s="2" t="s">
        <v>191</v>
      </c>
      <c r="B5" s="2" t="s">
        <v>192</v>
      </c>
      <c r="C5" s="2" t="s">
        <v>193</v>
      </c>
      <c r="D5" s="2" t="s">
        <v>335</v>
      </c>
    </row>
    <row r="6" spans="1:4">
      <c r="A6" s="2" t="s">
        <v>154</v>
      </c>
      <c r="B6" s="2" t="s">
        <v>155</v>
      </c>
      <c r="C6" s="4" t="s">
        <v>69</v>
      </c>
      <c r="D6" s="2" t="s">
        <v>325</v>
      </c>
    </row>
    <row r="7" spans="1:4">
      <c r="A7" s="2" t="s">
        <v>225</v>
      </c>
      <c r="B7" s="2" t="s">
        <v>226</v>
      </c>
      <c r="C7" s="2" t="s">
        <v>227</v>
      </c>
      <c r="D7" s="2" t="s">
        <v>338</v>
      </c>
    </row>
    <row r="8" spans="1:4">
      <c r="A8" s="2" t="s">
        <v>228</v>
      </c>
      <c r="B8" s="2" t="s">
        <v>229</v>
      </c>
      <c r="C8" s="2" t="s">
        <v>230</v>
      </c>
      <c r="D8" s="2" t="s">
        <v>339</v>
      </c>
    </row>
    <row r="9" spans="1:4">
      <c r="A9" s="2" t="s">
        <v>160</v>
      </c>
      <c r="B9" s="2" t="s">
        <v>160</v>
      </c>
      <c r="C9" s="2" t="s">
        <v>161</v>
      </c>
      <c r="D9" s="2" t="s">
        <v>328</v>
      </c>
    </row>
    <row r="10" spans="1:4">
      <c r="A10" s="2" t="s">
        <v>236</v>
      </c>
      <c r="B10" s="2" t="s">
        <v>236</v>
      </c>
      <c r="C10" s="2" t="s">
        <v>237</v>
      </c>
      <c r="D10" s="2" t="s">
        <v>241</v>
      </c>
    </row>
    <row r="11" spans="1:4">
      <c r="A11" s="2" t="s">
        <v>173</v>
      </c>
      <c r="B11" s="2" t="s">
        <v>174</v>
      </c>
      <c r="C11" s="2" t="s">
        <v>175</v>
      </c>
      <c r="D11" s="2" t="s">
        <v>241</v>
      </c>
    </row>
    <row r="12" spans="1:4">
      <c r="A12" s="2" t="s">
        <v>210</v>
      </c>
      <c r="B12" s="2" t="s">
        <v>210</v>
      </c>
      <c r="C12" s="2" t="s">
        <v>211</v>
      </c>
      <c r="D12" s="2" t="s">
        <v>336</v>
      </c>
    </row>
    <row r="13" spans="1:4">
      <c r="A13" s="2" t="s">
        <v>187</v>
      </c>
      <c r="B13" s="2" t="s">
        <v>70</v>
      </c>
      <c r="C13" s="2" t="s">
        <v>188</v>
      </c>
      <c r="D13" s="2" t="s">
        <v>243</v>
      </c>
    </row>
    <row r="14" spans="1:4">
      <c r="A14" s="2" t="s">
        <v>199</v>
      </c>
      <c r="B14" s="2" t="s">
        <v>199</v>
      </c>
      <c r="C14" s="2" t="s">
        <v>200</v>
      </c>
      <c r="D14" s="2" t="s">
        <v>336</v>
      </c>
    </row>
    <row r="15" spans="1:4">
      <c r="A15" s="2" t="s">
        <v>158</v>
      </c>
      <c r="B15" s="2" t="s">
        <v>158</v>
      </c>
      <c r="C15" s="2" t="s">
        <v>159</v>
      </c>
      <c r="D15" s="2" t="s">
        <v>327</v>
      </c>
    </row>
    <row r="16" spans="1:4">
      <c r="A16" s="2" t="s">
        <v>218</v>
      </c>
      <c r="B16" s="2" t="s">
        <v>218</v>
      </c>
      <c r="C16" s="2" t="s">
        <v>219</v>
      </c>
      <c r="D16" s="2" t="s">
        <v>328</v>
      </c>
    </row>
    <row r="17" spans="1:4">
      <c r="A17" s="2" t="s">
        <v>207</v>
      </c>
      <c r="B17" s="2" t="s">
        <v>208</v>
      </c>
      <c r="C17" s="2" t="s">
        <v>209</v>
      </c>
      <c r="D17" s="2" t="s">
        <v>245</v>
      </c>
    </row>
    <row r="18" spans="1:4">
      <c r="A18" s="2" t="s">
        <v>176</v>
      </c>
      <c r="B18" s="2" t="s">
        <v>177</v>
      </c>
      <c r="C18" s="2" t="s">
        <v>178</v>
      </c>
      <c r="D18" s="2" t="s">
        <v>333</v>
      </c>
    </row>
    <row r="19" spans="1:4">
      <c r="A19" s="2" t="s">
        <v>162</v>
      </c>
      <c r="B19" s="2" t="s">
        <v>163</v>
      </c>
      <c r="C19" s="2" t="s">
        <v>164</v>
      </c>
      <c r="D19" s="2" t="s">
        <v>329</v>
      </c>
    </row>
    <row r="20" spans="1:4">
      <c r="A20" s="2" t="s">
        <v>231</v>
      </c>
      <c r="B20" s="2" t="s">
        <v>232</v>
      </c>
      <c r="C20" s="2" t="s">
        <v>233</v>
      </c>
      <c r="D20" s="2" t="s">
        <v>340</v>
      </c>
    </row>
    <row r="21" spans="1:4">
      <c r="A21" s="2" t="s">
        <v>189</v>
      </c>
      <c r="B21" s="2" t="s">
        <v>189</v>
      </c>
      <c r="C21" s="2" t="s">
        <v>190</v>
      </c>
      <c r="D21" s="2" t="s">
        <v>329</v>
      </c>
    </row>
    <row r="22" spans="1:4">
      <c r="A22" s="2" t="s">
        <v>197</v>
      </c>
      <c r="B22" s="2" t="s">
        <v>68</v>
      </c>
      <c r="C22" s="2" t="s">
        <v>198</v>
      </c>
      <c r="D22" s="2" t="s">
        <v>244</v>
      </c>
    </row>
    <row r="23" spans="1:4">
      <c r="A23" s="2" t="s">
        <v>181</v>
      </c>
      <c r="B23" s="2" t="s">
        <v>182</v>
      </c>
      <c r="C23" s="2" t="s">
        <v>183</v>
      </c>
      <c r="D23" s="2" t="s">
        <v>334</v>
      </c>
    </row>
    <row r="24" spans="1:4">
      <c r="A24" s="2" t="s">
        <v>201</v>
      </c>
      <c r="B24" s="2" t="s">
        <v>202</v>
      </c>
      <c r="C24" s="2" t="s">
        <v>203</v>
      </c>
      <c r="D24" s="2" t="s">
        <v>329</v>
      </c>
    </row>
    <row r="25" spans="1:4">
      <c r="A25" s="2" t="s">
        <v>234</v>
      </c>
      <c r="B25" s="2" t="s">
        <v>71</v>
      </c>
      <c r="C25" s="2" t="s">
        <v>235</v>
      </c>
      <c r="D25" s="2" t="s">
        <v>241</v>
      </c>
    </row>
    <row r="26" spans="1:4">
      <c r="A26" s="2" t="s">
        <v>184</v>
      </c>
      <c r="B26" s="2" t="s">
        <v>185</v>
      </c>
      <c r="C26" s="2" t="s">
        <v>186</v>
      </c>
      <c r="D26" s="2" t="s">
        <v>330</v>
      </c>
    </row>
    <row r="27" spans="1:4">
      <c r="A27" s="2" t="s">
        <v>212</v>
      </c>
      <c r="B27" s="2" t="s">
        <v>212</v>
      </c>
      <c r="C27" s="2" t="s">
        <v>213</v>
      </c>
      <c r="D27" s="2" t="s">
        <v>335</v>
      </c>
    </row>
    <row r="28" spans="1:4">
      <c r="A28" s="2" t="s">
        <v>179</v>
      </c>
      <c r="B28" s="2" t="s">
        <v>179</v>
      </c>
      <c r="C28" s="2" t="s">
        <v>180</v>
      </c>
      <c r="D28" s="2" t="s">
        <v>242</v>
      </c>
    </row>
    <row r="29" spans="1:4">
      <c r="A29" s="2" t="s">
        <v>220</v>
      </c>
      <c r="B29" s="2" t="s">
        <v>220</v>
      </c>
      <c r="C29" s="2" t="s">
        <v>221</v>
      </c>
      <c r="D29" s="2" t="s">
        <v>241</v>
      </c>
    </row>
    <row r="30" spans="1:4">
      <c r="A30" s="2" t="s">
        <v>156</v>
      </c>
      <c r="B30" s="2" t="s">
        <v>156</v>
      </c>
      <c r="C30" s="2" t="s">
        <v>157</v>
      </c>
      <c r="D30" s="2" t="s">
        <v>326</v>
      </c>
    </row>
    <row r="31" spans="1:4">
      <c r="A31" s="2" t="s">
        <v>216</v>
      </c>
      <c r="B31" s="2" t="s">
        <v>216</v>
      </c>
      <c r="C31" s="2" t="s">
        <v>217</v>
      </c>
      <c r="D31" s="2" t="s">
        <v>242</v>
      </c>
    </row>
    <row r="32" spans="1:4">
      <c r="A32" s="2" t="s">
        <v>168</v>
      </c>
      <c r="B32" s="2" t="s">
        <v>168</v>
      </c>
      <c r="C32" s="2" t="s">
        <v>169</v>
      </c>
      <c r="D32" s="2" t="s">
        <v>327</v>
      </c>
    </row>
    <row r="33" spans="1:4">
      <c r="A33" s="2" t="s">
        <v>204</v>
      </c>
      <c r="B33" s="2" t="s">
        <v>205</v>
      </c>
      <c r="C33" s="2" t="s">
        <v>206</v>
      </c>
      <c r="D33" s="2" t="s">
        <v>241</v>
      </c>
    </row>
    <row r="34" spans="1:4">
      <c r="A34" s="2" t="s">
        <v>214</v>
      </c>
      <c r="B34" s="2" t="s">
        <v>214</v>
      </c>
      <c r="C34" s="2" t="s">
        <v>215</v>
      </c>
      <c r="D34" s="2" t="s">
        <v>335</v>
      </c>
    </row>
    <row r="35" spans="1:4">
      <c r="A35" s="2" t="s">
        <v>165</v>
      </c>
      <c r="B35" s="2" t="s">
        <v>166</v>
      </c>
      <c r="C35" s="2" t="s">
        <v>167</v>
      </c>
      <c r="D35" s="2" t="s">
        <v>330</v>
      </c>
    </row>
    <row r="36" spans="1:4">
      <c r="A36" s="2" t="s">
        <v>322</v>
      </c>
      <c r="B36" s="2" t="s">
        <v>323</v>
      </c>
      <c r="C36" s="2" t="s">
        <v>324</v>
      </c>
      <c r="D36" s="2" t="s">
        <v>133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http://purl.org/dc/terms/"/>
    <ds:schemaRef ds:uri="a390e121-60b8-4fd2-9983-43b87f4d3957"/>
    <ds:schemaRef ds:uri="http://purl.org/dc/elements/1.1/"/>
    <ds:schemaRef ds:uri="http://www.w3.org/XML/1998/namespace"/>
    <ds:schemaRef ds:uri="7a19e65e-9de7-40b1-ad12-4e6965d24380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Mailing</vt:lpstr>
      <vt:lpstr>MySQL</vt:lpstr>
      <vt:lpstr>Team Lookup</vt:lpstr>
      <vt:lpstr>User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2018-11-20T07:36:37Z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