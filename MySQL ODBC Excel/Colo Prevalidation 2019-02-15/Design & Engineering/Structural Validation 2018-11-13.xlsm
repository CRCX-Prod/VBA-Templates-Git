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Design &amp; Engineering\"/>
    </mc:Choice>
  </mc:AlternateContent>
  <xr:revisionPtr revIDLastSave="1112" documentId="8_{3A345AB3-7B0D-42AD-B043-0814B2D7C688}" xr6:coauthVersionLast="38" xr6:coauthVersionMax="38" xr10:uidLastSave="{026CB779-B4D6-4C3E-83D3-7C7E9BB371D3}"/>
  <bookViews>
    <workbookView xWindow="0" yWindow="0" windowWidth="20490" windowHeight="7185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Query!$A$15:$R$15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41" l="1"/>
  <c r="E5" i="41"/>
  <c r="C14" i="41" l="1"/>
  <c r="D14" i="41"/>
  <c r="G14" i="41"/>
  <c r="J14" i="41"/>
  <c r="K14" i="41"/>
  <c r="L14" i="41"/>
  <c r="M14" i="41"/>
  <c r="N14" i="41"/>
  <c r="O14" i="41"/>
  <c r="P14" i="41"/>
  <c r="Q14" i="41"/>
  <c r="R14" i="41"/>
  <c r="S14" i="41"/>
  <c r="T14" i="41"/>
  <c r="B14" i="41"/>
  <c r="D4" i="41" l="1"/>
  <c r="D5" i="41" s="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<sst xmlns="http://schemas.openxmlformats.org/spreadsheetml/2006/main" count="70" uniqueCount="62">
  <si>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</si>
  <si>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</si>
  <si>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</si>
  <si>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</si>
  <si>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</si>
  <si>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</si>
  <si>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</si>
  <si>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</si>
  <si>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</si>
  <si>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</si>
  <si>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</si>
  <si>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</si>
  <si>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</si>
  <si>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</si>
  <si>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</si>
  <si>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</si>
  <si>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</si>
  <si>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</si>
  <si>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</si>
  <si>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</si>
  <si>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</si>
  <si>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</si>
  <si>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</si>
  <si>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</si>
  <si>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</si>
  <si>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</si>
  <si>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</si>
  <si>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</si>
  <si>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</si>
  <si>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</si>
  <si>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</si>
  <si>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</si>
  <si>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</si>
  <si>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</si>
  <si>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05preva_view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</si>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</sst>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85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259" fillId="0" borderId="76" xfId="33833" applyFill="1" applyBorder="1" applyAlignment="1">
      <alignment horizontal="center"/>
    </xf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0"/>
      <tableStyleElement type="headerRow" dxfId="39"/>
    </tableStyle>
    <tableStyle name="Slicer Style 1" pivot="0" table="0" count="1" xr9:uid="{00000000-0011-0000-FFFF-FFFF01000000}">
      <tableStyleElement type="wholeTable" dxfId="38"/>
    </tableStyle>
    <tableStyle name="Slicer Style New" pivot="0" table="0" count="10" xr9:uid="{00000000-0011-0000-FFFF-FFFF02000000}">
      <tableStyleElement type="wholeTable" dxfId="37"/>
      <tableStyleElement type="headerRow" dxfId="3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142875</xdr:rowOff>
        </xdr:from>
        <xdr:to>
          <xdr:col>16</xdr:col>
          <xdr:colOff>95250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142875</xdr:rowOff>
        </xdr:from>
        <xdr:to>
          <xdr:col>17</xdr:col>
          <xdr:colOff>76200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C16" insertRow="1" totalsRowShown="0" headerRowDxfId="35" dataDxfId="33" headerRowBorderDxfId="34" tableBorderDxfId="32" totalsRowBorderDxfId="31">
  <autoFilter ref="A15:AC16" xr:uid="{00000000-0009-0000-0100-00000B000000}"/>
  <tableColumns count="29">
    <tableColumn id="1" xr3:uid="{00000000-0010-0000-0700-000001000000}" name="Request ID" dataDxfId="30"/>
    <tableColumn id="2" xr3:uid="{00000000-0010-0000-0700-000002000000}" name="Site ID" dataDxfId="29"/>
    <tableColumn id="3" xr3:uid="{00000000-0010-0000-0700-000003000000}" name="Tenant ID" dataDxfId="28"/>
    <tableColumn id="4" xr3:uid="{00000000-0010-0000-0700-000004000000}" name="Operator" dataDxfId="27"/>
    <tableColumn id="25" xr3:uid="{61B09CA9-4544-44D6-BE96-9B107C3C9ED4}" name="Tenant Category" dataDxfId="26"/>
    <tableColumn id="26" xr3:uid="{0E4513F3-5C50-40B1-9F2C-D92FC4B7EAC8}" name="Tenant Status" dataDxfId="25"/>
    <tableColumn id="5" xr3:uid="{00000000-0010-0000-0700-000005000000}" name="Request Date" dataDxfId="24"/>
    <tableColumn id="27" xr3:uid="{CD7E10AF-8E3A-4980-A562-1BCE30CFFEB8}" name="Scope/Project" dataDxfId="23"/>
    <tableColumn id="28" xr3:uid="{D0C5F708-DCE2-45B9-87EB-D222FD1205C7}" name="Colo Rev" dataDxfId="22"/>
    <tableColumn id="13" xr3:uid="{136E2166-0E30-468A-94C3-D7AE8BF21A89}" name="Power Requested" dataDxfId="21"/>
    <tableColumn id="14" xr3:uid="{C16CC0D0-6B4A-4FF9-AB63-4A952A4618CE}" name="Capacity Requested" dataDxfId="20"/>
    <tableColumn id="7" xr3:uid="{25F7F1F8-2120-46DB-875B-AA3727E2CE40}" name="Capacity Model" dataDxfId="19"/>
    <tableColumn id="15" xr3:uid="{7FAC9ECD-A672-4D53-B91E-DF0E6B0B5283}" name="Lower Space Requested" dataDxfId="18"/>
    <tableColumn id="16" xr3:uid="{31165041-B815-44CB-AB40-6795E0C04B17}" name="Upper Space Requested" dataDxfId="17"/>
    <tableColumn id="11" xr3:uid="{1EE3A3AC-94F5-405B-BB66-030E23095525}" name="Tower Space Result" dataDxfId="16"/>
    <tableColumn id="12" xr3:uid="{9B51E41A-8864-4C76-80DE-887A805ABE80}" name="Tower Space Remarks" dataDxfId="15"/>
    <tableColumn id="8" xr3:uid="{00000000-0010-0000-0700-000008000000}" name="Prevalidation Status" dataDxfId="14"/>
    <tableColumn id="6" xr3:uid="{00000000-0010-0000-0700-000006000000}" name="Structural Result" dataDxfId="13"/>
    <tableColumn id="9" xr3:uid="{40E677FE-B3EB-4058-BADF-DEE83CB47F42}" name=" Tower Extension" dataDxfId="12"/>
    <tableColumn id="10" xr3:uid="{DE512B3D-87A0-481D-B81E-2276F060617B}" name=" Structural Remarks" dataDxfId="11"/>
    <tableColumn id="29" xr3:uid="{5326C258-548E-4799-A300-7E0B9E15F188}" name="Time" dataDxfId="3"/>
    <tableColumn id="23" xr3:uid="{8AA3AA68-2C2A-4C65-97EA-03D79B1925AC}" name="Time Logic" dataDxfId="2">
      <calculatedColumnFormula>IF(Data_Table[[#This Row],[Structural Result]]="OK",IF(Data_Table[[#This Row],[Time]]=0,NOW(),Data_Table[[#This Row],[Time]]),"")</calculatedColumnFormula>
    </tableColumn>
    <tableColumn id="17" xr3:uid="{4B513C1E-3405-473B-806D-B0F33ACE8A0A}" name="Colo Application File" dataDxfId="10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9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8">
      <calculatedColumnFormula>FIND("Process &amp; Database\",CELL("filename",$A$1))</calculatedColumnFormula>
    </tableColumn>
    <tableColumn id="20" xr3:uid="{7547EEA9-CD05-4991-B82E-B4F61C153041}" name="Folder Path1" dataDxfId="7">
      <calculatedColumnFormula>LEFT(CELL("filename",A3),Data_Table[[#This Row],[Find Process &amp; Database]]-1)</calculatedColumnFormula>
    </tableColumn>
    <tableColumn id="21" xr3:uid="{29FE3CDC-AA66-4DAF-B94D-9F284E306FBC}" name="Folder Path2" dataDxfId="6">
      <calculatedColumnFormula>Data_Table[Folder Path1]&amp;"Process &amp; Database\Documentation\Colo Applications"</calculatedColumnFormula>
    </tableColumn>
    <tableColumn id="22" xr3:uid="{608DE0E9-6CEE-4354-994A-755A9BEC14A1}" name="Folder Path3" dataDxfId="5">
      <calculatedColumnFormula>Data_Table[Folder Path2]&amp;"\Colo App "&amp;Data_Table[[#This Row],[Operator]]&amp;"\"</calculatedColumnFormula>
    </tableColumn>
    <tableColumn id="24" xr3:uid="{0E058ACE-FD3F-425C-9A69-D0FC3C773E27}" name="File Path" dataDxfId="4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C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40625" defaultRowHeight="15" outlineLevelCol="1"/>
  <cols>
    <col min="1" max="1" width="9.85546875" style="1" customWidth="1"/>
    <col min="2" max="2" width="16.7109375" bestFit="1" customWidth="1"/>
    <col min="3" max="3" width="14" customWidth="1"/>
    <col min="4" max="4" width="11.28515625" bestFit="1" customWidth="1" collapsed="1"/>
    <col min="5" max="6" width="11.28515625" hidden="1" customWidth="1" outlineLevel="1"/>
    <col min="7" max="7" width="15.140625" style="3" bestFit="1" customWidth="1" collapsed="1"/>
    <col min="8" max="8" width="15.140625" style="3" hidden="1" customWidth="1" outlineLevel="1"/>
    <col min="9" max="9" width="6" style="3" hidden="1" customWidth="1" outlineLevel="1"/>
    <col min="10" max="10" width="14.85546875" style="3" hidden="1" customWidth="1" outlineLevel="1"/>
    <col min="11" max="12" width="11.28515625" style="1" hidden="1" customWidth="1" outlineLevel="1"/>
    <col min="13" max="13" width="13.5703125" hidden="1" customWidth="1" outlineLevel="1"/>
    <col min="14" max="14" width="13.7109375" style="2" hidden="1" customWidth="1" outlineLevel="1"/>
    <col min="15" max="15" width="17.7109375" style="33" customWidth="1" collapsed="1"/>
    <col min="16" max="16" width="55.140625" style="33" hidden="1" customWidth="1" outlineLevel="1"/>
    <col min="17" max="17" width="23.42578125" style="33" customWidth="1"/>
    <col min="18" max="18" width="11.42578125" style="33" customWidth="1"/>
    <col min="19" max="19" width="12.42578125" style="33" customWidth="1"/>
    <col min="20" max="20" width="80" style="33" customWidth="1"/>
    <col min="21" max="21" width="17" style="33" hidden="1" customWidth="1"/>
    <col min="22" max="22" width="18.7109375" style="33" hidden="1" customWidth="1"/>
    <col min="23" max="23" width="13.85546875" style="33" customWidth="1" collapsed="1"/>
    <col min="24" max="24" width="46" style="33" hidden="1" customWidth="1" outlineLevel="1"/>
    <col min="25" max="25" width="9.7109375" style="64" hidden="1" customWidth="1"/>
    <col min="26" max="26" width="14" style="63" hidden="1" customWidth="1"/>
    <col min="27" max="27" width="15" style="63" hidden="1" customWidth="1"/>
    <col min="28" max="29" width="9.140625" style="63" hidden="1" customWidth="1"/>
    <col min="30" max="16384" width="9.140625" style="33"/>
  </cols>
  <sheetData>
    <row r="1" spans="1:29" s="9" customFormat="1" hidden="1">
      <c r="A1" s="20" t="s">
        <v>4</v>
      </c>
      <c r="B1" s="21" t="s">
        <v>34</v>
      </c>
      <c r="C1" s="8"/>
      <c r="D1" s="8"/>
      <c r="E1" s="8"/>
      <c r="F1" s="8"/>
      <c r="G1" s="6"/>
      <c r="H1" s="18"/>
      <c r="I1" s="18"/>
      <c r="J1" s="18"/>
      <c r="K1" s="7"/>
      <c r="L1" s="53"/>
      <c r="M1" s="5"/>
      <c r="N1" s="8"/>
      <c r="O1" s="37" t="s">
        <v>12</v>
      </c>
      <c r="P1" s="37"/>
      <c r="Q1" s="37"/>
      <c r="R1" s="38"/>
      <c r="Y1" s="62"/>
      <c r="Z1" s="61"/>
      <c r="AA1" s="61"/>
      <c r="AB1" s="61"/>
      <c r="AC1" s="61"/>
    </row>
    <row r="2" spans="1:29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4"/>
      <c r="Q2" s="39" t="s">
        <v>13</v>
      </c>
      <c r="R2" s="39" t="s">
        <v>14</v>
      </c>
      <c r="S2" s="40" t="s">
        <v>11</v>
      </c>
      <c r="Y2" s="62"/>
      <c r="Z2" s="61"/>
      <c r="AA2" s="61"/>
      <c r="AB2" s="61"/>
      <c r="AC2" s="61"/>
    </row>
    <row r="3" spans="1:29" s="9" customFormat="1" hidden="1">
      <c r="A3" s="19" t="s">
        <v>2</v>
      </c>
      <c r="B3" s="45" t="s">
        <v>29</v>
      </c>
      <c r="C3" s="45" t="s">
        <v>36</v>
      </c>
      <c r="D3" s="45" t="s">
        <v>32</v>
      </c>
      <c r="E3" s="82" t="s">
        <v>59</v>
      </c>
      <c r="F3" s="54"/>
      <c r="G3" s="8"/>
      <c r="H3" s="8"/>
      <c r="I3" s="8"/>
      <c r="J3" s="8"/>
      <c r="K3" s="8"/>
      <c r="L3" s="8"/>
      <c r="M3" s="8"/>
      <c r="Y3" s="62"/>
      <c r="Z3" s="61"/>
      <c r="AA3" s="61"/>
      <c r="AB3" s="61"/>
      <c r="AC3" s="61"/>
    </row>
    <row r="4" spans="1:29" s="12" customFormat="1" hidden="1">
      <c r="A4" s="22">
        <f>MATCH(A3,10:10,0)</f>
        <v>1</v>
      </c>
      <c r="B4" s="22">
        <f>MATCH(B3,10:10,0)</f>
        <v>18</v>
      </c>
      <c r="C4" s="22">
        <f>MATCH(C3,10:10,0)</f>
        <v>19</v>
      </c>
      <c r="D4" s="22">
        <f>MATCH(D3,10:10,0)</f>
        <v>20</v>
      </c>
      <c r="E4" s="83">
        <f>MATCH(E3,10:10,0)+1</f>
        <v>22</v>
      </c>
      <c r="F4" s="72"/>
      <c r="G4" s="11"/>
      <c r="H4" s="11"/>
      <c r="I4" s="11"/>
      <c r="J4" s="11"/>
      <c r="K4" s="11"/>
      <c r="L4" s="11"/>
      <c r="M4" s="11"/>
      <c r="T4" s="17"/>
      <c r="U4" s="17"/>
      <c r="V4" s="17"/>
      <c r="W4" s="17"/>
      <c r="Y4" s="62"/>
      <c r="Z4" s="62"/>
      <c r="AA4" s="62"/>
      <c r="AB4" s="62"/>
      <c r="AC4" s="62"/>
    </row>
    <row r="5" spans="1:29" s="12" customFormat="1" hidden="1">
      <c r="A5" s="22">
        <v>3401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23" t="e">
        <f>IF(VLOOKUP($A$5,Data_Table[],D4,FALSE)&lt;&gt;0,VLOOKUP($A$5,Data_Table[],D4,FALSE),"")</f>
        <v>#N/A</v>
      </c>
      <c r="E5" s="83" t="e">
        <f>IF(VLOOKUP($A$5,Data_Table[],E4,FALSE)&lt;&gt;0,VLOOKUP($A$5,Data_Table[],E4,FALSE),"")</f>
        <v>#N/A</v>
      </c>
      <c r="F5" s="73"/>
      <c r="G5" s="11"/>
      <c r="H5" s="11"/>
      <c r="I5" s="11"/>
      <c r="J5" s="11"/>
      <c r="K5" s="11"/>
      <c r="L5" s="11"/>
      <c r="M5" s="11"/>
      <c r="T5" s="17"/>
      <c r="U5" s="17"/>
      <c r="V5" s="17"/>
      <c r="W5" s="17"/>
      <c r="Y5" s="62"/>
      <c r="Z5" s="62"/>
      <c r="AA5" s="62"/>
      <c r="AB5" s="62"/>
      <c r="AC5" s="62"/>
    </row>
    <row r="6" spans="1:29" s="13" customFormat="1" hidden="1">
      <c r="A6" s="20" t="s">
        <v>5</v>
      </c>
      <c r="G6" s="14"/>
      <c r="H6" s="14"/>
      <c r="I6" s="14"/>
      <c r="J6" s="14"/>
      <c r="K6" s="15"/>
      <c r="L6" s="15"/>
      <c r="N6" s="16"/>
      <c r="Y6" s="64"/>
      <c r="Z6" s="63"/>
      <c r="AA6" s="63"/>
      <c r="AB6" s="63"/>
      <c r="AC6" s="63"/>
    </row>
    <row r="7" spans="1:29" s="13" customFormat="1" hidden="1">
      <c r="A7" s="27" t="s">
        <v>9</v>
      </c>
      <c r="B7" s="27" t="s">
        <v>40</v>
      </c>
      <c r="G7" s="14"/>
      <c r="H7" s="14"/>
      <c r="I7" s="14"/>
      <c r="J7" s="14"/>
      <c r="K7" s="15"/>
      <c r="L7" s="15"/>
      <c r="N7" s="16"/>
      <c r="Y7" s="64"/>
      <c r="Z7" s="63"/>
      <c r="AA7" s="63"/>
      <c r="AB7" s="63"/>
      <c r="AC7" s="63"/>
    </row>
    <row r="8" spans="1:29" s="13" customFormat="1" hidden="1">
      <c r="A8" s="28" t="s">
        <v>10</v>
      </c>
      <c r="B8" s="28" t="s">
        <v>31</v>
      </c>
      <c r="G8" s="14"/>
      <c r="H8" s="14"/>
      <c r="I8" s="14"/>
      <c r="J8" s="14"/>
      <c r="K8" s="15"/>
      <c r="L8" s="15"/>
      <c r="N8" s="16"/>
      <c r="Y8" s="64"/>
      <c r="Z8" s="63"/>
      <c r="AA8" s="63"/>
      <c r="AB8" s="63"/>
      <c r="AC8" s="63"/>
    </row>
    <row r="9" spans="1:29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Y9" s="64"/>
      <c r="Z9" s="63"/>
      <c r="AA9" s="63"/>
      <c r="AB9" s="63"/>
      <c r="AC9" s="63"/>
    </row>
    <row r="10" spans="1:29" s="13" customFormat="1" hidden="1">
      <c r="A10" s="44" t="s">
        <v>2</v>
      </c>
      <c r="B10" s="45" t="s">
        <v>35</v>
      </c>
      <c r="C10" s="45" t="s">
        <v>37</v>
      </c>
      <c r="D10" s="45" t="s">
        <v>0</v>
      </c>
      <c r="E10" s="45" t="s">
        <v>49</v>
      </c>
      <c r="F10" s="45" t="s">
        <v>52</v>
      </c>
      <c r="G10" s="46" t="s">
        <v>1</v>
      </c>
      <c r="H10" s="46" t="s">
        <v>53</v>
      </c>
      <c r="I10" s="46" t="s">
        <v>54</v>
      </c>
      <c r="J10" s="46" t="s">
        <v>16</v>
      </c>
      <c r="K10" s="46" t="s">
        <v>38</v>
      </c>
      <c r="L10" s="46" t="s">
        <v>39</v>
      </c>
      <c r="M10" s="46" t="s">
        <v>17</v>
      </c>
      <c r="N10" s="46" t="s">
        <v>18</v>
      </c>
      <c r="O10" s="45" t="s">
        <v>40</v>
      </c>
      <c r="P10" s="45" t="s">
        <v>41</v>
      </c>
      <c r="Q10" s="46" t="s">
        <v>9</v>
      </c>
      <c r="R10" s="45" t="s">
        <v>29</v>
      </c>
      <c r="S10" s="45" t="s">
        <v>36</v>
      </c>
      <c r="T10" s="45" t="s">
        <v>32</v>
      </c>
      <c r="U10" s="82" t="s">
        <v>59</v>
      </c>
      <c r="V10" s="54"/>
      <c r="Y10" s="64"/>
      <c r="Z10" s="63"/>
      <c r="AA10" s="63"/>
      <c r="AB10" s="63"/>
      <c r="AC10" s="63"/>
    </row>
    <row r="11" spans="1:29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P11" s="47"/>
      <c r="Q11" s="47"/>
      <c r="Y11" s="64"/>
      <c r="Z11" s="65"/>
      <c r="AA11" s="65"/>
      <c r="AB11" s="64"/>
      <c r="AC11" s="64"/>
    </row>
    <row r="13" spans="1:29" ht="21">
      <c r="A13" s="30" t="s">
        <v>27</v>
      </c>
      <c r="C13" s="31"/>
      <c r="D13" s="31"/>
      <c r="E13" s="31"/>
      <c r="F13" s="31"/>
      <c r="G13" s="31"/>
      <c r="H13" s="31"/>
      <c r="I13" s="31"/>
      <c r="J13" s="4"/>
    </row>
    <row r="14" spans="1:29" s="57" customFormat="1" ht="15" customHeight="1">
      <c r="A14" s="55"/>
      <c r="B14" s="56" t="str">
        <f>IFERROR(IF(HLOOKUP(B10,$3:$3,1,FALSE)&lt;&gt;"",".",""),"")</f>
        <v/>
      </c>
      <c r="C14" s="56" t="str">
        <f>IFERROR(IF(HLOOKUP(C10,$3:$3,1,FALSE)&lt;&gt;"",".",""),"")</f>
        <v/>
      </c>
      <c r="D14" s="56" t="str">
        <f>IFERROR(IF(HLOOKUP(D10,$3:$3,1,FALSE)&lt;&gt;"",".",""),"")</f>
        <v/>
      </c>
      <c r="E14" s="56"/>
      <c r="F14" s="56"/>
      <c r="G14" s="56" t="str">
        <f>IFERROR(IF(HLOOKUP(G10,$3:$3,1,FALSE)&lt;&gt;"",".",""),"")</f>
        <v/>
      </c>
      <c r="H14" s="56"/>
      <c r="I14" s="56"/>
      <c r="J14" s="56" t="str">
        <f>IFERROR(IF(HLOOKUP(J10,$3:$3,1,FALSE)&lt;&gt;"",".",""),"")</f>
        <v/>
      </c>
      <c r="K14" s="56" t="str">
        <f>IFERROR(IF(HLOOKUP(K10,$3:$3,1,FALSE)&lt;&gt;"",".",""),"")</f>
        <v/>
      </c>
      <c r="L14" s="56" t="str">
        <f>IFERROR(IF(HLOOKUP(L10,$3:$3,1,FALSE)&lt;&gt;"",".",""),"")</f>
        <v/>
      </c>
      <c r="M14" s="56" t="str">
        <f>IFERROR(IF(HLOOKUP(M10,$3:$3,1,FALSE)&lt;&gt;"",".",""),"")</f>
        <v/>
      </c>
      <c r="N14" s="56" t="str">
        <f>IFERROR(IF(HLOOKUP(N10,$3:$3,1,FALSE)&lt;&gt;"",".",""),"")</f>
        <v/>
      </c>
      <c r="O14" s="56" t="str">
        <f>IFERROR(IF(HLOOKUP(O10,$3:$3,1,FALSE)&lt;&gt;"",".",""),"")</f>
        <v/>
      </c>
      <c r="P14" s="56" t="str">
        <f>IFERROR(IF(HLOOKUP(P10,$3:$3,1,FALSE)&lt;&gt;"",".",""),"")</f>
        <v/>
      </c>
      <c r="Q14" s="56" t="str">
        <f>IFERROR(IF(HLOOKUP(Q10,$3:$3,1,FALSE)&lt;&gt;"",".",""),"")</f>
        <v/>
      </c>
      <c r="R14" s="56" t="str">
        <f>IFERROR(IF(HLOOKUP(R10,$3:$3,1,FALSE)&lt;&gt;"",".",""),"")</f>
        <v>.</v>
      </c>
      <c r="S14" s="56" t="str">
        <f>IFERROR(IF(HLOOKUP(S10,$3:$3,1,FALSE)&lt;&gt;"",".",""),"")</f>
        <v>.</v>
      </c>
      <c r="T14" s="56" t="str">
        <f>IFERROR(IF(HLOOKUP(T10,$3:$3,1,FALSE)&lt;&gt;"",".",""),"")</f>
        <v>.</v>
      </c>
      <c r="U14" s="56"/>
      <c r="V14" s="56"/>
      <c r="Y14" s="78"/>
      <c r="Z14" s="66"/>
      <c r="AA14" s="66"/>
      <c r="AB14" s="66"/>
      <c r="AC14" s="66"/>
    </row>
    <row r="15" spans="1:29" s="34" customFormat="1" ht="45">
      <c r="A15" s="24" t="s">
        <v>8</v>
      </c>
      <c r="B15" s="25" t="s">
        <v>22</v>
      </c>
      <c r="C15" s="74" t="s">
        <v>23</v>
      </c>
      <c r="D15" s="74" t="s">
        <v>0</v>
      </c>
      <c r="E15" s="74" t="s">
        <v>50</v>
      </c>
      <c r="F15" s="74" t="s">
        <v>51</v>
      </c>
      <c r="G15" s="75" t="s">
        <v>3</v>
      </c>
      <c r="H15" s="75" t="s">
        <v>56</v>
      </c>
      <c r="I15" s="75" t="s">
        <v>55</v>
      </c>
      <c r="J15" s="76" t="s">
        <v>19</v>
      </c>
      <c r="K15" s="76" t="s">
        <v>25</v>
      </c>
      <c r="L15" s="76" t="s">
        <v>26</v>
      </c>
      <c r="M15" s="76" t="s">
        <v>20</v>
      </c>
      <c r="N15" s="76" t="s">
        <v>21</v>
      </c>
      <c r="O15" s="52" t="s">
        <v>30</v>
      </c>
      <c r="P15" s="52" t="s">
        <v>42</v>
      </c>
      <c r="Q15" s="26" t="s">
        <v>24</v>
      </c>
      <c r="R15" s="67" t="s">
        <v>60</v>
      </c>
      <c r="S15" s="67" t="s">
        <v>28</v>
      </c>
      <c r="T15" s="67" t="s">
        <v>33</v>
      </c>
      <c r="U15" s="84" t="s">
        <v>61</v>
      </c>
      <c r="V15" s="81" t="s">
        <v>58</v>
      </c>
      <c r="W15" s="60" t="s">
        <v>57</v>
      </c>
      <c r="X15" s="60" t="s">
        <v>43</v>
      </c>
      <c r="Y15" s="58" t="s">
        <v>44</v>
      </c>
      <c r="Z15" s="58" t="s">
        <v>45</v>
      </c>
      <c r="AA15" s="59" t="s">
        <v>46</v>
      </c>
      <c r="AB15" s="59" t="s">
        <v>47</v>
      </c>
      <c r="AC15" s="68" t="s">
        <v>48</v>
      </c>
    </row>
    <row r="16" spans="1:29" ht="14.25" customHeight="1">
      <c r="A16" s="69"/>
      <c r="B16" s="41"/>
      <c r="C16" s="41"/>
      <c r="D16" s="41"/>
      <c r="E16" s="41"/>
      <c r="F16" s="41"/>
      <c r="G16" s="42"/>
      <c r="H16" s="42"/>
      <c r="I16" s="77"/>
      <c r="J16" s="51"/>
      <c r="K16" s="50"/>
      <c r="L16" s="50"/>
      <c r="M16" s="49"/>
      <c r="N16" s="49"/>
      <c r="O16" s="49"/>
      <c r="P16" s="49"/>
      <c r="Q16" s="42"/>
      <c r="R16" s="43"/>
      <c r="S16" s="43"/>
      <c r="T16" s="41"/>
      <c r="U16" s="43"/>
      <c r="V16" s="43"/>
      <c r="W16" s="80"/>
      <c r="X16" s="41"/>
      <c r="Y16" s="79"/>
      <c r="Z16" s="70"/>
      <c r="AA16" s="70"/>
      <c r="AB16" s="70"/>
      <c r="AC16" s="71"/>
    </row>
  </sheetData>
  <conditionalFormatting sqref="B16">
    <cfRule type="duplicateValues" dxfId="1" priority="1713"/>
  </conditionalFormatting>
  <conditionalFormatting sqref="C16">
    <cfRule type="duplicateValues" dxfId="0" priority="1714"/>
  </conditionalFormatting>
  <dataValidations count="2">
    <dataValidation type="list" allowBlank="1" showInputMessage="1" showErrorMessage="1" sqref="R16" xr:uid="{00000000-0002-0000-0900-000000000000}">
      <formula1>"OK, Rejected,Review"</formula1>
    </dataValidation>
    <dataValidation type="list" allowBlank="1" showInputMessage="1" showErrorMessage="1" sqref="S16" xr:uid="{12044FB1-2660-43B2-A921-FB10EEC29234}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142875</xdr:rowOff>
                  </from>
                  <to>
                    <xdr:col>16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16</xdr:col>
                    <xdr:colOff>304800</xdr:colOff>
                    <xdr:row>11</xdr:row>
                    <xdr:rowOff>142875</xdr:rowOff>
                  </from>
                  <to>
                    <xdr:col>17</xdr:col>
                    <xdr:colOff>76200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69826DD-C980-43D7-9D08-CC30784BDC22}">
  <ds:schemaRefs>
    <ds:schemaRef ds:uri="http://schemas.microsoft.com/office/2006/documentManagement/types"/>
    <ds:schemaRef ds:uri="http://schemas.microsoft.com/office/2006/metadata/properties"/>
    <ds:schemaRef ds:uri="a390e121-60b8-4fd2-9983-43b87f4d3957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7a19e65e-9de7-40b1-ad12-4e6965d24380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2018-11-13T09:50:06Z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