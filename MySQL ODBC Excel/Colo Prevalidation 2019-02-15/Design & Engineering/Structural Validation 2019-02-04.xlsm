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Design &amp; Engineering/"/>
    </mc:Choice>
  </mc:AlternateContent>
  <xr:revisionPtr revIDLastSave="0" documentId="8_{908C3149-2235-4030-ACAE-6C72B0B87CEF}" xr6:coauthVersionLast="40" xr6:coauthVersionMax="40" xr10:uidLastSave="{00000000-0000-0000-0000-000000000000}"/>
  <bookViews>
    <workbookView xWindow="-110" yWindow="-110" windowWidth="19420" windowHeight="1042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Query!$A$15:$U$15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41" l="1"/>
  <c r="E4" i="41" l="1"/>
  <c r="E5" i="41" s="1"/>
  <c r="E6" i="41" s="1"/>
  <c r="D4" i="41"/>
  <c r="V14" i="41"/>
  <c r="W14" i="41"/>
  <c r="X14" i="41"/>
  <c r="D5" i="41" l="1"/>
  <c r="D6" i="41" s="1"/>
  <c r="G4" i="41"/>
  <c r="J6" i="41" s="1"/>
  <c r="B6" i="41" l="1"/>
  <c r="B5" i="41" s="1"/>
  <c r="C14" i="41"/>
  <c r="D14" i="41"/>
  <c r="J14" i="41"/>
  <c r="M14" i="41"/>
  <c r="N14" i="41"/>
  <c r="O14" i="41"/>
  <c r="P14" i="41"/>
  <c r="Q14" i="41"/>
  <c r="R14" i="41"/>
  <c r="S14" i="41"/>
  <c r="T14" i="41"/>
  <c r="U14" i="41"/>
  <c r="Y14" i="41"/>
  <c r="B14" i="41"/>
  <c r="F4" i="41" l="1"/>
  <c r="F5" i="41" s="1"/>
  <c r="C4" i="41" l="1"/>
  <c r="C5" i="41" s="1"/>
  <c r="B4" i="41" l="1"/>
  <c r="A4" i="41"/>
  <c r="G5" i="4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tc={8E63616B-9727-43F6-B26D-98389D495D15}</author>
  </authors>
  <commentList>
    <comment ref="U15" authorId="0" shapeId="0" xr:uid="{8E63616B-9727-43F6-B26D-98389D495D15}">
      <text>
        <t>[Threaded comment]
Your version of Excel allows you to read this threaded comment; however, any edits to it will get removed if the file is opened in a newer version of Excel. Learn more: https://go.microsoft.com/fwlink/?linkid=870924
Comment:
    Data Recorded automatically:
OK: No work
OK With Flag: At least one Work Later
Rejected: At least one work First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<sst xmlns="http://schemas.openxmlformats.org/spreadsheetml/2006/main" count="90" uniqueCount="77">
  <si>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</si>
  <si>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</si>
  <si>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</si>
  <si>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</si>
  <si>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</si>
  <si>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</si>
  <si>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</si>
  <si>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</si>
  <si>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</si>
  <si>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</si>
  <si>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</si>
  <si>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</si>
  <si>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</si>
  <si>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</si>
  <si>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</si>
  <si>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</si>
  <si>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</si>
  <si>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</si>
  <si>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</si>
  <si>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</si>
  <si>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</si>
  <si>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</si>
  <si>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</si>
  <si>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</si>
  <si>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</si>
  <si>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</si>
  <si>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</si>
  <si>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</si>
  <si>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</si>
  <si>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</si>
  <si>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</si>
  <si>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</si>
  <si>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</si>
  <si>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</si>
  <si>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</si>
  <si>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</si>
  <si>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</si>
  <si>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</si>
  <si>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</si>
  <si>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</si>
  <si>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</si>
  <si>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</si>
  <si>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</si>
  <si>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</si>
  <si>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</si>
  <si>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</si>
  <si>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</si>
  <si>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</si>
  <si>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</si>
  <si>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</si>
  <si>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</si>
  <si>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</si>
  <si>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</si>
  <si>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</si>
  <si>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</si>
  <si>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</si>
  <si>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</si>
  <si>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</si>
  <si>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</si>
  <si>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</si>
  <si>
    <t>Tower_Strengthening</t>
  </si>
  <si>
    <t>Foundation_Retrofit</t>
  </si>
  <si>
    <t>Tower Strengthening</t>
  </si>
  <si>
    <t>Foundation Retrofit</t>
  </si>
  <si>
    <t>No Strengthening</t>
  </si>
  <si>
    <t>No Retrofit</t>
  </si>
  <si>
    <t>Retrofit First</t>
  </si>
  <si>
    <t>Later &lt; 6 Months</t>
  </si>
  <si>
    <t>Later &lt; 1 Year</t>
  </si>
  <si>
    <t>Strengthening First</t>
  </si>
  <si>
    <t>OK With Flag</t>
  </si>
  <si>
    <t>Tower Type</t>
  </si>
  <si>
    <t>Tower_Type</t>
  </si>
  <si>
    <t>Wind_Speed</t>
  </si>
  <si>
    <t>Tower_Height</t>
  </si>
  <si>
    <t>Tower Height</t>
  </si>
  <si>
    <t>Wind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</si>
</sst>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6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  <numFmt numFmtId="302" formatCode="0\ &quot;KPH&quot;"/>
  </numFmts>
  <fonts count="2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92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  <xf numFmtId="164" fontId="259" fillId="0" borderId="76" xfId="33833" applyFill="1" applyBorder="1" applyAlignment="1">
      <alignment horizontal="center" vertical="center"/>
    </xf>
    <xf numFmtId="164" fontId="254" fillId="99" borderId="72" xfId="0" applyFont="1" applyFill="1" applyBorder="1" applyAlignment="1">
      <alignment horizontal="center" vertical="center" wrapText="1"/>
    </xf>
    <xf numFmtId="0" fontId="261" fillId="0" borderId="76" xfId="0" applyNumberFormat="1" applyFont="1" applyFill="1" applyBorder="1" applyAlignment="1">
      <alignment horizontal="center"/>
    </xf>
    <xf numFmtId="0" fontId="0" fillId="88" borderId="0" xfId="0" applyNumberFormat="1" applyFill="1" applyAlignment="1">
      <alignment horizontal="left"/>
    </xf>
    <xf numFmtId="0" fontId="255" fillId="90" borderId="0" xfId="0" applyNumberFormat="1" applyFont="1" applyFill="1" applyBorder="1" applyAlignment="1"/>
    <xf numFmtId="0" fontId="255" fillId="90" borderId="0" xfId="0" applyNumberFormat="1" applyFont="1" applyFill="1" applyBorder="1"/>
    <xf numFmtId="164" fontId="0" fillId="0" borderId="76" xfId="0" applyFill="1" applyBorder="1" applyAlignment="1">
      <alignment horizontal="center"/>
    </xf>
    <xf numFmtId="300" fontId="0" fillId="0" borderId="76" xfId="0" applyNumberFormat="1" applyFill="1" applyBorder="1" applyAlignment="1">
      <alignment horizontal="center"/>
    </xf>
    <xf numFmtId="302" fontId="0" fillId="0" borderId="76" xfId="0" applyNumberFormat="1" applyFill="1" applyBorder="1" applyAlignment="1">
      <alignment horizont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11"/>
        <color theme="2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2" formatCode="0\ &quot;KPH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0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5"/>
      <tableStyleElement type="headerRow" dxfId="44"/>
    </tableStyle>
    <tableStyle name="Slicer Style 1" pivot="0" table="0" count="1" xr9:uid="{00000000-0011-0000-FFFF-FFFF01000000}">
      <tableStyleElement type="wholeTable" dxfId="43"/>
    </tableStyle>
    <tableStyle name="Slicer Style New" pivot="0" table="0" count="10" xr9:uid="{00000000-0011-0000-FFFF-FFFF02000000}">
      <tableStyleElement type="wholeTable" dxfId="42"/>
      <tableStyleElement type="headerRow" dxfId="41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952500</xdr:colOff>
          <xdr:row>11</xdr:row>
          <xdr:rowOff>146050</xdr:rowOff>
        </xdr:from>
        <xdr:to>
          <xdr:col>19</xdr:col>
          <xdr:colOff>95250</xdr:colOff>
          <xdr:row>13</xdr:row>
          <xdr:rowOff>31750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304800</xdr:colOff>
          <xdr:row>11</xdr:row>
          <xdr:rowOff>146050</xdr:rowOff>
        </xdr:from>
        <xdr:to>
          <xdr:col>20</xdr:col>
          <xdr:colOff>76200</xdr:colOff>
          <xdr:row>13</xdr:row>
          <xdr:rowOff>31750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es Richeux" id="{FA4EC9A2-E3EF-4C52-A66A-AC2FB8E299D8}" userId="Charles Richeux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H16" insertRow="1" totalsRowShown="0" headerRowDxfId="40" dataDxfId="38" headerRowBorderDxfId="39" tableBorderDxfId="37" totalsRowBorderDxfId="36">
  <autoFilter ref="A15:AH16" xr:uid="{00000000-0009-0000-0100-00000B000000}"/>
  <tableColumns count="34">
    <tableColumn id="1" xr3:uid="{00000000-0010-0000-0700-000001000000}" name="Request ID" dataDxfId="35"/>
    <tableColumn id="2" xr3:uid="{00000000-0010-0000-0700-000002000000}" name="Site ID" dataDxfId="34"/>
    <tableColumn id="3" xr3:uid="{00000000-0010-0000-0700-000003000000}" name="Tenant ID" dataDxfId="33"/>
    <tableColumn id="4" xr3:uid="{00000000-0010-0000-0700-000004000000}" name="Operator" dataDxfId="32"/>
    <tableColumn id="25" xr3:uid="{61B09CA9-4544-44D6-BE96-9B107C3C9ED4}" name="Tenant Category" dataDxfId="31"/>
    <tableColumn id="26" xr3:uid="{0E4513F3-5C50-40B1-9F2C-D92FC4B7EAC8}" name="Tenant Status" dataDxfId="30"/>
    <tableColumn id="34" xr3:uid="{02FAB990-2D73-400C-9748-FEEBACC9DFE6}" name="Tower Type" dataDxfId="29"/>
    <tableColumn id="31" xr3:uid="{94535C67-DCF4-402F-8D20-2B18EC138036}" name="Tower Height" dataDxfId="28"/>
    <tableColumn id="30" xr3:uid="{E19C6CBC-D10F-4E26-BB10-4366A5011623}" name="Wind Speed" dataDxfId="27"/>
    <tableColumn id="5" xr3:uid="{00000000-0010-0000-0700-000005000000}" name="Request Date" dataDxfId="26"/>
    <tableColumn id="27" xr3:uid="{CD7E10AF-8E3A-4980-A562-1BCE30CFFEB8}" name="Scope/Project" dataDxfId="25"/>
    <tableColumn id="28" xr3:uid="{D0C5F708-DCE2-45B9-87EB-D222FD1205C7}" name="Colo Rev" dataDxfId="24"/>
    <tableColumn id="13" xr3:uid="{136E2166-0E30-468A-94C3-D7AE8BF21A89}" name="Power Requested" dataDxfId="23"/>
    <tableColumn id="14" xr3:uid="{C16CC0D0-6B4A-4FF9-AB63-4A952A4618CE}" name="Capacity Requested" dataDxfId="22"/>
    <tableColumn id="7" xr3:uid="{25F7F1F8-2120-46DB-875B-AA3727E2CE40}" name="Capacity Model" dataDxfId="21"/>
    <tableColumn id="15" xr3:uid="{7FAC9ECD-A672-4D53-B91E-DF0E6B0B5283}" name="Lower Space Requested" dataDxfId="20"/>
    <tableColumn id="16" xr3:uid="{31165041-B815-44CB-AB40-6795E0C04B17}" name="Upper Space Requested" dataDxfId="19"/>
    <tableColumn id="11" xr3:uid="{1EE3A3AC-94F5-405B-BB66-030E23095525}" name="Tower Space Result" dataDxfId="18"/>
    <tableColumn id="12" xr3:uid="{9B51E41A-8864-4C76-80DE-887A805ABE80}" name="Tower Space Remarks" dataDxfId="17"/>
    <tableColumn id="8" xr3:uid="{00000000-0010-0000-0700-000008000000}" name="Prevalidation Status" dataDxfId="16"/>
    <tableColumn id="6" xr3:uid="{00000000-0010-0000-0700-000006000000}" name="Structural Result" dataDxfId="15"/>
    <tableColumn id="33" xr3:uid="{CB4041C1-E65A-40FC-A1BD-4782817249F9}" name="Tower Strengthening" dataDxfId="14"/>
    <tableColumn id="32" xr3:uid="{6EAC7BD2-7959-4416-8A1F-E4A7FAE4B06E}" name="Foundation Retrofit" dataDxfId="13"/>
    <tableColumn id="9" xr3:uid="{40E677FE-B3EB-4058-BADF-DEE83CB47F42}" name=" Tower Extension" dataDxfId="12"/>
    <tableColumn id="10" xr3:uid="{DE512B3D-87A0-481D-B81E-2276F060617B}" name=" Structural Remarks" dataDxfId="11"/>
    <tableColumn id="29" xr3:uid="{5326C258-548E-4799-A300-7E0B9E15F188}" name="Time" dataDxfId="10"/>
    <tableColumn id="23" xr3:uid="{8AA3AA68-2C2A-4C65-97EA-03D79B1925AC}" name="Time Logic" dataDxfId="9">
      <calculatedColumnFormula>IF(OR(Data_Table[[#This Row],[Structural Result]]="OK",Data_Table[[#This Row],[Structural Result]]="OK with Flag",Data_Table[[#This Row],[Structural Result]]="Rejected"),IF(Data_Table[[#This Row],[Time]]=0,NOW(),Data_Table[[#This Row],[Time]]),"")</calculatedColumnFormula>
    </tableColumn>
    <tableColumn id="17" xr3:uid="{4B513C1E-3405-473B-806D-B0F33ACE8A0A}" name="Colo Application File" dataDxfId="8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7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6">
      <calculatedColumnFormula>FIND("Process &amp; Database\",CELL("filename",$A$1))</calculatedColumnFormula>
    </tableColumn>
    <tableColumn id="20" xr3:uid="{7547EEA9-CD05-4991-B82E-B4F61C153041}" name="Folder Path1" dataDxfId="5">
      <calculatedColumnFormula>LEFT(CELL("filename",A3),Data_Table[[#This Row],[Find Process &amp; Database]]-1)</calculatedColumnFormula>
    </tableColumn>
    <tableColumn id="21" xr3:uid="{29FE3CDC-AA66-4DAF-B94D-9F284E306FBC}" name="Folder Path2" dataDxfId="4">
      <calculatedColumnFormula>Data_Table[Folder Path1]&amp;"Process &amp; Database\Documentation\Colo Applications"</calculatedColumnFormula>
    </tableColumn>
    <tableColumn id="22" xr3:uid="{608DE0E9-6CEE-4354-994A-755A9BEC14A1}" name="Folder Path3" dataDxfId="3">
      <calculatedColumnFormula>Data_Table[Folder Path2]&amp;"\Colo App "&amp;Data_Table[[#This Row],[Operator]]&amp;"\"</calculatedColumnFormula>
    </tableColumn>
    <tableColumn id="24" xr3:uid="{0E058ACE-FD3F-425C-9A69-D0FC3C773E27}" name="File Path" dataDxfId="2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15" dT="2019-01-22T12:42:36.87" personId="{FA4EC9A2-E3EF-4C52-A66A-AC2FB8E299D8}" id="{8E63616B-9727-43F6-B26D-98389D495D15}">
    <text>Data Recorded automatically:
OK: No work
OK With Flag: At least one Work Later
Rejected: At least one work First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H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9" width="11.26953125" hidden="1" customWidth="1" outlineLevel="1"/>
    <col min="10" max="10" width="15.1796875" style="3" bestFit="1" customWidth="1" collapsed="1"/>
    <col min="11" max="11" width="15.1796875" style="3" hidden="1" customWidth="1" outlineLevel="1"/>
    <col min="12" max="12" width="6" style="3" hidden="1" customWidth="1" outlineLevel="1"/>
    <col min="13" max="13" width="14.81640625" style="3" hidden="1" customWidth="1" outlineLevel="1"/>
    <col min="14" max="15" width="11.26953125" style="1" hidden="1" customWidth="1" outlineLevel="1"/>
    <col min="16" max="16" width="13.54296875" hidden="1" customWidth="1" outlineLevel="1"/>
    <col min="17" max="17" width="13.7265625" style="2" hidden="1" customWidth="1" outlineLevel="1"/>
    <col min="18" max="18" width="17.7265625" style="33" customWidth="1" collapsed="1"/>
    <col min="19" max="19" width="55.1796875" style="33" hidden="1" customWidth="1" outlineLevel="1"/>
    <col min="20" max="20" width="23.453125" style="33" customWidth="1"/>
    <col min="21" max="21" width="15.81640625" style="33" customWidth="1"/>
    <col min="22" max="22" width="17.81640625" style="33" customWidth="1"/>
    <col min="23" max="23" width="13.7265625" style="33" customWidth="1"/>
    <col min="24" max="24" width="13.81640625" style="33" customWidth="1"/>
    <col min="25" max="25" width="80" style="33" customWidth="1"/>
    <col min="26" max="26" width="17" style="33" hidden="1" customWidth="1"/>
    <col min="27" max="27" width="18.7265625" style="33" hidden="1" customWidth="1"/>
    <col min="28" max="28" width="13.81640625" style="33" customWidth="1" collapsed="1"/>
    <col min="29" max="29" width="46" style="33" hidden="1" customWidth="1" outlineLevel="1"/>
    <col min="30" max="30" width="9.7265625" style="63" hidden="1" customWidth="1"/>
    <col min="31" max="31" width="14" style="62" hidden="1" customWidth="1"/>
    <col min="32" max="32" width="15" style="62" hidden="1" customWidth="1"/>
    <col min="33" max="34" width="9.1796875" style="62" hidden="1" customWidth="1"/>
    <col min="35" max="16384" width="9.1796875" style="33"/>
  </cols>
  <sheetData>
    <row r="1" spans="1:34" s="9" customFormat="1" hidden="1">
      <c r="A1" s="20" t="s">
        <v>4</v>
      </c>
      <c r="B1" s="21" t="str">
        <f>IF($A$16&lt;&gt;"","05preva_view","05preva_view_structural")</f>
        <v>05preva_view_structural</v>
      </c>
      <c r="C1" s="8"/>
      <c r="D1" s="8"/>
      <c r="E1" s="8"/>
      <c r="F1" s="8"/>
      <c r="G1" s="8"/>
      <c r="H1" s="8"/>
      <c r="I1" s="8"/>
      <c r="J1" s="6"/>
      <c r="K1" s="18"/>
      <c r="L1" s="18"/>
      <c r="M1" s="18"/>
      <c r="N1" s="7"/>
      <c r="O1" s="52"/>
      <c r="P1" s="5"/>
      <c r="Q1" s="8"/>
      <c r="R1" s="37" t="s">
        <v>12</v>
      </c>
      <c r="S1" s="87">
        <v>1</v>
      </c>
      <c r="T1" s="87">
        <v>2</v>
      </c>
      <c r="U1" s="88">
        <v>3</v>
      </c>
      <c r="V1" s="12">
        <v>4</v>
      </c>
      <c r="AB1" s="61"/>
      <c r="AC1" s="60"/>
      <c r="AD1" s="60"/>
      <c r="AE1" s="60"/>
      <c r="AF1" s="60"/>
    </row>
    <row r="2" spans="1:34" s="9" customFormat="1" hidden="1">
      <c r="A2" s="20" t="s">
        <v>7</v>
      </c>
      <c r="B2" s="36"/>
      <c r="C2" s="29"/>
      <c r="D2" s="8"/>
      <c r="E2" s="8"/>
      <c r="F2" s="8"/>
      <c r="G2" s="8"/>
      <c r="H2" s="8"/>
      <c r="I2" s="8"/>
      <c r="J2" s="10"/>
      <c r="K2" s="10"/>
      <c r="L2" s="10"/>
      <c r="M2" s="10"/>
      <c r="N2" s="11"/>
      <c r="O2" s="11"/>
      <c r="P2" s="8"/>
      <c r="Q2" s="8"/>
      <c r="R2" s="35" t="s">
        <v>28</v>
      </c>
      <c r="S2" s="38" t="s">
        <v>13</v>
      </c>
      <c r="T2" s="38" t="s">
        <v>70</v>
      </c>
      <c r="U2" s="38" t="s">
        <v>14</v>
      </c>
      <c r="V2" s="39" t="s">
        <v>11</v>
      </c>
      <c r="AB2" s="61"/>
      <c r="AC2" s="60"/>
      <c r="AD2" s="60"/>
      <c r="AE2" s="60"/>
      <c r="AF2" s="60"/>
    </row>
    <row r="3" spans="1:34" s="9" customFormat="1" hidden="1">
      <c r="A3" s="19" t="s">
        <v>2</v>
      </c>
      <c r="B3" s="44" t="s">
        <v>28</v>
      </c>
      <c r="C3" s="44" t="s">
        <v>34</v>
      </c>
      <c r="D3" s="44" t="s">
        <v>60</v>
      </c>
      <c r="E3" s="44" t="s">
        <v>61</v>
      </c>
      <c r="F3" s="44" t="s">
        <v>31</v>
      </c>
      <c r="G3" s="80" t="s">
        <v>57</v>
      </c>
      <c r="H3" s="53"/>
      <c r="I3" s="8"/>
      <c r="J3" s="8"/>
      <c r="K3" s="8"/>
      <c r="L3" s="8"/>
      <c r="M3" s="8"/>
      <c r="N3" s="8"/>
      <c r="O3" s="8"/>
      <c r="P3" s="12"/>
      <c r="Q3" s="12"/>
      <c r="R3" s="12"/>
      <c r="S3" s="12"/>
      <c r="AC3" s="61"/>
      <c r="AD3" s="60"/>
      <c r="AE3" s="60"/>
      <c r="AF3" s="60"/>
      <c r="AG3" s="60"/>
    </row>
    <row r="4" spans="1:34" s="12" customFormat="1" hidden="1">
      <c r="A4" s="22">
        <f t="shared" ref="A4:F4" si="0">MATCH(A3,10:10,0)</f>
        <v>1</v>
      </c>
      <c r="B4" s="22">
        <f t="shared" si="0"/>
        <v>21</v>
      </c>
      <c r="C4" s="22">
        <f t="shared" si="0"/>
        <v>24</v>
      </c>
      <c r="D4" s="22">
        <f t="shared" si="0"/>
        <v>22</v>
      </c>
      <c r="E4" s="22">
        <f t="shared" si="0"/>
        <v>23</v>
      </c>
      <c r="F4" s="22">
        <f t="shared" si="0"/>
        <v>25</v>
      </c>
      <c r="G4" s="81">
        <f>MATCH(G3,10:10,0)+1</f>
        <v>27</v>
      </c>
      <c r="H4" s="71"/>
      <c r="I4" s="11"/>
      <c r="J4" s="11"/>
      <c r="K4" s="11"/>
      <c r="L4" s="11"/>
      <c r="M4" s="11"/>
      <c r="N4" s="11"/>
      <c r="O4" s="11"/>
      <c r="X4" s="17"/>
      <c r="Y4" s="17"/>
      <c r="Z4" s="17"/>
      <c r="AA4" s="17"/>
      <c r="AC4" s="61"/>
      <c r="AD4" s="61"/>
      <c r="AE4" s="61"/>
      <c r="AF4" s="61"/>
      <c r="AG4" s="61"/>
    </row>
    <row r="5" spans="1:34" s="12" customFormat="1" hidden="1">
      <c r="A5" s="22">
        <v>3553</v>
      </c>
      <c r="B5" s="22" t="str">
        <f>IFERROR(HLOOKUP(B6,S1:V2,2,FALSE),"")</f>
        <v/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3" t="e">
        <f>IF(VLOOKUP($A$5,Data_Table[],F4,FALSE)&lt;&gt;0,VLOOKUP($A$5,Data_Table[],F4,FALSE),"")</f>
        <v>#N/A</v>
      </c>
      <c r="G5" s="81" t="str">
        <f ca="1">IF(OR(B5="OK",B5="OK with Flag",B5="Rejected"),IF(J6=0,NOW(),J6),"")</f>
        <v/>
      </c>
      <c r="H5" s="72"/>
      <c r="I5" s="11"/>
      <c r="J5" s="11"/>
      <c r="K5" s="11"/>
      <c r="L5" s="11"/>
      <c r="M5" s="11"/>
      <c r="N5" s="11"/>
      <c r="O5" s="11"/>
      <c r="X5" s="17"/>
      <c r="Y5" s="17"/>
      <c r="Z5" s="17"/>
      <c r="AA5" s="17"/>
      <c r="AC5" s="61"/>
      <c r="AD5" s="61"/>
      <c r="AE5" s="61"/>
      <c r="AF5" s="61"/>
      <c r="AG5" s="61"/>
    </row>
    <row r="6" spans="1:34" s="13" customFormat="1" hidden="1">
      <c r="A6" s="20" t="s">
        <v>5</v>
      </c>
      <c r="B6" s="15" t="e">
        <f>IF(AND(D6=1,E6=1),1,
IF(OR(D6=2,E6=2),2,3))</f>
        <v>#N/A</v>
      </c>
      <c r="D6" s="15" t="e">
        <f>VLOOKUP(D5,V6:W9,2,FALSE)</f>
        <v>#N/A</v>
      </c>
      <c r="E6" s="15" t="e">
        <f>VLOOKUP(E5,X6:Y9,2,FALSE)</f>
        <v>#N/A</v>
      </c>
      <c r="J6" s="14" t="e">
        <f>IF(VLOOKUP($A$5,Data_Table[],G4,FALSE)&lt;&gt;0,VLOOKUP($A$5,Data_Table[],G4,FALSE),"")</f>
        <v>#N/A</v>
      </c>
      <c r="K6" s="14"/>
      <c r="L6" s="14"/>
      <c r="M6" s="14"/>
      <c r="N6" s="15"/>
      <c r="O6" s="15"/>
      <c r="Q6" s="16"/>
      <c r="V6" s="13" t="s">
        <v>64</v>
      </c>
      <c r="W6" s="86">
        <v>1</v>
      </c>
      <c r="X6" s="86" t="s">
        <v>65</v>
      </c>
      <c r="Y6" s="86">
        <v>1</v>
      </c>
      <c r="AD6" s="63"/>
      <c r="AE6" s="62"/>
      <c r="AF6" s="62"/>
      <c r="AG6" s="62"/>
      <c r="AH6" s="62"/>
    </row>
    <row r="7" spans="1:34" s="13" customFormat="1" hidden="1">
      <c r="A7" s="27" t="s">
        <v>9</v>
      </c>
      <c r="B7" s="27" t="s">
        <v>38</v>
      </c>
      <c r="J7" s="14"/>
      <c r="K7" s="14"/>
      <c r="L7" s="14"/>
      <c r="M7" s="14"/>
      <c r="N7" s="15"/>
      <c r="O7" s="15"/>
      <c r="Q7" s="16"/>
      <c r="V7" s="13" t="s">
        <v>67</v>
      </c>
      <c r="W7" s="86">
        <v>2</v>
      </c>
      <c r="X7" s="86" t="s">
        <v>67</v>
      </c>
      <c r="Y7" s="86">
        <v>2</v>
      </c>
      <c r="AD7" s="63"/>
      <c r="AE7" s="62"/>
      <c r="AF7" s="62"/>
      <c r="AG7" s="62"/>
      <c r="AH7" s="62"/>
    </row>
    <row r="8" spans="1:34" s="13" customFormat="1" hidden="1">
      <c r="A8" s="28" t="s">
        <v>10</v>
      </c>
      <c r="B8" s="28" t="s">
        <v>30</v>
      </c>
      <c r="J8" s="14"/>
      <c r="K8" s="14"/>
      <c r="L8" s="14"/>
      <c r="M8" s="14"/>
      <c r="N8" s="15"/>
      <c r="O8" s="15"/>
      <c r="Q8" s="16"/>
      <c r="V8" s="13" t="s">
        <v>68</v>
      </c>
      <c r="W8" s="86">
        <v>2</v>
      </c>
      <c r="X8" s="86" t="s">
        <v>68</v>
      </c>
      <c r="Y8" s="86">
        <v>2</v>
      </c>
      <c r="AD8" s="63"/>
      <c r="AE8" s="62"/>
      <c r="AF8" s="62"/>
      <c r="AG8" s="62"/>
      <c r="AH8" s="62"/>
    </row>
    <row r="9" spans="1:34" s="13" customFormat="1" hidden="1">
      <c r="A9" s="32" t="s">
        <v>6</v>
      </c>
      <c r="J9" s="14"/>
      <c r="K9" s="14"/>
      <c r="L9" s="14"/>
      <c r="M9" s="14"/>
      <c r="N9" s="15"/>
      <c r="O9" s="15"/>
      <c r="Q9" s="16"/>
      <c r="V9" s="13" t="s">
        <v>69</v>
      </c>
      <c r="W9" s="86">
        <v>3</v>
      </c>
      <c r="X9" s="86" t="s">
        <v>66</v>
      </c>
      <c r="Y9" s="86">
        <v>3</v>
      </c>
      <c r="AD9" s="63"/>
      <c r="AE9" s="62"/>
      <c r="AF9" s="62"/>
      <c r="AG9" s="62"/>
      <c r="AH9" s="62"/>
    </row>
    <row r="10" spans="1:34" s="13" customFormat="1" hidden="1">
      <c r="A10" s="43" t="s">
        <v>2</v>
      </c>
      <c r="B10" s="44" t="s">
        <v>33</v>
      </c>
      <c r="C10" s="44" t="s">
        <v>35</v>
      </c>
      <c r="D10" s="44" t="s">
        <v>0</v>
      </c>
      <c r="E10" s="44" t="s">
        <v>47</v>
      </c>
      <c r="F10" s="44" t="s">
        <v>50</v>
      </c>
      <c r="G10" s="44" t="s">
        <v>72</v>
      </c>
      <c r="H10" s="44" t="s">
        <v>74</v>
      </c>
      <c r="I10" s="44" t="s">
        <v>73</v>
      </c>
      <c r="J10" s="45" t="s">
        <v>1</v>
      </c>
      <c r="K10" s="45" t="s">
        <v>51</v>
      </c>
      <c r="L10" s="45" t="s">
        <v>52</v>
      </c>
      <c r="M10" s="45" t="s">
        <v>15</v>
      </c>
      <c r="N10" s="45" t="s">
        <v>36</v>
      </c>
      <c r="O10" s="45" t="s">
        <v>37</v>
      </c>
      <c r="P10" s="45" t="s">
        <v>16</v>
      </c>
      <c r="Q10" s="45" t="s">
        <v>17</v>
      </c>
      <c r="R10" s="44" t="s">
        <v>38</v>
      </c>
      <c r="S10" s="44" t="s">
        <v>39</v>
      </c>
      <c r="T10" s="45" t="s">
        <v>9</v>
      </c>
      <c r="U10" s="44" t="s">
        <v>28</v>
      </c>
      <c r="V10" s="44" t="s">
        <v>60</v>
      </c>
      <c r="W10" s="44" t="s">
        <v>61</v>
      </c>
      <c r="X10" s="44" t="s">
        <v>34</v>
      </c>
      <c r="Y10" s="44" t="s">
        <v>31</v>
      </c>
      <c r="Z10" s="80" t="s">
        <v>57</v>
      </c>
      <c r="AA10" s="53"/>
      <c r="AD10" s="63"/>
      <c r="AE10" s="62"/>
      <c r="AF10" s="62"/>
      <c r="AG10" s="62"/>
      <c r="AH10" s="62"/>
    </row>
    <row r="11" spans="1:34" s="15" customFormat="1" hidden="1">
      <c r="A11" s="46"/>
      <c r="B11" s="46"/>
      <c r="C11" s="46"/>
      <c r="D11" s="46"/>
      <c r="E11" s="46"/>
      <c r="F11" s="46"/>
      <c r="G11" s="46"/>
      <c r="H11" s="46"/>
      <c r="I11" s="46"/>
      <c r="J11" s="47"/>
      <c r="K11" s="47"/>
      <c r="L11" s="47"/>
      <c r="M11" s="47"/>
      <c r="N11" s="46"/>
      <c r="O11" s="46"/>
      <c r="P11" s="46"/>
      <c r="Q11" s="46"/>
      <c r="R11" s="46"/>
      <c r="S11" s="46"/>
      <c r="T11" s="46"/>
      <c r="AD11" s="63"/>
      <c r="AE11" s="64"/>
      <c r="AF11" s="64"/>
      <c r="AG11" s="63"/>
      <c r="AH11" s="63"/>
    </row>
    <row r="13" spans="1:34" ht="21">
      <c r="A13" s="30" t="s">
        <v>26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4"/>
    </row>
    <row r="14" spans="1:34" s="56" customFormat="1" ht="15" customHeight="1">
      <c r="A14" s="54"/>
      <c r="B14" s="55" t="str">
        <f>IFERROR(IF(HLOOKUP(B10,$3:$3,1,FALSE)&lt;&gt;"",".",""),"")</f>
        <v/>
      </c>
      <c r="C14" s="55" t="str">
        <f>IFERROR(IF(HLOOKUP(C10,$3:$3,1,FALSE)&lt;&gt;"",".",""),"")</f>
        <v/>
      </c>
      <c r="D14" s="55" t="str">
        <f>IFERROR(IF(HLOOKUP(D10,$3:$3,1,FALSE)&lt;&gt;"",".",""),"")</f>
        <v/>
      </c>
      <c r="E14" s="55"/>
      <c r="F14" s="55"/>
      <c r="G14" s="55"/>
      <c r="H14" s="55"/>
      <c r="I14" s="55"/>
      <c r="J14" s="55" t="str">
        <f>IFERROR(IF(HLOOKUP(J10,$3:$3,1,FALSE)&lt;&gt;"",".",""),"")</f>
        <v/>
      </c>
      <c r="K14" s="55"/>
      <c r="L14" s="55"/>
      <c r="M14" s="55" t="str">
        <f t="shared" ref="M14:Y14" si="1">IFERROR(IF(HLOOKUP(M10,$3:$3,1,FALSE)&lt;&gt;"",".",""),"")</f>
        <v/>
      </c>
      <c r="N14" s="55" t="str">
        <f t="shared" si="1"/>
        <v/>
      </c>
      <c r="O14" s="55" t="str">
        <f t="shared" si="1"/>
        <v/>
      </c>
      <c r="P14" s="55" t="str">
        <f t="shared" si="1"/>
        <v/>
      </c>
      <c r="Q14" s="55" t="str">
        <f t="shared" si="1"/>
        <v/>
      </c>
      <c r="R14" s="55" t="str">
        <f t="shared" si="1"/>
        <v/>
      </c>
      <c r="S14" s="55" t="str">
        <f t="shared" si="1"/>
        <v/>
      </c>
      <c r="T14" s="55" t="str">
        <f t="shared" si="1"/>
        <v/>
      </c>
      <c r="U14" s="55" t="str">
        <f t="shared" si="1"/>
        <v>.</v>
      </c>
      <c r="V14" s="55" t="str">
        <f t="shared" si="1"/>
        <v>.</v>
      </c>
      <c r="W14" s="55" t="str">
        <f t="shared" si="1"/>
        <v>.</v>
      </c>
      <c r="X14" s="55" t="str">
        <f t="shared" si="1"/>
        <v>.</v>
      </c>
      <c r="Y14" s="55" t="str">
        <f t="shared" si="1"/>
        <v>.</v>
      </c>
      <c r="Z14" s="55"/>
      <c r="AA14" s="55"/>
      <c r="AD14" s="77"/>
      <c r="AE14" s="65"/>
      <c r="AF14" s="65"/>
      <c r="AG14" s="65"/>
      <c r="AH14" s="65"/>
    </row>
    <row r="15" spans="1:34" s="34" customFormat="1" ht="43.5">
      <c r="A15" s="24" t="s">
        <v>8</v>
      </c>
      <c r="B15" s="25" t="s">
        <v>21</v>
      </c>
      <c r="C15" s="73" t="s">
        <v>22</v>
      </c>
      <c r="D15" s="73" t="s">
        <v>0</v>
      </c>
      <c r="E15" s="73" t="s">
        <v>48</v>
      </c>
      <c r="F15" s="73" t="s">
        <v>49</v>
      </c>
      <c r="G15" s="73" t="s">
        <v>71</v>
      </c>
      <c r="H15" s="73" t="s">
        <v>75</v>
      </c>
      <c r="I15" s="73" t="s">
        <v>76</v>
      </c>
      <c r="J15" s="74" t="s">
        <v>3</v>
      </c>
      <c r="K15" s="74" t="s">
        <v>54</v>
      </c>
      <c r="L15" s="74" t="s">
        <v>53</v>
      </c>
      <c r="M15" s="75" t="s">
        <v>18</v>
      </c>
      <c r="N15" s="75" t="s">
        <v>24</v>
      </c>
      <c r="O15" s="75" t="s">
        <v>25</v>
      </c>
      <c r="P15" s="75" t="s">
        <v>19</v>
      </c>
      <c r="Q15" s="75" t="s">
        <v>20</v>
      </c>
      <c r="R15" s="51" t="s">
        <v>29</v>
      </c>
      <c r="S15" s="51" t="s">
        <v>40</v>
      </c>
      <c r="T15" s="26" t="s">
        <v>23</v>
      </c>
      <c r="U15" s="84" t="s">
        <v>58</v>
      </c>
      <c r="V15" s="66" t="s">
        <v>62</v>
      </c>
      <c r="W15" s="66" t="s">
        <v>63</v>
      </c>
      <c r="X15" s="66" t="s">
        <v>27</v>
      </c>
      <c r="Y15" s="66" t="s">
        <v>32</v>
      </c>
      <c r="Z15" s="82" t="s">
        <v>59</v>
      </c>
      <c r="AA15" s="79" t="s">
        <v>56</v>
      </c>
      <c r="AB15" s="59" t="s">
        <v>55</v>
      </c>
      <c r="AC15" s="59" t="s">
        <v>41</v>
      </c>
      <c r="AD15" s="57" t="s">
        <v>42</v>
      </c>
      <c r="AE15" s="57" t="s">
        <v>43</v>
      </c>
      <c r="AF15" s="58" t="s">
        <v>44</v>
      </c>
      <c r="AG15" s="58" t="s">
        <v>45</v>
      </c>
      <c r="AH15" s="67" t="s">
        <v>46</v>
      </c>
    </row>
    <row r="16" spans="1:34" ht="14.25" customHeight="1">
      <c r="A16" s="68"/>
      <c r="B16" s="40"/>
      <c r="C16" s="40"/>
      <c r="D16" s="40"/>
      <c r="E16" s="40"/>
      <c r="F16" s="40"/>
      <c r="G16" s="89"/>
      <c r="H16" s="90"/>
      <c r="I16" s="91"/>
      <c r="J16" s="41"/>
      <c r="K16" s="41"/>
      <c r="L16" s="76"/>
      <c r="M16" s="50"/>
      <c r="N16" s="49"/>
      <c r="O16" s="49"/>
      <c r="P16" s="48"/>
      <c r="Q16" s="48"/>
      <c r="R16" s="48"/>
      <c r="S16" s="48"/>
      <c r="T16" s="41"/>
      <c r="U16" s="85"/>
      <c r="V16" s="42"/>
      <c r="W16" s="42"/>
      <c r="X16" s="42"/>
      <c r="Y16" s="40"/>
      <c r="Z16" s="42"/>
      <c r="AA16" s="42"/>
      <c r="AB16" s="83"/>
      <c r="AC16" s="40"/>
      <c r="AD16" s="78"/>
      <c r="AE16" s="69"/>
      <c r="AF16" s="69"/>
      <c r="AG16" s="69"/>
      <c r="AH16" s="70"/>
    </row>
  </sheetData>
  <dataConsolidate/>
  <conditionalFormatting sqref="B16">
    <cfRule type="duplicateValues" dxfId="1" priority="1737"/>
  </conditionalFormatting>
  <conditionalFormatting sqref="C16">
    <cfRule type="duplicateValues" dxfId="0" priority="1738"/>
  </conditionalFormatting>
  <dataValidations count="4">
    <dataValidation type="list" allowBlank="1" showInputMessage="1" showErrorMessage="1" sqref="U16" xr:uid="{00000000-0002-0000-0900-000000000000}">
      <formula1>" OK,Review,Rejected"</formula1>
    </dataValidation>
    <dataValidation type="list" allowBlank="1" showInputMessage="1" showErrorMessage="1" sqref="X16" xr:uid="{12044FB1-2660-43B2-A921-FB10EEC29234}">
      <formula1>"Yes,No"</formula1>
    </dataValidation>
    <dataValidation type="list" allowBlank="1" showInputMessage="1" showErrorMessage="1" sqref="W16" xr:uid="{EAC2F1B9-A7B3-46A9-8DC4-E75485AB51A8}">
      <formula1>"No Retrofit,Later &lt; 6 Months,Later &lt; 1 Year,Retrofit First"</formula1>
    </dataValidation>
    <dataValidation type="list" allowBlank="1" showInputMessage="1" showErrorMessage="1" sqref="V16" xr:uid="{472314B6-D6F6-4A2B-B5D8-6C4B9D496F8B}">
      <formula1>"No Strengthening,Later &lt; 6 Months,Later &lt; 1 Year,Strengthening First"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9</xdr:col>
                    <xdr:colOff>952500</xdr:colOff>
                    <xdr:row>11</xdr:row>
                    <xdr:rowOff>146050</xdr:rowOff>
                  </from>
                  <to>
                    <xdr:col>19</xdr:col>
                    <xdr:colOff>95250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19</xdr:col>
                    <xdr:colOff>304800</xdr:colOff>
                    <xdr:row>11</xdr:row>
                    <xdr:rowOff>146050</xdr:rowOff>
                  </from>
                  <to>
                    <xdr:col>20</xdr:col>
                    <xdr:colOff>76200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69826DD-C980-43D7-9D08-CC30784BDC22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7a19e65e-9de7-40b1-ad12-4e6965d24380"/>
    <ds:schemaRef ds:uri="http://schemas.microsoft.com/office/2006/metadata/properties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a390e121-60b8-4fd2-9983-43b87f4d39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2019-02-04T03:54:19Z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