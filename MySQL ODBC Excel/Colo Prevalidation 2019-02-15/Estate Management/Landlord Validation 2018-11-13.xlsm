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Estate Management/"/>
    </mc:Choice>
  </mc:AlternateContent>
  <xr:revisionPtr revIDLastSave="0" documentId="8_{FC244DFE-20D5-4A14-A637-8D1AA1135BFE}" xr6:coauthVersionLast="38" xr6:coauthVersionMax="38" xr10:uidLastSave="{00000000-0000-0000-0000-000000000000}"/>
  <bookViews>
    <workbookView xWindow="0" yWindow="0" windowWidth="20490" windowHeight="7545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Query!$A$15:$G$15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41" l="1"/>
  <c r="D5" i="41" l="1"/>
  <c r="C4" i="41"/>
  <c r="C5" i="41" s="1"/>
  <c r="B4" i="4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<sst xmlns="http://schemas.openxmlformats.org/spreadsheetml/2006/main" count="36" uniqueCount="30">
  <si>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</si>
  <si>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</si>
  <si>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</si>
  <si>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</si>
  <si>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</si>
  <si>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</si>
  <si>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</si>
  <si>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</si>
  <si>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</si>
  <si>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</si>
  <si>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</si>
  <si>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</si>
  <si>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</si>
  <si>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</si>
  <si>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</si>
  <si>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</si>
  <si>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Landlord Validation</t>
  </si>
  <si>
    <t>Landlord Result</t>
  </si>
  <si>
    <t>Landlord Remarks</t>
  </si>
  <si>
    <t>Prevalidation Status</t>
  </si>
  <si>
    <t>Site ID</t>
  </si>
  <si>
    <t>Tenant ID</t>
  </si>
  <si>
    <t>05preva_view</t>
  </si>
  <si>
    <t>Landlord_Result</t>
  </si>
  <si>
    <t>Landlord_Remarks</t>
  </si>
  <si>
    <t>Site_ID</t>
  </si>
  <si>
    <t>tenant_id</t>
  </si>
  <si>
    <t>Time</t>
  </si>
  <si>
    <t>Time Logic</t>
  </si>
  <si>
    <t>LandLord_Time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</si>
</sst>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</numFmts>
  <fonts count="2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9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1"/>
      </bottom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56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0" fontId="0" fillId="88" borderId="0" xfId="0" applyNumberFormat="1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0" fontId="0" fillId="0" borderId="75" xfId="0" applyNumberFormat="1" applyFill="1" applyBorder="1"/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0" fontId="0" fillId="94" borderId="72" xfId="0" applyNumberFormat="1" applyFill="1" applyBorder="1" applyAlignment="1">
      <alignment horizontal="center" vertical="center" wrapText="1"/>
    </xf>
    <xf numFmtId="164" fontId="258" fillId="95" borderId="0" xfId="0" applyFont="1" applyFill="1" applyBorder="1" applyAlignment="1">
      <alignment horizontal="center" vertical="center"/>
    </xf>
    <xf numFmtId="164" fontId="258" fillId="95" borderId="77" xfId="0" applyFont="1" applyFill="1" applyBorder="1" applyAlignment="1">
      <alignment horizontal="center" vertical="center"/>
    </xf>
    <xf numFmtId="164" fontId="0" fillId="96" borderId="50" xfId="0" applyFill="1" applyBorder="1" applyAlignment="1">
      <alignment horizontal="center" vertical="center" wrapText="1"/>
    </xf>
    <xf numFmtId="164" fontId="0" fillId="94" borderId="76" xfId="0" applyFill="1" applyBorder="1" applyAlignment="1">
      <alignment horizontal="center" vertical="center" wrapText="1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22">
    <dxf>
      <fill>
        <patternFill patternType="none">
          <fgColor rgb="FF000000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21"/>
      <tableStyleElement type="headerRow" dxfId="20"/>
    </tableStyle>
    <tableStyle name="Slicer Style 1" pivot="0" table="0" count="1" xr9:uid="{00000000-0011-0000-FFFF-FFFF01000000}">
      <tableStyleElement type="wholeTable" dxfId="19"/>
    </tableStyle>
    <tableStyle name="Slicer Style New" pivot="0" table="0" count="10" xr9:uid="{00000000-0011-0000-FFFF-FFFF02000000}">
      <tableStyleElement type="wholeTable" dxfId="18"/>
      <tableStyleElement type="headerRow" dxfId="17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952500</xdr:colOff>
          <xdr:row>11</xdr:row>
          <xdr:rowOff>142875</xdr:rowOff>
        </xdr:from>
        <xdr:to>
          <xdr:col>5</xdr:col>
          <xdr:colOff>1276350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104775</xdr:colOff>
          <xdr:row>11</xdr:row>
          <xdr:rowOff>142875</xdr:rowOff>
        </xdr:from>
        <xdr:to>
          <xdr:col>7</xdr:col>
          <xdr:colOff>685800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3536712" displayName="Table3536712" ref="A15:J16" insertRow="1" totalsRowShown="0" headerRowDxfId="16" dataDxfId="14" headerRowBorderDxfId="15" tableBorderDxfId="13" totalsRowBorderDxfId="12">
  <autoFilter ref="A15:J16" xr:uid="{00000000-0009-0000-0100-00000B000000}"/>
  <tableColumns count="10">
    <tableColumn id="1" xr3:uid="{00000000-0010-0000-0700-000001000000}" name="Request ID" dataDxfId="10"/>
    <tableColumn id="2" xr3:uid="{00000000-0010-0000-0700-000002000000}" name="Site ID" dataDxfId="9"/>
    <tableColumn id="3" xr3:uid="{00000000-0010-0000-0700-000003000000}" name="Tenant ID" dataDxfId="8"/>
    <tableColumn id="4" xr3:uid="{00000000-0010-0000-0700-000004000000}" name="Operator" dataDxfId="7"/>
    <tableColumn id="5" xr3:uid="{00000000-0010-0000-0700-000005000000}" name="Request Date" dataDxfId="6"/>
    <tableColumn id="8" xr3:uid="{00000000-0010-0000-0700-000008000000}" name="Prevalidation Status" dataDxfId="5"/>
    <tableColumn id="6" xr3:uid="{00000000-0010-0000-0700-000006000000}" name="Landlord Result" dataDxfId="4"/>
    <tableColumn id="11" xr3:uid="{D701E8AA-7944-45DB-AF46-4D225FC9C75C}" name="Landlord Remarks" dataDxfId="0"/>
    <tableColumn id="7" xr3:uid="{40BAD07F-0E0C-48AC-9DF6-31FBAB4C86DA}" name="Time" dataDxfId="3"/>
    <tableColumn id="9" xr3:uid="{26B29579-5918-4927-A0F6-2E989A48AF8B}" name="Time Logic" dataDxfId="11">
      <calculatedColumnFormula>IF(Table3536712[[#This Row],[Landlord Result]]="OK",IF(Table3536712[[#This Row],[Time]]=0,NOW(),Table3536712[[#This Row],[Time]]),"")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</sheetPr>
  <dimension ref="A1:S16"/>
  <sheetViews>
    <sheetView showGridLines="0" tabSelected="1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H16" sqref="H16"/>
    </sheetView>
  </sheetViews>
  <sheetFormatPr defaultColWidth="9.140625" defaultRowHeight="15"/>
  <cols>
    <col min="1" max="1" width="9.85546875" style="1" customWidth="1"/>
    <col min="2" max="2" width="16.7109375" bestFit="1" customWidth="1"/>
    <col min="3" max="3" width="14" customWidth="1"/>
    <col min="4" max="4" width="11.28515625" bestFit="1" customWidth="1"/>
    <col min="5" max="5" width="15.140625" style="3" bestFit="1" customWidth="1"/>
    <col min="6" max="6" width="20.7109375" style="3" customWidth="1"/>
    <col min="7" max="7" width="11.28515625" style="1" bestFit="1" customWidth="1"/>
    <col min="8" max="8" width="132.140625" bestFit="1" customWidth="1"/>
    <col min="9" max="9" width="9.140625" style="2" hidden="1" customWidth="1"/>
    <col min="10" max="10" width="9.140625" style="35" hidden="1" customWidth="1"/>
    <col min="11" max="19" width="9.140625" style="35" customWidth="1"/>
    <col min="20" max="16384" width="9.140625" style="35"/>
  </cols>
  <sheetData>
    <row r="1" spans="1:19" s="9" customFormat="1" hidden="1">
      <c r="A1" s="21" t="s">
        <v>4</v>
      </c>
      <c r="B1" s="22" t="s">
        <v>22</v>
      </c>
      <c r="C1" s="8"/>
      <c r="D1" s="8"/>
      <c r="E1" s="6"/>
      <c r="F1" s="19"/>
      <c r="G1" s="7"/>
      <c r="H1" s="5"/>
      <c r="I1" s="8"/>
      <c r="J1" s="8"/>
      <c r="K1" s="39" t="s">
        <v>12</v>
      </c>
      <c r="L1" s="39"/>
      <c r="M1" s="40"/>
    </row>
    <row r="2" spans="1:19" s="9" customFormat="1" hidden="1">
      <c r="A2" s="21" t="s">
        <v>7</v>
      </c>
      <c r="B2" s="38"/>
      <c r="C2" s="30"/>
      <c r="D2" s="8"/>
      <c r="E2" s="10"/>
      <c r="F2" s="10"/>
      <c r="G2" s="11"/>
      <c r="H2" s="8"/>
      <c r="I2" s="8"/>
      <c r="J2" s="8"/>
      <c r="K2" s="37" t="s">
        <v>15</v>
      </c>
      <c r="L2" s="41" t="s">
        <v>13</v>
      </c>
      <c r="M2" s="41" t="s">
        <v>14</v>
      </c>
      <c r="N2" s="42" t="s">
        <v>11</v>
      </c>
    </row>
    <row r="3" spans="1:19" s="9" customFormat="1" hidden="1">
      <c r="A3" s="20" t="s">
        <v>2</v>
      </c>
      <c r="B3" s="22" t="s">
        <v>23</v>
      </c>
      <c r="C3" s="22" t="s">
        <v>24</v>
      </c>
      <c r="D3" s="53" t="s">
        <v>29</v>
      </c>
      <c r="E3" s="22"/>
      <c r="F3" s="11"/>
      <c r="G3" s="8"/>
      <c r="H3" s="8"/>
      <c r="I3" s="8"/>
      <c r="J3" s="8"/>
      <c r="K3" s="8"/>
    </row>
    <row r="4" spans="1:19" s="12" customFormat="1" hidden="1">
      <c r="A4" s="23">
        <f>MATCH(A3,10:10,0)</f>
        <v>1</v>
      </c>
      <c r="B4" s="23">
        <f>MATCH(B3,10:10,0)</f>
        <v>7</v>
      </c>
      <c r="C4" s="23">
        <f>MATCH(C3,10:10,0)</f>
        <v>8</v>
      </c>
      <c r="D4" s="23">
        <f>MATCH(D3,10:10,0)+1</f>
        <v>10</v>
      </c>
      <c r="E4" s="23"/>
      <c r="F4" s="11"/>
      <c r="G4" s="11"/>
      <c r="H4" s="11"/>
      <c r="I4" s="11"/>
      <c r="J4" s="11"/>
      <c r="K4" s="11"/>
      <c r="Q4" s="18"/>
      <c r="R4" s="18"/>
    </row>
    <row r="5" spans="1:19" s="12" customFormat="1" hidden="1">
      <c r="A5" s="23">
        <v>3414</v>
      </c>
      <c r="B5" s="24" t="e">
        <f>IF(VLOOKUP($A$5,Table3536712[],B4,FALSE)&lt;&gt;0,VLOOKUP($A$5,Table3536712[],B4,FALSE),"")</f>
        <v>#N/A</v>
      </c>
      <c r="C5" s="23" t="e">
        <f>IF(VLOOKUP($A$5,Table3536712[],C4,FALSE)&lt;&gt;0,VLOOKUP($A$5,Table3536712[],C4,FALSE),"")</f>
        <v>#N/A</v>
      </c>
      <c r="D5" s="23" t="e">
        <f>IF(VLOOKUP($A$5,Table3536712[],D4,FALSE)&lt;&gt;0,VLOOKUP($A$5,Table3536712[],D4,FALSE),"")</f>
        <v>#N/A</v>
      </c>
      <c r="E5" s="23"/>
      <c r="F5" s="11"/>
      <c r="G5" s="11"/>
      <c r="H5" s="11"/>
      <c r="I5" s="11"/>
      <c r="J5" s="11"/>
      <c r="K5" s="11"/>
      <c r="Q5" s="18"/>
      <c r="R5" s="18"/>
    </row>
    <row r="6" spans="1:19" s="13" customFormat="1" hidden="1">
      <c r="A6" s="21" t="s">
        <v>5</v>
      </c>
      <c r="E6" s="14"/>
      <c r="F6" s="14"/>
      <c r="G6" s="15"/>
      <c r="I6" s="16"/>
    </row>
    <row r="7" spans="1:19" s="13" customFormat="1" hidden="1">
      <c r="A7" s="28" t="s">
        <v>9</v>
      </c>
      <c r="E7" s="14"/>
      <c r="F7" s="14"/>
      <c r="G7" s="15"/>
      <c r="I7" s="16"/>
    </row>
    <row r="8" spans="1:19" s="13" customFormat="1" hidden="1">
      <c r="A8" s="29" t="s">
        <v>10</v>
      </c>
      <c r="E8" s="14"/>
      <c r="F8" s="14"/>
      <c r="G8" s="15"/>
      <c r="I8" s="16"/>
    </row>
    <row r="9" spans="1:19" s="13" customFormat="1" hidden="1">
      <c r="A9" s="34" t="s">
        <v>6</v>
      </c>
      <c r="E9" s="14"/>
      <c r="F9" s="14"/>
      <c r="G9" s="15"/>
      <c r="I9" s="16"/>
    </row>
    <row r="10" spans="1:19" s="13" customFormat="1" hidden="1">
      <c r="A10" s="46" t="s">
        <v>2</v>
      </c>
      <c r="B10" s="47" t="s">
        <v>25</v>
      </c>
      <c r="C10" s="47" t="s">
        <v>26</v>
      </c>
      <c r="D10" s="47" t="s">
        <v>0</v>
      </c>
      <c r="E10" s="48" t="s">
        <v>1</v>
      </c>
      <c r="F10" s="48" t="s">
        <v>9</v>
      </c>
      <c r="G10" s="47" t="s">
        <v>23</v>
      </c>
      <c r="H10" s="47" t="s">
        <v>24</v>
      </c>
      <c r="I10" s="53" t="s">
        <v>29</v>
      </c>
    </row>
    <row r="11" spans="1:19" s="15" customFormat="1" hidden="1">
      <c r="A11" s="49"/>
      <c r="B11" s="49"/>
      <c r="C11" s="49"/>
      <c r="D11" s="49"/>
      <c r="E11" s="50"/>
      <c r="F11" s="50"/>
      <c r="G11" s="49"/>
      <c r="H11" s="49"/>
      <c r="I11" s="17"/>
      <c r="R11" s="14"/>
      <c r="S11" s="14"/>
    </row>
    <row r="13" spans="1:19" ht="21">
      <c r="A13" s="32" t="s">
        <v>16</v>
      </c>
      <c r="C13" s="33"/>
      <c r="D13" s="33"/>
      <c r="E13" s="33"/>
      <c r="F13" s="4"/>
    </row>
    <row r="15" spans="1:19" s="36" customFormat="1" ht="30">
      <c r="A15" s="25" t="s">
        <v>8</v>
      </c>
      <c r="B15" s="26" t="s">
        <v>20</v>
      </c>
      <c r="C15" s="26" t="s">
        <v>21</v>
      </c>
      <c r="D15" s="26" t="s">
        <v>0</v>
      </c>
      <c r="E15" s="27" t="s">
        <v>3</v>
      </c>
      <c r="F15" s="27" t="s">
        <v>19</v>
      </c>
      <c r="G15" s="51" t="s">
        <v>17</v>
      </c>
      <c r="H15" s="55" t="s">
        <v>18</v>
      </c>
      <c r="I15" s="52" t="s">
        <v>27</v>
      </c>
      <c r="J15" s="54" t="s">
        <v>28</v>
      </c>
    </row>
    <row r="16" spans="1:19" ht="14.25" customHeight="1">
      <c r="A16" s="31"/>
      <c r="B16" s="43"/>
      <c r="C16" s="43"/>
      <c r="D16" s="43"/>
      <c r="E16" s="44"/>
      <c r="F16" s="44"/>
      <c r="G16" s="45"/>
      <c r="H16" s="43"/>
      <c r="I16" s="31"/>
      <c r="J16" s="45"/>
    </row>
  </sheetData>
  <conditionalFormatting sqref="B16">
    <cfRule type="duplicateValues" dxfId="2" priority="1687"/>
  </conditionalFormatting>
  <conditionalFormatting sqref="C16">
    <cfRule type="duplicateValues" dxfId="1" priority="1688"/>
  </conditionalFormatting>
  <dataValidations count="1">
    <dataValidation type="list" allowBlank="1" showInputMessage="1" showErrorMessage="1" sqref="G16" xr:uid="{00000000-0002-0000-0900-00000000000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952500</xdr:colOff>
                    <xdr:row>11</xdr:row>
                    <xdr:rowOff>142875</xdr:rowOff>
                  </from>
                  <to>
                    <xdr:col>5</xdr:col>
                    <xdr:colOff>1276350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104775</xdr:colOff>
                    <xdr:row>11</xdr:row>
                    <xdr:rowOff>142875</xdr:rowOff>
                  </from>
                  <to>
                    <xdr:col>7</xdr:col>
                    <xdr:colOff>685800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69826DD-C980-43D7-9D08-CC30784BDC22}">
  <ds:schemaRefs>
    <ds:schemaRef ds:uri="http://purl.org/dc/elements/1.1/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2006/metadata/properties"/>
    <ds:schemaRef ds:uri="a390e121-60b8-4fd2-9983-43b87f4d3957"/>
    <ds:schemaRef ds:uri="http://schemas.openxmlformats.org/package/2006/metadata/core-properties"/>
    <ds:schemaRef ds:uri="7a19e65e-9de7-40b1-ad12-4e6965d24380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2018-11-13T10:04:08Z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