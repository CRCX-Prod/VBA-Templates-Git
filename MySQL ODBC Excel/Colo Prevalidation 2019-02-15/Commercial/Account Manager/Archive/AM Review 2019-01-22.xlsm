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Commercial/Account Manager/"/>
    </mc:Choice>
  </mc:AlternateContent>
  <xr:revisionPtr revIDLastSave="0" documentId="8_{19FDFD28-B8CA-4C03-91CD-617473D23430}" xr6:coauthVersionLast="40" xr6:coauthVersionMax="40" xr10:uidLastSave="{00000000-0000-0000-0000-000000000000}"/>
  <bookViews>
    <workbookView xWindow="0" yWindow="0" windowWidth="19200" windowHeight="627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4" i="70" l="1"/>
  <c r="AC14" i="70"/>
  <c r="AB14" i="70"/>
  <c r="AA14" i="70"/>
  <c r="Z14" i="70"/>
  <c r="Q4" i="70" l="1"/>
  <c r="Q5" i="70" s="1"/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U4" i="70" l="1"/>
  <c r="U5" i="70" s="1"/>
  <c r="T5" i="70" l="1"/>
  <c r="I9" i="70" l="1"/>
  <c r="H9" i="70"/>
  <c r="G9" i="70"/>
  <c r="F9" i="70"/>
  <c r="E9" i="70"/>
  <c r="J9" i="70" l="1"/>
  <c r="C13" i="70" s="1"/>
  <c r="B8" i="70" l="1"/>
  <c r="B7" i="70" s="1"/>
  <c r="AR14" i="70"/>
  <c r="AS14" i="70"/>
  <c r="AT14" i="70"/>
  <c r="AU14" i="70"/>
  <c r="AV14" i="70"/>
  <c r="AW14" i="70"/>
  <c r="AX14" i="70"/>
  <c r="L4" i="70" l="1"/>
  <c r="L5" i="70" s="1"/>
  <c r="L14" i="70"/>
  <c r="K14" i="70"/>
  <c r="AE14" i="70" l="1"/>
  <c r="AF14" i="70"/>
  <c r="AG14" i="70"/>
  <c r="S4" i="70" l="1"/>
  <c r="S5" i="70" s="1"/>
  <c r="R4" i="70" l="1"/>
  <c r="R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AH14" i="70"/>
  <c r="AI14" i="70"/>
  <c r="AJ14" i="70"/>
  <c r="AK14" i="70"/>
  <c r="AL14" i="70"/>
  <c r="AM14" i="70"/>
  <c r="AN14" i="70"/>
  <c r="AO14" i="70"/>
  <c r="AP14" i="70"/>
  <c r="AQ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<sst xmlns="http://schemas.openxmlformats.org/spreadsheetml/2006/main" count="228" uniqueCount="170">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</sst>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1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  <numFmt numFmtId="307" formatCode="&quot;CAR&quot;0000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62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254" fillId="92" borderId="73" xfId="0" applyFont="1" applyFill="1" applyBorder="1" applyAlignment="1" applyProtection="1">
      <alignment horizontal="center" vertical="center" wrapText="1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9" xfId="0" applyNumberFormat="1" applyBorder="1" applyAlignment="1" applyProtection="1">
      <alignment shrinkToFit="1"/>
    </xf>
    <xf numFmtId="164" fontId="0" fillId="0" borderId="79" xfId="0" applyFill="1" applyBorder="1" applyAlignment="1" applyProtection="1"/>
    <xf numFmtId="164" fontId="254" fillId="97" borderId="79" xfId="0" applyFont="1" applyFill="1" applyBorder="1" applyAlignment="1" applyProtection="1">
      <alignment horizontal="center" vertical="center" wrapText="1"/>
    </xf>
    <xf numFmtId="307" fontId="0" fillId="0" borderId="73" xfId="0" applyNumberFormat="1" applyBorder="1" applyAlignment="1" applyProtection="1">
      <alignment horizontal="center"/>
      <protection locked="0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73" xfId="0" applyNumberFormat="1" applyBorder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5">
    <dxf>
      <font>
        <color theme="6"/>
      </font>
      <fill>
        <patternFill>
          <bgColor theme="6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6"/>
      </font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7" formatCode="&quot;CAR&quot;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94"/>
      <tableStyleElement type="headerRow" dxfId="93"/>
    </tableStyle>
    <tableStyle name="Slicer Style 1" pivot="0" table="0" count="1" xr9:uid="{00000000-0011-0000-FFFF-FFFF01000000}">
      <tableStyleElement type="wholeTable" dxfId="92"/>
    </tableStyle>
    <tableStyle name="Slicer Style New" pivot="0" table="0" count="10" xr9:uid="{00000000-0011-0000-FFFF-FFFF02000000}">
      <tableStyleElement type="wholeTable" dxfId="91"/>
      <tableStyleElement type="headerRow" dxfId="9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723900</xdr:colOff>
          <xdr:row>11</xdr:row>
          <xdr:rowOff>142875</xdr:rowOff>
        </xdr:from>
        <xdr:to>
          <xdr:col>8</xdr:col>
          <xdr:colOff>171450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11</xdr:row>
          <xdr:rowOff>152400</xdr:rowOff>
        </xdr:from>
        <xdr:to>
          <xdr:col>6</xdr:col>
          <xdr:colOff>400050</xdr:colOff>
          <xdr:row>13</xdr:row>
          <xdr:rowOff>38100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J16" insertRow="1" totalsRowShown="0" headerRowDxfId="89" dataDxfId="87" headerRowBorderDxfId="88" tableBorderDxfId="86" totalsRowBorderDxfId="85">
  <autoFilter ref="A15:BJ16" xr:uid="{00000000-0009-0000-0100-000004000000}"/>
  <tableColumns count="62">
    <tableColumn id="72" xr3:uid="{00000000-0010-0000-0000-000048000000}" name="Request ID" dataDxfId="84"/>
    <tableColumn id="73" xr3:uid="{00000000-0010-0000-0000-000049000000}" name="Site ID" dataDxfId="83"/>
    <tableColumn id="9" xr3:uid="{00000000-0010-0000-0000-000009000000}" name="Legacy" dataDxfId="82"/>
    <tableColumn id="74" xr3:uid="{00000000-0010-0000-0000-00004A000000}" name="Tenant ID" dataDxfId="81"/>
    <tableColumn id="1" xr3:uid="{00000000-0010-0000-0000-000001000000}" name="Tenant Category" dataDxfId="80"/>
    <tableColumn id="2" xr3:uid="{00000000-0010-0000-0000-000002000000}" name="Tenant Status" dataDxfId="79"/>
    <tableColumn id="75" xr3:uid="{00000000-0010-0000-0000-00004B000000}" name="Scope" dataDxfId="78"/>
    <tableColumn id="4" xr3:uid="{00000000-0010-0000-0000-000004000000}" name="Operator" dataDxfId="77"/>
    <tableColumn id="3" xr3:uid="{00000000-0010-0000-0000-000003000000}" name="Colo Rev" dataDxfId="76"/>
    <tableColumn id="76" xr3:uid="{00000000-0010-0000-0000-00004C000000}" name="Request Date" dataDxfId="75"/>
    <tableColumn id="77" xr3:uid="{00000000-0010-0000-0000-00004D000000}" name="Average Power Requested" dataDxfId="74"/>
    <tableColumn id="14" xr3:uid="{00000000-0010-0000-0000-00000E000000}" name="Peak Power Requested" dataDxfId="73"/>
    <tableColumn id="78" xr3:uid="{00000000-0010-0000-0000-00004E000000}" name="Capacity Requested" dataDxfId="72"/>
    <tableColumn id="79" xr3:uid="{00000000-0010-0000-0000-00004F000000}" name="Capacity Model" dataDxfId="71"/>
    <tableColumn id="80" xr3:uid="{00000000-0010-0000-0000-000050000000}" name="Lower Space Requested" dataDxfId="70"/>
    <tableColumn id="81" xr3:uid="{00000000-0010-0000-0000-000051000000}" name="Upper Space Requested" dataDxfId="69"/>
    <tableColumn id="82" xr3:uid="{00000000-0010-0000-0000-000052000000}" name="Prevalidation Status" dataDxfId="68"/>
    <tableColumn id="83" xr3:uid="{00000000-0010-0000-0000-000053000000}" name="General Remark" dataDxfId="67"/>
    <tableColumn id="84" xr3:uid="{00000000-0010-0000-0000-000054000000}" name="LandLord" dataDxfId="66"/>
    <tableColumn id="85" xr3:uid="{00000000-0010-0000-0000-000055000000}" name="LandLord Remarks" dataDxfId="65"/>
    <tableColumn id="86" xr3:uid="{00000000-0010-0000-0000-000056000000}" name="Community" dataDxfId="64"/>
    <tableColumn id="87" xr3:uid="{00000000-0010-0000-0000-000057000000}" name="Community Remarks" dataDxfId="63"/>
    <tableColumn id="88" xr3:uid="{00000000-0010-0000-0000-000058000000}" name="Tower Space" dataDxfId="62"/>
    <tableColumn id="89" xr3:uid="{00000000-0010-0000-0000-000059000000}" name="Tower Space Remarks" dataDxfId="61"/>
    <tableColumn id="90" xr3:uid="{00000000-0010-0000-0000-00005A000000}" name="Structural" dataDxfId="60"/>
    <tableColumn id="91" xr3:uid="{00000000-0010-0000-0000-00005B000000}" name="Tower Strengthening" dataDxfId="59"/>
    <tableColumn id="28" xr3:uid="{352ADE86-A142-42C9-9FAD-910870F24860}" name="Foundation Retrofit" dataDxfId="58"/>
    <tableColumn id="27" xr3:uid="{65AFC8C9-EAEA-4D61-A64A-2383EA5E9A20}" name="Tower Extension" dataDxfId="57"/>
    <tableColumn id="92" xr3:uid="{00000000-0010-0000-0000-00005C000000}" name="Structural Remarks" dataDxfId="56"/>
    <tableColumn id="93" xr3:uid="{00000000-0010-0000-0000-00005D000000}" name="Power" dataDxfId="55"/>
    <tableColumn id="94" xr3:uid="{00000000-0010-0000-0000-00005E000000}" name="Power Forecast after Colo Approval" dataDxfId="54"/>
    <tableColumn id="95" xr3:uid="{00000000-0010-0000-0000-00005F000000}" name="Average Power" dataDxfId="53"/>
    <tableColumn id="11" xr3:uid="{00000000-0010-0000-0000-00000B000000}" name="Peak Power" dataDxfId="52"/>
    <tableColumn id="96" xr3:uid="{00000000-0010-0000-0000-000060000000}" name="Power Remarks" dataDxfId="51"/>
    <tableColumn id="97" xr3:uid="{00000000-0010-0000-0000-000061000000}" name="Ground Space" dataDxfId="50"/>
    <tableColumn id="98" xr3:uid="{00000000-0010-0000-0000-000062000000}" name="Slab Extension Needed" dataDxfId="49"/>
    <tableColumn id="99" xr3:uid="{00000000-0010-0000-0000-000063000000}" name="Ground Space Remarks" dataDxfId="48"/>
    <tableColumn id="100" xr3:uid="{00000000-0010-0000-0000-000064000000}" name="RM" dataDxfId="47"/>
    <tableColumn id="101" xr3:uid="{00000000-0010-0000-0000-000065000000}" name="RM Remarks" dataDxfId="46"/>
    <tableColumn id="102" xr3:uid="{00000000-0010-0000-0000-000066000000}" name="PM" dataDxfId="45"/>
    <tableColumn id="103" xr3:uid="{00000000-0010-0000-0000-000067000000}" name="Project Forecast" dataDxfId="44"/>
    <tableColumn id="104" xr3:uid="{00000000-0010-0000-0000-000068000000}" name="PM Remarks" dataDxfId="43"/>
    <tableColumn id="105" xr3:uid="{00000000-0010-0000-0000-000069000000}" name="AM" dataDxfId="42"/>
    <tableColumn id="106" xr3:uid="{00000000-0010-0000-0000-00006A000000}" name="AM Remarks" dataDxfId="41"/>
    <tableColumn id="17" xr3:uid="{00000000-0010-0000-0000-000011000000}" name="LandLord Validation Time" dataDxfId="40"/>
    <tableColumn id="16" xr3:uid="{00000000-0010-0000-0000-000010000000}" name="Community Validation Time" dataDxfId="39"/>
    <tableColumn id="20" xr3:uid="{00000000-0010-0000-0000-000014000000}" name="Tower Space Validation Time" dataDxfId="38"/>
    <tableColumn id="19" xr3:uid="{00000000-0010-0000-0000-000013000000}" name="Structural Validation Time" dataDxfId="37"/>
    <tableColumn id="18" xr3:uid="{00000000-0010-0000-0000-000012000000}" name="Power Validation Time" dataDxfId="36"/>
    <tableColumn id="15" xr3:uid="{00000000-0010-0000-0000-00000F000000}" name="Ground Space Validation Time" dataDxfId="35"/>
    <tableColumn id="24" xr3:uid="{7FEA273B-76E7-4805-9261-6F9D5E42A42E}" name="Close Date" dataDxfId="34"/>
    <tableColumn id="21" xr3:uid="{00000000-0010-0000-0000-000015000000}" name="Prevalidation Leadtime" dataDxfId="33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32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31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30">
      <calculatedColumnFormula>FIND("Process &amp; Database\",CELL("filename",$A$1))</calculatedColumnFormula>
    </tableColumn>
    <tableColumn id="7" xr3:uid="{00000000-0010-0000-0000-000007000000}" name="Folder Path1" dataDxfId="29">
      <calculatedColumnFormula>LEFT(CELL("filename",A1),Validation[[#This Row],[Find Process &amp; Database]]-1)</calculatedColumnFormula>
    </tableColumn>
    <tableColumn id="8" xr3:uid="{00000000-0010-0000-0000-000008000000}" name="Folder Path2" dataDxfId="28">
      <calculatedColumnFormula>Validation[Folder Path1]&amp;"Process &amp; Database\Documentation\Colo Applications"</calculatedColumnFormula>
    </tableColumn>
    <tableColumn id="10" xr3:uid="{00000000-0010-0000-0000-00000A000000}" name="Folder Path3" dataDxfId="27">
      <calculatedColumnFormula>Validation[Folder Path2]&amp;"\Colo App "&amp;Validation[[#This Row],[Operator]]&amp;"\"</calculatedColumnFormula>
    </tableColumn>
    <tableColumn id="12" xr3:uid="{00000000-0010-0000-0000-00000C000000}" name="File Path" dataDxfId="26">
      <calculatedColumnFormula>Validation[[#This Row],[Folder Path3]]&amp;Validation[[#This Row],[File Name]]</calculatedColumnFormula>
    </tableColumn>
    <tableColumn id="26" xr3:uid="{EA277739-896A-4227-AFB3-69F348EBE304}" name="Extension" dataDxfId="25">
      <calculatedColumnFormula>VLOOKUP(Validation[[#This Row],[Operator]],FileExtension[],2,FALSE)</calculatedColumnFormula>
    </tableColumn>
    <tableColumn id="22" xr3:uid="{00000000-0010-0000-0000-000016000000}" name="Count Validated" dataDxfId="24">
      <calculatedColumnFormula>SUMIF(Validation[[#This Row],[LandLord]:[Ground Space]],"OK",$S$9:$AI$9)+SUMIF(Validation[[#This Row],[LandLord]:[Ground Space]],"Not Required",$S$9:$AI$9)+SUMIF(Validation[[#This Row],[LandLord]:[Ground Space]],"OK with Flag",$S$9:$AI$9)</calculatedColumnFormula>
    </tableColumn>
    <tableColumn id="25" xr3:uid="{9AF95BDD-EB10-469E-AA4E-1F125FCC445D}" name="Validation Time Logic" dataDxfId="23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22" dataDxfId="20" headerRowBorderDxfId="21" tableBorderDxfId="19" totalsRowBorderDxfId="18">
  <autoFilter ref="A15:B20" xr:uid="{00000000-0009-0000-0100-000004000000}"/>
  <tableColumns count="2">
    <tableColumn id="72" xr3:uid="{4C492CAA-9957-498F-88B0-C99C19E83B1A}" name="Operator_Id" dataDxfId="17"/>
    <tableColumn id="73" xr3:uid="{3DEB3284-FB9E-4F96-AC29-5400FB0778F1}" name="Colo_App_Extension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60" t="s">
        <v>41</v>
      </c>
      <c r="H2" s="160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61" t="s">
        <v>43</v>
      </c>
      <c r="H5" s="161"/>
      <c r="I5" s="161" t="s">
        <v>36</v>
      </c>
      <c r="J5" s="161"/>
      <c r="K5" s="161" t="s">
        <v>39</v>
      </c>
      <c r="L5" s="161"/>
      <c r="M5" s="161" t="s">
        <v>35</v>
      </c>
      <c r="N5" s="161"/>
      <c r="O5" s="161" t="s">
        <v>44</v>
      </c>
      <c r="P5" s="161"/>
      <c r="Q5" s="161" t="s">
        <v>40</v>
      </c>
      <c r="R5" s="161"/>
    </row>
    <row r="6" spans="2:18">
      <c r="B6" s="3" t="s">
        <v>23</v>
      </c>
      <c r="C6" s="3" t="e">
        <f>MATCH(B6,#REF!,0)</f>
        <v>#REF!</v>
      </c>
      <c r="F6" s="13" t="s">
        <v>23</v>
      </c>
      <c r="G6" s="161" t="str">
        <f>IFERROR(VLOOKUP(G$4,#REF!,$C6,FALSE),"")</f>
        <v/>
      </c>
      <c r="H6" s="161" t="e">
        <f>VLOOKUP(H$4,#REF!,$C6,FALSE)</f>
        <v>#REF!</v>
      </c>
      <c r="I6" s="161" t="str">
        <f>IFERROR(VLOOKUP(I$4,#REF!,$C6,FALSE),"")</f>
        <v/>
      </c>
      <c r="J6" s="161" t="e">
        <f>VLOOKUP(J$4,#REF!,$C6,FALSE)</f>
        <v>#REF!</v>
      </c>
      <c r="K6" s="161" t="str">
        <f>IFERROR(VLOOKUP(K$4,#REF!,$C6,FALSE),"")</f>
        <v/>
      </c>
      <c r="L6" s="161" t="e">
        <f>VLOOKUP(L$4,#REF!,$C6,FALSE)</f>
        <v>#REF!</v>
      </c>
      <c r="M6" s="161" t="str">
        <f>IFERROR(VLOOKUP(M$4,#REF!,$C6,FALSE),"")</f>
        <v/>
      </c>
      <c r="N6" s="161" t="e">
        <f>VLOOKUP(N$4,#REF!,$C6,FALSE)</f>
        <v>#REF!</v>
      </c>
      <c r="O6" s="161" t="str">
        <f>IFERROR(VLOOKUP(O$4,#REF!,$C6,FALSE),"")</f>
        <v/>
      </c>
      <c r="P6" s="161" t="e">
        <f>VLOOKUP(P$4,#REF!,$C6,FALSE)</f>
        <v>#REF!</v>
      </c>
      <c r="Q6" s="161" t="str">
        <f>IFERROR(VLOOKUP(Q$4,#REF!,$C6,FALSE),"")</f>
        <v/>
      </c>
      <c r="R6" s="161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60">
        <v>60</v>
      </c>
    </row>
    <row r="18" spans="1:18" ht="6" customHeight="1">
      <c r="A18" s="8"/>
      <c r="E18" s="3">
        <v>60</v>
      </c>
      <c r="F18" s="160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6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7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7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7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7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7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7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7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7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8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6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7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7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7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7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7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7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7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7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8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6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7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7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7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7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7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7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7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7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8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6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7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7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7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7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7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7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7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7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8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6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7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7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7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7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7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7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7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7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8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9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7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7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7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7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7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7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7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7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</mergeCells>
  <conditionalFormatting sqref="G5:R6 G18:R77 G9:R16">
    <cfRule type="containsBlanks" dxfId="9" priority="4">
      <formula>LEN(TRIM(G5))=0</formula>
    </cfRule>
  </conditionalFormatting>
  <conditionalFormatting sqref="G18:R77 G9:R16">
    <cfRule type="cellIs" dxfId="8" priority="3" operator="equal">
      <formula>0</formula>
    </cfRule>
  </conditionalFormatting>
  <conditionalFormatting sqref="G18:R77">
    <cfRule type="cellIs" dxfId="7" priority="1" operator="equal">
      <formula>TRUE</formula>
    </cfRule>
    <cfRule type="cellIs" dxfId="6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R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3632812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8" width="14.1796875" style="21" hidden="1" customWidth="1" outlineLevel="1"/>
    <col min="29" max="29" width="54.7265625" style="21" hidden="1" customWidth="1" outlineLevel="1"/>
    <col min="30" max="30" width="5.7265625" style="21" customWidth="1" collapsed="1"/>
    <col min="31" max="31" width="13.453125" style="21" hidden="1" customWidth="1" outlineLevel="1"/>
    <col min="32" max="32" width="11.7265625" style="21" hidden="1" customWidth="1" outlineLevel="1"/>
    <col min="33" max="33" width="11" style="21" hidden="1" customWidth="1" outlineLevel="1"/>
    <col min="34" max="34" width="54.81640625" style="21" hidden="1" customWidth="1" outlineLevel="1"/>
    <col min="35" max="35" width="5.7265625" style="21" customWidth="1" collapsed="1"/>
    <col min="36" max="36" width="15.453125" style="21" hidden="1" customWidth="1" outlineLevel="1"/>
    <col min="37" max="37" width="69.81640625" style="21" hidden="1" customWidth="1" outlineLevel="1"/>
    <col min="38" max="38" width="5.54296875" style="21" customWidth="1" collapsed="1"/>
    <col min="39" max="39" width="22" style="21" hidden="1" customWidth="1" outlineLevel="1"/>
    <col min="40" max="40" width="5.453125" style="21" customWidth="1" collapsed="1"/>
    <col min="41" max="41" width="34.1796875" style="21" hidden="1" customWidth="1" outlineLevel="1"/>
    <col min="42" max="42" width="13.7265625" style="21" hidden="1" customWidth="1" outlineLevel="1"/>
    <col min="43" max="43" width="21.54296875" style="33" customWidth="1" collapsed="1"/>
    <col min="44" max="44" width="43.90625" style="24" hidden="1" customWidth="1" outlineLevel="1"/>
    <col min="45" max="51" width="15.1796875" style="24" hidden="1" customWidth="1" outlineLevel="1"/>
    <col min="52" max="52" width="15.1796875" style="24" customWidth="1"/>
    <col min="53" max="53" width="15.1796875" style="24" customWidth="1" collapsed="1"/>
    <col min="54" max="54" width="46" style="24" hidden="1" customWidth="1" outlineLevel="1"/>
    <col min="55" max="55" width="15.1796875" style="108" hidden="1" customWidth="1"/>
    <col min="56" max="56" width="16.7265625" style="107" hidden="1" customWidth="1"/>
    <col min="57" max="57" width="13.81640625" style="107" hidden="1" customWidth="1"/>
    <col min="58" max="58" width="66.453125" style="107" hidden="1" customWidth="1"/>
    <col min="59" max="61" width="13.81640625" style="107" hidden="1" customWidth="1"/>
    <col min="62" max="62" width="13.81640625" style="21" hidden="1" customWidth="1"/>
    <col min="63" max="85" width="13.81640625" style="21" customWidth="1"/>
    <col min="86" max="86" width="51.1796875" style="23" bestFit="1" customWidth="1"/>
    <col min="87" max="87" width="5.7265625" style="23" customWidth="1"/>
    <col min="88" max="88" width="61.26953125" style="21" customWidth="1"/>
    <col min="89" max="89" width="5.7265625" style="23" customWidth="1" collapsed="1"/>
    <col min="90" max="90" width="18.1796875" style="23" customWidth="1"/>
    <col min="91" max="91" width="58.453125" style="23" customWidth="1"/>
    <col min="92" max="92" width="17" style="23" customWidth="1" collapsed="1"/>
    <col min="93" max="93" width="54.453125" style="23" customWidth="1"/>
    <col min="94" max="94" width="5.7265625" style="21" customWidth="1" collapsed="1"/>
    <col min="95" max="95" width="81.1796875" style="21" customWidth="1"/>
    <col min="96" max="96" width="17" style="23" customWidth="1" collapsed="1"/>
    <col min="97" max="97" width="15.81640625" style="21" customWidth="1"/>
    <col min="98" max="98" width="5.26953125" style="21" customWidth="1"/>
    <col min="99" max="99" width="32" style="21" customWidth="1"/>
    <col min="100" max="100" width="24.1796875" style="21" customWidth="1"/>
    <col min="101" max="101" width="6" style="21" customWidth="1"/>
    <col min="102" max="103" width="24.1796875" style="21" customWidth="1"/>
    <col min="104" max="104" width="5.7265625" style="21" customWidth="1" collapsed="1"/>
    <col min="105" max="105" width="49" style="21" customWidth="1"/>
    <col min="106" max="106" width="5.7265625" style="21" customWidth="1" collapsed="1"/>
    <col min="107" max="107" width="24.1796875" style="21" customWidth="1"/>
    <col min="108" max="108" width="8" style="21" customWidth="1"/>
    <col min="109" max="117" width="38.81640625" style="21" customWidth="1"/>
    <col min="118" max="118" width="24.1796875" style="21" customWidth="1"/>
    <col min="119" max="119" width="35" style="21" customWidth="1"/>
    <col min="120" max="120" width="4.26953125" style="23" customWidth="1" collapsed="1"/>
    <col min="121" max="121" width="31.1796875" style="21" customWidth="1"/>
    <col min="122" max="122" width="4.26953125" style="21" customWidth="1" collapsed="1"/>
    <col min="123" max="123" width="22.1796875" style="21" customWidth="1"/>
    <col min="124" max="124" width="7.7265625" style="21" customWidth="1"/>
    <col min="125" max="127" width="34.81640625" style="21" customWidth="1"/>
    <col min="128" max="128" width="20" style="21" customWidth="1"/>
    <col min="129" max="130" width="22.1796875" style="21" customWidth="1"/>
    <col min="131" max="131" width="13.26953125" style="21" bestFit="1" customWidth="1"/>
    <col min="132" max="132" width="22.1796875" style="21" customWidth="1"/>
    <col min="133" max="133" width="14.1796875" style="21" customWidth="1"/>
    <col min="134" max="137" width="4.26953125" style="32" customWidth="1"/>
    <col min="138" max="138" width="58.453125" style="22" customWidth="1"/>
    <col min="139" max="139" width="10" style="22" customWidth="1"/>
    <col min="140" max="140" width="41.81640625" style="22" customWidth="1"/>
    <col min="141" max="141" width="12.54296875" style="22" customWidth="1"/>
    <col min="142" max="142" width="19.453125" style="22" customWidth="1"/>
    <col min="143" max="143" width="57.453125" style="22" customWidth="1"/>
    <col min="144" max="144" width="22.26953125" style="22" customWidth="1"/>
    <col min="145" max="145" width="30.1796875" style="22" customWidth="1"/>
    <col min="146" max="146" width="47.7265625" style="22" customWidth="1"/>
    <col min="147" max="148" width="9.1796875" style="22"/>
    <col min="149" max="16384" width="9.1796875" style="20"/>
  </cols>
  <sheetData>
    <row r="1" spans="1:148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147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98"/>
      <c r="BD1" s="98"/>
      <c r="BE1" s="98"/>
      <c r="BF1" s="98"/>
      <c r="BG1" s="98"/>
      <c r="BH1" s="98"/>
      <c r="BI1" s="98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41"/>
      <c r="CU1" s="41"/>
      <c r="CV1" s="41"/>
      <c r="CW1" s="41"/>
    </row>
    <row r="2" spans="1:148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98"/>
      <c r="BD2" s="98"/>
      <c r="BE2" s="98"/>
      <c r="BF2" s="98"/>
      <c r="BG2" s="98"/>
      <c r="BH2" s="98"/>
      <c r="BI2" s="98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41"/>
      <c r="CU2" s="41"/>
      <c r="CV2" s="41"/>
      <c r="CW2" s="41"/>
    </row>
    <row r="3" spans="1:148" s="42" customFormat="1" hidden="1">
      <c r="A3" s="46" t="s">
        <v>2</v>
      </c>
      <c r="B3" s="47" t="s">
        <v>129</v>
      </c>
      <c r="C3" s="48" t="s">
        <v>104</v>
      </c>
      <c r="D3" s="48" t="s">
        <v>103</v>
      </c>
      <c r="E3" s="47" t="s">
        <v>10</v>
      </c>
      <c r="F3" s="47" t="s">
        <v>9</v>
      </c>
      <c r="G3" s="47" t="s">
        <v>102</v>
      </c>
      <c r="H3" s="47" t="s">
        <v>20</v>
      </c>
      <c r="I3" s="47" t="s">
        <v>100</v>
      </c>
      <c r="J3" s="47" t="s">
        <v>15</v>
      </c>
      <c r="K3" s="47" t="s">
        <v>11</v>
      </c>
      <c r="L3" s="64" t="s">
        <v>130</v>
      </c>
      <c r="M3" s="47" t="s">
        <v>17</v>
      </c>
      <c r="N3" s="47" t="s">
        <v>73</v>
      </c>
      <c r="O3" s="47" t="s">
        <v>75</v>
      </c>
      <c r="P3" s="36" t="s">
        <v>78</v>
      </c>
      <c r="Q3" s="64" t="s">
        <v>79</v>
      </c>
      <c r="R3" s="36" t="s">
        <v>38</v>
      </c>
      <c r="S3" s="64" t="s">
        <v>23</v>
      </c>
      <c r="T3" s="131" t="s">
        <v>151</v>
      </c>
      <c r="U3" s="64" t="s">
        <v>32</v>
      </c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98"/>
      <c r="BE3" s="98"/>
      <c r="BF3" s="98"/>
      <c r="BG3" s="98"/>
      <c r="BH3" s="98"/>
      <c r="BI3" s="98"/>
      <c r="BJ3" s="98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41"/>
      <c r="CS3" s="41"/>
      <c r="CT3" s="41"/>
      <c r="CU3" s="41"/>
    </row>
    <row r="4" spans="1:148" s="50" customFormat="1" hidden="1">
      <c r="A4" s="49">
        <f t="shared" ref="A4:S4" si="0">MATCH(A3,10:10,0)</f>
        <v>1</v>
      </c>
      <c r="B4" s="49">
        <f t="shared" si="0"/>
        <v>11</v>
      </c>
      <c r="C4" s="49">
        <f t="shared" si="0"/>
        <v>13</v>
      </c>
      <c r="D4" s="49">
        <f t="shared" si="0"/>
        <v>14</v>
      </c>
      <c r="E4" s="49">
        <f t="shared" si="0"/>
        <v>15</v>
      </c>
      <c r="F4" s="49">
        <f t="shared" si="0"/>
        <v>16</v>
      </c>
      <c r="G4" s="49">
        <f t="shared" si="0"/>
        <v>19</v>
      </c>
      <c r="H4" s="49">
        <f t="shared" si="0"/>
        <v>21</v>
      </c>
      <c r="I4" s="49">
        <f t="shared" si="0"/>
        <v>23</v>
      </c>
      <c r="J4" s="49">
        <f t="shared" si="0"/>
        <v>25</v>
      </c>
      <c r="K4" s="49">
        <f t="shared" si="0"/>
        <v>30</v>
      </c>
      <c r="L4" s="49">
        <f t="shared" si="0"/>
        <v>12</v>
      </c>
      <c r="M4" s="49">
        <f t="shared" si="0"/>
        <v>35</v>
      </c>
      <c r="N4" s="49">
        <f t="shared" si="0"/>
        <v>38</v>
      </c>
      <c r="O4" s="49">
        <f t="shared" si="0"/>
        <v>40</v>
      </c>
      <c r="P4" s="49">
        <f t="shared" si="0"/>
        <v>43</v>
      </c>
      <c r="Q4" s="49">
        <f t="shared" si="0"/>
        <v>44</v>
      </c>
      <c r="R4" s="49">
        <f t="shared" si="0"/>
        <v>7</v>
      </c>
      <c r="S4" s="49">
        <f t="shared" si="0"/>
        <v>17</v>
      </c>
      <c r="T4" s="132">
        <v>60</v>
      </c>
      <c r="U4" s="49">
        <f>MATCH(U3,10:10,0)</f>
        <v>18</v>
      </c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99"/>
      <c r="BE4" s="99"/>
      <c r="BF4" s="99"/>
      <c r="BG4" s="99"/>
      <c r="BH4" s="99"/>
      <c r="BI4" s="99"/>
      <c r="BJ4" s="99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1"/>
      <c r="CS4" s="41"/>
      <c r="CT4" s="41"/>
      <c r="CU4" s="41"/>
    </row>
    <row r="5" spans="1:148" s="50" customFormat="1" hidden="1">
      <c r="A5" s="49">
        <v>3608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9" t="e">
        <f>IF(VLOOKUP($A$5,Validation[],U4,FALSE)&lt;&gt;0,VLOOKUP($A$5,Validation[],U4,FALSE),"")</f>
        <v>#N/A</v>
      </c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99"/>
      <c r="BE5" s="99"/>
      <c r="BF5" s="99"/>
      <c r="BG5" s="99"/>
      <c r="BH5" s="99"/>
      <c r="BI5" s="99"/>
      <c r="BJ5" s="99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1"/>
      <c r="CS5" s="41"/>
      <c r="CT5" s="41"/>
      <c r="CU5" s="41"/>
    </row>
    <row r="6" spans="1:148" s="52" customFormat="1" hidden="1">
      <c r="A6" s="51" t="s">
        <v>5</v>
      </c>
      <c r="E6" s="53"/>
      <c r="F6" s="54"/>
      <c r="G6" s="54"/>
      <c r="AP6" s="55"/>
      <c r="AQ6" s="150" t="s">
        <v>164</v>
      </c>
      <c r="AR6" s="150" t="s">
        <v>165</v>
      </c>
      <c r="AS6" s="150" t="s">
        <v>163</v>
      </c>
      <c r="AT6" s="150" t="s">
        <v>161</v>
      </c>
      <c r="AU6" s="150" t="s">
        <v>162</v>
      </c>
      <c r="AV6" s="55"/>
      <c r="AW6" s="55"/>
      <c r="AX6" s="55"/>
      <c r="AY6" s="55"/>
      <c r="AZ6" s="55"/>
      <c r="BA6" s="55"/>
      <c r="BB6" s="55"/>
      <c r="BC6" s="100"/>
      <c r="BD6" s="100"/>
      <c r="BE6" s="100"/>
      <c r="BF6" s="100"/>
      <c r="BG6" s="100"/>
      <c r="BH6" s="100"/>
      <c r="BI6" s="100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6"/>
      <c r="CU6" s="56"/>
      <c r="CV6" s="56"/>
      <c r="CW6" s="56"/>
    </row>
    <row r="7" spans="1:148" s="52" customFormat="1" hidden="1">
      <c r="A7" s="54" t="str">
        <f>IF(A8&lt;&gt;"","Status","")</f>
        <v>Status</v>
      </c>
      <c r="B7" s="54" t="str">
        <f ca="1">IF(B8&lt;&gt;"","Operator","")</f>
        <v>Operator</v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50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100"/>
      <c r="BD7" s="100"/>
      <c r="BE7" s="100"/>
      <c r="BF7" s="100"/>
      <c r="BG7" s="100"/>
      <c r="BH7" s="100"/>
      <c r="BI7" s="100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6"/>
      <c r="CU7" s="56"/>
      <c r="CV7" s="56"/>
      <c r="CW7" s="56"/>
    </row>
    <row r="8" spans="1:148" s="52" customFormat="1" hidden="1">
      <c r="A8" s="58" t="s">
        <v>25</v>
      </c>
      <c r="B8" s="58" t="str">
        <f ca="1">IF($C$13&lt;&gt;"",$C$13,"")</f>
        <v>Telenor</v>
      </c>
      <c r="C8" s="58"/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100"/>
      <c r="BD8" s="100"/>
      <c r="BE8" s="100"/>
      <c r="BF8" s="100"/>
      <c r="BG8" s="100"/>
      <c r="BH8" s="100"/>
      <c r="BI8" s="100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6"/>
      <c r="CU8" s="56"/>
      <c r="CV8" s="56"/>
      <c r="CW8" s="56"/>
    </row>
    <row r="9" spans="1:148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>Telenor</v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>Telenor</v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54"/>
      <c r="AC9" s="54"/>
      <c r="AD9" s="60">
        <v>1</v>
      </c>
      <c r="AE9" s="54"/>
      <c r="AF9" s="54"/>
      <c r="AG9" s="54"/>
      <c r="AH9" s="54"/>
      <c r="AI9" s="60">
        <v>1</v>
      </c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C9" s="101"/>
      <c r="BD9" s="101"/>
      <c r="BE9" s="101"/>
      <c r="BF9" s="101"/>
      <c r="BG9" s="101"/>
      <c r="BH9" s="101"/>
      <c r="BI9" s="101"/>
      <c r="CW9" s="56"/>
      <c r="CX9" s="56"/>
      <c r="CY9" s="56"/>
      <c r="CZ9" s="56"/>
    </row>
    <row r="10" spans="1:148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129</v>
      </c>
      <c r="L10" s="64" t="s">
        <v>130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166</v>
      </c>
      <c r="AA10" s="153" t="s">
        <v>167</v>
      </c>
      <c r="AB10" s="48" t="s">
        <v>98</v>
      </c>
      <c r="AC10" s="64" t="s">
        <v>16</v>
      </c>
      <c r="AD10" s="64" t="s">
        <v>11</v>
      </c>
      <c r="AE10" s="111" t="s">
        <v>13</v>
      </c>
      <c r="AF10" s="112" t="s">
        <v>127</v>
      </c>
      <c r="AG10" s="112" t="s">
        <v>128</v>
      </c>
      <c r="AH10" s="113" t="s">
        <v>12</v>
      </c>
      <c r="AI10" s="64" t="s">
        <v>17</v>
      </c>
      <c r="AJ10" s="64" t="s">
        <v>97</v>
      </c>
      <c r="AK10" s="64" t="s">
        <v>18</v>
      </c>
      <c r="AL10" s="64" t="s">
        <v>73</v>
      </c>
      <c r="AM10" s="64" t="s">
        <v>74</v>
      </c>
      <c r="AN10" s="64" t="s">
        <v>75</v>
      </c>
      <c r="AO10" s="64" t="s">
        <v>76</v>
      </c>
      <c r="AP10" s="64" t="s">
        <v>77</v>
      </c>
      <c r="AQ10" s="64" t="s">
        <v>78</v>
      </c>
      <c r="AR10" s="64" t="s">
        <v>79</v>
      </c>
      <c r="AS10" s="115" t="s">
        <v>133</v>
      </c>
      <c r="AT10" s="115" t="s">
        <v>134</v>
      </c>
      <c r="AU10" s="115" t="s">
        <v>135</v>
      </c>
      <c r="AV10" s="115" t="s">
        <v>136</v>
      </c>
      <c r="AW10" s="115" t="s">
        <v>148</v>
      </c>
      <c r="AX10" s="115" t="s">
        <v>149</v>
      </c>
      <c r="AY10" s="130" t="s">
        <v>151</v>
      </c>
      <c r="AZ10" s="115"/>
      <c r="BC10" s="98"/>
      <c r="BD10" s="98"/>
      <c r="BE10" s="98"/>
      <c r="BF10" s="98"/>
      <c r="BG10" s="98"/>
      <c r="BH10" s="98"/>
      <c r="BI10" s="98"/>
      <c r="CT10" s="41"/>
      <c r="CU10" s="41"/>
      <c r="CV10" s="41"/>
      <c r="CW10" s="41"/>
    </row>
    <row r="11" spans="1:148" s="54" customFormat="1" hidden="1">
      <c r="AQ11" s="53"/>
      <c r="BC11" s="102"/>
      <c r="BD11" s="102"/>
      <c r="BE11" s="102"/>
      <c r="BF11" s="102"/>
      <c r="BG11" s="102"/>
      <c r="BH11" s="102"/>
      <c r="BI11" s="102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56"/>
      <c r="ED11" s="56"/>
      <c r="EE11" s="56"/>
      <c r="EF11" s="56"/>
    </row>
    <row r="12" spans="1:148" s="66" customFormat="1">
      <c r="A12" s="65"/>
      <c r="C12" s="67"/>
      <c r="AM12" s="68"/>
      <c r="AN12" s="65"/>
      <c r="AO12" s="65"/>
      <c r="BC12" s="103"/>
      <c r="BD12" s="103"/>
      <c r="BE12" s="103"/>
      <c r="BF12" s="103"/>
      <c r="BG12" s="103"/>
      <c r="BH12" s="103"/>
      <c r="BI12" s="103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70"/>
      <c r="DZ12" s="70"/>
      <c r="EA12" s="70"/>
      <c r="EB12" s="70"/>
    </row>
    <row r="13" spans="1:148" s="66" customFormat="1" ht="21">
      <c r="A13" s="71" t="s">
        <v>114</v>
      </c>
      <c r="B13" s="72"/>
      <c r="C13" s="71" t="str">
        <f ca="1">J9</f>
        <v>Telenor</v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144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71"/>
      <c r="AQ13" s="71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102"/>
      <c r="BD13" s="103"/>
      <c r="BE13" s="103"/>
      <c r="BF13" s="103"/>
      <c r="BG13" s="103"/>
      <c r="BH13" s="103"/>
      <c r="BI13" s="103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2"/>
      <c r="EB13" s="72"/>
      <c r="EC13" s="74"/>
      <c r="ED13" s="74"/>
      <c r="EE13" s="74"/>
      <c r="EF13" s="74"/>
    </row>
    <row r="14" spans="1:148" s="77" customFormat="1" ht="15" customHeight="1">
      <c r="A14" s="75"/>
      <c r="B14" s="75" t="str">
        <f t="shared" ref="B14:AG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>.</v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>.</v>
      </c>
      <c r="L14" s="75" t="str">
        <f t="shared" si="2"/>
        <v>.</v>
      </c>
      <c r="M14" s="75" t="str">
        <f t="shared" si="2"/>
        <v>.</v>
      </c>
      <c r="N14" s="75" t="str">
        <f t="shared" si="2"/>
        <v>.</v>
      </c>
      <c r="O14" s="75" t="str">
        <f t="shared" si="2"/>
        <v>.</v>
      </c>
      <c r="P14" s="75" t="str">
        <f t="shared" si="2"/>
        <v>.</v>
      </c>
      <c r="Q14" s="75" t="str">
        <f t="shared" si="2"/>
        <v>.</v>
      </c>
      <c r="R14" s="75" t="str">
        <f t="shared" si="2"/>
        <v>.</v>
      </c>
      <c r="S14" s="75" t="str">
        <f t="shared" si="2"/>
        <v>.</v>
      </c>
      <c r="T14" s="75" t="str">
        <f t="shared" si="2"/>
        <v/>
      </c>
      <c r="U14" s="75" t="str">
        <f t="shared" si="2"/>
        <v>.</v>
      </c>
      <c r="V14" s="75" t="str">
        <f t="shared" si="2"/>
        <v/>
      </c>
      <c r="W14" s="75" t="str">
        <f t="shared" si="2"/>
        <v>.</v>
      </c>
      <c r="X14" s="75" t="str">
        <f t="shared" si="2"/>
        <v/>
      </c>
      <c r="Y14" s="75" t="str">
        <f t="shared" si="2"/>
        <v>.</v>
      </c>
      <c r="Z14" s="75" t="str">
        <f t="shared" si="2"/>
        <v/>
      </c>
      <c r="AA14" s="75" t="str">
        <f t="shared" si="2"/>
        <v/>
      </c>
      <c r="AB14" s="75" t="str">
        <f t="shared" si="2"/>
        <v/>
      </c>
      <c r="AC14" s="75" t="str">
        <f t="shared" si="2"/>
        <v/>
      </c>
      <c r="AD14" s="75" t="str">
        <f t="shared" si="2"/>
        <v>.</v>
      </c>
      <c r="AE14" s="75" t="str">
        <f t="shared" si="2"/>
        <v/>
      </c>
      <c r="AF14" s="75" t="str">
        <f t="shared" si="2"/>
        <v/>
      </c>
      <c r="AG14" s="75" t="str">
        <f t="shared" si="2"/>
        <v/>
      </c>
      <c r="AH14" s="75" t="str">
        <f t="shared" ref="AH14:AX14" si="3">IFERROR(IF(HLOOKUP(AH10,$3:$3,1,FALSE)&lt;&gt;"",".",""),"")</f>
        <v/>
      </c>
      <c r="AI14" s="75" t="str">
        <f t="shared" si="3"/>
        <v>.</v>
      </c>
      <c r="AJ14" s="75" t="str">
        <f t="shared" si="3"/>
        <v/>
      </c>
      <c r="AK14" s="75" t="str">
        <f t="shared" si="3"/>
        <v/>
      </c>
      <c r="AL14" s="75" t="str">
        <f t="shared" si="3"/>
        <v>.</v>
      </c>
      <c r="AM14" s="75" t="str">
        <f t="shared" si="3"/>
        <v/>
      </c>
      <c r="AN14" s="75" t="str">
        <f t="shared" si="3"/>
        <v>.</v>
      </c>
      <c r="AO14" s="75" t="str">
        <f t="shared" si="3"/>
        <v/>
      </c>
      <c r="AP14" s="75" t="str">
        <f t="shared" si="3"/>
        <v/>
      </c>
      <c r="AQ14" s="75" t="str">
        <f t="shared" si="3"/>
        <v>.</v>
      </c>
      <c r="AR14" s="75" t="str">
        <f t="shared" si="3"/>
        <v>.</v>
      </c>
      <c r="AS14" s="75" t="str">
        <f t="shared" si="3"/>
        <v/>
      </c>
      <c r="AT14" s="75" t="str">
        <f t="shared" si="3"/>
        <v/>
      </c>
      <c r="AU14" s="75" t="str">
        <f t="shared" si="3"/>
        <v/>
      </c>
      <c r="AV14" s="75" t="str">
        <f t="shared" si="3"/>
        <v/>
      </c>
      <c r="AW14" s="75" t="str">
        <f t="shared" si="3"/>
        <v/>
      </c>
      <c r="AX14" s="75" t="str">
        <f t="shared" si="3"/>
        <v/>
      </c>
      <c r="AY14" s="75"/>
      <c r="AZ14" s="75"/>
      <c r="BA14" s="75"/>
      <c r="BB14" s="75"/>
      <c r="BC14" s="104"/>
      <c r="BD14" s="104"/>
      <c r="BE14" s="104"/>
      <c r="BF14" s="104"/>
      <c r="BG14" s="104"/>
      <c r="BH14" s="104"/>
      <c r="BI14" s="104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</row>
    <row r="15" spans="1:148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145</v>
      </c>
      <c r="H15" s="81" t="s">
        <v>0</v>
      </c>
      <c r="I15" s="82" t="s">
        <v>113</v>
      </c>
      <c r="J15" s="81" t="s">
        <v>3</v>
      </c>
      <c r="K15" s="83" t="s">
        <v>131</v>
      </c>
      <c r="L15" s="83" t="s">
        <v>132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168</v>
      </c>
      <c r="AA15" s="154" t="s">
        <v>169</v>
      </c>
      <c r="AB15" s="91" t="s">
        <v>28</v>
      </c>
      <c r="AC15" s="91" t="s">
        <v>91</v>
      </c>
      <c r="AD15" s="92" t="s">
        <v>19</v>
      </c>
      <c r="AE15" s="93" t="s">
        <v>124</v>
      </c>
      <c r="AF15" s="93" t="s">
        <v>125</v>
      </c>
      <c r="AG15" s="110" t="s">
        <v>126</v>
      </c>
      <c r="AH15" s="93" t="s">
        <v>14</v>
      </c>
      <c r="AI15" s="94" t="s">
        <v>92</v>
      </c>
      <c r="AJ15" s="95" t="s">
        <v>29</v>
      </c>
      <c r="AK15" s="95" t="s">
        <v>93</v>
      </c>
      <c r="AL15" s="78" t="s">
        <v>94</v>
      </c>
      <c r="AM15" s="78" t="s">
        <v>95</v>
      </c>
      <c r="AN15" s="78" t="s">
        <v>34</v>
      </c>
      <c r="AO15" s="78" t="s">
        <v>96</v>
      </c>
      <c r="AP15" s="78" t="s">
        <v>33</v>
      </c>
      <c r="AQ15" s="149" t="s">
        <v>119</v>
      </c>
      <c r="AR15" s="78" t="s">
        <v>120</v>
      </c>
      <c r="AS15" s="116" t="s">
        <v>137</v>
      </c>
      <c r="AT15" s="117" t="s">
        <v>138</v>
      </c>
      <c r="AU15" s="118" t="s">
        <v>142</v>
      </c>
      <c r="AV15" s="119" t="s">
        <v>139</v>
      </c>
      <c r="AW15" s="120" t="s">
        <v>140</v>
      </c>
      <c r="AX15" s="121" t="s">
        <v>141</v>
      </c>
      <c r="AY15" s="123" t="s">
        <v>152</v>
      </c>
      <c r="AZ15" s="123" t="s">
        <v>143</v>
      </c>
      <c r="BA15" s="97" t="s">
        <v>115</v>
      </c>
      <c r="BB15" s="109" t="s">
        <v>121</v>
      </c>
      <c r="BC15" s="105" t="s">
        <v>123</v>
      </c>
      <c r="BD15" s="105" t="s">
        <v>116</v>
      </c>
      <c r="BE15" s="106" t="s">
        <v>117</v>
      </c>
      <c r="BF15" s="106" t="s">
        <v>118</v>
      </c>
      <c r="BG15" s="106" t="s">
        <v>122</v>
      </c>
      <c r="BH15" s="106" t="s">
        <v>153</v>
      </c>
      <c r="BI15" s="123" t="s">
        <v>146</v>
      </c>
      <c r="BJ15" s="129" t="s">
        <v>150</v>
      </c>
    </row>
    <row r="16" spans="1:148">
      <c r="A16" s="155"/>
      <c r="B16" s="26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8"/>
      <c r="T16" s="144"/>
      <c r="U16" s="138"/>
      <c r="V16" s="138"/>
      <c r="W16" s="138"/>
      <c r="X16" s="138"/>
      <c r="Y16" s="138"/>
      <c r="Z16" s="138"/>
      <c r="AA16" s="152"/>
      <c r="AB16" s="152"/>
      <c r="AC16" s="144"/>
      <c r="AD16" s="138"/>
      <c r="AE16" s="139"/>
      <c r="AF16" s="138"/>
      <c r="AG16" s="140"/>
      <c r="AH16" s="144"/>
      <c r="AI16" s="138"/>
      <c r="AJ16" s="141"/>
      <c r="AK16" s="141"/>
      <c r="AL16" s="138"/>
      <c r="AM16" s="141"/>
      <c r="AN16" s="138"/>
      <c r="AO16" s="142"/>
      <c r="AP16" s="141"/>
      <c r="AQ16" s="141"/>
      <c r="AR16" s="141"/>
      <c r="AS16" s="122"/>
      <c r="AT16" s="122"/>
      <c r="AU16" s="122"/>
      <c r="AV16" s="122"/>
      <c r="AW16" s="122"/>
      <c r="AX16" s="122"/>
      <c r="AY16" s="151"/>
      <c r="AZ16" s="143"/>
      <c r="BA16" s="146"/>
      <c r="BB16" s="133"/>
      <c r="BC16" s="134"/>
      <c r="BD16" s="135"/>
      <c r="BE16" s="136"/>
      <c r="BF16" s="136"/>
      <c r="BG16" s="137"/>
      <c r="BH16" s="137"/>
      <c r="BI16" s="137"/>
      <c r="BJ16" s="137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</row>
  </sheetData>
  <sheetProtection insertColumns="0" insertRows="0" insertHyperlinks="0" deleteRows="0" sort="0" autoFilter="0" pivotTables="0"/>
  <conditionalFormatting sqref="S16 W16 Y16 AD16 AI16 U16">
    <cfRule type="cellIs" dxfId="5" priority="7" operator="equal">
      <formula>"Rejected"</formula>
    </cfRule>
    <cfRule type="cellIs" dxfId="4" priority="8" operator="equal">
      <formula>"OK"</formula>
    </cfRule>
  </conditionalFormatting>
  <conditionalFormatting sqref="S16:AI16 S15:AA15 AC15:AI15">
    <cfRule type="cellIs" dxfId="3" priority="5" operator="equal">
      <formula>"Review"</formula>
    </cfRule>
  </conditionalFormatting>
  <conditionalFormatting sqref="S16 W16 Y16 AD16 AI16 AL16 AN16 AQ16 U16">
    <cfRule type="cellIs" dxfId="2" priority="4" operator="equal">
      <formula>"Not Required"</formula>
    </cfRule>
  </conditionalFormatting>
  <conditionalFormatting sqref="S16 U16 W16 Y16 AD16 AI16">
    <cfRule type="cellIs" dxfId="1" priority="3" operator="equal">
      <formula>"OK with Flag"</formula>
    </cfRule>
  </conditionalFormatting>
  <conditionalFormatting sqref="AB15">
    <cfRule type="cellIs" dxfId="0" priority="1" operator="equal">
      <formula>"Review"</formula>
    </cfRule>
  </conditionalFormatting>
  <conditionalFormatting sqref="AZ16">
    <cfRule type="colorScale" priority="27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S16 AI16 W16 U16 Y16 AD16 AL16 AN16" xr:uid="{00000000-0002-0000-0200-000000000000}">
      <formula1>"Not Required"</formula1>
    </dataValidation>
    <dataValidation type="list" allowBlank="1" showInputMessage="1" showErrorMessage="1" sqref="AQ16" xr:uid="{39E65D18-AAB0-4C1B-988F-9AEFEA09DA20}">
      <formula1>IF(AR16&lt;&gt;"",$AQ$6:$AU$6,$AS$6:$AU$6)</formula1>
    </dataValidation>
    <dataValidation type="list" allowBlank="1" showInputMessage="1" showErrorMessage="1" sqref="Q16" xr:uid="{00000000-0002-0000-0200-000002000000}">
      <formula1>IF(OR(AQ16="Approved by Management",AQ16="OK",BI16&gt;=6),$G$7:$J$7,$H$7:$J$7)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723900</xdr:colOff>
                    <xdr:row>11</xdr:row>
                    <xdr:rowOff>146050</xdr:rowOff>
                  </from>
                  <to>
                    <xdr:col>8</xdr:col>
                    <xdr:colOff>171450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6350</xdr:colOff>
                    <xdr:row>11</xdr:row>
                    <xdr:rowOff>152400</xdr:rowOff>
                  </from>
                  <to>
                    <xdr:col>6</xdr:col>
                    <xdr:colOff>400050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156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156</v>
      </c>
      <c r="B10" s="63" t="s">
        <v>157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160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156</v>
      </c>
      <c r="B15" s="78" t="s">
        <v>157</v>
      </c>
    </row>
    <row r="16" spans="1:95">
      <c r="A16" s="145" t="s">
        <v>44</v>
      </c>
      <c r="B16" s="25" t="s">
        <v>159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7" t="s">
        <v>36</v>
      </c>
      <c r="B17" s="148" t="s">
        <v>154</v>
      </c>
    </row>
    <row r="18" spans="1:2">
      <c r="A18" s="147" t="s">
        <v>35</v>
      </c>
      <c r="B18" s="148" t="s">
        <v>155</v>
      </c>
    </row>
    <row r="19" spans="1:2">
      <c r="A19" s="147" t="s">
        <v>43</v>
      </c>
      <c r="B19" s="148" t="s">
        <v>154</v>
      </c>
    </row>
    <row r="20" spans="1:2">
      <c r="A20" s="147" t="s">
        <v>39</v>
      </c>
      <c r="B20" s="148" t="s">
        <v>154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a390e121-60b8-4fd2-9983-43b87f4d3957"/>
    <ds:schemaRef ds:uri="http://purl.org/dc/dcmitype/"/>
    <ds:schemaRef ds:uri="http://purl.org/dc/terms/"/>
    <ds:schemaRef ds:uri="http://purl.org/dc/elements/1.1/"/>
    <ds:schemaRef ds:uri="7a19e65e-9de7-40b1-ad12-4e6965d24380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2019-01-23T03:38:07Z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