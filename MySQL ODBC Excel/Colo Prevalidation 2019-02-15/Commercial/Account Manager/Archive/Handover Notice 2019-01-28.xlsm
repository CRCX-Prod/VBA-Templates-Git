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neDrive - apollo-towers.com\Apollo Towers\00-Process &amp; Database\Colo Prevalidation\Commercial\Account Manager\"/>
    </mc:Choice>
  </mc:AlternateContent>
  <xr:revisionPtr revIDLastSave="553" documentId="8_{BEC1CD9A-557B-4BA0-A30C-2750EE46FB57}" xr6:coauthVersionLast="40" xr6:coauthVersionMax="40" xr10:uidLastSave="{C7899DE2-560E-47C6-B11A-838CF33C8501}"/>
  <bookViews>
    <workbookView xWindow="0" yWindow="0" windowWidth="19200" windowHeight="9460" tabRatio="710" xr2:uid="{00000000-000D-0000-FFFF-FFFF00000000}"/>
  </bookViews>
  <sheets>
    <sheet name="Handover Notice" sheetId="83" r:id="rId1"/>
    <sheet name="Validation" sheetId="70" r:id="rId2"/>
    <sheet name="Pivot Graph1" sheetId="81" state="hidden" r:id="rId3"/>
  </sheets>
  <functionGroups builtInGroupCount="19"/>
  <definedNames>
    <definedName name="_xlnm._FilterDatabase" localSheetId="1" hidden="1">Validation!#REF!</definedName>
    <definedName name="ExternalData_1" localSheetId="1" hidden="1">Validation!$A$15:$AZ$418</definedName>
    <definedName name="_xlnm.Print_Area" localSheetId="0">'Handover Notice'!$B$1:$N$57</definedName>
    <definedName name="Version">#REF!</definedName>
  </definedNames>
  <calcPr calcId="191029"/>
  <pivotCaches>
    <pivotCache cacheId="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A16" i="70" l="1"/>
  <c r="BA17" i="70"/>
  <c r="BA18" i="70"/>
  <c r="BA19" i="70"/>
  <c r="BA20" i="70"/>
  <c r="BA21" i="70"/>
  <c r="BA22" i="70"/>
  <c r="BA23" i="70"/>
  <c r="BA24" i="70"/>
  <c r="BA25" i="70"/>
  <c r="BA26" i="70"/>
  <c r="BA27" i="70"/>
  <c r="BA28" i="70"/>
  <c r="BA29" i="70"/>
  <c r="BA30" i="70"/>
  <c r="BA31" i="70"/>
  <c r="BA32" i="70"/>
  <c r="BA33" i="70"/>
  <c r="BA34" i="70"/>
  <c r="BA35" i="70"/>
  <c r="BA36" i="70"/>
  <c r="BA37" i="70"/>
  <c r="BA38" i="70"/>
  <c r="BA39" i="70"/>
  <c r="BA40" i="70"/>
  <c r="BA41" i="70"/>
  <c r="BA42" i="70"/>
  <c r="BA43" i="70"/>
  <c r="BA44" i="70"/>
  <c r="BA45" i="70"/>
  <c r="BA46" i="70"/>
  <c r="BA47" i="70"/>
  <c r="BA48" i="70"/>
  <c r="BA49" i="70"/>
  <c r="BA50" i="70"/>
  <c r="BA51" i="70"/>
  <c r="BA52" i="70"/>
  <c r="BA53" i="70"/>
  <c r="BA54" i="70"/>
  <c r="BA55" i="70"/>
  <c r="BA56" i="70"/>
  <c r="BA57" i="70"/>
  <c r="BA58" i="70"/>
  <c r="BA59" i="70"/>
  <c r="BA60" i="70"/>
  <c r="BA61" i="70"/>
  <c r="BA62" i="70"/>
  <c r="BA63" i="70"/>
  <c r="BA64" i="70"/>
  <c r="BA65" i="70"/>
  <c r="BA66" i="70"/>
  <c r="BA67" i="70"/>
  <c r="BA68" i="70"/>
  <c r="BA69" i="70"/>
  <c r="BA70" i="70"/>
  <c r="BA71" i="70"/>
  <c r="BA72" i="70"/>
  <c r="BA73" i="70"/>
  <c r="BA74" i="70"/>
  <c r="BA75" i="70"/>
  <c r="BA76" i="70"/>
  <c r="BA77" i="70"/>
  <c r="BA78" i="70"/>
  <c r="BA79" i="70"/>
  <c r="BA80" i="70"/>
  <c r="BA81" i="70"/>
  <c r="BA82" i="70"/>
  <c r="BA83" i="70"/>
  <c r="BA84" i="70"/>
  <c r="BA85" i="70"/>
  <c r="BA86" i="70"/>
  <c r="BA87" i="70"/>
  <c r="BA88" i="70"/>
  <c r="BA89" i="70"/>
  <c r="BA90" i="70"/>
  <c r="BA91" i="70"/>
  <c r="BA92" i="70"/>
  <c r="BA93" i="70"/>
  <c r="BA94" i="70"/>
  <c r="BA95" i="70"/>
  <c r="BA96" i="70"/>
  <c r="BA97" i="70"/>
  <c r="BA98" i="70"/>
  <c r="BA99" i="70"/>
  <c r="BA100" i="70"/>
  <c r="BA101" i="70"/>
  <c r="BA102" i="70"/>
  <c r="BA103" i="70"/>
  <c r="BA104" i="70"/>
  <c r="BA105" i="70"/>
  <c r="BA106" i="70"/>
  <c r="BA107" i="70"/>
  <c r="BA108" i="70"/>
  <c r="BA109" i="70"/>
  <c r="BA110" i="70"/>
  <c r="BA111" i="70"/>
  <c r="BA112" i="70"/>
  <c r="BA113" i="70"/>
  <c r="BA114" i="70"/>
  <c r="BA115" i="70"/>
  <c r="BA116" i="70"/>
  <c r="BA117" i="70"/>
  <c r="BA118" i="70"/>
  <c r="BA119" i="70"/>
  <c r="BA120" i="70"/>
  <c r="BA121" i="70"/>
  <c r="BA122" i="70"/>
  <c r="BA123" i="70"/>
  <c r="BA124" i="70"/>
  <c r="BA125" i="70"/>
  <c r="BA126" i="70"/>
  <c r="BA127" i="70"/>
  <c r="BA128" i="70"/>
  <c r="BA129" i="70"/>
  <c r="BA130" i="70"/>
  <c r="BA131" i="70"/>
  <c r="BA132" i="70"/>
  <c r="BA133" i="70"/>
  <c r="BA134" i="70"/>
  <c r="BA135" i="70"/>
  <c r="BA136" i="70"/>
  <c r="BA137" i="70"/>
  <c r="BA138" i="70"/>
  <c r="BA139" i="70"/>
  <c r="BA140" i="70"/>
  <c r="BA141" i="70"/>
  <c r="BA142" i="70"/>
  <c r="BA143" i="70"/>
  <c r="BA144" i="70"/>
  <c r="BA145" i="70"/>
  <c r="BA146" i="70"/>
  <c r="BA147" i="70"/>
  <c r="BA148" i="70"/>
  <c r="BA149" i="70"/>
  <c r="BA150" i="70"/>
  <c r="BA151" i="70"/>
  <c r="BA152" i="70"/>
  <c r="BA153" i="70"/>
  <c r="BA154" i="70"/>
  <c r="BA155" i="70"/>
  <c r="BA156" i="70"/>
  <c r="BA157" i="70"/>
  <c r="BA158" i="70"/>
  <c r="BA159" i="70"/>
  <c r="BA160" i="70"/>
  <c r="BA161" i="70"/>
  <c r="BA162" i="70"/>
  <c r="BA163" i="70"/>
  <c r="BA164" i="70"/>
  <c r="BA165" i="70"/>
  <c r="BA166" i="70"/>
  <c r="BA167" i="70"/>
  <c r="BA168" i="70"/>
  <c r="BA169" i="70"/>
  <c r="BA170" i="70"/>
  <c r="BA171" i="70"/>
  <c r="BA172" i="70"/>
  <c r="BA173" i="70"/>
  <c r="BA174" i="70"/>
  <c r="BA175" i="70"/>
  <c r="BA176" i="70"/>
  <c r="BA177" i="70"/>
  <c r="BA178" i="70"/>
  <c r="BA179" i="70"/>
  <c r="BA180" i="70"/>
  <c r="BA181" i="70"/>
  <c r="BA182" i="70"/>
  <c r="BA183" i="70"/>
  <c r="BA184" i="70"/>
  <c r="BA185" i="70"/>
  <c r="BA186" i="70"/>
  <c r="BA187" i="70"/>
  <c r="BA188" i="70"/>
  <c r="BA189" i="70"/>
  <c r="BA190" i="70"/>
  <c r="BA191" i="70"/>
  <c r="BA192" i="70"/>
  <c r="BA193" i="70"/>
  <c r="BA194" i="70"/>
  <c r="BA195" i="70"/>
  <c r="BA196" i="70"/>
  <c r="BA197" i="70"/>
  <c r="BA198" i="70"/>
  <c r="BA199" i="70"/>
  <c r="BA200" i="70"/>
  <c r="BA201" i="70"/>
  <c r="BA202" i="70"/>
  <c r="BA203" i="70"/>
  <c r="BA204" i="70"/>
  <c r="BA205" i="70"/>
  <c r="BA206" i="70"/>
  <c r="BA207" i="70"/>
  <c r="BA208" i="70"/>
  <c r="BA209" i="70"/>
  <c r="BA210" i="70"/>
  <c r="BA211" i="70"/>
  <c r="BA212" i="70"/>
  <c r="BA213" i="70"/>
  <c r="BA214" i="70"/>
  <c r="BA215" i="70"/>
  <c r="BA216" i="70"/>
  <c r="BA217" i="70"/>
  <c r="BA218" i="70"/>
  <c r="BA219" i="70"/>
  <c r="BA220" i="70"/>
  <c r="BA221" i="70"/>
  <c r="BA222" i="70"/>
  <c r="BA223" i="70"/>
  <c r="BA224" i="70"/>
  <c r="BA225" i="70"/>
  <c r="BA226" i="70"/>
  <c r="BA227" i="70"/>
  <c r="BA228" i="70"/>
  <c r="BA229" i="70"/>
  <c r="BA230" i="70"/>
  <c r="BA231" i="70"/>
  <c r="BA232" i="70"/>
  <c r="BA233" i="70"/>
  <c r="BA234" i="70"/>
  <c r="BA235" i="70"/>
  <c r="BA236" i="70"/>
  <c r="BA237" i="70"/>
  <c r="BA238" i="70"/>
  <c r="BA239" i="70"/>
  <c r="BA240" i="70"/>
  <c r="BA241" i="70"/>
  <c r="BA242" i="70"/>
  <c r="BA243" i="70"/>
  <c r="BA244" i="70"/>
  <c r="BA245" i="70"/>
  <c r="BA246" i="70"/>
  <c r="BA247" i="70"/>
  <c r="BA248" i="70"/>
  <c r="BA249" i="70"/>
  <c r="BA250" i="70"/>
  <c r="BA251" i="70"/>
  <c r="BA252" i="70"/>
  <c r="BA253" i="70"/>
  <c r="BA254" i="70"/>
  <c r="BA255" i="70"/>
  <c r="BA256" i="70"/>
  <c r="BA257" i="70"/>
  <c r="BA258" i="70"/>
  <c r="BA259" i="70"/>
  <c r="BA260" i="70"/>
  <c r="BA261" i="70"/>
  <c r="BA262" i="70"/>
  <c r="BA263" i="70"/>
  <c r="BA264" i="70"/>
  <c r="BA265" i="70"/>
  <c r="BA266" i="70"/>
  <c r="BA267" i="70"/>
  <c r="BA268" i="70"/>
  <c r="BA269" i="70"/>
  <c r="BA270" i="70"/>
  <c r="BA271" i="70"/>
  <c r="BA272" i="70"/>
  <c r="BA273" i="70"/>
  <c r="BA274" i="70"/>
  <c r="BA275" i="70"/>
  <c r="BA276" i="70"/>
  <c r="BA277" i="70"/>
  <c r="BA278" i="70"/>
  <c r="BA279" i="70"/>
  <c r="BA280" i="70"/>
  <c r="BA281" i="70"/>
  <c r="BA282" i="70"/>
  <c r="BA283" i="70"/>
  <c r="BA284" i="70"/>
  <c r="BA285" i="70"/>
  <c r="BA286" i="70"/>
  <c r="BA287" i="70"/>
  <c r="BA288" i="70"/>
  <c r="BA289" i="70"/>
  <c r="BA290" i="70"/>
  <c r="BA291" i="70"/>
  <c r="BA292" i="70"/>
  <c r="BA293" i="70"/>
  <c r="BA294" i="70"/>
  <c r="BA295" i="70"/>
  <c r="BA296" i="70"/>
  <c r="BA297" i="70"/>
  <c r="BA298" i="70"/>
  <c r="BA299" i="70"/>
  <c r="BA300" i="70"/>
  <c r="BA301" i="70"/>
  <c r="BA302" i="70"/>
  <c r="BA303" i="70"/>
  <c r="BA304" i="70"/>
  <c r="BA305" i="70"/>
  <c r="BA306" i="70"/>
  <c r="BA307" i="70"/>
  <c r="BA308" i="70"/>
  <c r="BA309" i="70"/>
  <c r="BA310" i="70"/>
  <c r="BA311" i="70"/>
  <c r="BA312" i="70"/>
  <c r="BA313" i="70"/>
  <c r="BA314" i="70"/>
  <c r="BA315" i="70"/>
  <c r="BA316" i="70"/>
  <c r="BA317" i="70"/>
  <c r="BA318" i="70"/>
  <c r="BA319" i="70"/>
  <c r="BA320" i="70"/>
  <c r="BA321" i="70"/>
  <c r="BA322" i="70"/>
  <c r="BA323" i="70"/>
  <c r="BA324" i="70"/>
  <c r="BA325" i="70"/>
  <c r="BA326" i="70"/>
  <c r="BA327" i="70"/>
  <c r="BA328" i="70"/>
  <c r="BA329" i="70"/>
  <c r="BA330" i="70"/>
  <c r="BA331" i="70"/>
  <c r="BA332" i="70"/>
  <c r="BA333" i="70"/>
  <c r="BA334" i="70"/>
  <c r="BA335" i="70"/>
  <c r="BA336" i="70"/>
  <c r="BA337" i="70"/>
  <c r="BA338" i="70"/>
  <c r="BA339" i="70"/>
  <c r="BA340" i="70"/>
  <c r="BA341" i="70"/>
  <c r="BA342" i="70"/>
  <c r="BA343" i="70"/>
  <c r="BA344" i="70"/>
  <c r="BA345" i="70"/>
  <c r="BA346" i="70"/>
  <c r="BA347" i="70"/>
  <c r="BA348" i="70"/>
  <c r="BA349" i="70"/>
  <c r="BA350" i="70"/>
  <c r="BA351" i="70"/>
  <c r="BA352" i="70"/>
  <c r="BA353" i="70"/>
  <c r="BA354" i="70"/>
  <c r="BA355" i="70"/>
  <c r="BA356" i="70"/>
  <c r="BA357" i="70"/>
  <c r="BA358" i="70"/>
  <c r="BA359" i="70"/>
  <c r="BA360" i="70"/>
  <c r="BA361" i="70"/>
  <c r="BA362" i="70"/>
  <c r="BA363" i="70"/>
  <c r="BA364" i="70"/>
  <c r="BA365" i="70"/>
  <c r="BA366" i="70"/>
  <c r="BA367" i="70"/>
  <c r="BA368" i="70"/>
  <c r="BA369" i="70"/>
  <c r="BA370" i="70"/>
  <c r="BA371" i="70"/>
  <c r="BA372" i="70"/>
  <c r="BA373" i="70"/>
  <c r="BA374" i="70"/>
  <c r="BA375" i="70"/>
  <c r="BA376" i="70"/>
  <c r="BA377" i="70"/>
  <c r="BA378" i="70"/>
  <c r="BA379" i="70"/>
  <c r="BA380" i="70"/>
  <c r="BA381" i="70"/>
  <c r="BA382" i="70"/>
  <c r="BA383" i="70"/>
  <c r="BA384" i="70"/>
  <c r="BA385" i="70"/>
  <c r="BA386" i="70"/>
  <c r="BA387" i="70"/>
  <c r="BA388" i="70"/>
  <c r="BA389" i="70"/>
  <c r="BA390" i="70"/>
  <c r="BA391" i="70"/>
  <c r="BA392" i="70"/>
  <c r="BA393" i="70"/>
  <c r="BA394" i="70"/>
  <c r="BA395" i="70"/>
  <c r="BA396" i="70"/>
  <c r="BA397" i="70"/>
  <c r="BA398" i="70"/>
  <c r="BA399" i="70"/>
  <c r="BA400" i="70"/>
  <c r="BA401" i="70"/>
  <c r="BA402" i="70"/>
  <c r="BA403" i="70"/>
  <c r="BA404" i="70"/>
  <c r="BA405" i="70"/>
  <c r="BA406" i="70"/>
  <c r="BA407" i="70"/>
  <c r="BA408" i="70"/>
  <c r="BA409" i="70"/>
  <c r="BA410" i="70"/>
  <c r="BA411" i="70"/>
  <c r="BA412" i="70"/>
  <c r="BA413" i="70"/>
  <c r="BA414" i="70"/>
  <c r="BA415" i="70"/>
  <c r="BA416" i="70"/>
  <c r="BA417" i="70"/>
  <c r="BA418" i="70"/>
  <c r="BB16" i="70"/>
  <c r="BB17" i="70"/>
  <c r="BB18" i="70"/>
  <c r="BB19" i="70"/>
  <c r="BB20" i="70"/>
  <c r="BB21" i="70"/>
  <c r="BB22" i="70"/>
  <c r="BB23" i="70"/>
  <c r="BB24" i="70"/>
  <c r="BB25" i="70"/>
  <c r="BB26" i="70"/>
  <c r="BB27" i="70"/>
  <c r="BB28" i="70"/>
  <c r="BB29" i="70"/>
  <c r="BB30" i="70"/>
  <c r="BB31" i="70"/>
  <c r="BB32" i="70"/>
  <c r="BB33" i="70"/>
  <c r="BB34" i="70"/>
  <c r="BB35" i="70"/>
  <c r="BB36" i="70"/>
  <c r="BB37" i="70"/>
  <c r="BB38" i="70"/>
  <c r="BB39" i="70"/>
  <c r="BB40" i="70"/>
  <c r="BB41" i="70"/>
  <c r="BB42" i="70"/>
  <c r="BB43" i="70"/>
  <c r="BB44" i="70"/>
  <c r="BB45" i="70"/>
  <c r="BB46" i="70"/>
  <c r="BB47" i="70"/>
  <c r="BB48" i="70"/>
  <c r="BB49" i="70"/>
  <c r="BB50" i="70"/>
  <c r="BB51" i="70"/>
  <c r="BB52" i="70"/>
  <c r="BB53" i="70"/>
  <c r="BB54" i="70"/>
  <c r="BB55" i="70"/>
  <c r="BB56" i="70"/>
  <c r="BB57" i="70"/>
  <c r="BB58" i="70"/>
  <c r="BB59" i="70"/>
  <c r="BB60" i="70"/>
  <c r="BB61" i="70"/>
  <c r="BB62" i="70"/>
  <c r="BB63" i="70"/>
  <c r="BB64" i="70"/>
  <c r="BB65" i="70"/>
  <c r="BB66" i="70"/>
  <c r="BB67" i="70"/>
  <c r="BB68" i="70"/>
  <c r="BB69" i="70"/>
  <c r="BB70" i="70"/>
  <c r="BB71" i="70"/>
  <c r="BB72" i="70"/>
  <c r="BB73" i="70"/>
  <c r="BB74" i="70"/>
  <c r="BB75" i="70"/>
  <c r="BB76" i="70"/>
  <c r="BB77" i="70"/>
  <c r="BB78" i="70"/>
  <c r="BB79" i="70"/>
  <c r="BB80" i="70"/>
  <c r="BB81" i="70"/>
  <c r="BB82" i="70"/>
  <c r="BB83" i="70"/>
  <c r="BB84" i="70"/>
  <c r="BB85" i="70"/>
  <c r="BB86" i="70"/>
  <c r="BB87" i="70"/>
  <c r="BB88" i="70"/>
  <c r="BB89" i="70"/>
  <c r="BB90" i="70"/>
  <c r="BB91" i="70"/>
  <c r="BB92" i="70"/>
  <c r="BB93" i="70"/>
  <c r="BB94" i="70"/>
  <c r="BB95" i="70"/>
  <c r="BB96" i="70"/>
  <c r="BB97" i="70"/>
  <c r="BB98" i="70"/>
  <c r="BB99" i="70"/>
  <c r="BB100" i="70"/>
  <c r="BB101" i="70"/>
  <c r="BB102" i="70"/>
  <c r="BB103" i="70"/>
  <c r="BB104" i="70"/>
  <c r="BB105" i="70"/>
  <c r="BB106" i="70"/>
  <c r="BB107" i="70"/>
  <c r="BB108" i="70"/>
  <c r="BB109" i="70"/>
  <c r="BB110" i="70"/>
  <c r="BB111" i="70"/>
  <c r="BB112" i="70"/>
  <c r="BB113" i="70"/>
  <c r="BB114" i="70"/>
  <c r="BB115" i="70"/>
  <c r="BB116" i="70"/>
  <c r="BB117" i="70"/>
  <c r="BB118" i="70"/>
  <c r="BB119" i="70"/>
  <c r="BB120" i="70"/>
  <c r="BB121" i="70"/>
  <c r="BB122" i="70"/>
  <c r="BB123" i="70"/>
  <c r="BB124" i="70"/>
  <c r="BB125" i="70"/>
  <c r="BB126" i="70"/>
  <c r="BB127" i="70"/>
  <c r="BB128" i="70"/>
  <c r="BB129" i="70"/>
  <c r="BB130" i="70"/>
  <c r="BB131" i="70"/>
  <c r="BB132" i="70"/>
  <c r="BB133" i="70"/>
  <c r="BB134" i="70"/>
  <c r="BB135" i="70"/>
  <c r="BB136" i="70"/>
  <c r="BB137" i="70"/>
  <c r="BB138" i="70"/>
  <c r="BB139" i="70"/>
  <c r="BB140" i="70"/>
  <c r="BB141" i="70"/>
  <c r="BB142" i="70"/>
  <c r="BB143" i="70"/>
  <c r="BB144" i="70"/>
  <c r="BB145" i="70"/>
  <c r="BB146" i="70"/>
  <c r="BB147" i="70"/>
  <c r="BB148" i="70"/>
  <c r="BB149" i="70"/>
  <c r="BB150" i="70"/>
  <c r="BB151" i="70"/>
  <c r="BB152" i="70"/>
  <c r="BB153" i="70"/>
  <c r="BB154" i="70"/>
  <c r="BB155" i="70"/>
  <c r="BB156" i="70"/>
  <c r="BB157" i="70"/>
  <c r="BB158" i="70"/>
  <c r="BB159" i="70"/>
  <c r="BB160" i="70"/>
  <c r="BB161" i="70"/>
  <c r="BB162" i="70"/>
  <c r="BB163" i="70"/>
  <c r="BB164" i="70"/>
  <c r="BB165" i="70"/>
  <c r="BB166" i="70"/>
  <c r="BB167" i="70"/>
  <c r="BB168" i="70"/>
  <c r="BB169" i="70"/>
  <c r="BB170" i="70"/>
  <c r="BB171" i="70"/>
  <c r="BB172" i="70"/>
  <c r="BB173" i="70"/>
  <c r="BB174" i="70"/>
  <c r="BB175" i="70"/>
  <c r="BB176" i="70"/>
  <c r="BB177" i="70"/>
  <c r="BB178" i="70"/>
  <c r="BB179" i="70"/>
  <c r="BB180" i="70"/>
  <c r="BB181" i="70"/>
  <c r="BB182" i="70"/>
  <c r="BB183" i="70"/>
  <c r="BB184" i="70"/>
  <c r="BB185" i="70"/>
  <c r="BB186" i="70"/>
  <c r="BB187" i="70"/>
  <c r="BB188" i="70"/>
  <c r="BB189" i="70"/>
  <c r="BB190" i="70"/>
  <c r="BB191" i="70"/>
  <c r="BB192" i="70"/>
  <c r="BB193" i="70"/>
  <c r="BB194" i="70"/>
  <c r="BB195" i="70"/>
  <c r="BB196" i="70"/>
  <c r="BB197" i="70"/>
  <c r="BB198" i="70"/>
  <c r="BB199" i="70"/>
  <c r="BB200" i="70"/>
  <c r="BB201" i="70"/>
  <c r="BB202" i="70"/>
  <c r="BB203" i="70"/>
  <c r="BB204" i="70"/>
  <c r="BB205" i="70"/>
  <c r="BB206" i="70"/>
  <c r="BB207" i="70"/>
  <c r="BB208" i="70"/>
  <c r="BB209" i="70"/>
  <c r="BB210" i="70"/>
  <c r="BB211" i="70"/>
  <c r="BB212" i="70"/>
  <c r="BB213" i="70"/>
  <c r="BB214" i="70"/>
  <c r="BB215" i="70"/>
  <c r="BB216" i="70"/>
  <c r="BB217" i="70"/>
  <c r="BB218" i="70"/>
  <c r="BB219" i="70"/>
  <c r="BB220" i="70"/>
  <c r="BB221" i="70"/>
  <c r="BB222" i="70"/>
  <c r="BB223" i="70"/>
  <c r="BB224" i="70"/>
  <c r="BB225" i="70"/>
  <c r="BB226" i="70"/>
  <c r="BB227" i="70"/>
  <c r="BB228" i="70"/>
  <c r="BB229" i="70"/>
  <c r="BB230" i="70"/>
  <c r="BB231" i="70"/>
  <c r="BB232" i="70"/>
  <c r="BB233" i="70"/>
  <c r="BB234" i="70"/>
  <c r="BB235" i="70"/>
  <c r="BB236" i="70"/>
  <c r="BB237" i="70"/>
  <c r="BB238" i="70"/>
  <c r="BB239" i="70"/>
  <c r="BB240" i="70"/>
  <c r="BB241" i="70"/>
  <c r="BB242" i="70"/>
  <c r="BB243" i="70"/>
  <c r="BB244" i="70"/>
  <c r="BB245" i="70"/>
  <c r="BB246" i="70"/>
  <c r="BB247" i="70"/>
  <c r="BB248" i="70"/>
  <c r="BB249" i="70"/>
  <c r="BB250" i="70"/>
  <c r="BB251" i="70"/>
  <c r="BB252" i="70"/>
  <c r="BB253" i="70"/>
  <c r="BB254" i="70"/>
  <c r="BB255" i="70"/>
  <c r="BB256" i="70"/>
  <c r="BB257" i="70"/>
  <c r="BB258" i="70"/>
  <c r="BB259" i="70"/>
  <c r="BB260" i="70"/>
  <c r="BB261" i="70"/>
  <c r="BB262" i="70"/>
  <c r="BB263" i="70"/>
  <c r="BB264" i="70"/>
  <c r="BB265" i="70"/>
  <c r="BB266" i="70"/>
  <c r="BB267" i="70"/>
  <c r="BB268" i="70"/>
  <c r="BB269" i="70"/>
  <c r="BB270" i="70"/>
  <c r="BB271" i="70"/>
  <c r="BB272" i="70"/>
  <c r="BB273" i="70"/>
  <c r="BB274" i="70"/>
  <c r="BB275" i="70"/>
  <c r="BB276" i="70"/>
  <c r="BB277" i="70"/>
  <c r="BB278" i="70"/>
  <c r="BB279" i="70"/>
  <c r="BB280" i="70"/>
  <c r="BB281" i="70"/>
  <c r="BB282" i="70"/>
  <c r="BB283" i="70"/>
  <c r="BB284" i="70"/>
  <c r="BB285" i="70"/>
  <c r="BB286" i="70"/>
  <c r="BB287" i="70"/>
  <c r="BB288" i="70"/>
  <c r="BB289" i="70"/>
  <c r="BB290" i="70"/>
  <c r="BB291" i="70"/>
  <c r="BB292" i="70"/>
  <c r="BB293" i="70"/>
  <c r="BB294" i="70"/>
  <c r="BB295" i="70"/>
  <c r="BB296" i="70"/>
  <c r="BB297" i="70"/>
  <c r="BB298" i="70"/>
  <c r="BB299" i="70"/>
  <c r="BB300" i="70"/>
  <c r="BB301" i="70"/>
  <c r="BB302" i="70"/>
  <c r="BB303" i="70"/>
  <c r="BB304" i="70"/>
  <c r="BB305" i="70"/>
  <c r="BB306" i="70"/>
  <c r="BB307" i="70"/>
  <c r="BB308" i="70"/>
  <c r="BB309" i="70"/>
  <c r="BB310" i="70"/>
  <c r="BB311" i="70"/>
  <c r="BB312" i="70"/>
  <c r="BB313" i="70"/>
  <c r="BB314" i="70"/>
  <c r="BB315" i="70"/>
  <c r="BB316" i="70"/>
  <c r="BB317" i="70"/>
  <c r="BB318" i="70"/>
  <c r="BB319" i="70"/>
  <c r="BB320" i="70"/>
  <c r="BB321" i="70"/>
  <c r="BB322" i="70"/>
  <c r="BB323" i="70"/>
  <c r="BB324" i="70"/>
  <c r="BB325" i="70"/>
  <c r="BB326" i="70"/>
  <c r="BB327" i="70"/>
  <c r="BB328" i="70"/>
  <c r="BB329" i="70"/>
  <c r="BB330" i="70"/>
  <c r="BB331" i="70"/>
  <c r="BB332" i="70"/>
  <c r="BB333" i="70"/>
  <c r="BB334" i="70"/>
  <c r="BB335" i="70"/>
  <c r="BB336" i="70"/>
  <c r="BB337" i="70"/>
  <c r="BB338" i="70"/>
  <c r="BB339" i="70"/>
  <c r="BB340" i="70"/>
  <c r="BB341" i="70"/>
  <c r="BB342" i="70"/>
  <c r="BB343" i="70"/>
  <c r="BB344" i="70"/>
  <c r="BB345" i="70"/>
  <c r="BB346" i="70"/>
  <c r="BB347" i="70"/>
  <c r="BB348" i="70"/>
  <c r="BB349" i="70"/>
  <c r="BB350" i="70"/>
  <c r="BB351" i="70"/>
  <c r="BB352" i="70"/>
  <c r="BB353" i="70"/>
  <c r="BB354" i="70"/>
  <c r="BB355" i="70"/>
  <c r="BB356" i="70"/>
  <c r="BB357" i="70"/>
  <c r="BB358" i="70"/>
  <c r="BB359" i="70"/>
  <c r="BB360" i="70"/>
  <c r="BB361" i="70"/>
  <c r="BB362" i="70"/>
  <c r="BB363" i="70"/>
  <c r="BB364" i="70"/>
  <c r="BB365" i="70"/>
  <c r="BB366" i="70"/>
  <c r="BB367" i="70"/>
  <c r="BB368" i="70"/>
  <c r="BB369" i="70"/>
  <c r="BB370" i="70"/>
  <c r="BB371" i="70"/>
  <c r="BB372" i="70"/>
  <c r="BB373" i="70"/>
  <c r="BB374" i="70"/>
  <c r="BB375" i="70"/>
  <c r="BB376" i="70"/>
  <c r="BB377" i="70"/>
  <c r="BB378" i="70"/>
  <c r="BB379" i="70"/>
  <c r="BB380" i="70"/>
  <c r="BB381" i="70"/>
  <c r="BB382" i="70"/>
  <c r="BB383" i="70"/>
  <c r="BB384" i="70"/>
  <c r="BB385" i="70"/>
  <c r="BB386" i="70"/>
  <c r="BB387" i="70"/>
  <c r="BB388" i="70"/>
  <c r="BB389" i="70"/>
  <c r="BB390" i="70"/>
  <c r="BB391" i="70"/>
  <c r="BB392" i="70"/>
  <c r="BB393" i="70"/>
  <c r="BB394" i="70"/>
  <c r="BB395" i="70"/>
  <c r="BB396" i="70"/>
  <c r="BB397" i="70"/>
  <c r="BB398" i="70"/>
  <c r="BB399" i="70"/>
  <c r="BB400" i="70"/>
  <c r="BB401" i="70"/>
  <c r="BB402" i="70"/>
  <c r="BB403" i="70"/>
  <c r="BB404" i="70"/>
  <c r="BB405" i="70"/>
  <c r="BB406" i="70"/>
  <c r="BB407" i="70"/>
  <c r="BB408" i="70"/>
  <c r="BB409" i="70"/>
  <c r="BB410" i="70"/>
  <c r="BB411" i="70"/>
  <c r="BB412" i="70"/>
  <c r="BB413" i="70"/>
  <c r="BB414" i="70"/>
  <c r="BB415" i="70"/>
  <c r="BB416" i="70"/>
  <c r="BB417" i="70"/>
  <c r="BB418" i="70"/>
  <c r="BD16" i="70"/>
  <c r="BD17" i="70"/>
  <c r="BD18" i="70"/>
  <c r="BD19" i="70"/>
  <c r="BD20" i="70"/>
  <c r="BD21" i="70"/>
  <c r="BD22" i="70"/>
  <c r="BD23" i="70"/>
  <c r="BD24" i="70"/>
  <c r="BD25" i="70"/>
  <c r="BD26" i="70"/>
  <c r="BD27" i="70"/>
  <c r="BD28" i="70"/>
  <c r="BD29" i="70"/>
  <c r="BD30" i="70"/>
  <c r="BD31" i="70"/>
  <c r="BD32" i="70"/>
  <c r="BD33" i="70"/>
  <c r="BD34" i="70"/>
  <c r="BD35" i="70"/>
  <c r="BD36" i="70"/>
  <c r="BD37" i="70"/>
  <c r="BD38" i="70"/>
  <c r="BD39" i="70"/>
  <c r="BD40" i="70"/>
  <c r="BD41" i="70"/>
  <c r="BD42" i="70"/>
  <c r="BD43" i="70"/>
  <c r="BD44" i="70"/>
  <c r="BD45" i="70"/>
  <c r="BD46" i="70"/>
  <c r="BD47" i="70"/>
  <c r="BD48" i="70"/>
  <c r="BD49" i="70"/>
  <c r="BD50" i="70"/>
  <c r="BD51" i="70"/>
  <c r="BD52" i="70"/>
  <c r="BD53" i="70"/>
  <c r="BD54" i="70"/>
  <c r="BD55" i="70"/>
  <c r="BD56" i="70"/>
  <c r="BD57" i="70"/>
  <c r="BD58" i="70"/>
  <c r="BD59" i="70"/>
  <c r="BD60" i="70"/>
  <c r="BD61" i="70"/>
  <c r="BD62" i="70"/>
  <c r="BD63" i="70"/>
  <c r="BD64" i="70"/>
  <c r="BD65" i="70"/>
  <c r="BD66" i="70"/>
  <c r="BD67" i="70"/>
  <c r="BD68" i="70"/>
  <c r="BD69" i="70"/>
  <c r="BD70" i="70"/>
  <c r="BD71" i="70"/>
  <c r="BD72" i="70"/>
  <c r="BD73" i="70"/>
  <c r="BD74" i="70"/>
  <c r="BD75" i="70"/>
  <c r="BD76" i="70"/>
  <c r="BD77" i="70"/>
  <c r="BD78" i="70"/>
  <c r="BD79" i="70"/>
  <c r="BD80" i="70"/>
  <c r="BD81" i="70"/>
  <c r="BD82" i="70"/>
  <c r="BD83" i="70"/>
  <c r="BD84" i="70"/>
  <c r="BD85" i="70"/>
  <c r="BD86" i="70"/>
  <c r="BD87" i="70"/>
  <c r="BD88" i="70"/>
  <c r="BD89" i="70"/>
  <c r="BD90" i="70"/>
  <c r="BD91" i="70"/>
  <c r="BD92" i="70"/>
  <c r="BD93" i="70"/>
  <c r="BD94" i="70"/>
  <c r="BD95" i="70"/>
  <c r="BD96" i="70"/>
  <c r="BD97" i="70"/>
  <c r="BD98" i="70"/>
  <c r="BD99" i="70"/>
  <c r="BD100" i="70"/>
  <c r="BD101" i="70"/>
  <c r="BD102" i="70"/>
  <c r="BD103" i="70"/>
  <c r="BD104" i="70"/>
  <c r="BD105" i="70"/>
  <c r="BD106" i="70"/>
  <c r="BD107" i="70"/>
  <c r="BD108" i="70"/>
  <c r="BD109" i="70"/>
  <c r="BD110" i="70"/>
  <c r="BD111" i="70"/>
  <c r="BD112" i="70"/>
  <c r="BD113" i="70"/>
  <c r="BD114" i="70"/>
  <c r="BD115" i="70"/>
  <c r="BD116" i="70"/>
  <c r="BD117" i="70"/>
  <c r="BD118" i="70"/>
  <c r="BD119" i="70"/>
  <c r="BD120" i="70"/>
  <c r="BD121" i="70"/>
  <c r="BD122" i="70"/>
  <c r="BD123" i="70"/>
  <c r="BD124" i="70"/>
  <c r="BD125" i="70"/>
  <c r="BD126" i="70"/>
  <c r="BD127" i="70"/>
  <c r="BD128" i="70"/>
  <c r="BD129" i="70"/>
  <c r="BD130" i="70"/>
  <c r="BD131" i="70"/>
  <c r="BD132" i="70"/>
  <c r="BD133" i="70"/>
  <c r="BD134" i="70"/>
  <c r="BD135" i="70"/>
  <c r="BD136" i="70"/>
  <c r="BD137" i="70"/>
  <c r="BD138" i="70"/>
  <c r="BD139" i="70"/>
  <c r="BD140" i="70"/>
  <c r="BD141" i="70"/>
  <c r="BD142" i="70"/>
  <c r="BD143" i="70"/>
  <c r="BD144" i="70"/>
  <c r="BD145" i="70"/>
  <c r="BD146" i="70"/>
  <c r="BD147" i="70"/>
  <c r="BD148" i="70"/>
  <c r="BD149" i="70"/>
  <c r="BD150" i="70"/>
  <c r="BD151" i="70"/>
  <c r="BD152" i="70"/>
  <c r="BD153" i="70"/>
  <c r="BD154" i="70"/>
  <c r="BD155" i="70"/>
  <c r="BD156" i="70"/>
  <c r="BD157" i="70"/>
  <c r="BD158" i="70"/>
  <c r="BD159" i="70"/>
  <c r="BD160" i="70"/>
  <c r="BD161" i="70"/>
  <c r="BD162" i="70"/>
  <c r="BD163" i="70"/>
  <c r="BD164" i="70"/>
  <c r="BD165" i="70"/>
  <c r="BD166" i="70"/>
  <c r="BD167" i="70"/>
  <c r="BD168" i="70"/>
  <c r="BD169" i="70"/>
  <c r="BD170" i="70"/>
  <c r="BD171" i="70"/>
  <c r="BD172" i="70"/>
  <c r="BD173" i="70"/>
  <c r="BD174" i="70"/>
  <c r="BD175" i="70"/>
  <c r="BD176" i="70"/>
  <c r="BD177" i="70"/>
  <c r="BD178" i="70"/>
  <c r="BD179" i="70"/>
  <c r="BD180" i="70"/>
  <c r="BD181" i="70"/>
  <c r="BD182" i="70"/>
  <c r="BD183" i="70"/>
  <c r="BD184" i="70"/>
  <c r="BD185" i="70"/>
  <c r="BD186" i="70"/>
  <c r="BD187" i="70"/>
  <c r="BD188" i="70"/>
  <c r="BD189" i="70"/>
  <c r="BD190" i="70"/>
  <c r="BD191" i="70"/>
  <c r="BD192" i="70"/>
  <c r="BD193" i="70"/>
  <c r="BD194" i="70"/>
  <c r="BD195" i="70"/>
  <c r="BD196" i="70"/>
  <c r="BD197" i="70"/>
  <c r="BD198" i="70"/>
  <c r="BD199" i="70"/>
  <c r="BD200" i="70"/>
  <c r="BD201" i="70"/>
  <c r="BD202" i="70"/>
  <c r="BD203" i="70"/>
  <c r="BD204" i="70"/>
  <c r="BD205" i="70"/>
  <c r="BD206" i="70"/>
  <c r="BD207" i="70"/>
  <c r="BD208" i="70"/>
  <c r="BD209" i="70"/>
  <c r="BD210" i="70"/>
  <c r="BD211" i="70"/>
  <c r="BD212" i="70"/>
  <c r="BD213" i="70"/>
  <c r="BD214" i="70"/>
  <c r="BD215" i="70"/>
  <c r="BD216" i="70"/>
  <c r="BD217" i="70"/>
  <c r="BD218" i="70"/>
  <c r="BD219" i="70"/>
  <c r="BD220" i="70"/>
  <c r="BD221" i="70"/>
  <c r="BD222" i="70"/>
  <c r="BD223" i="70"/>
  <c r="BD224" i="70"/>
  <c r="BD225" i="70"/>
  <c r="BD226" i="70"/>
  <c r="BD227" i="70"/>
  <c r="BD228" i="70"/>
  <c r="BD229" i="70"/>
  <c r="BD230" i="70"/>
  <c r="BD231" i="70"/>
  <c r="BD232" i="70"/>
  <c r="BD233" i="70"/>
  <c r="BD234" i="70"/>
  <c r="BD235" i="70"/>
  <c r="BD236" i="70"/>
  <c r="BD237" i="70"/>
  <c r="BD238" i="70"/>
  <c r="BD239" i="70"/>
  <c r="BD240" i="70"/>
  <c r="BD241" i="70"/>
  <c r="BD242" i="70"/>
  <c r="BD243" i="70"/>
  <c r="BD244" i="70"/>
  <c r="BD245" i="70"/>
  <c r="BD246" i="70"/>
  <c r="BD247" i="70"/>
  <c r="BD248" i="70"/>
  <c r="BD249" i="70"/>
  <c r="BD250" i="70"/>
  <c r="BD251" i="70"/>
  <c r="BD252" i="70"/>
  <c r="BD253" i="70"/>
  <c r="BD254" i="70"/>
  <c r="BD255" i="70"/>
  <c r="BD256" i="70"/>
  <c r="BD257" i="70"/>
  <c r="BD258" i="70"/>
  <c r="BD259" i="70"/>
  <c r="BD260" i="70"/>
  <c r="BD261" i="70"/>
  <c r="BD262" i="70"/>
  <c r="BD263" i="70"/>
  <c r="BD264" i="70"/>
  <c r="BD265" i="70"/>
  <c r="BD266" i="70"/>
  <c r="BD267" i="70"/>
  <c r="BD268" i="70"/>
  <c r="BD269" i="70"/>
  <c r="BD270" i="70"/>
  <c r="BD271" i="70"/>
  <c r="BD272" i="70"/>
  <c r="BD273" i="70"/>
  <c r="BD274" i="70"/>
  <c r="BD275" i="70"/>
  <c r="BD276" i="70"/>
  <c r="BD277" i="70"/>
  <c r="BD278" i="70"/>
  <c r="BD279" i="70"/>
  <c r="BD280" i="70"/>
  <c r="BD281" i="70"/>
  <c r="BD282" i="70"/>
  <c r="BD283" i="70"/>
  <c r="BD284" i="70"/>
  <c r="BD285" i="70"/>
  <c r="BD286" i="70"/>
  <c r="BD287" i="70"/>
  <c r="BD288" i="70"/>
  <c r="BD289" i="70"/>
  <c r="BD290" i="70"/>
  <c r="BD291" i="70"/>
  <c r="BD292" i="70"/>
  <c r="BD293" i="70"/>
  <c r="BD294" i="70"/>
  <c r="BD295" i="70"/>
  <c r="BD296" i="70"/>
  <c r="BD297" i="70"/>
  <c r="BD298" i="70"/>
  <c r="BD299" i="70"/>
  <c r="BD300" i="70"/>
  <c r="BD301" i="70"/>
  <c r="BD302" i="70"/>
  <c r="BD303" i="70"/>
  <c r="BD304" i="70"/>
  <c r="BD305" i="70"/>
  <c r="BD306" i="70"/>
  <c r="BD307" i="70"/>
  <c r="BD308" i="70"/>
  <c r="BD309" i="70"/>
  <c r="BD310" i="70"/>
  <c r="BD311" i="70"/>
  <c r="BD312" i="70"/>
  <c r="BD313" i="70"/>
  <c r="BD314" i="70"/>
  <c r="BD315" i="70"/>
  <c r="BD316" i="70"/>
  <c r="BD317" i="70"/>
  <c r="BD318" i="70"/>
  <c r="BD319" i="70"/>
  <c r="BD320" i="70"/>
  <c r="BD321" i="70"/>
  <c r="BD322" i="70"/>
  <c r="BD323" i="70"/>
  <c r="BD324" i="70"/>
  <c r="BD325" i="70"/>
  <c r="BD326" i="70"/>
  <c r="BD327" i="70"/>
  <c r="BD328" i="70"/>
  <c r="BD329" i="70"/>
  <c r="BD330" i="70"/>
  <c r="BD331" i="70"/>
  <c r="BD332" i="70"/>
  <c r="BD333" i="70"/>
  <c r="BD334" i="70"/>
  <c r="BD335" i="70"/>
  <c r="BD336" i="70"/>
  <c r="BD337" i="70"/>
  <c r="BD338" i="70"/>
  <c r="BD339" i="70"/>
  <c r="BD340" i="70"/>
  <c r="BD341" i="70"/>
  <c r="BD342" i="70"/>
  <c r="BD343" i="70"/>
  <c r="BD344" i="70"/>
  <c r="BD345" i="70"/>
  <c r="BD346" i="70"/>
  <c r="BD347" i="70"/>
  <c r="BD348" i="70"/>
  <c r="BD349" i="70"/>
  <c r="BD350" i="70"/>
  <c r="BD351" i="70"/>
  <c r="BD352" i="70"/>
  <c r="BD353" i="70"/>
  <c r="BD354" i="70"/>
  <c r="BD355" i="70"/>
  <c r="BD356" i="70"/>
  <c r="BD357" i="70"/>
  <c r="BD358" i="70"/>
  <c r="BD359" i="70"/>
  <c r="BD360" i="70"/>
  <c r="BD361" i="70"/>
  <c r="BD362" i="70"/>
  <c r="BD363" i="70"/>
  <c r="BD364" i="70"/>
  <c r="BD365" i="70"/>
  <c r="BD366" i="70"/>
  <c r="BD367" i="70"/>
  <c r="BD368" i="70"/>
  <c r="BD369" i="70"/>
  <c r="BD370" i="70"/>
  <c r="BD371" i="70"/>
  <c r="BD372" i="70"/>
  <c r="BD373" i="70"/>
  <c r="BD374" i="70"/>
  <c r="BD375" i="70"/>
  <c r="BD376" i="70"/>
  <c r="BD377" i="70"/>
  <c r="BD378" i="70"/>
  <c r="BD379" i="70"/>
  <c r="BD380" i="70"/>
  <c r="BD381" i="70"/>
  <c r="BD382" i="70"/>
  <c r="BD383" i="70"/>
  <c r="BD384" i="70"/>
  <c r="BD385" i="70"/>
  <c r="BD386" i="70"/>
  <c r="BD387" i="70"/>
  <c r="BD388" i="70"/>
  <c r="BD389" i="70"/>
  <c r="BD390" i="70"/>
  <c r="BD391" i="70"/>
  <c r="BD392" i="70"/>
  <c r="BD393" i="70"/>
  <c r="BD394" i="70"/>
  <c r="BD395" i="70"/>
  <c r="BD396" i="70"/>
  <c r="BD397" i="70"/>
  <c r="BD398" i="70"/>
  <c r="BD399" i="70"/>
  <c r="BD400" i="70"/>
  <c r="BD401" i="70"/>
  <c r="BD402" i="70"/>
  <c r="BD403" i="70"/>
  <c r="BD404" i="70"/>
  <c r="BD405" i="70"/>
  <c r="BD406" i="70"/>
  <c r="BD407" i="70"/>
  <c r="BD408" i="70"/>
  <c r="BD409" i="70"/>
  <c r="BD410" i="70"/>
  <c r="BD411" i="70"/>
  <c r="BD412" i="70"/>
  <c r="BD413" i="70"/>
  <c r="BD414" i="70"/>
  <c r="BD415" i="70"/>
  <c r="BD416" i="70"/>
  <c r="BD417" i="70"/>
  <c r="BD418" i="70"/>
  <c r="BE16" i="70"/>
  <c r="BE17" i="70"/>
  <c r="BE18" i="70"/>
  <c r="BE19" i="70"/>
  <c r="BF19" i="70" s="1"/>
  <c r="BG19" i="70" s="1"/>
  <c r="BH19" i="70" s="1"/>
  <c r="BI19" i="70" s="1"/>
  <c r="BE20" i="70"/>
  <c r="BE21" i="70"/>
  <c r="BF21" i="70" s="1"/>
  <c r="BE22" i="70"/>
  <c r="BF22" i="70" s="1"/>
  <c r="BG22" i="70" s="1"/>
  <c r="BH22" i="70" s="1"/>
  <c r="BI22" i="70" s="1"/>
  <c r="BE23" i="70"/>
  <c r="BE24" i="70"/>
  <c r="BE25" i="70"/>
  <c r="BE26" i="70"/>
  <c r="BE27" i="70"/>
  <c r="BF27" i="70" s="1"/>
  <c r="BE28" i="70"/>
  <c r="BE29" i="70"/>
  <c r="BF29" i="70" s="1"/>
  <c r="BG29" i="70" s="1"/>
  <c r="BH29" i="70" s="1"/>
  <c r="BI29" i="70" s="1"/>
  <c r="BE30" i="70"/>
  <c r="BF30" i="70" s="1"/>
  <c r="BG30" i="70" s="1"/>
  <c r="BH30" i="70" s="1"/>
  <c r="BI30" i="70" s="1"/>
  <c r="BE31" i="70"/>
  <c r="BE32" i="70"/>
  <c r="BE33" i="70"/>
  <c r="BE34" i="70"/>
  <c r="BF34" i="70" s="1"/>
  <c r="BE35" i="70"/>
  <c r="BF35" i="70" s="1"/>
  <c r="BE36" i="70"/>
  <c r="BE37" i="70"/>
  <c r="BF37" i="70" s="1"/>
  <c r="BG37" i="70" s="1"/>
  <c r="BH37" i="70" s="1"/>
  <c r="BI37" i="70" s="1"/>
  <c r="BE38" i="70"/>
  <c r="BF38" i="70" s="1"/>
  <c r="BG38" i="70" s="1"/>
  <c r="BH38" i="70" s="1"/>
  <c r="BI38" i="70" s="1"/>
  <c r="BE39" i="70"/>
  <c r="BE40" i="70"/>
  <c r="BF40" i="70" s="1"/>
  <c r="BG40" i="70" s="1"/>
  <c r="BH40" i="70" s="1"/>
  <c r="BI40" i="70" s="1"/>
  <c r="BE41" i="70"/>
  <c r="BE42" i="70"/>
  <c r="BE43" i="70"/>
  <c r="BF43" i="70" s="1"/>
  <c r="BG43" i="70" s="1"/>
  <c r="BH43" i="70" s="1"/>
  <c r="BI43" i="70" s="1"/>
  <c r="BE44" i="70"/>
  <c r="BE45" i="70"/>
  <c r="BF45" i="70" s="1"/>
  <c r="BG45" i="70" s="1"/>
  <c r="BH45" i="70" s="1"/>
  <c r="BI45" i="70" s="1"/>
  <c r="BE46" i="70"/>
  <c r="BF46" i="70" s="1"/>
  <c r="BG46" i="70" s="1"/>
  <c r="BH46" i="70" s="1"/>
  <c r="BI46" i="70" s="1"/>
  <c r="BE47" i="70"/>
  <c r="BE48" i="70"/>
  <c r="BE49" i="70"/>
  <c r="BE50" i="70"/>
  <c r="BE51" i="70"/>
  <c r="BF51" i="70" s="1"/>
  <c r="BE52" i="70"/>
  <c r="BE53" i="70"/>
  <c r="BF53" i="70" s="1"/>
  <c r="BE54" i="70"/>
  <c r="BF54" i="70" s="1"/>
  <c r="BG54" i="70" s="1"/>
  <c r="BH54" i="70" s="1"/>
  <c r="BI54" i="70" s="1"/>
  <c r="BE55" i="70"/>
  <c r="BE56" i="70"/>
  <c r="BE57" i="70"/>
  <c r="BE58" i="70"/>
  <c r="BE59" i="70"/>
  <c r="BF59" i="70" s="1"/>
  <c r="BE60" i="70"/>
  <c r="BE61" i="70"/>
  <c r="BF61" i="70" s="1"/>
  <c r="BG61" i="70" s="1"/>
  <c r="BH61" i="70" s="1"/>
  <c r="BI61" i="70" s="1"/>
  <c r="BE62" i="70"/>
  <c r="BF62" i="70" s="1"/>
  <c r="BG62" i="70" s="1"/>
  <c r="BH62" i="70" s="1"/>
  <c r="BI62" i="70" s="1"/>
  <c r="BE63" i="70"/>
  <c r="BE64" i="70"/>
  <c r="BE65" i="70"/>
  <c r="BE66" i="70"/>
  <c r="BF66" i="70" s="1"/>
  <c r="BE67" i="70"/>
  <c r="BF67" i="70" s="1"/>
  <c r="BE68" i="70"/>
  <c r="BE69" i="70"/>
  <c r="BF69" i="70" s="1"/>
  <c r="BG69" i="70" s="1"/>
  <c r="BH69" i="70" s="1"/>
  <c r="BI69" i="70" s="1"/>
  <c r="BE70" i="70"/>
  <c r="BF70" i="70" s="1"/>
  <c r="BG70" i="70" s="1"/>
  <c r="BH70" i="70" s="1"/>
  <c r="BI70" i="70" s="1"/>
  <c r="BE71" i="70"/>
  <c r="BE72" i="70"/>
  <c r="BF72" i="70" s="1"/>
  <c r="BG72" i="70" s="1"/>
  <c r="BH72" i="70" s="1"/>
  <c r="BI72" i="70" s="1"/>
  <c r="BE73" i="70"/>
  <c r="BE74" i="70"/>
  <c r="BE75" i="70"/>
  <c r="BF75" i="70" s="1"/>
  <c r="BG75" i="70" s="1"/>
  <c r="BH75" i="70" s="1"/>
  <c r="BE76" i="70"/>
  <c r="BE77" i="70"/>
  <c r="BF77" i="70" s="1"/>
  <c r="BE78" i="70"/>
  <c r="BF78" i="70" s="1"/>
  <c r="BG78" i="70" s="1"/>
  <c r="BH78" i="70" s="1"/>
  <c r="BI78" i="70" s="1"/>
  <c r="BE79" i="70"/>
  <c r="BE80" i="70"/>
  <c r="BF80" i="70" s="1"/>
  <c r="BG80" i="70" s="1"/>
  <c r="BH80" i="70" s="1"/>
  <c r="BI80" i="70" s="1"/>
  <c r="BE81" i="70"/>
  <c r="BE82" i="70"/>
  <c r="BE83" i="70"/>
  <c r="BF83" i="70" s="1"/>
  <c r="BG83" i="70" s="1"/>
  <c r="BE84" i="70"/>
  <c r="BE85" i="70"/>
  <c r="BF85" i="70" s="1"/>
  <c r="BG85" i="70" s="1"/>
  <c r="BH85" i="70" s="1"/>
  <c r="BI85" i="70" s="1"/>
  <c r="BE86" i="70"/>
  <c r="BF86" i="70" s="1"/>
  <c r="BG86" i="70" s="1"/>
  <c r="BH86" i="70" s="1"/>
  <c r="BI86" i="70" s="1"/>
  <c r="BE87" i="70"/>
  <c r="BE88" i="70"/>
  <c r="BE89" i="70"/>
  <c r="BE90" i="70"/>
  <c r="BE91" i="70"/>
  <c r="BF91" i="70" s="1"/>
  <c r="BG91" i="70" s="1"/>
  <c r="BH91" i="70" s="1"/>
  <c r="BI91" i="70" s="1"/>
  <c r="BE92" i="70"/>
  <c r="BE93" i="70"/>
  <c r="BF93" i="70" s="1"/>
  <c r="BE94" i="70"/>
  <c r="BF94" i="70" s="1"/>
  <c r="BG94" i="70" s="1"/>
  <c r="BH94" i="70" s="1"/>
  <c r="BI94" i="70" s="1"/>
  <c r="BE95" i="70"/>
  <c r="BE96" i="70"/>
  <c r="BE97" i="70"/>
  <c r="BE98" i="70"/>
  <c r="BF98" i="70" s="1"/>
  <c r="BE99" i="70"/>
  <c r="BF99" i="70" s="1"/>
  <c r="BG99" i="70" s="1"/>
  <c r="BH99" i="70" s="1"/>
  <c r="BI99" i="70" s="1"/>
  <c r="BE100" i="70"/>
  <c r="BE101" i="70"/>
  <c r="BF101" i="70" s="1"/>
  <c r="BG101" i="70" s="1"/>
  <c r="BH101" i="70" s="1"/>
  <c r="BI101" i="70" s="1"/>
  <c r="BE102" i="70"/>
  <c r="BF102" i="70" s="1"/>
  <c r="BG102" i="70" s="1"/>
  <c r="BH102" i="70" s="1"/>
  <c r="BI102" i="70" s="1"/>
  <c r="BE103" i="70"/>
  <c r="BE104" i="70"/>
  <c r="BF104" i="70" s="1"/>
  <c r="BG104" i="70" s="1"/>
  <c r="BH104" i="70" s="1"/>
  <c r="BI104" i="70" s="1"/>
  <c r="BE105" i="70"/>
  <c r="BE106" i="70"/>
  <c r="BE107" i="70"/>
  <c r="BF107" i="70" s="1"/>
  <c r="BG107" i="70" s="1"/>
  <c r="BH107" i="70" s="1"/>
  <c r="BI107" i="70" s="1"/>
  <c r="BE108" i="70"/>
  <c r="BE109" i="70"/>
  <c r="BF109" i="70" s="1"/>
  <c r="BE110" i="70"/>
  <c r="BF110" i="70" s="1"/>
  <c r="BG110" i="70" s="1"/>
  <c r="BH110" i="70" s="1"/>
  <c r="BI110" i="70" s="1"/>
  <c r="BE111" i="70"/>
  <c r="BE112" i="70"/>
  <c r="BF112" i="70" s="1"/>
  <c r="BG112" i="70" s="1"/>
  <c r="BH112" i="70" s="1"/>
  <c r="BI112" i="70" s="1"/>
  <c r="BE113" i="70"/>
  <c r="BE114" i="70"/>
  <c r="BE115" i="70"/>
  <c r="BF115" i="70" s="1"/>
  <c r="BG115" i="70" s="1"/>
  <c r="BH115" i="70" s="1"/>
  <c r="BI115" i="70" s="1"/>
  <c r="BE116" i="70"/>
  <c r="BE117" i="70"/>
  <c r="BF117" i="70" s="1"/>
  <c r="BG117" i="70" s="1"/>
  <c r="BH117" i="70" s="1"/>
  <c r="BI117" i="70" s="1"/>
  <c r="BE118" i="70"/>
  <c r="BF118" i="70" s="1"/>
  <c r="BG118" i="70" s="1"/>
  <c r="BH118" i="70" s="1"/>
  <c r="BI118" i="70" s="1"/>
  <c r="BE119" i="70"/>
  <c r="BE120" i="70"/>
  <c r="BF120" i="70" s="1"/>
  <c r="BG120" i="70" s="1"/>
  <c r="BH120" i="70" s="1"/>
  <c r="BI120" i="70" s="1"/>
  <c r="BE121" i="70"/>
  <c r="BE122" i="70"/>
  <c r="BE123" i="70"/>
  <c r="BF123" i="70" s="1"/>
  <c r="BG123" i="70" s="1"/>
  <c r="BH123" i="70" s="1"/>
  <c r="BI123" i="70" s="1"/>
  <c r="BE124" i="70"/>
  <c r="BE125" i="70"/>
  <c r="BF125" i="70" s="1"/>
  <c r="BG125" i="70" s="1"/>
  <c r="BH125" i="70" s="1"/>
  <c r="BI125" i="70" s="1"/>
  <c r="BE126" i="70"/>
  <c r="BF126" i="70" s="1"/>
  <c r="BG126" i="70" s="1"/>
  <c r="BH126" i="70" s="1"/>
  <c r="BI126" i="70" s="1"/>
  <c r="BE127" i="70"/>
  <c r="BE128" i="70"/>
  <c r="BE129" i="70"/>
  <c r="BE130" i="70"/>
  <c r="BF130" i="70" s="1"/>
  <c r="BE131" i="70"/>
  <c r="BF131" i="70" s="1"/>
  <c r="BG131" i="70" s="1"/>
  <c r="BH131" i="70" s="1"/>
  <c r="BI131" i="70" s="1"/>
  <c r="BE132" i="70"/>
  <c r="BE133" i="70"/>
  <c r="BF133" i="70" s="1"/>
  <c r="BG133" i="70" s="1"/>
  <c r="BH133" i="70" s="1"/>
  <c r="BI133" i="70" s="1"/>
  <c r="BE134" i="70"/>
  <c r="BF134" i="70" s="1"/>
  <c r="BG134" i="70" s="1"/>
  <c r="BH134" i="70" s="1"/>
  <c r="BI134" i="70" s="1"/>
  <c r="BE135" i="70"/>
  <c r="BE136" i="70"/>
  <c r="BF136" i="70" s="1"/>
  <c r="BG136" i="70" s="1"/>
  <c r="BH136" i="70" s="1"/>
  <c r="BI136" i="70" s="1"/>
  <c r="BE137" i="70"/>
  <c r="BE138" i="70"/>
  <c r="BE139" i="70"/>
  <c r="BF139" i="70" s="1"/>
  <c r="BG139" i="70" s="1"/>
  <c r="BH139" i="70" s="1"/>
  <c r="BI139" i="70" s="1"/>
  <c r="BE140" i="70"/>
  <c r="BE141" i="70"/>
  <c r="BF141" i="70" s="1"/>
  <c r="BG141" i="70" s="1"/>
  <c r="BH141" i="70" s="1"/>
  <c r="BI141" i="70" s="1"/>
  <c r="BE142" i="70"/>
  <c r="BF142" i="70" s="1"/>
  <c r="BG142" i="70" s="1"/>
  <c r="BH142" i="70" s="1"/>
  <c r="BI142" i="70" s="1"/>
  <c r="BE143" i="70"/>
  <c r="BE144" i="70"/>
  <c r="BF144" i="70" s="1"/>
  <c r="BG144" i="70" s="1"/>
  <c r="BH144" i="70" s="1"/>
  <c r="BI144" i="70" s="1"/>
  <c r="BE145" i="70"/>
  <c r="BE146" i="70"/>
  <c r="BE147" i="70"/>
  <c r="BF147" i="70" s="1"/>
  <c r="BG147" i="70" s="1"/>
  <c r="BH147" i="70" s="1"/>
  <c r="BI147" i="70" s="1"/>
  <c r="BE148" i="70"/>
  <c r="BE149" i="70"/>
  <c r="BF149" i="70" s="1"/>
  <c r="BG149" i="70" s="1"/>
  <c r="BH149" i="70" s="1"/>
  <c r="BI149" i="70" s="1"/>
  <c r="BE150" i="70"/>
  <c r="BF150" i="70" s="1"/>
  <c r="BG150" i="70" s="1"/>
  <c r="BH150" i="70" s="1"/>
  <c r="BI150" i="70" s="1"/>
  <c r="BE151" i="70"/>
  <c r="BE152" i="70"/>
  <c r="BF152" i="70" s="1"/>
  <c r="BG152" i="70" s="1"/>
  <c r="BH152" i="70" s="1"/>
  <c r="BI152" i="70" s="1"/>
  <c r="BE153" i="70"/>
  <c r="BE154" i="70"/>
  <c r="BE155" i="70"/>
  <c r="BF155" i="70" s="1"/>
  <c r="BG155" i="70" s="1"/>
  <c r="BH155" i="70" s="1"/>
  <c r="BI155" i="70" s="1"/>
  <c r="BE156" i="70"/>
  <c r="BE157" i="70"/>
  <c r="BF157" i="70" s="1"/>
  <c r="BG157" i="70" s="1"/>
  <c r="BH157" i="70" s="1"/>
  <c r="BI157" i="70" s="1"/>
  <c r="BE158" i="70"/>
  <c r="BF158" i="70" s="1"/>
  <c r="BG158" i="70" s="1"/>
  <c r="BH158" i="70" s="1"/>
  <c r="BI158" i="70" s="1"/>
  <c r="BE159" i="70"/>
  <c r="BE160" i="70"/>
  <c r="BF160" i="70" s="1"/>
  <c r="BG160" i="70" s="1"/>
  <c r="BH160" i="70" s="1"/>
  <c r="BI160" i="70" s="1"/>
  <c r="BE161" i="70"/>
  <c r="BE162" i="70"/>
  <c r="BF162" i="70" s="1"/>
  <c r="BE163" i="70"/>
  <c r="BF163" i="70" s="1"/>
  <c r="BG163" i="70" s="1"/>
  <c r="BH163" i="70" s="1"/>
  <c r="BI163" i="70" s="1"/>
  <c r="BE164" i="70"/>
  <c r="BE165" i="70"/>
  <c r="BF165" i="70" s="1"/>
  <c r="BG165" i="70" s="1"/>
  <c r="BH165" i="70" s="1"/>
  <c r="BI165" i="70" s="1"/>
  <c r="BE166" i="70"/>
  <c r="BF166" i="70" s="1"/>
  <c r="BG166" i="70" s="1"/>
  <c r="BH166" i="70" s="1"/>
  <c r="BI166" i="70" s="1"/>
  <c r="BE167" i="70"/>
  <c r="BE168" i="70"/>
  <c r="BE169" i="70"/>
  <c r="BE170" i="70"/>
  <c r="BE171" i="70"/>
  <c r="BF171" i="70" s="1"/>
  <c r="BG171" i="70" s="1"/>
  <c r="BH171" i="70" s="1"/>
  <c r="BI171" i="70" s="1"/>
  <c r="BE172" i="70"/>
  <c r="BE173" i="70"/>
  <c r="BF173" i="70" s="1"/>
  <c r="BG173" i="70" s="1"/>
  <c r="BH173" i="70" s="1"/>
  <c r="BI173" i="70" s="1"/>
  <c r="BE174" i="70"/>
  <c r="BF174" i="70" s="1"/>
  <c r="BG174" i="70" s="1"/>
  <c r="BH174" i="70" s="1"/>
  <c r="BI174" i="70" s="1"/>
  <c r="BE175" i="70"/>
  <c r="BE176" i="70"/>
  <c r="BF176" i="70" s="1"/>
  <c r="BG176" i="70" s="1"/>
  <c r="BH176" i="70" s="1"/>
  <c r="BI176" i="70" s="1"/>
  <c r="BE177" i="70"/>
  <c r="BE178" i="70"/>
  <c r="BE179" i="70"/>
  <c r="BF179" i="70" s="1"/>
  <c r="BG179" i="70" s="1"/>
  <c r="BH179" i="70" s="1"/>
  <c r="BI179" i="70" s="1"/>
  <c r="BE180" i="70"/>
  <c r="BE181" i="70"/>
  <c r="BF181" i="70" s="1"/>
  <c r="BG181" i="70" s="1"/>
  <c r="BH181" i="70" s="1"/>
  <c r="BI181" i="70" s="1"/>
  <c r="BE182" i="70"/>
  <c r="BF182" i="70" s="1"/>
  <c r="BG182" i="70" s="1"/>
  <c r="BH182" i="70" s="1"/>
  <c r="BI182" i="70" s="1"/>
  <c r="BE183" i="70"/>
  <c r="BE184" i="70"/>
  <c r="BF184" i="70" s="1"/>
  <c r="BG184" i="70" s="1"/>
  <c r="BH184" i="70" s="1"/>
  <c r="BI184" i="70" s="1"/>
  <c r="BE185" i="70"/>
  <c r="BE186" i="70"/>
  <c r="BE187" i="70"/>
  <c r="BF187" i="70" s="1"/>
  <c r="BG187" i="70" s="1"/>
  <c r="BH187" i="70" s="1"/>
  <c r="BI187" i="70" s="1"/>
  <c r="BE188" i="70"/>
  <c r="BE189" i="70"/>
  <c r="BF189" i="70" s="1"/>
  <c r="BG189" i="70" s="1"/>
  <c r="BH189" i="70" s="1"/>
  <c r="BI189" i="70" s="1"/>
  <c r="BE190" i="70"/>
  <c r="BF190" i="70" s="1"/>
  <c r="BG190" i="70" s="1"/>
  <c r="BH190" i="70" s="1"/>
  <c r="BI190" i="70" s="1"/>
  <c r="BE191" i="70"/>
  <c r="BE192" i="70"/>
  <c r="BF192" i="70" s="1"/>
  <c r="BG192" i="70" s="1"/>
  <c r="BH192" i="70" s="1"/>
  <c r="BI192" i="70" s="1"/>
  <c r="BE193" i="70"/>
  <c r="BE194" i="70"/>
  <c r="BF194" i="70" s="1"/>
  <c r="BE195" i="70"/>
  <c r="BF195" i="70" s="1"/>
  <c r="BG195" i="70" s="1"/>
  <c r="BE196" i="70"/>
  <c r="BE197" i="70"/>
  <c r="BF197" i="70" s="1"/>
  <c r="BG197" i="70" s="1"/>
  <c r="BH197" i="70" s="1"/>
  <c r="BI197" i="70" s="1"/>
  <c r="BE198" i="70"/>
  <c r="BF198" i="70" s="1"/>
  <c r="BG198" i="70" s="1"/>
  <c r="BH198" i="70" s="1"/>
  <c r="BI198" i="70" s="1"/>
  <c r="BE199" i="70"/>
  <c r="BE200" i="70"/>
  <c r="BE201" i="70"/>
  <c r="BE202" i="70"/>
  <c r="BE203" i="70"/>
  <c r="BF203" i="70" s="1"/>
  <c r="BG203" i="70" s="1"/>
  <c r="BH203" i="70" s="1"/>
  <c r="BI203" i="70" s="1"/>
  <c r="BE204" i="70"/>
  <c r="BE205" i="70"/>
  <c r="BF205" i="70" s="1"/>
  <c r="BG205" i="70" s="1"/>
  <c r="BH205" i="70" s="1"/>
  <c r="BI205" i="70" s="1"/>
  <c r="BE206" i="70"/>
  <c r="BF206" i="70" s="1"/>
  <c r="BG206" i="70" s="1"/>
  <c r="BH206" i="70" s="1"/>
  <c r="BI206" i="70" s="1"/>
  <c r="BE207" i="70"/>
  <c r="BE208" i="70"/>
  <c r="BE209" i="70"/>
  <c r="BE210" i="70"/>
  <c r="BE211" i="70"/>
  <c r="BF211" i="70" s="1"/>
  <c r="BG211" i="70" s="1"/>
  <c r="BH211" i="70" s="1"/>
  <c r="BI211" i="70" s="1"/>
  <c r="BE212" i="70"/>
  <c r="BE213" i="70"/>
  <c r="BF213" i="70" s="1"/>
  <c r="BG213" i="70" s="1"/>
  <c r="BH213" i="70" s="1"/>
  <c r="BI213" i="70" s="1"/>
  <c r="BE214" i="70"/>
  <c r="BF214" i="70" s="1"/>
  <c r="BG214" i="70" s="1"/>
  <c r="BH214" i="70" s="1"/>
  <c r="BI214" i="70" s="1"/>
  <c r="BE215" i="70"/>
  <c r="BE216" i="70"/>
  <c r="BF216" i="70" s="1"/>
  <c r="BG216" i="70" s="1"/>
  <c r="BH216" i="70" s="1"/>
  <c r="BI216" i="70" s="1"/>
  <c r="BE217" i="70"/>
  <c r="BE218" i="70"/>
  <c r="BE219" i="70"/>
  <c r="BF219" i="70" s="1"/>
  <c r="BG219" i="70" s="1"/>
  <c r="BH219" i="70" s="1"/>
  <c r="BI219" i="70" s="1"/>
  <c r="BE220" i="70"/>
  <c r="BE221" i="70"/>
  <c r="BF221" i="70" s="1"/>
  <c r="BG221" i="70" s="1"/>
  <c r="BH221" i="70" s="1"/>
  <c r="BI221" i="70" s="1"/>
  <c r="BE222" i="70"/>
  <c r="BF222" i="70" s="1"/>
  <c r="BG222" i="70" s="1"/>
  <c r="BH222" i="70" s="1"/>
  <c r="BI222" i="70" s="1"/>
  <c r="BE223" i="70"/>
  <c r="BE224" i="70"/>
  <c r="BF224" i="70" s="1"/>
  <c r="BG224" i="70" s="1"/>
  <c r="BH224" i="70" s="1"/>
  <c r="BI224" i="70" s="1"/>
  <c r="BE225" i="70"/>
  <c r="BE226" i="70"/>
  <c r="BF226" i="70" s="1"/>
  <c r="BE227" i="70"/>
  <c r="BF227" i="70" s="1"/>
  <c r="BG227" i="70" s="1"/>
  <c r="BH227" i="70" s="1"/>
  <c r="BI227" i="70" s="1"/>
  <c r="BE228" i="70"/>
  <c r="BE229" i="70"/>
  <c r="BF229" i="70" s="1"/>
  <c r="BG229" i="70" s="1"/>
  <c r="BH229" i="70" s="1"/>
  <c r="BI229" i="70" s="1"/>
  <c r="BE230" i="70"/>
  <c r="BF230" i="70" s="1"/>
  <c r="BG230" i="70" s="1"/>
  <c r="BH230" i="70" s="1"/>
  <c r="BI230" i="70" s="1"/>
  <c r="BE231" i="70"/>
  <c r="BE232" i="70"/>
  <c r="BF232" i="70" s="1"/>
  <c r="BG232" i="70" s="1"/>
  <c r="BH232" i="70" s="1"/>
  <c r="BI232" i="70" s="1"/>
  <c r="BE233" i="70"/>
  <c r="BE234" i="70"/>
  <c r="BE235" i="70"/>
  <c r="BF235" i="70" s="1"/>
  <c r="BG235" i="70" s="1"/>
  <c r="BH235" i="70" s="1"/>
  <c r="BI235" i="70" s="1"/>
  <c r="BE236" i="70"/>
  <c r="BE237" i="70"/>
  <c r="BF237" i="70" s="1"/>
  <c r="BG237" i="70" s="1"/>
  <c r="BH237" i="70" s="1"/>
  <c r="BI237" i="70" s="1"/>
  <c r="BE238" i="70"/>
  <c r="BF238" i="70" s="1"/>
  <c r="BG238" i="70" s="1"/>
  <c r="BH238" i="70" s="1"/>
  <c r="BI238" i="70" s="1"/>
  <c r="BE239" i="70"/>
  <c r="BE240" i="70"/>
  <c r="BF240" i="70" s="1"/>
  <c r="BG240" i="70" s="1"/>
  <c r="BH240" i="70" s="1"/>
  <c r="BI240" i="70" s="1"/>
  <c r="BE241" i="70"/>
  <c r="BE242" i="70"/>
  <c r="BE243" i="70"/>
  <c r="BF243" i="70" s="1"/>
  <c r="BG243" i="70" s="1"/>
  <c r="BH243" i="70" s="1"/>
  <c r="BI243" i="70" s="1"/>
  <c r="BE244" i="70"/>
  <c r="BE245" i="70"/>
  <c r="BF245" i="70" s="1"/>
  <c r="BE246" i="70"/>
  <c r="BF246" i="70" s="1"/>
  <c r="BG246" i="70" s="1"/>
  <c r="BH246" i="70" s="1"/>
  <c r="BI246" i="70" s="1"/>
  <c r="BE247" i="70"/>
  <c r="BE248" i="70"/>
  <c r="BE249" i="70"/>
  <c r="BE250" i="70"/>
  <c r="BE251" i="70"/>
  <c r="BF251" i="70" s="1"/>
  <c r="BG251" i="70" s="1"/>
  <c r="BE252" i="70"/>
  <c r="BE253" i="70"/>
  <c r="BF253" i="70" s="1"/>
  <c r="BG253" i="70" s="1"/>
  <c r="BH253" i="70" s="1"/>
  <c r="BI253" i="70" s="1"/>
  <c r="BE254" i="70"/>
  <c r="BF254" i="70" s="1"/>
  <c r="BG254" i="70" s="1"/>
  <c r="BH254" i="70" s="1"/>
  <c r="BI254" i="70" s="1"/>
  <c r="BE255" i="70"/>
  <c r="BE256" i="70"/>
  <c r="BF256" i="70" s="1"/>
  <c r="BG256" i="70" s="1"/>
  <c r="BH256" i="70" s="1"/>
  <c r="BI256" i="70" s="1"/>
  <c r="BE257" i="70"/>
  <c r="BE258" i="70"/>
  <c r="BF258" i="70" s="1"/>
  <c r="BE259" i="70"/>
  <c r="BF259" i="70" s="1"/>
  <c r="BG259" i="70" s="1"/>
  <c r="BH259" i="70" s="1"/>
  <c r="BI259" i="70" s="1"/>
  <c r="BE260" i="70"/>
  <c r="BE261" i="70"/>
  <c r="BF261" i="70" s="1"/>
  <c r="BG261" i="70" s="1"/>
  <c r="BH261" i="70" s="1"/>
  <c r="BI261" i="70" s="1"/>
  <c r="BE262" i="70"/>
  <c r="BF262" i="70" s="1"/>
  <c r="BG262" i="70" s="1"/>
  <c r="BH262" i="70" s="1"/>
  <c r="BI262" i="70" s="1"/>
  <c r="BE263" i="70"/>
  <c r="BE264" i="70"/>
  <c r="BE265" i="70"/>
  <c r="BE266" i="70"/>
  <c r="BE267" i="70"/>
  <c r="BF267" i="70" s="1"/>
  <c r="BG267" i="70" s="1"/>
  <c r="BH267" i="70" s="1"/>
  <c r="BI267" i="70" s="1"/>
  <c r="BE268" i="70"/>
  <c r="BE269" i="70"/>
  <c r="BF269" i="70" s="1"/>
  <c r="BG269" i="70" s="1"/>
  <c r="BH269" i="70" s="1"/>
  <c r="BI269" i="70" s="1"/>
  <c r="BE270" i="70"/>
  <c r="BF270" i="70" s="1"/>
  <c r="BG270" i="70" s="1"/>
  <c r="BH270" i="70" s="1"/>
  <c r="BI270" i="70" s="1"/>
  <c r="BE271" i="70"/>
  <c r="BE272" i="70"/>
  <c r="BF272" i="70" s="1"/>
  <c r="BG272" i="70" s="1"/>
  <c r="BH272" i="70" s="1"/>
  <c r="BI272" i="70" s="1"/>
  <c r="BE273" i="70"/>
  <c r="BE274" i="70"/>
  <c r="BE275" i="70"/>
  <c r="BF275" i="70" s="1"/>
  <c r="BG275" i="70" s="1"/>
  <c r="BH275" i="70" s="1"/>
  <c r="BI275" i="70" s="1"/>
  <c r="BE276" i="70"/>
  <c r="BE277" i="70"/>
  <c r="BF277" i="70" s="1"/>
  <c r="BG277" i="70" s="1"/>
  <c r="BH277" i="70" s="1"/>
  <c r="BI277" i="70" s="1"/>
  <c r="BE278" i="70"/>
  <c r="BF278" i="70" s="1"/>
  <c r="BG278" i="70" s="1"/>
  <c r="BH278" i="70" s="1"/>
  <c r="BI278" i="70" s="1"/>
  <c r="BE279" i="70"/>
  <c r="BE280" i="70"/>
  <c r="BF280" i="70" s="1"/>
  <c r="BG280" i="70" s="1"/>
  <c r="BH280" i="70" s="1"/>
  <c r="BI280" i="70" s="1"/>
  <c r="BE281" i="70"/>
  <c r="BE282" i="70"/>
  <c r="BE283" i="70"/>
  <c r="BF283" i="70" s="1"/>
  <c r="BG283" i="70" s="1"/>
  <c r="BH283" i="70" s="1"/>
  <c r="BI283" i="70" s="1"/>
  <c r="BE284" i="70"/>
  <c r="BE285" i="70"/>
  <c r="BF285" i="70" s="1"/>
  <c r="BG285" i="70" s="1"/>
  <c r="BH285" i="70" s="1"/>
  <c r="BI285" i="70" s="1"/>
  <c r="BE286" i="70"/>
  <c r="BF286" i="70" s="1"/>
  <c r="BG286" i="70" s="1"/>
  <c r="BH286" i="70" s="1"/>
  <c r="BI286" i="70" s="1"/>
  <c r="BE287" i="70"/>
  <c r="BE288" i="70"/>
  <c r="BF288" i="70" s="1"/>
  <c r="BG288" i="70" s="1"/>
  <c r="BH288" i="70" s="1"/>
  <c r="BI288" i="70" s="1"/>
  <c r="BE289" i="70"/>
  <c r="BE290" i="70"/>
  <c r="BF290" i="70" s="1"/>
  <c r="BE291" i="70"/>
  <c r="BF291" i="70" s="1"/>
  <c r="BG291" i="70" s="1"/>
  <c r="BH291" i="70" s="1"/>
  <c r="BI291" i="70" s="1"/>
  <c r="BE292" i="70"/>
  <c r="BE293" i="70"/>
  <c r="BF293" i="70" s="1"/>
  <c r="BG293" i="70" s="1"/>
  <c r="BH293" i="70" s="1"/>
  <c r="BI293" i="70" s="1"/>
  <c r="BE294" i="70"/>
  <c r="BF294" i="70" s="1"/>
  <c r="BG294" i="70" s="1"/>
  <c r="BH294" i="70" s="1"/>
  <c r="BI294" i="70" s="1"/>
  <c r="BE295" i="70"/>
  <c r="BE296" i="70"/>
  <c r="BF296" i="70" s="1"/>
  <c r="BG296" i="70" s="1"/>
  <c r="BH296" i="70" s="1"/>
  <c r="BI296" i="70" s="1"/>
  <c r="BE297" i="70"/>
  <c r="BE298" i="70"/>
  <c r="BE299" i="70"/>
  <c r="BF299" i="70" s="1"/>
  <c r="BG299" i="70" s="1"/>
  <c r="BH299" i="70" s="1"/>
  <c r="BI299" i="70" s="1"/>
  <c r="BE300" i="70"/>
  <c r="BE301" i="70"/>
  <c r="BF301" i="70" s="1"/>
  <c r="BG301" i="70" s="1"/>
  <c r="BH301" i="70" s="1"/>
  <c r="BI301" i="70" s="1"/>
  <c r="BE302" i="70"/>
  <c r="BF302" i="70" s="1"/>
  <c r="BG302" i="70" s="1"/>
  <c r="BH302" i="70" s="1"/>
  <c r="BI302" i="70" s="1"/>
  <c r="BE303" i="70"/>
  <c r="BE304" i="70"/>
  <c r="BF304" i="70" s="1"/>
  <c r="BG304" i="70" s="1"/>
  <c r="BH304" i="70" s="1"/>
  <c r="BI304" i="70" s="1"/>
  <c r="BE305" i="70"/>
  <c r="BE306" i="70"/>
  <c r="BE307" i="70"/>
  <c r="BF307" i="70" s="1"/>
  <c r="BG307" i="70" s="1"/>
  <c r="BH307" i="70" s="1"/>
  <c r="BI307" i="70" s="1"/>
  <c r="BE308" i="70"/>
  <c r="BE309" i="70"/>
  <c r="BF309" i="70" s="1"/>
  <c r="BG309" i="70" s="1"/>
  <c r="BH309" i="70" s="1"/>
  <c r="BI309" i="70" s="1"/>
  <c r="BE310" i="70"/>
  <c r="BF310" i="70" s="1"/>
  <c r="BG310" i="70" s="1"/>
  <c r="BH310" i="70" s="1"/>
  <c r="BI310" i="70" s="1"/>
  <c r="BE311" i="70"/>
  <c r="BE312" i="70"/>
  <c r="BF312" i="70" s="1"/>
  <c r="BG312" i="70" s="1"/>
  <c r="BH312" i="70" s="1"/>
  <c r="BI312" i="70" s="1"/>
  <c r="BE313" i="70"/>
  <c r="BE314" i="70"/>
  <c r="BE315" i="70"/>
  <c r="BF315" i="70" s="1"/>
  <c r="BG315" i="70" s="1"/>
  <c r="BH315" i="70" s="1"/>
  <c r="BI315" i="70" s="1"/>
  <c r="BE316" i="70"/>
  <c r="BE317" i="70"/>
  <c r="BF317" i="70" s="1"/>
  <c r="BG317" i="70" s="1"/>
  <c r="BH317" i="70" s="1"/>
  <c r="BI317" i="70" s="1"/>
  <c r="BE318" i="70"/>
  <c r="BF318" i="70" s="1"/>
  <c r="BG318" i="70" s="1"/>
  <c r="BH318" i="70" s="1"/>
  <c r="BI318" i="70" s="1"/>
  <c r="BE319" i="70"/>
  <c r="BE320" i="70"/>
  <c r="BE321" i="70"/>
  <c r="BE322" i="70"/>
  <c r="BF322" i="70" s="1"/>
  <c r="BE323" i="70"/>
  <c r="BF323" i="70" s="1"/>
  <c r="BG323" i="70" s="1"/>
  <c r="BH323" i="70" s="1"/>
  <c r="BI323" i="70" s="1"/>
  <c r="BE324" i="70"/>
  <c r="BE325" i="70"/>
  <c r="BF325" i="70" s="1"/>
  <c r="BG325" i="70" s="1"/>
  <c r="BH325" i="70" s="1"/>
  <c r="BI325" i="70" s="1"/>
  <c r="BE326" i="70"/>
  <c r="BF326" i="70" s="1"/>
  <c r="BG326" i="70" s="1"/>
  <c r="BH326" i="70" s="1"/>
  <c r="BI326" i="70" s="1"/>
  <c r="BE327" i="70"/>
  <c r="BE328" i="70"/>
  <c r="BF328" i="70" s="1"/>
  <c r="BG328" i="70" s="1"/>
  <c r="BH328" i="70" s="1"/>
  <c r="BI328" i="70" s="1"/>
  <c r="BE329" i="70"/>
  <c r="BE330" i="70"/>
  <c r="BE331" i="70"/>
  <c r="BF331" i="70" s="1"/>
  <c r="BG331" i="70" s="1"/>
  <c r="BH331" i="70" s="1"/>
  <c r="BI331" i="70" s="1"/>
  <c r="BE332" i="70"/>
  <c r="BE333" i="70"/>
  <c r="BF333" i="70" s="1"/>
  <c r="BG333" i="70" s="1"/>
  <c r="BH333" i="70" s="1"/>
  <c r="BI333" i="70" s="1"/>
  <c r="BE334" i="70"/>
  <c r="BF334" i="70" s="1"/>
  <c r="BG334" i="70" s="1"/>
  <c r="BH334" i="70" s="1"/>
  <c r="BI334" i="70" s="1"/>
  <c r="BE335" i="70"/>
  <c r="BE336" i="70"/>
  <c r="BF336" i="70" s="1"/>
  <c r="BG336" i="70" s="1"/>
  <c r="BH336" i="70" s="1"/>
  <c r="BI336" i="70" s="1"/>
  <c r="BE337" i="70"/>
  <c r="BE338" i="70"/>
  <c r="BE339" i="70"/>
  <c r="BF339" i="70" s="1"/>
  <c r="BG339" i="70" s="1"/>
  <c r="BH339" i="70" s="1"/>
  <c r="BI339" i="70" s="1"/>
  <c r="BE340" i="70"/>
  <c r="BE341" i="70"/>
  <c r="BF341" i="70" s="1"/>
  <c r="BG341" i="70" s="1"/>
  <c r="BH341" i="70" s="1"/>
  <c r="BI341" i="70" s="1"/>
  <c r="BE342" i="70"/>
  <c r="BF342" i="70" s="1"/>
  <c r="BG342" i="70" s="1"/>
  <c r="BH342" i="70" s="1"/>
  <c r="BI342" i="70" s="1"/>
  <c r="BE343" i="70"/>
  <c r="BE344" i="70"/>
  <c r="BF344" i="70" s="1"/>
  <c r="BG344" i="70" s="1"/>
  <c r="BH344" i="70" s="1"/>
  <c r="BI344" i="70" s="1"/>
  <c r="BE345" i="70"/>
  <c r="BE346" i="70"/>
  <c r="BF346" i="70" s="1"/>
  <c r="BG346" i="70" s="1"/>
  <c r="BE347" i="70"/>
  <c r="BF347" i="70" s="1"/>
  <c r="BG347" i="70" s="1"/>
  <c r="BH347" i="70" s="1"/>
  <c r="BI347" i="70" s="1"/>
  <c r="BE348" i="70"/>
  <c r="BE349" i="70"/>
  <c r="BF349" i="70" s="1"/>
  <c r="BG349" i="70" s="1"/>
  <c r="BH349" i="70" s="1"/>
  <c r="BI349" i="70" s="1"/>
  <c r="BE350" i="70"/>
  <c r="BF350" i="70" s="1"/>
  <c r="BG350" i="70" s="1"/>
  <c r="BH350" i="70" s="1"/>
  <c r="BI350" i="70" s="1"/>
  <c r="BE351" i="70"/>
  <c r="BE352" i="70"/>
  <c r="BF352" i="70" s="1"/>
  <c r="BG352" i="70" s="1"/>
  <c r="BH352" i="70" s="1"/>
  <c r="BI352" i="70" s="1"/>
  <c r="BE353" i="70"/>
  <c r="BE354" i="70"/>
  <c r="BE355" i="70"/>
  <c r="BF355" i="70" s="1"/>
  <c r="BG355" i="70" s="1"/>
  <c r="BH355" i="70" s="1"/>
  <c r="BI355" i="70" s="1"/>
  <c r="BE356" i="70"/>
  <c r="BE357" i="70"/>
  <c r="BF357" i="70" s="1"/>
  <c r="BG357" i="70" s="1"/>
  <c r="BH357" i="70" s="1"/>
  <c r="BI357" i="70" s="1"/>
  <c r="BE358" i="70"/>
  <c r="BF358" i="70" s="1"/>
  <c r="BG358" i="70" s="1"/>
  <c r="BH358" i="70" s="1"/>
  <c r="BI358" i="70" s="1"/>
  <c r="BE359" i="70"/>
  <c r="BE360" i="70"/>
  <c r="BF360" i="70" s="1"/>
  <c r="BG360" i="70" s="1"/>
  <c r="BH360" i="70" s="1"/>
  <c r="BI360" i="70" s="1"/>
  <c r="BE361" i="70"/>
  <c r="BE362" i="70"/>
  <c r="BF362" i="70" s="1"/>
  <c r="BE363" i="70"/>
  <c r="BF363" i="70" s="1"/>
  <c r="BG363" i="70" s="1"/>
  <c r="BH363" i="70" s="1"/>
  <c r="BI363" i="70" s="1"/>
  <c r="BE364" i="70"/>
  <c r="BE365" i="70"/>
  <c r="BF365" i="70" s="1"/>
  <c r="BG365" i="70" s="1"/>
  <c r="BH365" i="70" s="1"/>
  <c r="BI365" i="70" s="1"/>
  <c r="BE366" i="70"/>
  <c r="BF366" i="70" s="1"/>
  <c r="BG366" i="70" s="1"/>
  <c r="BH366" i="70" s="1"/>
  <c r="BI366" i="70" s="1"/>
  <c r="BE367" i="70"/>
  <c r="BE368" i="70"/>
  <c r="BF368" i="70" s="1"/>
  <c r="BG368" i="70" s="1"/>
  <c r="BH368" i="70" s="1"/>
  <c r="BI368" i="70" s="1"/>
  <c r="BE369" i="70"/>
  <c r="BE370" i="70"/>
  <c r="BE371" i="70"/>
  <c r="BF371" i="70" s="1"/>
  <c r="BG371" i="70" s="1"/>
  <c r="BH371" i="70" s="1"/>
  <c r="BI371" i="70" s="1"/>
  <c r="BE372" i="70"/>
  <c r="BE373" i="70"/>
  <c r="BF373" i="70" s="1"/>
  <c r="BG373" i="70" s="1"/>
  <c r="BH373" i="70" s="1"/>
  <c r="BI373" i="70" s="1"/>
  <c r="BE374" i="70"/>
  <c r="BF374" i="70" s="1"/>
  <c r="BG374" i="70" s="1"/>
  <c r="BH374" i="70" s="1"/>
  <c r="BI374" i="70" s="1"/>
  <c r="BE375" i="70"/>
  <c r="BE376" i="70"/>
  <c r="BF376" i="70" s="1"/>
  <c r="BG376" i="70" s="1"/>
  <c r="BH376" i="70" s="1"/>
  <c r="BI376" i="70" s="1"/>
  <c r="BE377" i="70"/>
  <c r="BE378" i="70"/>
  <c r="BE379" i="70"/>
  <c r="BF379" i="70" s="1"/>
  <c r="BG379" i="70" s="1"/>
  <c r="BH379" i="70" s="1"/>
  <c r="BI379" i="70" s="1"/>
  <c r="BE380" i="70"/>
  <c r="BE381" i="70"/>
  <c r="BF381" i="70" s="1"/>
  <c r="BG381" i="70" s="1"/>
  <c r="BH381" i="70" s="1"/>
  <c r="BI381" i="70" s="1"/>
  <c r="BE382" i="70"/>
  <c r="BF382" i="70" s="1"/>
  <c r="BG382" i="70" s="1"/>
  <c r="BH382" i="70" s="1"/>
  <c r="BI382" i="70" s="1"/>
  <c r="BE383" i="70"/>
  <c r="BE384" i="70"/>
  <c r="BF384" i="70" s="1"/>
  <c r="BG384" i="70" s="1"/>
  <c r="BH384" i="70" s="1"/>
  <c r="BI384" i="70" s="1"/>
  <c r="BE385" i="70"/>
  <c r="BE386" i="70"/>
  <c r="BF386" i="70" s="1"/>
  <c r="BE387" i="70"/>
  <c r="BF387" i="70" s="1"/>
  <c r="BG387" i="70" s="1"/>
  <c r="BH387" i="70" s="1"/>
  <c r="BI387" i="70" s="1"/>
  <c r="BE388" i="70"/>
  <c r="BE389" i="70"/>
  <c r="BF389" i="70" s="1"/>
  <c r="BG389" i="70" s="1"/>
  <c r="BH389" i="70" s="1"/>
  <c r="BI389" i="70" s="1"/>
  <c r="BE390" i="70"/>
  <c r="BF390" i="70" s="1"/>
  <c r="BG390" i="70" s="1"/>
  <c r="BH390" i="70" s="1"/>
  <c r="BI390" i="70" s="1"/>
  <c r="BE391" i="70"/>
  <c r="BE392" i="70"/>
  <c r="BF392" i="70" s="1"/>
  <c r="BG392" i="70" s="1"/>
  <c r="BH392" i="70" s="1"/>
  <c r="BI392" i="70" s="1"/>
  <c r="BE393" i="70"/>
  <c r="BE394" i="70"/>
  <c r="BE395" i="70"/>
  <c r="BF395" i="70" s="1"/>
  <c r="BG395" i="70" s="1"/>
  <c r="BH395" i="70" s="1"/>
  <c r="BI395" i="70" s="1"/>
  <c r="BE396" i="70"/>
  <c r="BE397" i="70"/>
  <c r="BF397" i="70" s="1"/>
  <c r="BG397" i="70" s="1"/>
  <c r="BH397" i="70" s="1"/>
  <c r="BI397" i="70" s="1"/>
  <c r="BE398" i="70"/>
  <c r="BF398" i="70" s="1"/>
  <c r="BG398" i="70" s="1"/>
  <c r="BH398" i="70" s="1"/>
  <c r="BI398" i="70" s="1"/>
  <c r="BE399" i="70"/>
  <c r="BE400" i="70"/>
  <c r="BF400" i="70" s="1"/>
  <c r="BG400" i="70" s="1"/>
  <c r="BH400" i="70" s="1"/>
  <c r="BI400" i="70" s="1"/>
  <c r="BE401" i="70"/>
  <c r="BE402" i="70"/>
  <c r="BF402" i="70" s="1"/>
  <c r="BE403" i="70"/>
  <c r="BF403" i="70" s="1"/>
  <c r="BG403" i="70" s="1"/>
  <c r="BH403" i="70" s="1"/>
  <c r="BI403" i="70" s="1"/>
  <c r="BE404" i="70"/>
  <c r="BE405" i="70"/>
  <c r="BF405" i="70" s="1"/>
  <c r="BG405" i="70" s="1"/>
  <c r="BH405" i="70" s="1"/>
  <c r="BI405" i="70" s="1"/>
  <c r="BE406" i="70"/>
  <c r="BF406" i="70" s="1"/>
  <c r="BG406" i="70" s="1"/>
  <c r="BH406" i="70" s="1"/>
  <c r="BI406" i="70" s="1"/>
  <c r="BE407" i="70"/>
  <c r="BE408" i="70"/>
  <c r="BF408" i="70" s="1"/>
  <c r="BG408" i="70" s="1"/>
  <c r="BH408" i="70" s="1"/>
  <c r="BI408" i="70" s="1"/>
  <c r="BE409" i="70"/>
  <c r="BE410" i="70"/>
  <c r="BE411" i="70"/>
  <c r="BF411" i="70" s="1"/>
  <c r="BG411" i="70" s="1"/>
  <c r="BH411" i="70" s="1"/>
  <c r="BI411" i="70" s="1"/>
  <c r="BE412" i="70"/>
  <c r="BE413" i="70"/>
  <c r="BF413" i="70" s="1"/>
  <c r="BG413" i="70" s="1"/>
  <c r="BH413" i="70" s="1"/>
  <c r="BI413" i="70" s="1"/>
  <c r="BE414" i="70"/>
  <c r="BF414" i="70" s="1"/>
  <c r="BG414" i="70" s="1"/>
  <c r="BH414" i="70" s="1"/>
  <c r="BI414" i="70" s="1"/>
  <c r="BE415" i="70"/>
  <c r="BE416" i="70"/>
  <c r="BF416" i="70" s="1"/>
  <c r="BG416" i="70" s="1"/>
  <c r="BH416" i="70" s="1"/>
  <c r="BI416" i="70" s="1"/>
  <c r="BE417" i="70"/>
  <c r="BE418" i="70"/>
  <c r="BF16" i="70"/>
  <c r="BG16" i="70" s="1"/>
  <c r="BH16" i="70" s="1"/>
  <c r="BI16" i="70" s="1"/>
  <c r="BF17" i="70"/>
  <c r="BF18" i="70"/>
  <c r="BG18" i="70" s="1"/>
  <c r="BH18" i="70" s="1"/>
  <c r="BI18" i="70" s="1"/>
  <c r="BF20" i="70"/>
  <c r="BG20" i="70" s="1"/>
  <c r="BH20" i="70" s="1"/>
  <c r="BI20" i="70" s="1"/>
  <c r="BF23" i="70"/>
  <c r="BG23" i="70" s="1"/>
  <c r="BF24" i="70"/>
  <c r="BG24" i="70" s="1"/>
  <c r="BH24" i="70" s="1"/>
  <c r="BI24" i="70" s="1"/>
  <c r="BF25" i="70"/>
  <c r="BF26" i="70"/>
  <c r="BG26" i="70" s="1"/>
  <c r="BH26" i="70" s="1"/>
  <c r="BI26" i="70" s="1"/>
  <c r="BF28" i="70"/>
  <c r="BG28" i="70" s="1"/>
  <c r="BH28" i="70" s="1"/>
  <c r="BI28" i="70" s="1"/>
  <c r="BF31" i="70"/>
  <c r="BG31" i="70" s="1"/>
  <c r="BH31" i="70" s="1"/>
  <c r="BF32" i="70"/>
  <c r="BG32" i="70" s="1"/>
  <c r="BH32" i="70" s="1"/>
  <c r="BI32" i="70" s="1"/>
  <c r="BF33" i="70"/>
  <c r="BG33" i="70" s="1"/>
  <c r="BH33" i="70" s="1"/>
  <c r="BI33" i="70" s="1"/>
  <c r="BF36" i="70"/>
  <c r="BF39" i="70"/>
  <c r="BG39" i="70" s="1"/>
  <c r="BH39" i="70" s="1"/>
  <c r="BI39" i="70" s="1"/>
  <c r="BF41" i="70"/>
  <c r="BG41" i="70" s="1"/>
  <c r="BH41" i="70" s="1"/>
  <c r="BF42" i="70"/>
  <c r="BG42" i="70" s="1"/>
  <c r="BH42" i="70" s="1"/>
  <c r="BI42" i="70" s="1"/>
  <c r="BF44" i="70"/>
  <c r="BG44" i="70" s="1"/>
  <c r="BH44" i="70" s="1"/>
  <c r="BI44" i="70" s="1"/>
  <c r="BF47" i="70"/>
  <c r="BG47" i="70" s="1"/>
  <c r="BH47" i="70" s="1"/>
  <c r="BI47" i="70" s="1"/>
  <c r="BF48" i="70"/>
  <c r="BG48" i="70" s="1"/>
  <c r="BH48" i="70" s="1"/>
  <c r="BI48" i="70" s="1"/>
  <c r="BF49" i="70"/>
  <c r="BG49" i="70" s="1"/>
  <c r="BH49" i="70" s="1"/>
  <c r="BI49" i="70" s="1"/>
  <c r="BF50" i="70"/>
  <c r="BG50" i="70" s="1"/>
  <c r="BF52" i="70"/>
  <c r="BG52" i="70" s="1"/>
  <c r="BH52" i="70" s="1"/>
  <c r="BI52" i="70" s="1"/>
  <c r="BF55" i="70"/>
  <c r="BF56" i="70"/>
  <c r="BG56" i="70" s="1"/>
  <c r="BH56" i="70" s="1"/>
  <c r="BI56" i="70" s="1"/>
  <c r="BF57" i="70"/>
  <c r="BG57" i="70" s="1"/>
  <c r="BH57" i="70" s="1"/>
  <c r="BI57" i="70" s="1"/>
  <c r="BF58" i="70"/>
  <c r="BG58" i="70" s="1"/>
  <c r="BH58" i="70" s="1"/>
  <c r="BI58" i="70" s="1"/>
  <c r="BF60" i="70"/>
  <c r="BG60" i="70" s="1"/>
  <c r="BH60" i="70" s="1"/>
  <c r="BI60" i="70" s="1"/>
  <c r="BF63" i="70"/>
  <c r="BG63" i="70" s="1"/>
  <c r="BH63" i="70" s="1"/>
  <c r="BI63" i="70" s="1"/>
  <c r="BF64" i="70"/>
  <c r="BG64" i="70" s="1"/>
  <c r="BH64" i="70" s="1"/>
  <c r="BF65" i="70"/>
  <c r="BG65" i="70" s="1"/>
  <c r="BH65" i="70" s="1"/>
  <c r="BI65" i="70" s="1"/>
  <c r="BF68" i="70"/>
  <c r="BF71" i="70"/>
  <c r="BG71" i="70" s="1"/>
  <c r="BH71" i="70" s="1"/>
  <c r="BI71" i="70" s="1"/>
  <c r="BF73" i="70"/>
  <c r="BG73" i="70" s="1"/>
  <c r="BH73" i="70" s="1"/>
  <c r="BI73" i="70" s="1"/>
  <c r="BF74" i="70"/>
  <c r="BG74" i="70" s="1"/>
  <c r="BH74" i="70" s="1"/>
  <c r="BI74" i="70" s="1"/>
  <c r="BF76" i="70"/>
  <c r="BG76" i="70" s="1"/>
  <c r="BH76" i="70" s="1"/>
  <c r="BI76" i="70" s="1"/>
  <c r="BF79" i="70"/>
  <c r="BG79" i="70" s="1"/>
  <c r="BH79" i="70" s="1"/>
  <c r="BI79" i="70" s="1"/>
  <c r="BF81" i="70"/>
  <c r="BG81" i="70" s="1"/>
  <c r="BH81" i="70" s="1"/>
  <c r="BI81" i="70" s="1"/>
  <c r="BF82" i="70"/>
  <c r="BG82" i="70" s="1"/>
  <c r="BH82" i="70" s="1"/>
  <c r="BI82" i="70" s="1"/>
  <c r="BF84" i="70"/>
  <c r="BF87" i="70"/>
  <c r="BG87" i="70" s="1"/>
  <c r="BH87" i="70" s="1"/>
  <c r="BI87" i="70" s="1"/>
  <c r="BF88" i="70"/>
  <c r="BG88" i="70" s="1"/>
  <c r="BH88" i="70" s="1"/>
  <c r="BI88" i="70" s="1"/>
  <c r="BF89" i="70"/>
  <c r="BF90" i="70"/>
  <c r="BG90" i="70" s="1"/>
  <c r="BH90" i="70" s="1"/>
  <c r="BI90" i="70" s="1"/>
  <c r="BF92" i="70"/>
  <c r="BG92" i="70" s="1"/>
  <c r="BH92" i="70" s="1"/>
  <c r="BI92" i="70" s="1"/>
  <c r="BF95" i="70"/>
  <c r="BF96" i="70"/>
  <c r="BG96" i="70" s="1"/>
  <c r="BH96" i="70" s="1"/>
  <c r="BI96" i="70" s="1"/>
  <c r="BF97" i="70"/>
  <c r="BG97" i="70" s="1"/>
  <c r="BH97" i="70" s="1"/>
  <c r="BI97" i="70" s="1"/>
  <c r="BF100" i="70"/>
  <c r="BG100" i="70" s="1"/>
  <c r="BH100" i="70" s="1"/>
  <c r="BI100" i="70" s="1"/>
  <c r="BF103" i="70"/>
  <c r="BG103" i="70" s="1"/>
  <c r="BH103" i="70" s="1"/>
  <c r="BI103" i="70" s="1"/>
  <c r="BF105" i="70"/>
  <c r="BF106" i="70"/>
  <c r="BG106" i="70" s="1"/>
  <c r="BH106" i="70" s="1"/>
  <c r="BI106" i="70" s="1"/>
  <c r="BF108" i="70"/>
  <c r="BG108" i="70" s="1"/>
  <c r="BH108" i="70" s="1"/>
  <c r="BI108" i="70" s="1"/>
  <c r="BF111" i="70"/>
  <c r="BG111" i="70" s="1"/>
  <c r="BH111" i="70" s="1"/>
  <c r="BI111" i="70" s="1"/>
  <c r="BF113" i="70"/>
  <c r="BG113" i="70" s="1"/>
  <c r="BH113" i="70" s="1"/>
  <c r="BI113" i="70" s="1"/>
  <c r="BF114" i="70"/>
  <c r="BG114" i="70" s="1"/>
  <c r="BH114" i="70" s="1"/>
  <c r="BI114" i="70" s="1"/>
  <c r="BF116" i="70"/>
  <c r="BF119" i="70"/>
  <c r="BG119" i="70" s="1"/>
  <c r="BH119" i="70" s="1"/>
  <c r="BI119" i="70" s="1"/>
  <c r="BF121" i="70"/>
  <c r="BF122" i="70"/>
  <c r="BG122" i="70" s="1"/>
  <c r="BH122" i="70" s="1"/>
  <c r="BI122" i="70" s="1"/>
  <c r="BF124" i="70"/>
  <c r="BG124" i="70" s="1"/>
  <c r="BH124" i="70" s="1"/>
  <c r="BI124" i="70" s="1"/>
  <c r="BF127" i="70"/>
  <c r="BG127" i="70" s="1"/>
  <c r="BH127" i="70" s="1"/>
  <c r="BI127" i="70" s="1"/>
  <c r="BF128" i="70"/>
  <c r="BG128" i="70" s="1"/>
  <c r="BH128" i="70" s="1"/>
  <c r="BI128" i="70" s="1"/>
  <c r="BF129" i="70"/>
  <c r="BF132" i="70"/>
  <c r="BG132" i="70" s="1"/>
  <c r="BH132" i="70" s="1"/>
  <c r="BI132" i="70" s="1"/>
  <c r="BF135" i="70"/>
  <c r="BG135" i="70" s="1"/>
  <c r="BH135" i="70" s="1"/>
  <c r="BI135" i="70" s="1"/>
  <c r="BF137" i="70"/>
  <c r="BG137" i="70" s="1"/>
  <c r="BH137" i="70" s="1"/>
  <c r="BI137" i="70" s="1"/>
  <c r="BF138" i="70"/>
  <c r="BG138" i="70" s="1"/>
  <c r="BH138" i="70" s="1"/>
  <c r="BI138" i="70" s="1"/>
  <c r="BF140" i="70"/>
  <c r="BG140" i="70" s="1"/>
  <c r="BH140" i="70" s="1"/>
  <c r="BI140" i="70" s="1"/>
  <c r="BF143" i="70"/>
  <c r="BG143" i="70" s="1"/>
  <c r="BH143" i="70" s="1"/>
  <c r="BI143" i="70" s="1"/>
  <c r="BF145" i="70"/>
  <c r="BG145" i="70" s="1"/>
  <c r="BH145" i="70" s="1"/>
  <c r="BI145" i="70" s="1"/>
  <c r="BF146" i="70"/>
  <c r="BF148" i="70"/>
  <c r="BF151" i="70"/>
  <c r="BG151" i="70" s="1"/>
  <c r="BH151" i="70" s="1"/>
  <c r="BI151" i="70" s="1"/>
  <c r="BF153" i="70"/>
  <c r="BG153" i="70" s="1"/>
  <c r="BH153" i="70" s="1"/>
  <c r="BI153" i="70" s="1"/>
  <c r="BF154" i="70"/>
  <c r="BG154" i="70" s="1"/>
  <c r="BH154" i="70" s="1"/>
  <c r="BI154" i="70" s="1"/>
  <c r="BF156" i="70"/>
  <c r="BG156" i="70" s="1"/>
  <c r="BH156" i="70" s="1"/>
  <c r="BI156" i="70" s="1"/>
  <c r="BF159" i="70"/>
  <c r="BG159" i="70" s="1"/>
  <c r="BH159" i="70" s="1"/>
  <c r="BI159" i="70" s="1"/>
  <c r="BF161" i="70"/>
  <c r="BG161" i="70" s="1"/>
  <c r="BH161" i="70" s="1"/>
  <c r="BI161" i="70" s="1"/>
  <c r="BF164" i="70"/>
  <c r="BG164" i="70" s="1"/>
  <c r="BH164" i="70" s="1"/>
  <c r="BI164" i="70" s="1"/>
  <c r="BF167" i="70"/>
  <c r="BG167" i="70" s="1"/>
  <c r="BH167" i="70" s="1"/>
  <c r="BI167" i="70" s="1"/>
  <c r="BF168" i="70"/>
  <c r="BG168" i="70" s="1"/>
  <c r="BH168" i="70" s="1"/>
  <c r="BI168" i="70" s="1"/>
  <c r="BF169" i="70"/>
  <c r="BG169" i="70" s="1"/>
  <c r="BH169" i="70" s="1"/>
  <c r="BI169" i="70" s="1"/>
  <c r="BF170" i="70"/>
  <c r="BG170" i="70" s="1"/>
  <c r="BH170" i="70" s="1"/>
  <c r="BI170" i="70" s="1"/>
  <c r="BF172" i="70"/>
  <c r="BG172" i="70" s="1"/>
  <c r="BH172" i="70" s="1"/>
  <c r="BI172" i="70" s="1"/>
  <c r="BF175" i="70"/>
  <c r="BG175" i="70" s="1"/>
  <c r="BH175" i="70" s="1"/>
  <c r="BI175" i="70" s="1"/>
  <c r="BF177" i="70"/>
  <c r="BG177" i="70" s="1"/>
  <c r="BH177" i="70" s="1"/>
  <c r="BI177" i="70" s="1"/>
  <c r="BF178" i="70"/>
  <c r="BG178" i="70" s="1"/>
  <c r="BH178" i="70" s="1"/>
  <c r="BI178" i="70" s="1"/>
  <c r="BF180" i="70"/>
  <c r="BG180" i="70" s="1"/>
  <c r="BH180" i="70" s="1"/>
  <c r="BI180" i="70" s="1"/>
  <c r="BF183" i="70"/>
  <c r="BG183" i="70" s="1"/>
  <c r="BH183" i="70" s="1"/>
  <c r="BI183" i="70" s="1"/>
  <c r="BF185" i="70"/>
  <c r="BG185" i="70" s="1"/>
  <c r="BH185" i="70" s="1"/>
  <c r="BI185" i="70" s="1"/>
  <c r="BF186" i="70"/>
  <c r="BG186" i="70" s="1"/>
  <c r="BH186" i="70" s="1"/>
  <c r="BI186" i="70" s="1"/>
  <c r="BF188" i="70"/>
  <c r="BG188" i="70" s="1"/>
  <c r="BH188" i="70" s="1"/>
  <c r="BI188" i="70" s="1"/>
  <c r="BF191" i="70"/>
  <c r="BG191" i="70" s="1"/>
  <c r="BH191" i="70" s="1"/>
  <c r="BI191" i="70" s="1"/>
  <c r="BF193" i="70"/>
  <c r="BG193" i="70" s="1"/>
  <c r="BH193" i="70" s="1"/>
  <c r="BI193" i="70" s="1"/>
  <c r="BF196" i="70"/>
  <c r="BG196" i="70" s="1"/>
  <c r="BH196" i="70" s="1"/>
  <c r="BI196" i="70" s="1"/>
  <c r="BF199" i="70"/>
  <c r="BG199" i="70" s="1"/>
  <c r="BF200" i="70"/>
  <c r="BG200" i="70" s="1"/>
  <c r="BH200" i="70" s="1"/>
  <c r="BI200" i="70" s="1"/>
  <c r="BF201" i="70"/>
  <c r="BF202" i="70"/>
  <c r="BG202" i="70" s="1"/>
  <c r="BH202" i="70" s="1"/>
  <c r="BI202" i="70" s="1"/>
  <c r="BF204" i="70"/>
  <c r="BG204" i="70" s="1"/>
  <c r="BH204" i="70" s="1"/>
  <c r="BI204" i="70" s="1"/>
  <c r="BF207" i="70"/>
  <c r="BG207" i="70" s="1"/>
  <c r="BH207" i="70" s="1"/>
  <c r="BI207" i="70" s="1"/>
  <c r="BF208" i="70"/>
  <c r="BG208" i="70" s="1"/>
  <c r="BH208" i="70" s="1"/>
  <c r="BI208" i="70" s="1"/>
  <c r="BF209" i="70"/>
  <c r="BG209" i="70" s="1"/>
  <c r="BH209" i="70" s="1"/>
  <c r="BI209" i="70" s="1"/>
  <c r="BF210" i="70"/>
  <c r="BF212" i="70"/>
  <c r="BG212" i="70" s="1"/>
  <c r="BH212" i="70" s="1"/>
  <c r="BI212" i="70" s="1"/>
  <c r="BF215" i="70"/>
  <c r="BG215" i="70" s="1"/>
  <c r="BH215" i="70" s="1"/>
  <c r="BI215" i="70" s="1"/>
  <c r="BF217" i="70"/>
  <c r="BG217" i="70" s="1"/>
  <c r="BH217" i="70" s="1"/>
  <c r="BI217" i="70" s="1"/>
  <c r="BF218" i="70"/>
  <c r="BG218" i="70" s="1"/>
  <c r="BH218" i="70" s="1"/>
  <c r="BI218" i="70" s="1"/>
  <c r="BF220" i="70"/>
  <c r="BG220" i="70" s="1"/>
  <c r="BH220" i="70" s="1"/>
  <c r="BI220" i="70" s="1"/>
  <c r="BF223" i="70"/>
  <c r="BG223" i="70" s="1"/>
  <c r="BH223" i="70" s="1"/>
  <c r="BI223" i="70" s="1"/>
  <c r="BF225" i="70"/>
  <c r="BF228" i="70"/>
  <c r="BG228" i="70" s="1"/>
  <c r="BH228" i="70" s="1"/>
  <c r="BI228" i="70" s="1"/>
  <c r="BF231" i="70"/>
  <c r="BG231" i="70" s="1"/>
  <c r="BH231" i="70" s="1"/>
  <c r="BI231" i="70" s="1"/>
  <c r="BF233" i="70"/>
  <c r="BG233" i="70" s="1"/>
  <c r="BH233" i="70" s="1"/>
  <c r="BI233" i="70" s="1"/>
  <c r="BF234" i="70"/>
  <c r="BG234" i="70" s="1"/>
  <c r="BH234" i="70" s="1"/>
  <c r="BI234" i="70" s="1"/>
  <c r="BF236" i="70"/>
  <c r="BG236" i="70" s="1"/>
  <c r="BH236" i="70" s="1"/>
  <c r="BI236" i="70" s="1"/>
  <c r="BF239" i="70"/>
  <c r="BG239" i="70" s="1"/>
  <c r="BH239" i="70" s="1"/>
  <c r="BI239" i="70" s="1"/>
  <c r="BF241" i="70"/>
  <c r="BF242" i="70"/>
  <c r="BG242" i="70" s="1"/>
  <c r="BH242" i="70" s="1"/>
  <c r="BI242" i="70" s="1"/>
  <c r="BF244" i="70"/>
  <c r="BG244" i="70" s="1"/>
  <c r="BH244" i="70" s="1"/>
  <c r="BI244" i="70" s="1"/>
  <c r="BF247" i="70"/>
  <c r="BG247" i="70" s="1"/>
  <c r="BH247" i="70" s="1"/>
  <c r="BI247" i="70" s="1"/>
  <c r="BF248" i="70"/>
  <c r="BG248" i="70" s="1"/>
  <c r="BH248" i="70" s="1"/>
  <c r="BI248" i="70" s="1"/>
  <c r="BF249" i="70"/>
  <c r="BG249" i="70" s="1"/>
  <c r="BH249" i="70" s="1"/>
  <c r="BI249" i="70" s="1"/>
  <c r="BF250" i="70"/>
  <c r="BG250" i="70" s="1"/>
  <c r="BH250" i="70" s="1"/>
  <c r="BI250" i="70" s="1"/>
  <c r="BF252" i="70"/>
  <c r="BG252" i="70" s="1"/>
  <c r="BH252" i="70" s="1"/>
  <c r="BI252" i="70" s="1"/>
  <c r="BF255" i="70"/>
  <c r="BF257" i="70"/>
  <c r="BF260" i="70"/>
  <c r="BG260" i="70" s="1"/>
  <c r="BH260" i="70" s="1"/>
  <c r="BI260" i="70" s="1"/>
  <c r="BF263" i="70"/>
  <c r="BG263" i="70" s="1"/>
  <c r="BH263" i="70" s="1"/>
  <c r="BI263" i="70" s="1"/>
  <c r="BF264" i="70"/>
  <c r="BG264" i="70" s="1"/>
  <c r="BH264" i="70" s="1"/>
  <c r="BI264" i="70" s="1"/>
  <c r="BF265" i="70"/>
  <c r="BG265" i="70" s="1"/>
  <c r="BH265" i="70" s="1"/>
  <c r="BI265" i="70" s="1"/>
  <c r="BF266" i="70"/>
  <c r="BG266" i="70" s="1"/>
  <c r="BH266" i="70" s="1"/>
  <c r="BI266" i="70" s="1"/>
  <c r="BF268" i="70"/>
  <c r="BG268" i="70" s="1"/>
  <c r="BH268" i="70" s="1"/>
  <c r="BI268" i="70" s="1"/>
  <c r="BF271" i="70"/>
  <c r="BF273" i="70"/>
  <c r="BG273" i="70" s="1"/>
  <c r="BH273" i="70" s="1"/>
  <c r="BI273" i="70" s="1"/>
  <c r="BF274" i="70"/>
  <c r="BG274" i="70" s="1"/>
  <c r="BH274" i="70" s="1"/>
  <c r="BI274" i="70" s="1"/>
  <c r="BF276" i="70"/>
  <c r="BG276" i="70" s="1"/>
  <c r="BH276" i="70" s="1"/>
  <c r="BI276" i="70" s="1"/>
  <c r="BF279" i="70"/>
  <c r="BG279" i="70" s="1"/>
  <c r="BH279" i="70" s="1"/>
  <c r="BI279" i="70" s="1"/>
  <c r="BF281" i="70"/>
  <c r="BG281" i="70" s="1"/>
  <c r="BH281" i="70" s="1"/>
  <c r="BI281" i="70" s="1"/>
  <c r="BF282" i="70"/>
  <c r="BG282" i="70" s="1"/>
  <c r="BH282" i="70" s="1"/>
  <c r="BI282" i="70" s="1"/>
  <c r="BF284" i="70"/>
  <c r="BG284" i="70" s="1"/>
  <c r="BH284" i="70" s="1"/>
  <c r="BI284" i="70" s="1"/>
  <c r="BF287" i="70"/>
  <c r="BG287" i="70" s="1"/>
  <c r="BH287" i="70" s="1"/>
  <c r="BI287" i="70" s="1"/>
  <c r="BF289" i="70"/>
  <c r="BG289" i="70" s="1"/>
  <c r="BH289" i="70" s="1"/>
  <c r="BI289" i="70" s="1"/>
  <c r="BF292" i="70"/>
  <c r="BG292" i="70" s="1"/>
  <c r="BH292" i="70" s="1"/>
  <c r="BI292" i="70" s="1"/>
  <c r="BF295" i="70"/>
  <c r="BG295" i="70" s="1"/>
  <c r="BH295" i="70" s="1"/>
  <c r="BI295" i="70" s="1"/>
  <c r="BF297" i="70"/>
  <c r="BG297" i="70" s="1"/>
  <c r="BH297" i="70" s="1"/>
  <c r="BI297" i="70" s="1"/>
  <c r="BF298" i="70"/>
  <c r="BG298" i="70" s="1"/>
  <c r="BH298" i="70" s="1"/>
  <c r="BI298" i="70" s="1"/>
  <c r="BF300" i="70"/>
  <c r="BG300" i="70" s="1"/>
  <c r="BH300" i="70" s="1"/>
  <c r="BI300" i="70" s="1"/>
  <c r="BF303" i="70"/>
  <c r="BG303" i="70" s="1"/>
  <c r="BH303" i="70" s="1"/>
  <c r="BI303" i="70" s="1"/>
  <c r="BF305" i="70"/>
  <c r="BG305" i="70" s="1"/>
  <c r="BH305" i="70" s="1"/>
  <c r="BI305" i="70" s="1"/>
  <c r="BF306" i="70"/>
  <c r="BG306" i="70" s="1"/>
  <c r="BH306" i="70" s="1"/>
  <c r="BI306" i="70" s="1"/>
  <c r="BF308" i="70"/>
  <c r="BG308" i="70" s="1"/>
  <c r="BH308" i="70" s="1"/>
  <c r="BI308" i="70" s="1"/>
  <c r="BF311" i="70"/>
  <c r="BG311" i="70" s="1"/>
  <c r="BH311" i="70" s="1"/>
  <c r="BI311" i="70" s="1"/>
  <c r="BF313" i="70"/>
  <c r="BG313" i="70" s="1"/>
  <c r="BH313" i="70" s="1"/>
  <c r="BI313" i="70" s="1"/>
  <c r="BF314" i="70"/>
  <c r="BG314" i="70" s="1"/>
  <c r="BH314" i="70" s="1"/>
  <c r="BI314" i="70" s="1"/>
  <c r="BF316" i="70"/>
  <c r="BG316" i="70" s="1"/>
  <c r="BH316" i="70" s="1"/>
  <c r="BI316" i="70" s="1"/>
  <c r="BF319" i="70"/>
  <c r="BG319" i="70" s="1"/>
  <c r="BH319" i="70" s="1"/>
  <c r="BI319" i="70" s="1"/>
  <c r="BF320" i="70"/>
  <c r="BG320" i="70" s="1"/>
  <c r="BH320" i="70" s="1"/>
  <c r="BI320" i="70" s="1"/>
  <c r="BF321" i="70"/>
  <c r="BF324" i="70"/>
  <c r="BG324" i="70" s="1"/>
  <c r="BH324" i="70" s="1"/>
  <c r="BI324" i="70" s="1"/>
  <c r="BF327" i="70"/>
  <c r="BG327" i="70" s="1"/>
  <c r="BH327" i="70" s="1"/>
  <c r="BI327" i="70" s="1"/>
  <c r="BF329" i="70"/>
  <c r="BG329" i="70" s="1"/>
  <c r="BH329" i="70" s="1"/>
  <c r="BI329" i="70" s="1"/>
  <c r="BF330" i="70"/>
  <c r="BG330" i="70" s="1"/>
  <c r="BH330" i="70" s="1"/>
  <c r="BI330" i="70" s="1"/>
  <c r="BF332" i="70"/>
  <c r="BG332" i="70" s="1"/>
  <c r="BH332" i="70" s="1"/>
  <c r="BI332" i="70" s="1"/>
  <c r="BF335" i="70"/>
  <c r="BG335" i="70" s="1"/>
  <c r="BH335" i="70" s="1"/>
  <c r="BI335" i="70" s="1"/>
  <c r="BF337" i="70"/>
  <c r="BG337" i="70" s="1"/>
  <c r="BH337" i="70" s="1"/>
  <c r="BI337" i="70" s="1"/>
  <c r="BF338" i="70"/>
  <c r="BG338" i="70" s="1"/>
  <c r="BH338" i="70" s="1"/>
  <c r="BI338" i="70" s="1"/>
  <c r="BF340" i="70"/>
  <c r="BG340" i="70" s="1"/>
  <c r="BH340" i="70" s="1"/>
  <c r="BI340" i="70" s="1"/>
  <c r="BF343" i="70"/>
  <c r="BG343" i="70" s="1"/>
  <c r="BH343" i="70" s="1"/>
  <c r="BI343" i="70" s="1"/>
  <c r="BF345" i="70"/>
  <c r="BF348" i="70"/>
  <c r="BG348" i="70" s="1"/>
  <c r="BH348" i="70" s="1"/>
  <c r="BI348" i="70" s="1"/>
  <c r="BF351" i="70"/>
  <c r="BG351" i="70" s="1"/>
  <c r="BH351" i="70" s="1"/>
  <c r="BI351" i="70" s="1"/>
  <c r="BF353" i="70"/>
  <c r="BG353" i="70" s="1"/>
  <c r="BH353" i="70" s="1"/>
  <c r="BI353" i="70" s="1"/>
  <c r="BF354" i="70"/>
  <c r="BG354" i="70" s="1"/>
  <c r="BH354" i="70" s="1"/>
  <c r="BI354" i="70" s="1"/>
  <c r="BF356" i="70"/>
  <c r="BG356" i="70" s="1"/>
  <c r="BH356" i="70" s="1"/>
  <c r="BI356" i="70" s="1"/>
  <c r="BF359" i="70"/>
  <c r="BG359" i="70" s="1"/>
  <c r="BH359" i="70" s="1"/>
  <c r="BI359" i="70" s="1"/>
  <c r="BF361" i="70"/>
  <c r="BG361" i="70" s="1"/>
  <c r="BH361" i="70" s="1"/>
  <c r="BI361" i="70" s="1"/>
  <c r="BF364" i="70"/>
  <c r="BG364" i="70" s="1"/>
  <c r="BH364" i="70" s="1"/>
  <c r="BI364" i="70" s="1"/>
  <c r="BF367" i="70"/>
  <c r="BG367" i="70" s="1"/>
  <c r="BH367" i="70" s="1"/>
  <c r="BI367" i="70" s="1"/>
  <c r="BF369" i="70"/>
  <c r="BG369" i="70" s="1"/>
  <c r="BH369" i="70" s="1"/>
  <c r="BI369" i="70" s="1"/>
  <c r="BF370" i="70"/>
  <c r="BG370" i="70" s="1"/>
  <c r="BH370" i="70" s="1"/>
  <c r="BI370" i="70" s="1"/>
  <c r="BF372" i="70"/>
  <c r="BG372" i="70" s="1"/>
  <c r="BH372" i="70" s="1"/>
  <c r="BI372" i="70" s="1"/>
  <c r="BF375" i="70"/>
  <c r="BG375" i="70" s="1"/>
  <c r="BH375" i="70" s="1"/>
  <c r="BI375" i="70" s="1"/>
  <c r="BF377" i="70"/>
  <c r="BG377" i="70" s="1"/>
  <c r="BH377" i="70" s="1"/>
  <c r="BI377" i="70" s="1"/>
  <c r="BF378" i="70"/>
  <c r="BG378" i="70" s="1"/>
  <c r="BH378" i="70" s="1"/>
  <c r="BI378" i="70" s="1"/>
  <c r="BF380" i="70"/>
  <c r="BG380" i="70" s="1"/>
  <c r="BH380" i="70" s="1"/>
  <c r="BI380" i="70" s="1"/>
  <c r="BF383" i="70"/>
  <c r="BG383" i="70" s="1"/>
  <c r="BH383" i="70" s="1"/>
  <c r="BI383" i="70" s="1"/>
  <c r="BF385" i="70"/>
  <c r="BG385" i="70" s="1"/>
  <c r="BH385" i="70" s="1"/>
  <c r="BI385" i="70" s="1"/>
  <c r="BF388" i="70"/>
  <c r="BG388" i="70" s="1"/>
  <c r="BH388" i="70" s="1"/>
  <c r="BI388" i="70" s="1"/>
  <c r="BF391" i="70"/>
  <c r="BG391" i="70" s="1"/>
  <c r="BH391" i="70" s="1"/>
  <c r="BI391" i="70" s="1"/>
  <c r="BF393" i="70"/>
  <c r="BG393" i="70" s="1"/>
  <c r="BH393" i="70" s="1"/>
  <c r="BI393" i="70" s="1"/>
  <c r="BF394" i="70"/>
  <c r="BG394" i="70" s="1"/>
  <c r="BH394" i="70" s="1"/>
  <c r="BI394" i="70" s="1"/>
  <c r="BF396" i="70"/>
  <c r="BG396" i="70" s="1"/>
  <c r="BH396" i="70" s="1"/>
  <c r="BI396" i="70" s="1"/>
  <c r="BF399" i="70"/>
  <c r="BG399" i="70" s="1"/>
  <c r="BH399" i="70" s="1"/>
  <c r="BI399" i="70" s="1"/>
  <c r="BF401" i="70"/>
  <c r="BG401" i="70" s="1"/>
  <c r="BH401" i="70" s="1"/>
  <c r="BI401" i="70" s="1"/>
  <c r="BF404" i="70"/>
  <c r="BG404" i="70" s="1"/>
  <c r="BH404" i="70" s="1"/>
  <c r="BI404" i="70" s="1"/>
  <c r="BF407" i="70"/>
  <c r="BG407" i="70" s="1"/>
  <c r="BH407" i="70" s="1"/>
  <c r="BI407" i="70" s="1"/>
  <c r="BF409" i="70"/>
  <c r="BG409" i="70" s="1"/>
  <c r="BH409" i="70" s="1"/>
  <c r="BI409" i="70" s="1"/>
  <c r="BF410" i="70"/>
  <c r="BG410" i="70" s="1"/>
  <c r="BH410" i="70" s="1"/>
  <c r="BI410" i="70" s="1"/>
  <c r="BF412" i="70"/>
  <c r="BG412" i="70" s="1"/>
  <c r="BH412" i="70" s="1"/>
  <c r="BI412" i="70" s="1"/>
  <c r="BF415" i="70"/>
  <c r="BG415" i="70" s="1"/>
  <c r="BH415" i="70" s="1"/>
  <c r="BI415" i="70" s="1"/>
  <c r="BF417" i="70"/>
  <c r="BG417" i="70" s="1"/>
  <c r="BH417" i="70" s="1"/>
  <c r="BI417" i="70" s="1"/>
  <c r="BF418" i="70"/>
  <c r="BG418" i="70" s="1"/>
  <c r="BH418" i="70" s="1"/>
  <c r="BI418" i="70" s="1"/>
  <c r="BG17" i="70"/>
  <c r="BH17" i="70" s="1"/>
  <c r="BI17" i="70" s="1"/>
  <c r="BG21" i="70"/>
  <c r="BH21" i="70" s="1"/>
  <c r="BI21" i="70" s="1"/>
  <c r="BG25" i="70"/>
  <c r="BH25" i="70" s="1"/>
  <c r="BI25" i="70" s="1"/>
  <c r="BG27" i="70"/>
  <c r="BH27" i="70" s="1"/>
  <c r="BI27" i="70" s="1"/>
  <c r="BG34" i="70"/>
  <c r="BH34" i="70" s="1"/>
  <c r="BI34" i="70" s="1"/>
  <c r="BG35" i="70"/>
  <c r="BH35" i="70" s="1"/>
  <c r="BI35" i="70" s="1"/>
  <c r="BG36" i="70"/>
  <c r="BG51" i="70"/>
  <c r="BH51" i="70" s="1"/>
  <c r="BI51" i="70" s="1"/>
  <c r="BG53" i="70"/>
  <c r="BH53" i="70" s="1"/>
  <c r="BI53" i="70" s="1"/>
  <c r="BG55" i="70"/>
  <c r="BH55" i="70" s="1"/>
  <c r="BI55" i="70" s="1"/>
  <c r="BG59" i="70"/>
  <c r="BH59" i="70" s="1"/>
  <c r="BI59" i="70" s="1"/>
  <c r="BG66" i="70"/>
  <c r="BH66" i="70" s="1"/>
  <c r="BI66" i="70" s="1"/>
  <c r="BG67" i="70"/>
  <c r="BH67" i="70" s="1"/>
  <c r="BI67" i="70" s="1"/>
  <c r="BG68" i="70"/>
  <c r="BH68" i="70" s="1"/>
  <c r="BI68" i="70" s="1"/>
  <c r="BG77" i="70"/>
  <c r="BH77" i="70" s="1"/>
  <c r="BI77" i="70" s="1"/>
  <c r="BG84" i="70"/>
  <c r="BH84" i="70" s="1"/>
  <c r="BI84" i="70" s="1"/>
  <c r="BG89" i="70"/>
  <c r="BH89" i="70" s="1"/>
  <c r="BI89" i="70" s="1"/>
  <c r="BG93" i="70"/>
  <c r="BH93" i="70" s="1"/>
  <c r="BI93" i="70" s="1"/>
  <c r="BG95" i="70"/>
  <c r="BH95" i="70" s="1"/>
  <c r="BI95" i="70" s="1"/>
  <c r="BG98" i="70"/>
  <c r="BH98" i="70" s="1"/>
  <c r="BI98" i="70" s="1"/>
  <c r="BG105" i="70"/>
  <c r="BH105" i="70" s="1"/>
  <c r="BI105" i="70" s="1"/>
  <c r="BG109" i="70"/>
  <c r="BH109" i="70" s="1"/>
  <c r="BI109" i="70" s="1"/>
  <c r="BG116" i="70"/>
  <c r="BH116" i="70" s="1"/>
  <c r="BI116" i="70" s="1"/>
  <c r="BG121" i="70"/>
  <c r="BH121" i="70" s="1"/>
  <c r="BI121" i="70" s="1"/>
  <c r="BG129" i="70"/>
  <c r="BH129" i="70" s="1"/>
  <c r="BI129" i="70" s="1"/>
  <c r="BG130" i="70"/>
  <c r="BH130" i="70" s="1"/>
  <c r="BI130" i="70" s="1"/>
  <c r="BG146" i="70"/>
  <c r="BH146" i="70" s="1"/>
  <c r="BI146" i="70" s="1"/>
  <c r="BG148" i="70"/>
  <c r="BH148" i="70" s="1"/>
  <c r="BI148" i="70" s="1"/>
  <c r="BG162" i="70"/>
  <c r="BH162" i="70" s="1"/>
  <c r="BI162" i="70" s="1"/>
  <c r="BG194" i="70"/>
  <c r="BH194" i="70" s="1"/>
  <c r="BI194" i="70" s="1"/>
  <c r="BG201" i="70"/>
  <c r="BH201" i="70" s="1"/>
  <c r="BI201" i="70" s="1"/>
  <c r="BG210" i="70"/>
  <c r="BH210" i="70" s="1"/>
  <c r="BI210" i="70" s="1"/>
  <c r="BG225" i="70"/>
  <c r="BH225" i="70" s="1"/>
  <c r="BI225" i="70" s="1"/>
  <c r="BG226" i="70"/>
  <c r="BH226" i="70" s="1"/>
  <c r="BI226" i="70" s="1"/>
  <c r="BG241" i="70"/>
  <c r="BH241" i="70" s="1"/>
  <c r="BI241" i="70" s="1"/>
  <c r="BG245" i="70"/>
  <c r="BH245" i="70" s="1"/>
  <c r="BI245" i="70" s="1"/>
  <c r="BG255" i="70"/>
  <c r="BH255" i="70" s="1"/>
  <c r="BI255" i="70" s="1"/>
  <c r="BG257" i="70"/>
  <c r="BH257" i="70" s="1"/>
  <c r="BI257" i="70" s="1"/>
  <c r="BG258" i="70"/>
  <c r="BH258" i="70" s="1"/>
  <c r="BI258" i="70" s="1"/>
  <c r="BG271" i="70"/>
  <c r="BH271" i="70" s="1"/>
  <c r="BI271" i="70" s="1"/>
  <c r="BG290" i="70"/>
  <c r="BH290" i="70" s="1"/>
  <c r="BI290" i="70" s="1"/>
  <c r="BG321" i="70"/>
  <c r="BH321" i="70" s="1"/>
  <c r="BI321" i="70" s="1"/>
  <c r="BG322" i="70"/>
  <c r="BH322" i="70" s="1"/>
  <c r="BI322" i="70" s="1"/>
  <c r="BG345" i="70"/>
  <c r="BH345" i="70" s="1"/>
  <c r="BI345" i="70" s="1"/>
  <c r="BG362" i="70"/>
  <c r="BH362" i="70" s="1"/>
  <c r="BI362" i="70" s="1"/>
  <c r="BG386" i="70"/>
  <c r="BH386" i="70" s="1"/>
  <c r="BI386" i="70" s="1"/>
  <c r="BG402" i="70"/>
  <c r="BH402" i="70" s="1"/>
  <c r="BI402" i="70" s="1"/>
  <c r="BH23" i="70"/>
  <c r="BI23" i="70" s="1"/>
  <c r="BH36" i="70"/>
  <c r="BI36" i="70" s="1"/>
  <c r="BH50" i="70"/>
  <c r="BI50" i="70" s="1"/>
  <c r="BH83" i="70"/>
  <c r="BI83" i="70" s="1"/>
  <c r="BH195" i="70"/>
  <c r="BI195" i="70" s="1"/>
  <c r="BH199" i="70"/>
  <c r="BI199" i="70" s="1"/>
  <c r="BH251" i="70"/>
  <c r="BI251" i="70" s="1"/>
  <c r="BH346" i="70"/>
  <c r="BI346" i="70" s="1"/>
  <c r="BI31" i="70"/>
  <c r="BI41" i="70"/>
  <c r="BI64" i="70"/>
  <c r="BI75" i="70"/>
  <c r="BC18" i="70"/>
  <c r="BC26" i="70"/>
  <c r="BC34" i="70"/>
  <c r="BC42" i="70"/>
  <c r="BC50" i="70"/>
  <c r="BC58" i="70"/>
  <c r="BC66" i="70"/>
  <c r="BC74" i="70"/>
  <c r="BC82" i="70"/>
  <c r="BC90" i="70"/>
  <c r="BC98" i="70"/>
  <c r="BC106" i="70"/>
  <c r="BC114" i="70"/>
  <c r="BC122" i="70"/>
  <c r="BC130" i="70"/>
  <c r="BC138" i="70"/>
  <c r="BC146" i="70"/>
  <c r="BC154" i="70"/>
  <c r="BC162" i="70"/>
  <c r="BC170" i="70"/>
  <c r="BC178" i="70"/>
  <c r="BC186" i="70"/>
  <c r="BC194" i="70"/>
  <c r="BC202" i="70"/>
  <c r="BC210" i="70"/>
  <c r="BC218" i="70"/>
  <c r="BC226" i="70"/>
  <c r="BC234" i="70"/>
  <c r="BC242" i="70"/>
  <c r="BC250" i="70"/>
  <c r="BC258" i="70"/>
  <c r="BC266" i="70"/>
  <c r="BC274" i="70"/>
  <c r="BC282" i="70"/>
  <c r="BC290" i="70"/>
  <c r="BC298" i="70"/>
  <c r="BC306" i="70"/>
  <c r="BC314" i="70"/>
  <c r="BC322" i="70"/>
  <c r="BC330" i="70"/>
  <c r="BC338" i="70"/>
  <c r="BC346" i="70"/>
  <c r="BC354" i="70"/>
  <c r="BC362" i="70"/>
  <c r="BC370" i="70"/>
  <c r="BC378" i="70"/>
  <c r="BC386" i="70"/>
  <c r="BC394" i="70"/>
  <c r="BC402" i="70"/>
  <c r="BC410" i="70"/>
  <c r="BC418" i="70"/>
  <c r="BC19" i="70"/>
  <c r="BC27" i="70"/>
  <c r="BC35" i="70"/>
  <c r="BC43" i="70"/>
  <c r="BC51" i="70"/>
  <c r="BC59" i="70"/>
  <c r="BC67" i="70"/>
  <c r="BC75" i="70"/>
  <c r="BC83" i="70"/>
  <c r="BC91" i="70"/>
  <c r="BC99" i="70"/>
  <c r="BC107" i="70"/>
  <c r="BC115" i="70"/>
  <c r="BC123" i="70"/>
  <c r="BC131" i="70"/>
  <c r="BC139" i="70"/>
  <c r="BC147" i="70"/>
  <c r="BC155" i="70"/>
  <c r="BC163" i="70"/>
  <c r="BC171" i="70"/>
  <c r="BC179" i="70"/>
  <c r="BC187" i="70"/>
  <c r="BC195" i="70"/>
  <c r="BC203" i="70"/>
  <c r="BC211" i="70"/>
  <c r="BC219" i="70"/>
  <c r="BC227" i="70"/>
  <c r="BC235" i="70"/>
  <c r="BC243" i="70"/>
  <c r="BC251" i="70"/>
  <c r="BC259" i="70"/>
  <c r="BC267" i="70"/>
  <c r="BC275" i="70"/>
  <c r="BC283" i="70"/>
  <c r="BC291" i="70"/>
  <c r="BC299" i="70"/>
  <c r="BC307" i="70"/>
  <c r="BC315" i="70"/>
  <c r="BC323" i="70"/>
  <c r="BC331" i="70"/>
  <c r="BC339" i="70"/>
  <c r="BC347" i="70"/>
  <c r="BC355" i="70"/>
  <c r="BC363" i="70"/>
  <c r="BC371" i="70"/>
  <c r="BC379" i="70"/>
  <c r="BC387" i="70"/>
  <c r="BC395" i="70"/>
  <c r="BC403" i="70"/>
  <c r="BC411" i="70"/>
  <c r="BC20" i="70"/>
  <c r="BC28" i="70"/>
  <c r="BC36" i="70"/>
  <c r="BC44" i="70"/>
  <c r="BC52" i="70"/>
  <c r="BC60" i="70"/>
  <c r="BC68" i="70"/>
  <c r="BC76" i="70"/>
  <c r="BC84" i="70"/>
  <c r="BC92" i="70"/>
  <c r="BC100" i="70"/>
  <c r="BC108" i="70"/>
  <c r="BC116" i="70"/>
  <c r="BC124" i="70"/>
  <c r="BC132" i="70"/>
  <c r="BC140" i="70"/>
  <c r="BC148" i="70"/>
  <c r="BC156" i="70"/>
  <c r="BC164" i="70"/>
  <c r="BC172" i="70"/>
  <c r="BC180" i="70"/>
  <c r="BC188" i="70"/>
  <c r="BC196" i="70"/>
  <c r="BC204" i="70"/>
  <c r="BC212" i="70"/>
  <c r="BC220" i="70"/>
  <c r="BC228" i="70"/>
  <c r="BC236" i="70"/>
  <c r="BC244" i="70"/>
  <c r="BC252" i="70"/>
  <c r="BC260" i="70"/>
  <c r="BC268" i="70"/>
  <c r="BC276" i="70"/>
  <c r="BC284" i="70"/>
  <c r="BC292" i="70"/>
  <c r="BC300" i="70"/>
  <c r="BC308" i="70"/>
  <c r="BC316" i="70"/>
  <c r="BC324" i="70"/>
  <c r="BC332" i="70"/>
  <c r="BC340" i="70"/>
  <c r="BC348" i="70"/>
  <c r="BC356" i="70"/>
  <c r="BC364" i="70"/>
  <c r="BC372" i="70"/>
  <c r="BC380" i="70"/>
  <c r="BC388" i="70"/>
  <c r="BC396" i="70"/>
  <c r="BC404" i="70"/>
  <c r="BC412" i="70"/>
  <c r="BC21" i="70"/>
  <c r="BC29" i="70"/>
  <c r="BC37" i="70"/>
  <c r="BC45" i="70"/>
  <c r="BC53" i="70"/>
  <c r="BC61" i="70"/>
  <c r="BC69" i="70"/>
  <c r="BC77" i="70"/>
  <c r="BC85" i="70"/>
  <c r="BC93" i="70"/>
  <c r="BC101" i="70"/>
  <c r="BC109" i="70"/>
  <c r="BC117" i="70"/>
  <c r="BC125" i="70"/>
  <c r="BC133" i="70"/>
  <c r="BC141" i="70"/>
  <c r="BC149" i="70"/>
  <c r="BC157" i="70"/>
  <c r="BC165" i="70"/>
  <c r="BC173" i="70"/>
  <c r="BC181" i="70"/>
  <c r="BC189" i="70"/>
  <c r="BC197" i="70"/>
  <c r="BC205" i="70"/>
  <c r="BC213" i="70"/>
  <c r="BC221" i="70"/>
  <c r="BC229" i="70"/>
  <c r="BC237" i="70"/>
  <c r="BC245" i="70"/>
  <c r="BC253" i="70"/>
  <c r="BC261" i="70"/>
  <c r="BC269" i="70"/>
  <c r="BC277" i="70"/>
  <c r="BC285" i="70"/>
  <c r="BC293" i="70"/>
  <c r="BC301" i="70"/>
  <c r="BC309" i="70"/>
  <c r="BC317" i="70"/>
  <c r="BC325" i="70"/>
  <c r="BC333" i="70"/>
  <c r="BC341" i="70"/>
  <c r="BC349" i="70"/>
  <c r="BC357" i="70"/>
  <c r="BC365" i="70"/>
  <c r="BC373" i="70"/>
  <c r="BC381" i="70"/>
  <c r="BC389" i="70"/>
  <c r="BC397" i="70"/>
  <c r="BC405" i="70"/>
  <c r="BC413" i="70"/>
  <c r="BC22" i="70"/>
  <c r="BC30" i="70"/>
  <c r="BC38" i="70"/>
  <c r="BC46" i="70"/>
  <c r="BC54" i="70"/>
  <c r="BC62" i="70"/>
  <c r="BC70" i="70"/>
  <c r="BC78" i="70"/>
  <c r="BC86" i="70"/>
  <c r="BC94" i="70"/>
  <c r="BC102" i="70"/>
  <c r="BC110" i="70"/>
  <c r="BC118" i="70"/>
  <c r="BC126" i="70"/>
  <c r="BC134" i="70"/>
  <c r="BC142" i="70"/>
  <c r="BC150" i="70"/>
  <c r="BC158" i="70"/>
  <c r="BC166" i="70"/>
  <c r="BC174" i="70"/>
  <c r="BC182" i="70"/>
  <c r="BC190" i="70"/>
  <c r="BC198" i="70"/>
  <c r="BC206" i="70"/>
  <c r="BC214" i="70"/>
  <c r="BC222" i="70"/>
  <c r="BC230" i="70"/>
  <c r="BC238" i="70"/>
  <c r="BC246" i="70"/>
  <c r="BC254" i="70"/>
  <c r="BC262" i="70"/>
  <c r="BC270" i="70"/>
  <c r="BC278" i="70"/>
  <c r="BC286" i="70"/>
  <c r="BC294" i="70"/>
  <c r="BC302" i="70"/>
  <c r="BC310" i="70"/>
  <c r="BC318" i="70"/>
  <c r="BC326" i="70"/>
  <c r="BC334" i="70"/>
  <c r="BC342" i="70"/>
  <c r="BC350" i="70"/>
  <c r="BC358" i="70"/>
  <c r="BC366" i="70"/>
  <c r="BC374" i="70"/>
  <c r="BC382" i="70"/>
  <c r="BC390" i="70"/>
  <c r="BC398" i="70"/>
  <c r="BC406" i="70"/>
  <c r="BC414" i="70"/>
  <c r="BC23" i="70"/>
  <c r="BC31" i="70"/>
  <c r="BC39" i="70"/>
  <c r="BC47" i="70"/>
  <c r="BC55" i="70"/>
  <c r="BC63" i="70"/>
  <c r="BC71" i="70"/>
  <c r="BC79" i="70"/>
  <c r="BC87" i="70"/>
  <c r="BC95" i="70"/>
  <c r="BC103" i="70"/>
  <c r="BC111" i="70"/>
  <c r="BC119" i="70"/>
  <c r="BC127" i="70"/>
  <c r="BC135" i="70"/>
  <c r="BC143" i="70"/>
  <c r="BC151" i="70"/>
  <c r="BC159" i="70"/>
  <c r="BC167" i="70"/>
  <c r="BC175" i="70"/>
  <c r="BC183" i="70"/>
  <c r="BC191" i="70"/>
  <c r="BC199" i="70"/>
  <c r="BC207" i="70"/>
  <c r="BC215" i="70"/>
  <c r="BC223" i="70"/>
  <c r="BC231" i="70"/>
  <c r="BC239" i="70"/>
  <c r="BC247" i="70"/>
  <c r="BC255" i="70"/>
  <c r="BC263" i="70"/>
  <c r="BC271" i="70"/>
  <c r="BC279" i="70"/>
  <c r="BC287" i="70"/>
  <c r="BC295" i="70"/>
  <c r="BC303" i="70"/>
  <c r="BC311" i="70"/>
  <c r="BC319" i="70"/>
  <c r="BC327" i="70"/>
  <c r="BC335" i="70"/>
  <c r="BC343" i="70"/>
  <c r="BC351" i="70"/>
  <c r="BC359" i="70"/>
  <c r="BC367" i="70"/>
  <c r="BC375" i="70"/>
  <c r="BC383" i="70"/>
  <c r="BC391" i="70"/>
  <c r="BC399" i="70"/>
  <c r="BC407" i="70"/>
  <c r="BC415" i="70"/>
  <c r="BC24" i="70"/>
  <c r="BC56" i="70"/>
  <c r="BC88" i="70"/>
  <c r="BC120" i="70"/>
  <c r="BC152" i="70"/>
  <c r="BC184" i="70"/>
  <c r="BC216" i="70"/>
  <c r="BC248" i="70"/>
  <c r="BC280" i="70"/>
  <c r="BC312" i="70"/>
  <c r="BC344" i="70"/>
  <c r="BC376" i="70"/>
  <c r="BC408" i="70"/>
  <c r="BC25" i="70"/>
  <c r="BC57" i="70"/>
  <c r="BC89" i="70"/>
  <c r="BC121" i="70"/>
  <c r="BC153" i="70"/>
  <c r="BC185" i="70"/>
  <c r="BC217" i="70"/>
  <c r="BC249" i="70"/>
  <c r="BC281" i="70"/>
  <c r="BC313" i="70"/>
  <c r="BC345" i="70"/>
  <c r="BC377" i="70"/>
  <c r="BC409" i="70"/>
  <c r="BC32" i="70"/>
  <c r="BC64" i="70"/>
  <c r="BC96" i="70"/>
  <c r="BC128" i="70"/>
  <c r="BC160" i="70"/>
  <c r="BC192" i="70"/>
  <c r="BC224" i="70"/>
  <c r="BC256" i="70"/>
  <c r="BC288" i="70"/>
  <c r="BC320" i="70"/>
  <c r="BC352" i="70"/>
  <c r="BC384" i="70"/>
  <c r="BC416" i="70"/>
  <c r="BC33" i="70"/>
  <c r="BC65" i="70"/>
  <c r="BC97" i="70"/>
  <c r="BC129" i="70"/>
  <c r="BC161" i="70"/>
  <c r="BC193" i="70"/>
  <c r="BC225" i="70"/>
  <c r="BC257" i="70"/>
  <c r="BC289" i="70"/>
  <c r="BC321" i="70"/>
  <c r="BC353" i="70"/>
  <c r="BC385" i="70"/>
  <c r="BC417" i="70"/>
  <c r="BC40" i="70"/>
  <c r="BC72" i="70"/>
  <c r="BC104" i="70"/>
  <c r="BC136" i="70"/>
  <c r="BC168" i="70"/>
  <c r="BC200" i="70"/>
  <c r="BC232" i="70"/>
  <c r="BC264" i="70"/>
  <c r="BC296" i="70"/>
  <c r="BC328" i="70"/>
  <c r="BC360" i="70"/>
  <c r="BC392" i="70"/>
  <c r="BC41" i="70"/>
  <c r="BC73" i="70"/>
  <c r="BC105" i="70"/>
  <c r="BC137" i="70"/>
  <c r="BC169" i="70"/>
  <c r="BC201" i="70"/>
  <c r="BC233" i="70"/>
  <c r="BC265" i="70"/>
  <c r="BC297" i="70"/>
  <c r="BC329" i="70"/>
  <c r="BC361" i="70"/>
  <c r="BC393" i="70"/>
  <c r="BC48" i="70"/>
  <c r="BC176" i="70"/>
  <c r="BC304" i="70"/>
  <c r="BC49" i="70"/>
  <c r="BC177" i="70"/>
  <c r="BC305" i="70"/>
  <c r="BC80" i="70"/>
  <c r="BC208" i="70"/>
  <c r="BC336" i="70"/>
  <c r="BC81" i="70"/>
  <c r="BC209" i="70"/>
  <c r="BC337" i="70"/>
  <c r="BC112" i="70"/>
  <c r="BC240" i="70"/>
  <c r="BC368" i="70"/>
  <c r="BC113" i="70"/>
  <c r="BC241" i="70"/>
  <c r="BC369" i="70"/>
  <c r="BC144" i="70"/>
  <c r="BC145" i="70"/>
  <c r="BC17" i="70"/>
  <c r="BC272" i="70"/>
  <c r="BC273" i="70"/>
  <c r="BC16" i="70"/>
  <c r="BC400" i="70"/>
  <c r="BC401" i="70"/>
  <c r="Q45" i="83" l="1"/>
  <c r="R45" i="83" s="1"/>
  <c r="B47" i="83" s="1"/>
  <c r="Q42" i="83"/>
  <c r="R42" i="83" s="1"/>
  <c r="F47" i="83" s="1"/>
  <c r="Q43" i="83"/>
  <c r="R43" i="83" s="1"/>
  <c r="H47" i="83" s="1"/>
  <c r="Q44" i="83"/>
  <c r="R44" i="83" s="1"/>
  <c r="H48" i="83" s="1"/>
  <c r="Q41" i="83"/>
  <c r="R41" i="83" s="1"/>
  <c r="Q21" i="83"/>
  <c r="R21" i="83" s="1"/>
  <c r="Q22" i="83"/>
  <c r="R22" i="83" s="1"/>
  <c r="Q23" i="83"/>
  <c r="R23" i="83" s="1"/>
  <c r="B22" i="83" s="1"/>
  <c r="Q24" i="83"/>
  <c r="R24" i="83" s="1"/>
  <c r="C22" i="83" s="1"/>
  <c r="Q25" i="83"/>
  <c r="R25" i="83" s="1"/>
  <c r="B27" i="83" s="1"/>
  <c r="Q26" i="83"/>
  <c r="R26" i="83" s="1"/>
  <c r="C27" i="83" s="1"/>
  <c r="Q27" i="83"/>
  <c r="R27" i="83" s="1"/>
  <c r="B32" i="83" s="1"/>
  <c r="Q28" i="83"/>
  <c r="R28" i="83" s="1"/>
  <c r="F32" i="83" s="1"/>
  <c r="Q29" i="83"/>
  <c r="R29" i="83" s="1"/>
  <c r="F33" i="83" s="1"/>
  <c r="Q30" i="83"/>
  <c r="R30" i="83" s="1"/>
  <c r="F34" i="83" s="1"/>
  <c r="Q31" i="83"/>
  <c r="R31" i="83" s="1"/>
  <c r="H32" i="83" s="1"/>
  <c r="Q32" i="83"/>
  <c r="R32" i="83" s="1"/>
  <c r="B37" i="83" s="1"/>
  <c r="Q33" i="83"/>
  <c r="R33" i="83" s="1"/>
  <c r="F37" i="83" s="1"/>
  <c r="Q34" i="83"/>
  <c r="R34" i="83" s="1"/>
  <c r="F38" i="83" s="1"/>
  <c r="Q35" i="83"/>
  <c r="R35" i="83" s="1"/>
  <c r="F39" i="83" s="1"/>
  <c r="Q36" i="83"/>
  <c r="R36" i="83" s="1"/>
  <c r="H37" i="83" s="1"/>
  <c r="Q37" i="83"/>
  <c r="R37" i="83" s="1"/>
  <c r="B42" i="83" s="1"/>
  <c r="Q38" i="83"/>
  <c r="R38" i="83" s="1"/>
  <c r="F42" i="83" s="1"/>
  <c r="Q39" i="83"/>
  <c r="R39" i="83" s="1"/>
  <c r="H42" i="83" s="1"/>
  <c r="Q6" i="83"/>
  <c r="R6" i="83" s="1"/>
  <c r="E10" i="83" s="1"/>
  <c r="Q7" i="83"/>
  <c r="R7" i="83" s="1"/>
  <c r="C13" i="83" s="1"/>
  <c r="Q8" i="83"/>
  <c r="R8" i="83" s="1"/>
  <c r="B13" i="83" s="1"/>
  <c r="Q9" i="83"/>
  <c r="R9" i="83" s="1"/>
  <c r="E13" i="83" s="1"/>
  <c r="Q10" i="83"/>
  <c r="R10" i="83" s="1"/>
  <c r="G10" i="83" s="1"/>
  <c r="Q11" i="83"/>
  <c r="R11" i="83" s="1"/>
  <c r="K18" i="83" s="1"/>
  <c r="Q12" i="83"/>
  <c r="R12" i="83" s="1"/>
  <c r="M18" i="83" s="1"/>
  <c r="Q13" i="83"/>
  <c r="R13" i="83" s="1"/>
  <c r="Q14" i="83"/>
  <c r="R14" i="83" s="1"/>
  <c r="G18" i="83" s="1"/>
  <c r="Q16" i="83"/>
  <c r="R16" i="83" s="1"/>
  <c r="I18" i="83" s="1"/>
  <c r="Q17" i="83"/>
  <c r="R17" i="83" s="1"/>
  <c r="E18" i="83" s="1"/>
  <c r="Q18" i="83"/>
  <c r="R18" i="83" s="1"/>
  <c r="F18" i="83" s="1"/>
  <c r="Q19" i="83"/>
  <c r="R19" i="83" s="1"/>
  <c r="B18" i="83" s="1"/>
  <c r="Q20" i="83"/>
  <c r="R20" i="83" s="1"/>
  <c r="C18" i="83" s="1"/>
  <c r="Q5" i="83"/>
  <c r="R5" i="83" s="1"/>
  <c r="Q4" i="83"/>
  <c r="B10" i="83" s="1"/>
  <c r="C10" i="83" l="1"/>
  <c r="R4" i="83"/>
  <c r="M7" i="83"/>
  <c r="J9" i="70" l="1"/>
  <c r="I9" i="70"/>
  <c r="H9" i="70"/>
  <c r="G9" i="70"/>
  <c r="F9" i="70"/>
  <c r="B8" i="70"/>
  <c r="B7" i="70" s="1"/>
  <c r="AQ14" i="70"/>
  <c r="AR14" i="70"/>
  <c r="AS14" i="70"/>
  <c r="AT14" i="70"/>
  <c r="AU14" i="70"/>
  <c r="AV14" i="70"/>
  <c r="AW14" i="70"/>
  <c r="M14" i="70"/>
  <c r="L14" i="70"/>
  <c r="AD14" i="70"/>
  <c r="AE14" i="70"/>
  <c r="AF14" i="70"/>
  <c r="A8" i="70"/>
  <c r="A7" i="70" s="1"/>
  <c r="C14" i="70"/>
  <c r="E14" i="70"/>
  <c r="F14" i="70"/>
  <c r="G14" i="70"/>
  <c r="H14" i="70"/>
  <c r="I14" i="70"/>
  <c r="J14" i="70"/>
  <c r="K14" i="70"/>
  <c r="N14" i="70"/>
  <c r="O14" i="70"/>
  <c r="P14" i="70"/>
  <c r="Q14" i="70"/>
  <c r="R14" i="70"/>
  <c r="S14" i="70"/>
  <c r="T14" i="70"/>
  <c r="U14" i="70"/>
  <c r="V14" i="70"/>
  <c r="W14" i="70"/>
  <c r="X14" i="70"/>
  <c r="Y14" i="70"/>
  <c r="Z14" i="70"/>
  <c r="AA14" i="70"/>
  <c r="AB14" i="70"/>
  <c r="AC14" i="70"/>
  <c r="AG14" i="70"/>
  <c r="AH14" i="70"/>
  <c r="AI14" i="70"/>
  <c r="AJ14" i="70"/>
  <c r="AK14" i="70"/>
  <c r="AL14" i="70"/>
  <c r="AM14" i="70"/>
  <c r="AN14" i="70"/>
  <c r="AO14" i="70"/>
  <c r="AP14" i="70"/>
  <c r="B14" i="70"/>
  <c r="A4" i="70"/>
  <c r="K9" i="7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1D90E5-DE17-4CCC-8756-1D31BC697276}" keepAlive="1" name="Query - 05preva_view (3)" description="Connection to the '05preva_view (3)' query in the workbook." type="5" refreshedVersion="6" background="1" refreshOnLoad="1" saveData="1">
    <dbPr connection="Provider=Microsoft.Mashup.OleDb.1;Data Source=$Workbook$;Location=05preva_view (3);Extended Properties=&quot;&quot;" command="SELECT * FROM [05preva_view (3)]"/>
  </connection>
</connections>
</file>

<file path=xl/sharedStrings.xml><?xml version="1.0" encoding="utf-8"?>
<sst xmlns="http://schemas.openxmlformats.org/spreadsheetml/2006/main" count="9682" uniqueCount="1819">
  <si>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</si>
  <si>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</si>
  <si>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</si>
  <si>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</si>
  <si>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</si>
  <si>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</si>
  <si>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</si>
  <si>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</si>
  <si>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</si>
  <si>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Upper_Requested</t>
  </si>
  <si>
    <t>Lower_Requested</t>
  </si>
  <si>
    <t>Power_Result</t>
  </si>
  <si>
    <t>Power_Remarks</t>
  </si>
  <si>
    <t>Power_Forecast</t>
  </si>
  <si>
    <t>Power Remarks</t>
  </si>
  <si>
    <t>Structural_Result</t>
  </si>
  <si>
    <t>Structural_Remarks</t>
  </si>
  <si>
    <t>CW_Result</t>
  </si>
  <si>
    <t>CW_Remarks</t>
  </si>
  <si>
    <t>Power</t>
  </si>
  <si>
    <t>Community_Result</t>
  </si>
  <si>
    <t>Community_Remarks</t>
  </si>
  <si>
    <t>Community Remarks</t>
  </si>
  <si>
    <t>Status</t>
  </si>
  <si>
    <t>Prevalidated</t>
  </si>
  <si>
    <t>Under Prevalidation</t>
  </si>
  <si>
    <t>Prevalidation Rejected</t>
  </si>
  <si>
    <t>Dropped by Operator</t>
  </si>
  <si>
    <t>Tower Extension</t>
  </si>
  <si>
    <t>Slab Extension Needed</t>
  </si>
  <si>
    <t>Lower Space Requested</t>
  </si>
  <si>
    <t>Upper Space Requested</t>
  </si>
  <si>
    <t>General_Remark</t>
  </si>
  <si>
    <t>PM Remarks</t>
  </si>
  <si>
    <t>Mytel</t>
  </si>
  <si>
    <t>MPT</t>
  </si>
  <si>
    <t>Legacy</t>
  </si>
  <si>
    <t>04Id_Project</t>
  </si>
  <si>
    <t>Telenor</t>
  </si>
  <si>
    <t>Site ID</t>
  </si>
  <si>
    <t>OML</t>
  </si>
  <si>
    <t>Amara</t>
  </si>
  <si>
    <t>RM_Review</t>
  </si>
  <si>
    <t>RM_Remarks</t>
  </si>
  <si>
    <t>PM_Review</t>
  </si>
  <si>
    <t>PM_Forecast</t>
  </si>
  <si>
    <t>PM_Remarks</t>
  </si>
  <si>
    <t>ROI_Review</t>
  </si>
  <si>
    <t>ROI_Remarks</t>
  </si>
  <si>
    <t>Capacity Requested</t>
  </si>
  <si>
    <t>Capacity Model</t>
  </si>
  <si>
    <t>Prevalidation Status</t>
  </si>
  <si>
    <t>General Remark</t>
  </si>
  <si>
    <t>LandLord</t>
  </si>
  <si>
    <t>LandLord Remarks</t>
  </si>
  <si>
    <t>Community</t>
  </si>
  <si>
    <t>Tower Space</t>
  </si>
  <si>
    <t>Tower Space Remarks</t>
  </si>
  <si>
    <t>Structural</t>
  </si>
  <si>
    <t>Structural Remarks</t>
  </si>
  <si>
    <t>Ground Space</t>
  </si>
  <si>
    <t>Ground Space Remarks</t>
  </si>
  <si>
    <t>RM Remarks</t>
  </si>
  <si>
    <t>Slab_Extension_Needed</t>
  </si>
  <si>
    <t>Tower_Extension</t>
  </si>
  <si>
    <t>Tower_Space_Remarks</t>
  </si>
  <si>
    <t>Tower_Space_Result</t>
  </si>
  <si>
    <t>LandLord_Remarks</t>
  </si>
  <si>
    <t>LandLord_Result</t>
  </si>
  <si>
    <t>Capacity_Model</t>
  </si>
  <si>
    <t>Capacity_Requested</t>
  </si>
  <si>
    <t>Colo_Rev</t>
  </si>
  <si>
    <t>Tenant_Status</t>
  </si>
  <si>
    <t>Tenant_Category</t>
  </si>
  <si>
    <t>tenant_id</t>
  </si>
  <si>
    <t>05preva_view</t>
  </si>
  <si>
    <t>Site_ID</t>
  </si>
  <si>
    <t>Tenant Category</t>
  </si>
  <si>
    <t>Tenant Status</t>
  </si>
  <si>
    <t>Colo Rev</t>
  </si>
  <si>
    <t>Colo Application</t>
  </si>
  <si>
    <t>Folder Path1</t>
  </si>
  <si>
    <t>Folder Path2</t>
  </si>
  <si>
    <t>Folder Path3</t>
  </si>
  <si>
    <t>AM Remarks</t>
  </si>
  <si>
    <t>File Name</t>
  </si>
  <si>
    <t>File Path</t>
  </si>
  <si>
    <t>Find Process &amp; Database</t>
  </si>
  <si>
    <t>Power_Average</t>
  </si>
  <si>
    <t>Power_Peak</t>
  </si>
  <si>
    <t>Power_Average_Requested</t>
  </si>
  <si>
    <t>Power_Peak_Requested</t>
  </si>
  <si>
    <t>Average Power Requested</t>
  </si>
  <si>
    <t>Peak Power Requested</t>
  </si>
  <si>
    <t>LandLord_Time</t>
  </si>
  <si>
    <t>Community_Time</t>
  </si>
  <si>
    <t>Tower_Space_Time</t>
  </si>
  <si>
    <t>Structural_Time</t>
  </si>
  <si>
    <t>Prevalidation Leadtime</t>
  </si>
  <si>
    <t>Scope</t>
  </si>
  <si>
    <t>Count Validated</t>
  </si>
  <si>
    <t>Region</t>
  </si>
  <si>
    <t>tenant id</t>
  </si>
  <si>
    <t>Power Average</t>
  </si>
  <si>
    <t>Power Peak</t>
  </si>
  <si>
    <t>Power Forecast</t>
  </si>
  <si>
    <t>RM Review</t>
  </si>
  <si>
    <t>PM Forecast</t>
  </si>
  <si>
    <t>PM Review</t>
  </si>
  <si>
    <t>AM Review</t>
  </si>
  <si>
    <t>Tower Space Time</t>
  </si>
  <si>
    <t>Power Time</t>
  </si>
  <si>
    <t>Structural Time</t>
  </si>
  <si>
    <t>CW Time</t>
  </si>
  <si>
    <t>LandLord Time</t>
  </si>
  <si>
    <t>Community Time</t>
  </si>
  <si>
    <t>Apollo</t>
  </si>
  <si>
    <t>Central</t>
  </si>
  <si>
    <t>Colocation</t>
  </si>
  <si>
    <t>EPA</t>
  </si>
  <si>
    <t>OK</t>
  </si>
  <si>
    <t>04-Apr-18: Okay for TI installation,  Lease hike request may raise while TI installation</t>
  </si>
  <si>
    <t>47-50M</t>
  </si>
  <si>
    <t>No</t>
  </si>
  <si>
    <t>Proceed.  Order Eqpt &amp; U/G later - DG &amp; Batt UG 1200Ah</t>
  </si>
  <si>
    <t>Review</t>
  </si>
  <si>
    <t>ANKC_0015</t>
  </si>
  <si>
    <t>Northern</t>
  </si>
  <si>
    <t>KCN0160</t>
  </si>
  <si>
    <t>23-27M</t>
  </si>
  <si>
    <t>Need to provide new equipment slab</t>
  </si>
  <si>
    <t>Proceed.  Order Eqpt &amp; U/G later - Batt UG 1200AH</t>
  </si>
  <si>
    <t>ANMD_0065</t>
  </si>
  <si>
    <t>MDY0723</t>
  </si>
  <si>
    <t>Proceed.  Order Eqpt &amp; U/G later - DG &amp; Batt 1200Ah</t>
  </si>
  <si>
    <t>ANMD_0119</t>
  </si>
  <si>
    <t>MDY0093</t>
  </si>
  <si>
    <t>17-21M</t>
  </si>
  <si>
    <t>Ok with temporay height. EPA over desing need to check and strengthening Tower,</t>
  </si>
  <si>
    <t>Need to provide additional cable tray</t>
  </si>
  <si>
    <t>Proceed.  Order Eqpt &amp; U/G later - Flex24 &amp; Batt 1200Ah</t>
  </si>
  <si>
    <t>Rejected</t>
  </si>
  <si>
    <t>ANMD_0174</t>
  </si>
  <si>
    <t>MDY0004</t>
  </si>
  <si>
    <t>45-50M</t>
  </si>
  <si>
    <t>ANSG_0344</t>
  </si>
  <si>
    <t>SGG0260</t>
  </si>
  <si>
    <t>42-45</t>
  </si>
  <si>
    <t>ANSH_0006</t>
  </si>
  <si>
    <t>SHN0876</t>
  </si>
  <si>
    <t>RF-25M-30M//MW-can get higher</t>
  </si>
  <si>
    <t>Proceed. Swap existing 1200AH BB re order batteries for stock</t>
  </si>
  <si>
    <t>ASKA_0150</t>
  </si>
  <si>
    <t>Southern</t>
  </si>
  <si>
    <t>KYN0014</t>
  </si>
  <si>
    <t>RF &amp; MW-48-53M</t>
  </si>
  <si>
    <t xml:space="preserve">Proceed.  Order Eqpt &amp; U/G later </t>
  </si>
  <si>
    <t>ASMO_0275</t>
  </si>
  <si>
    <t>MON0306</t>
  </si>
  <si>
    <t>31-35</t>
  </si>
  <si>
    <t>Proceed.  Order Eqpt &amp; U/G later  - BB U/G 1200AH &amp; Grid Con</t>
  </si>
  <si>
    <t>AYYN_0121</t>
  </si>
  <si>
    <t>YGN1319</t>
  </si>
  <si>
    <t>25-28//Under 16M</t>
  </si>
  <si>
    <t>Yoyoyoyoyoo</t>
  </si>
  <si>
    <t>Proceed.  Order Eqpt &amp; U/G later - Swap to GP PE</t>
  </si>
  <si>
    <t>AYYN_0389</t>
  </si>
  <si>
    <t>YGN0167</t>
  </si>
  <si>
    <t>6m Pole + 22.2m (building ht)</t>
  </si>
  <si>
    <t>Need to build new pole at down floor</t>
  </si>
  <si>
    <t>No ETA</t>
  </si>
  <si>
    <t xml:space="preserve">Awaiting VISION Lio4 option to arrive no ETA </t>
  </si>
  <si>
    <t>AYYN_0396</t>
  </si>
  <si>
    <t>YGN0171</t>
  </si>
  <si>
    <t>6m Pole + 23.75m (Building ht)</t>
  </si>
  <si>
    <t>Need to build new slab</t>
  </si>
  <si>
    <t>AYYN_0583</t>
  </si>
  <si>
    <t>YGN1201</t>
  </si>
  <si>
    <t>23-26.5</t>
  </si>
  <si>
    <t>Proceed. Order Eqpt &amp; U/G later - 1200AH Swap.  30KVA DG</t>
  </si>
  <si>
    <t>ANMD_0273</t>
  </si>
  <si>
    <t>AYYN_0269</t>
  </si>
  <si>
    <t>YGNINSN052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</si>
  <si>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</si>
  <si>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</si>
  <si>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</si>
  <si>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</si>
  <si>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</si>
  <si>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</si>
  <si>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</si>
  <si>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</si>
  <si>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</si>
  <si>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</si>
  <si>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</si>
  <si>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</si>
  <si>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</si>
  <si>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</si>
  <si>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</si>
  <si>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</si>
  <si>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</si>
  <si>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Already RFI</t>
  </si>
  <si>
    <t>Ready 28 March</t>
  </si>
  <si>
    <t>ASMO_0163</t>
  </si>
  <si>
    <t>MOW6065</t>
  </si>
  <si>
    <t xml:space="preserve">PE UG required - 30 March </t>
  </si>
  <si>
    <t>Review-EPA over desing need to check tower</t>
  </si>
  <si>
    <t>Yes</t>
  </si>
  <si>
    <t>90 Days</t>
  </si>
  <si>
    <t>BB DG</t>
  </si>
  <si>
    <t>AYYN_0611</t>
  </si>
  <si>
    <t>YAW4436</t>
  </si>
  <si>
    <t>BB DG+ Grid</t>
  </si>
  <si>
    <t>DG noise issue</t>
  </si>
  <si>
    <t>AYYN_0529</t>
  </si>
  <si>
    <t>ANSG_0380</t>
  </si>
  <si>
    <t>SAW0729</t>
  </si>
  <si>
    <t>OML need to put small RF 5.4m2</t>
  </si>
  <si>
    <t>Add Lio4 mods</t>
  </si>
  <si>
    <t>ANSG_0343</t>
  </si>
  <si>
    <t>SAW0697</t>
  </si>
  <si>
    <t>27</t>
  </si>
  <si>
    <t>32</t>
  </si>
  <si>
    <t>Normal Slab and need to extend</t>
  </si>
  <si>
    <t>Proceed. Order Eqpt &amp; U/G later - Swap &amp; Expand to 1200AH</t>
  </si>
  <si>
    <t>Already RFI. (Rent increase to be negotiated for operator)</t>
  </si>
  <si>
    <t>ANNP_0252</t>
  </si>
  <si>
    <t>NPW0260</t>
  </si>
  <si>
    <t>30</t>
  </si>
  <si>
    <t>35</t>
  </si>
  <si>
    <t>Ok</t>
  </si>
  <si>
    <t>FC WK19-20</t>
  </si>
  <si>
    <t xml:space="preserve">PE UG required. Need to re-order </t>
  </si>
  <si>
    <t>AYYN_0135</t>
  </si>
  <si>
    <t>YGN02071</t>
  </si>
  <si>
    <t>22</t>
  </si>
  <si>
    <t>22-27m</t>
  </si>
  <si>
    <t>READY</t>
  </si>
  <si>
    <t>Ready for Mytel 08 Nov 17</t>
  </si>
  <si>
    <t>ANKC_0017</t>
  </si>
  <si>
    <t>KCN0349</t>
  </si>
  <si>
    <t>45</t>
  </si>
  <si>
    <t>50</t>
  </si>
  <si>
    <t>Extension not required</t>
  </si>
  <si>
    <t>DG &amp; BB UG required need to re-order</t>
  </si>
  <si>
    <t>ANMD_0073</t>
  </si>
  <si>
    <t>MDY0002</t>
  </si>
  <si>
    <t>20</t>
  </si>
  <si>
    <t>25</t>
  </si>
  <si>
    <t>55</t>
  </si>
  <si>
    <t>60</t>
  </si>
  <si>
    <t>ANMG_0187</t>
  </si>
  <si>
    <t>MGY0444</t>
  </si>
  <si>
    <t>ANSH_0034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</si>
  <si>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</si>
  <si>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</si>
  <si>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</si>
  <si>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</si>
  <si>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</si>
  <si>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</si>
  <si>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</si>
  <si>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</si>
  <si>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</si>
  <si>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</si>
  <si>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</si>
  <si>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</si>
  <si>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</si>
  <si>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</si>
  <si>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</si>
  <si>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</si>
  <si>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</si>
  <si>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</si>
  <si>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</si>
  <si>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</si>
  <si>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</si>
  <si>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</si>
  <si>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 and strengthening if need</t>
  </si>
  <si>
    <t>Need to provide additional normal equipment slab with S2 type Platform</t>
  </si>
  <si>
    <t>DG UG required</t>
  </si>
  <si>
    <t>Pan Asia</t>
  </si>
  <si>
    <t>16</t>
  </si>
  <si>
    <t>18</t>
  </si>
  <si>
    <t>23</t>
  </si>
  <si>
    <t>1 week after material arrives to date 4 wk delay</t>
  </si>
  <si>
    <t>ANMD_0166</t>
  </si>
  <si>
    <t>40</t>
  </si>
  <si>
    <t>ANMD_0080</t>
  </si>
  <si>
    <t>MDY0299</t>
  </si>
  <si>
    <t>DG &amp; BB upgrade required material in stock - to be re ordered</t>
  </si>
  <si>
    <t>ANMD_0004</t>
  </si>
  <si>
    <t>AYYN_0527</t>
  </si>
  <si>
    <t>YAW7098</t>
  </si>
  <si>
    <t>12</t>
  </si>
  <si>
    <t>17</t>
  </si>
  <si>
    <t>Need to add new pole, need to do building Analysis</t>
  </si>
  <si>
    <t>need to provide new pole, equipment slab and cable tray</t>
  </si>
  <si>
    <t>LiPO4</t>
  </si>
  <si>
    <t>ASKA_0137</t>
  </si>
  <si>
    <t>KNW6140</t>
  </si>
  <si>
    <t>18-May-18: Good to go for OML, lease hike is been cleared</t>
  </si>
  <si>
    <t>6</t>
  </si>
  <si>
    <t>TBA</t>
  </si>
  <si>
    <t>18-May-18: Good to go for OML, lease hike may raise while TI installation</t>
  </si>
  <si>
    <t>LEG ABD</t>
  </si>
  <si>
    <t>ACAY_0015</t>
  </si>
  <si>
    <t>AYW5549</t>
  </si>
  <si>
    <t>PE UG</t>
  </si>
  <si>
    <t>ASMO_0313</t>
  </si>
  <si>
    <t>MOW6298</t>
  </si>
  <si>
    <t>Flex UG BB DG</t>
  </si>
  <si>
    <t>ASMO_0201</t>
  </si>
  <si>
    <t>MOW6299</t>
  </si>
  <si>
    <t>BB UG - 12 hrs NS expect outages w/add colo</t>
  </si>
  <si>
    <t>ACBA_0255</t>
  </si>
  <si>
    <t>BAW5557</t>
  </si>
  <si>
    <t>AYYN_0244</t>
  </si>
  <si>
    <t>YAW7770</t>
  </si>
  <si>
    <t>LEG ACD</t>
  </si>
  <si>
    <t>AYYN_0517</t>
  </si>
  <si>
    <t>YAW7769</t>
  </si>
  <si>
    <t>23-May-18: Lease increase may raise while TI installtion.</t>
  </si>
  <si>
    <t>At this is ok after TSS will confirm available height</t>
  </si>
  <si>
    <t>RT site need TSSR</t>
  </si>
  <si>
    <t>ACBA_0094</t>
  </si>
  <si>
    <t>BAW5558</t>
  </si>
  <si>
    <t>LEG BCD</t>
  </si>
  <si>
    <t>for small RF</t>
  </si>
  <si>
    <t>ACBA_0056</t>
  </si>
  <si>
    <t>BAW5560</t>
  </si>
  <si>
    <t>ASMO_0267</t>
  </si>
  <si>
    <t>MOW6300</t>
  </si>
  <si>
    <t>DG 24/7 restricted - BB UG - expect outages with long grid outages</t>
  </si>
  <si>
    <t>OK for small RF</t>
  </si>
  <si>
    <t>AYYN_0306</t>
  </si>
  <si>
    <t>YAW7763</t>
  </si>
  <si>
    <t>23-May-18: Lease increase may raise while TI installtion.(No additional slab and pole )</t>
  </si>
  <si>
    <t>ASMO_0263</t>
  </si>
  <si>
    <t>MOW6303</t>
  </si>
  <si>
    <t xml:space="preserve">remaining EPA still can collocate </t>
  </si>
  <si>
    <t>23-May-18: Already 4 opertor are co-located on site, if go from structural Engg we can go ahead with negotation.</t>
  </si>
  <si>
    <t>Tower already strengthening without consider OML</t>
  </si>
  <si>
    <t>AYYN_0534</t>
  </si>
  <si>
    <t>YAW7825</t>
  </si>
  <si>
    <t>AYYN_0128</t>
  </si>
  <si>
    <t>YAW7818</t>
  </si>
  <si>
    <t>EPA almost over design</t>
  </si>
  <si>
    <t>Flex UG BB DG+ Grid</t>
  </si>
  <si>
    <t>AYYN_0104</t>
  </si>
  <si>
    <t>YAW7816</t>
  </si>
  <si>
    <t>AYYN_0580</t>
  </si>
  <si>
    <t>YAW7405</t>
  </si>
  <si>
    <t>5m</t>
  </si>
  <si>
    <t>AYYN_0576</t>
  </si>
  <si>
    <t>YAW7812</t>
  </si>
  <si>
    <t>PE UG - Batt DG &amp; DCDB - K10 kit from stock</t>
  </si>
  <si>
    <t>AYYN_0331</t>
  </si>
  <si>
    <t>YAW7807</t>
  </si>
  <si>
    <t>ACBA_0108</t>
  </si>
  <si>
    <t>BAW5569</t>
  </si>
  <si>
    <t>120 Days</t>
  </si>
  <si>
    <t>ASMO_0305</t>
  </si>
  <si>
    <t>MOW6308</t>
  </si>
  <si>
    <t>Need to provide additional equipment slab</t>
  </si>
  <si>
    <t>ASMO_0180</t>
  </si>
  <si>
    <t>MOW6311</t>
  </si>
  <si>
    <t>PE UG - Batt DG &amp; DCDB</t>
  </si>
  <si>
    <t>PE equipment TBO (To Be Ordered)</t>
  </si>
  <si>
    <t>AYYN_0536</t>
  </si>
  <si>
    <t>YAW7758</t>
  </si>
  <si>
    <t>36KW 2400 BB</t>
  </si>
  <si>
    <t>ACBA_0051</t>
  </si>
  <si>
    <t>BAW5574</t>
  </si>
  <si>
    <t>Leg ABC</t>
  </si>
  <si>
    <t>AYYN_0309</t>
  </si>
  <si>
    <t>YAW7787</t>
  </si>
  <si>
    <t>ACAY_0142</t>
  </si>
  <si>
    <t>AYW5565</t>
  </si>
  <si>
    <t>ACBA_0089</t>
  </si>
  <si>
    <t>BAW5581</t>
  </si>
  <si>
    <t>AYYN_0088</t>
  </si>
  <si>
    <t>YAW4651</t>
  </si>
  <si>
    <t>PE UG - Batt DG &amp; DCDB - K10 kit TBO</t>
  </si>
  <si>
    <t>PE equipment TBO (To Be Ordered)</t>
  </si>
  <si>
    <t>ACAY_0123</t>
  </si>
  <si>
    <t>AYW5569</t>
  </si>
  <si>
    <t>ACBA_0032</t>
  </si>
  <si>
    <t>BAW5234</t>
  </si>
  <si>
    <t>DG &amp; BB UG required need to re-order - site on grid</t>
  </si>
  <si>
    <t>ASMO_0162</t>
  </si>
  <si>
    <t>MOW6294</t>
  </si>
  <si>
    <t>ASMO_0166</t>
  </si>
  <si>
    <t>MOW6237</t>
  </si>
  <si>
    <t>ASMO_0165</t>
  </si>
  <si>
    <t>MOW6176</t>
  </si>
  <si>
    <t>Ok small RF (6m2 remaining) need strengthening</t>
  </si>
  <si>
    <t xml:space="preserve">DG &amp; BB UG </t>
  </si>
  <si>
    <t>ASMO_0171</t>
  </si>
  <si>
    <t>MOW6290</t>
  </si>
  <si>
    <t>23-May-18: Already 4 opertor are co-located on site, if go from structural Engg  &amp; Power &amp; Security we can go ahead with negotation.</t>
  </si>
  <si>
    <t>need to relocate DCDB pole</t>
  </si>
  <si>
    <t>DCDB</t>
  </si>
  <si>
    <t>LEG ABC</t>
  </si>
  <si>
    <t>ACBA_0196</t>
  </si>
  <si>
    <t>BAW5585</t>
  </si>
  <si>
    <t>ACBA_0038</t>
  </si>
  <si>
    <t>BAW5548</t>
  </si>
  <si>
    <t>ACBA_0030</t>
  </si>
  <si>
    <t>BAW5260</t>
  </si>
  <si>
    <t>RF Ok MW can get top height</t>
  </si>
  <si>
    <t>BB UG - DG can run only once grid long outage is confirmed</t>
  </si>
  <si>
    <t>ACBA_0028</t>
  </si>
  <si>
    <t>BAW5251</t>
  </si>
  <si>
    <t>ACBA_0033</t>
  </si>
  <si>
    <t>BAW5224</t>
  </si>
  <si>
    <t>OK - BB UG - later - site on grid</t>
  </si>
  <si>
    <t>ACBA_0185</t>
  </si>
  <si>
    <t>BAW5590</t>
  </si>
  <si>
    <t>ACAY_0022</t>
  </si>
  <si>
    <t>AYW5540</t>
  </si>
  <si>
    <t>ACAY_0017</t>
  </si>
  <si>
    <t>AYW5537</t>
  </si>
  <si>
    <t>Monitor PE perfomance - rect cap increase TBC</t>
  </si>
  <si>
    <t>Ok, small RF (6m2 remaining) need strengthening</t>
  </si>
  <si>
    <t>ANSG_0351</t>
  </si>
  <si>
    <t>SAW0721</t>
  </si>
  <si>
    <t>ANSG_0358</t>
  </si>
  <si>
    <t>SAW0716</t>
  </si>
  <si>
    <t>ANSG_0349</t>
  </si>
  <si>
    <t>SAW0714</t>
  </si>
  <si>
    <t>ANMD_0163</t>
  </si>
  <si>
    <t>MAW2983</t>
  </si>
  <si>
    <t xml:space="preserve">As per MDY team: can use existing 2 poles but yes, AT needed to do joint TSS with OML </t>
  </si>
  <si>
    <t xml:space="preserve">RT site </t>
  </si>
  <si>
    <t>ANMD_0171</t>
  </si>
  <si>
    <t>MAW2992</t>
  </si>
  <si>
    <t>ANMG_0052</t>
  </si>
  <si>
    <t>MWW3498</t>
  </si>
  <si>
    <t>ANMG_0006</t>
  </si>
  <si>
    <t>MWW3499</t>
  </si>
  <si>
    <t>ANMG_0026</t>
  </si>
  <si>
    <t>MWW3500</t>
  </si>
  <si>
    <t>ANSG_0381</t>
  </si>
  <si>
    <t>SAW0731</t>
  </si>
  <si>
    <t>ANMG_0167</t>
  </si>
  <si>
    <t>MWW3502</t>
  </si>
  <si>
    <t>ANSG_0361</t>
  </si>
  <si>
    <t>SAW0719</t>
  </si>
  <si>
    <t>ANMD_0118</t>
  </si>
  <si>
    <t>MAW2441</t>
  </si>
  <si>
    <t>PE UG - Batt &amp; DCDB - K10 kit TBO</t>
  </si>
  <si>
    <t>ANMD_0266</t>
  </si>
  <si>
    <t>MAW2985</t>
  </si>
  <si>
    <t>ANMD_0167</t>
  </si>
  <si>
    <t>MAW2984</t>
  </si>
  <si>
    <t>TN HUB - Offgrid (REJECT) or 1800AH &amp; 30Kva DG PE UG</t>
  </si>
  <si>
    <t>ANMG_0173</t>
  </si>
  <si>
    <t>MWW3508</t>
  </si>
  <si>
    <t>ANSH_0086</t>
  </si>
  <si>
    <t>SHW1908</t>
  </si>
  <si>
    <t xml:space="preserve">PE UG - DG 8hr NS </t>
  </si>
  <si>
    <t>ANSG_0379</t>
  </si>
  <si>
    <t>SAW0726</t>
  </si>
  <si>
    <t>ANSG_0347</t>
  </si>
  <si>
    <t>SAW0717</t>
  </si>
  <si>
    <t>ANMD_0164</t>
  </si>
  <si>
    <t>MAW2959</t>
  </si>
  <si>
    <t>LegBCD</t>
  </si>
  <si>
    <t xml:space="preserve">PE UG </t>
  </si>
  <si>
    <t>ANMG_0017</t>
  </si>
  <si>
    <t>MWW3484</t>
  </si>
  <si>
    <t>ANNP_0276</t>
  </si>
  <si>
    <t>Replacement_43</t>
  </si>
  <si>
    <t>Ok, small RF (8m2 remaining) need strengthening</t>
  </si>
  <si>
    <t>ANNP_0203</t>
  </si>
  <si>
    <t>Replacement_45</t>
  </si>
  <si>
    <t>OK - BB UG - Monitor PE - TN HUB</t>
  </si>
  <si>
    <t>ASKH_0019</t>
  </si>
  <si>
    <t>KYW6082</t>
  </si>
  <si>
    <t>QA Report not updated</t>
  </si>
  <si>
    <t>ASTN_0045</t>
  </si>
  <si>
    <t>TAW6250</t>
  </si>
  <si>
    <t>BB+ Grid</t>
  </si>
  <si>
    <t>ASTN_0035</t>
  </si>
  <si>
    <t>TAW6249</t>
  </si>
  <si>
    <t>ASMO_0295</t>
  </si>
  <si>
    <t>MOW6295</t>
  </si>
  <si>
    <t>36KW 1800 BB</t>
  </si>
  <si>
    <t>ACBA_0245</t>
  </si>
  <si>
    <t>BAW5555</t>
  </si>
  <si>
    <t>BB</t>
  </si>
  <si>
    <t>ACAY_0171</t>
  </si>
  <si>
    <t>AYW5539</t>
  </si>
  <si>
    <t>ANMG_0183</t>
  </si>
  <si>
    <t>MWW3494</t>
  </si>
  <si>
    <t>ANSG_0464</t>
  </si>
  <si>
    <t>SAW0732</t>
  </si>
  <si>
    <t>AYYN_0599</t>
  </si>
  <si>
    <t>YAW7859</t>
  </si>
  <si>
    <t>AYYN_0223</t>
  </si>
  <si>
    <t>YAW7853</t>
  </si>
  <si>
    <t xml:space="preserve">BB UG </t>
  </si>
  <si>
    <t>AYYN_0206</t>
  </si>
  <si>
    <t>YAW7848</t>
  </si>
  <si>
    <t>AYYN_0144</t>
  </si>
  <si>
    <t>YAW7846</t>
  </si>
  <si>
    <t>AYYN_0066</t>
  </si>
  <si>
    <t>YAW7843</t>
  </si>
  <si>
    <t>ACRK_0028</t>
  </si>
  <si>
    <t>RKE00512</t>
  </si>
  <si>
    <t>33</t>
  </si>
  <si>
    <t>38</t>
  </si>
  <si>
    <t>Good to go for TSS</t>
  </si>
  <si>
    <t xml:space="preserve">BB swap and DCDB </t>
  </si>
  <si>
    <t>BB TBO</t>
  </si>
  <si>
    <t>28-May-18: Good to go for Mytel, lease hike may raise while TI installation</t>
  </si>
  <si>
    <t>Rent increase to be negotiated for operator</t>
  </si>
  <si>
    <t>2 weeks</t>
  </si>
  <si>
    <t>ANNP_0391</t>
  </si>
  <si>
    <t>NPW0266</t>
  </si>
  <si>
    <t>2weeks</t>
  </si>
  <si>
    <t>BB &amp; DG UG required</t>
  </si>
  <si>
    <t>ANNP_0210</t>
  </si>
  <si>
    <t>ANSG_0373</t>
  </si>
  <si>
    <t>SGG0992</t>
  </si>
  <si>
    <t>PE UG NEEDED
PE UG material delivery pending  - WK31</t>
  </si>
  <si>
    <t>ANMD_0091</t>
  </si>
  <si>
    <t>MDYCMTN004</t>
  </si>
  <si>
    <t>21</t>
  </si>
  <si>
    <t>Colo Application already approved on 25th June</t>
  </si>
  <si>
    <t>31-May-18: Okay for TI installation,  Lease hike request may raise while TI installation</t>
  </si>
  <si>
    <t>ACDB installation only</t>
  </si>
  <si>
    <t>The owner only accepts 2 tenants</t>
  </si>
  <si>
    <t>ANMD_0105</t>
  </si>
  <si>
    <t>MDYCMTZ023</t>
  </si>
  <si>
    <t>24</t>
  </si>
  <si>
    <t>Colo Application already approved on 26-Jul-18</t>
  </si>
  <si>
    <t>Need to verify the power source AC / DC, Gurwinder : Lease Hike OK</t>
  </si>
  <si>
    <t>AYYN_0520</t>
  </si>
  <si>
    <t>YAM7610</t>
  </si>
  <si>
    <t>31-May-18: Good to go for TI installtion.</t>
  </si>
  <si>
    <t>AYYN_0110</t>
  </si>
  <si>
    <t>YAW7657</t>
  </si>
  <si>
    <t>Only Macro Solutions//Slim Tower</t>
  </si>
  <si>
    <t>NPW2259</t>
  </si>
  <si>
    <t>31-May-18:  Okay for TI installtion, lease hike may raise while TI installation</t>
  </si>
  <si>
    <t>ANSG_0364</t>
  </si>
  <si>
    <t>SAW0705</t>
  </si>
  <si>
    <t>2m x 1.5m</t>
  </si>
  <si>
    <t>ACAY_0102</t>
  </si>
  <si>
    <t>AYW5275</t>
  </si>
  <si>
    <t>ASKH_3000</t>
  </si>
  <si>
    <t>KYW6046</t>
  </si>
  <si>
    <t>ANSG_0348</t>
  </si>
  <si>
    <t>SAW0704</t>
  </si>
  <si>
    <t>1.5m x 1m</t>
  </si>
  <si>
    <t>ANMG_0011</t>
  </si>
  <si>
    <t>MWW3525</t>
  </si>
  <si>
    <t>10-July-18: Good to go for OML, lease hike may raise while TI installation</t>
  </si>
  <si>
    <t>1m x 1m</t>
  </si>
  <si>
    <t>ANMG_0113</t>
  </si>
  <si>
    <t>MWW3516</t>
  </si>
  <si>
    <t>ANMD_0089</t>
  </si>
  <si>
    <t>MDYCMTN019_2</t>
  </si>
  <si>
    <t>Colo Application already approved on 26th June</t>
  </si>
  <si>
    <t>7-June-18: Lease hike approved by ATF
31-May-18: Lease apprvoal pending at ATF
29-May-18: Leae hike approved by Amara.
12-Mar-18: Owner is asking lease hike.</t>
  </si>
  <si>
    <t>1 wk after site survey complete</t>
  </si>
  <si>
    <t>AC connect material in stock</t>
  </si>
  <si>
    <t>MDYMHAM042</t>
  </si>
  <si>
    <t>15.3</t>
  </si>
  <si>
    <t>20.3</t>
  </si>
  <si>
    <t>Colo Application already approved on 17th July</t>
  </si>
  <si>
    <t>21-June-18: Addtioanl lease hike forwarded to ACS
20-June-18: Owner is requesting addtioanl lease hike 
10-Apr-18: Need to build new pole and slab.</t>
  </si>
  <si>
    <t>ACAY_3003</t>
  </si>
  <si>
    <t>AYW5573</t>
  </si>
  <si>
    <t>10-July-18: Good to go for OML.</t>
  </si>
  <si>
    <t>ANMG_0027</t>
  </si>
  <si>
    <t>MWW3486</t>
  </si>
  <si>
    <t>ANSH_0013</t>
  </si>
  <si>
    <t>SHW1978</t>
  </si>
  <si>
    <t>AYYN_0419</t>
  </si>
  <si>
    <t>YGNKTDA015</t>
  </si>
  <si>
    <t>27.85</t>
  </si>
  <si>
    <t>32.85</t>
  </si>
  <si>
    <t>10-July-18: Lease hike approved, okay for TI installtion.</t>
  </si>
  <si>
    <t>Ok, For easy macro without cabinet</t>
  </si>
  <si>
    <t>ok, if they agree to install easy micro</t>
  </si>
  <si>
    <t>1 wk after site survey complete colo appl approved</t>
  </si>
  <si>
    <t>AC connect material in stock - pending all clear from site survey</t>
  </si>
  <si>
    <t>AYYN_0100</t>
  </si>
  <si>
    <t>YGN0496</t>
  </si>
  <si>
    <t>25-June-18: Lease hike request may come up while installtion of Mytel.</t>
  </si>
  <si>
    <t>add BB due to 24/7 DG restriction site on grid</t>
  </si>
  <si>
    <t>AYYN_0141</t>
  </si>
  <si>
    <t>YGNLTHA011</t>
  </si>
  <si>
    <t>24.5</t>
  </si>
  <si>
    <t>29.5</t>
  </si>
  <si>
    <t>MDYAMTZ023</t>
  </si>
  <si>
    <t>36.5</t>
  </si>
  <si>
    <t>39.5</t>
  </si>
  <si>
    <t>Colo Application already approved on 15th Aug.</t>
  </si>
  <si>
    <t>14-Aug-18: Owner agreed for Amara installtion on exisiting pole and space.</t>
  </si>
  <si>
    <t>Hotel rooftop - long DG outages non negotiable</t>
  </si>
  <si>
    <t>AYYN_0413</t>
  </si>
  <si>
    <t>YGNTKTA008</t>
  </si>
  <si>
    <t>12.77</t>
  </si>
  <si>
    <t>17.77</t>
  </si>
  <si>
    <t>need to provide additional cable tray</t>
  </si>
  <si>
    <t>DC connect - BB &amp; PE UG TBO</t>
  </si>
  <si>
    <t>17-July-18: Lease hike request may come up while installtion of OML.</t>
  </si>
  <si>
    <t>Flex SS1 K10 UG BB DG+ Grid</t>
  </si>
  <si>
    <t>ANSH_0044</t>
  </si>
  <si>
    <t>SHW1986</t>
  </si>
  <si>
    <t>MAW2380</t>
  </si>
  <si>
    <t>15</t>
  </si>
  <si>
    <t>15-Aug-18: Okay for TI installation,  Lease hike request may raise while TI installation</t>
  </si>
  <si>
    <t>RF Height - 15M-20M MW Height- 32M-35M (If there is LOS blockage)</t>
  </si>
  <si>
    <t>Not Required</t>
  </si>
  <si>
    <t>New extension slab (2m x 1m)</t>
  </si>
  <si>
    <t>AYYN_0021</t>
  </si>
  <si>
    <t>YGN0821</t>
  </si>
  <si>
    <t>Lease hike may raise</t>
  </si>
  <si>
    <t>Ok, if no extension</t>
  </si>
  <si>
    <t>1 week after approval DCDB only</t>
  </si>
  <si>
    <t>BB EOL swap needed</t>
  </si>
  <si>
    <t>AYYN_0530</t>
  </si>
  <si>
    <t>1-01-05018-005</t>
  </si>
  <si>
    <t>SGG0351</t>
  </si>
  <si>
    <t>Ok, If no extension</t>
  </si>
  <si>
    <t>AYYN_0323</t>
  </si>
  <si>
    <t>YGN1545</t>
  </si>
  <si>
    <t>26</t>
  </si>
  <si>
    <t>Review, need to change wind speed from 160kph to 195kph</t>
  </si>
  <si>
    <t>ANMG_0076</t>
  </si>
  <si>
    <t>MGY0061</t>
  </si>
  <si>
    <t>ANNP_0329</t>
  </si>
  <si>
    <t>NPW0281</t>
  </si>
  <si>
    <t>ANMD_0011</t>
  </si>
  <si>
    <t>MDYAMTZ017</t>
  </si>
  <si>
    <t>13.5</t>
  </si>
  <si>
    <t>16.5</t>
  </si>
  <si>
    <t>1 week</t>
  </si>
  <si>
    <t>AC connect?</t>
  </si>
  <si>
    <t>ANMD_0097</t>
  </si>
  <si>
    <t>MDYCMTZ034</t>
  </si>
  <si>
    <t>Colo Application already approved on 18th Sep.</t>
  </si>
  <si>
    <t>13-Sep-18: Okay for TI installation,  Lease hike request may raise while TI installation</t>
  </si>
  <si>
    <t>ACAY_0154</t>
  </si>
  <si>
    <t>AYW5603</t>
  </si>
  <si>
    <t>28</t>
  </si>
  <si>
    <t>NOTE: site has 24/7 DG run restriction</t>
  </si>
  <si>
    <t>ACAY_0056</t>
  </si>
  <si>
    <t>AYW5611</t>
  </si>
  <si>
    <t>BB EoL swap &amp; expansion + DG upgrade needed</t>
  </si>
  <si>
    <t>31</t>
  </si>
  <si>
    <t>ASMO_0161</t>
  </si>
  <si>
    <t>MOW6321</t>
  </si>
  <si>
    <t>36</t>
  </si>
  <si>
    <t>13-Sep-18: Okay for TI installation as owner is okay, Team has to be much quite while OML installation as ward and Nieghbour may raise concern.</t>
  </si>
  <si>
    <t>NOTE: site has 24/7 DG run restriction BB Eol swap &amp; expansion + DG UG</t>
  </si>
  <si>
    <t>ACBA_0104</t>
  </si>
  <si>
    <t>BAW5607</t>
  </si>
  <si>
    <t xml:space="preserve">monitor Grid &amp; battery performance - BB UG may be requiured </t>
  </si>
  <si>
    <t>ACBA_0099</t>
  </si>
  <si>
    <t>BAW5608</t>
  </si>
  <si>
    <t>2wee</t>
  </si>
  <si>
    <t>BB EoL swap - monitor grid performance - DG UG if poor grid</t>
  </si>
  <si>
    <t>ANSG_0483</t>
  </si>
  <si>
    <t>SGG00406</t>
  </si>
  <si>
    <t>Change Request</t>
  </si>
  <si>
    <t>1</t>
  </si>
  <si>
    <t>41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</si>
  <si>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</si>
  <si>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</si>
  <si>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</si>
  <si>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AYYN_0609</t>
  </si>
  <si>
    <t>BGE00472</t>
  </si>
  <si>
    <t>MPT Colocation</t>
  </si>
  <si>
    <t>Under Colo</t>
  </si>
  <si>
    <t>0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</si>
  <si>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</si>
  <si>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</si>
  <si>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</si>
  <si>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</si>
  <si>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</si>
  <si>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>1-01-05027-002</t>
  </si>
  <si>
    <t>SGG00113</t>
  </si>
  <si>
    <t>MS_v1</t>
  </si>
  <si>
    <t>2</t>
  </si>
  <si>
    <t>SQM</t>
  </si>
  <si>
    <t>44.5</t>
  </si>
  <si>
    <t xml:space="preserve">Existing on tower actual - OML 10.58 sqm - No UE  / KSGM -2.97 sqm - No UE  ) - Requested SQM 5.242 -  Change MW and RF Azimuth as per the actual </t>
  </si>
  <si>
    <t>EXISTING TOWER(OP1+OP3(OLD+NEW)):  97.4 %
EXISTING TOWER(OP1+OP3(OLD)): 97.8 %</t>
  </si>
  <si>
    <t>1-01-16011-001</t>
  </si>
  <si>
    <t>SHE00089</t>
  </si>
  <si>
    <t xml:space="preserve">Colocation </t>
  </si>
  <si>
    <t>4</t>
  </si>
  <si>
    <t>48</t>
  </si>
  <si>
    <t>53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</si>
  <si>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</si>
  <si>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</si>
  <si>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1-01-14003-002</t>
  </si>
  <si>
    <t>SHS00117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</si>
  <si>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</si>
  <si>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</si>
  <si>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1-01-14013-002</t>
  </si>
  <si>
    <t>SHS00185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</si>
  <si>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</si>
  <si>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</si>
  <si>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</si>
  <si>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</si>
  <si>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1-01-06008-002</t>
  </si>
  <si>
    <t>TNY00033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</si>
  <si>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</si>
  <si>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</si>
  <si>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1-01-01002-007</t>
  </si>
  <si>
    <t>KCN00293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</si>
  <si>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</si>
  <si>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</si>
  <si>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1-01-17019-003</t>
  </si>
  <si>
    <t>AWD00111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</si>
  <si>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</si>
  <si>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</si>
  <si>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1-01-05027-008</t>
  </si>
  <si>
    <t>SGG00158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</si>
  <si>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</si>
  <si>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</si>
  <si>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1-01-05011-006</t>
  </si>
  <si>
    <t>SGG00544</t>
  </si>
  <si>
    <t>3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</si>
  <si>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</si>
  <si>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</si>
  <si>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1-01-14008-002</t>
  </si>
  <si>
    <t>SHS00382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</si>
  <si>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</si>
  <si>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</si>
  <si>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1-01-16001-003</t>
  </si>
  <si>
    <t>SHE00021</t>
  </si>
  <si>
    <t>Existing on tower actual - OML 7.76sqm / KSGM - 2.08 sqm no UE )Requested SQM 3.024 -Change RF /RRU dimension</t>
  </si>
  <si>
    <t>STR TOWER(OP1+OP3(OLD+NEW)): 79.3%
STR TOWER(OP1+OP3(OLD)): 76.6%</t>
  </si>
  <si>
    <t>1-01-14001-019</t>
  </si>
  <si>
    <t>SHS00259</t>
  </si>
  <si>
    <t>34.5</t>
  </si>
  <si>
    <t>Existing on tower actual - OML 7.24 sqm / KSGM - 2.29 sqm  / Mytel - 1.46  sqm no UE )Requested SQM 5.988 -Change RF dimension and added RRU</t>
  </si>
  <si>
    <t>Approved by Pasky (8/11/2018) by hard copy
STR TOWER(OML+MYTEL+KSGM(OLD+NEW)): 101.09%
STR TOWER(OML+MYTEL+KSGM(OLD)): 98.23  %
EXISTING TOWER(OML+MYTEL+KSGM(OLD+NEW)):  114.2%
EXISTING TOWER(OML+MYTEL+KSGM(OLD)): 111%</t>
  </si>
  <si>
    <t>1-01-15010-002</t>
  </si>
  <si>
    <t>SHN00092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</si>
  <si>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</si>
  <si>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</si>
  <si>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1-01-08002-005</t>
  </si>
  <si>
    <t>BGW00115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</si>
  <si>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</si>
  <si>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</si>
  <si>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</si>
  <si>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</si>
  <si>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1-01-11009-003</t>
  </si>
  <si>
    <t>MON00160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</si>
  <si>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</si>
  <si>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</si>
  <si>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</si>
  <si>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</si>
  <si>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1-01-14005-005</t>
  </si>
  <si>
    <t>SHS00349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</si>
  <si>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</si>
  <si>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</si>
  <si>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1-01-17016-004</t>
  </si>
  <si>
    <t>AWD00498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</si>
  <si>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</si>
  <si>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</si>
  <si>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</si>
  <si>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</si>
  <si>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1-01-13004-002</t>
  </si>
  <si>
    <t>YGN00555</t>
  </si>
  <si>
    <t>Existing on tower actual - OML 7.49 sqm / KSGM - 3.25 sqm no UE,   )Requested SQM 3.515- Change RF dimension and add MW</t>
  </si>
  <si>
    <t>EXISTING TOWER(OML+KSGM(OLD+NEW)):  80.2 %
EXISTING TOWER(OML+KSGM(OLD)): 80 %</t>
  </si>
  <si>
    <t>1-01-17009-002</t>
  </si>
  <si>
    <t>AWD00481</t>
  </si>
  <si>
    <t xml:space="preserve">Tower Share </t>
  </si>
  <si>
    <t>Existing on tower actual - OML 7.72 sqm / KSGM - 3.42 sqm no UE, TML - 4.94 sqm )Requested SQM 2.887 - Change RF dimension and add MW</t>
  </si>
  <si>
    <t>Existing Tower(OP1+OP4+OP3(OLD+NEW) =103%
Existing Tower(OP1+OP4+OP3(OLD) =103.9%</t>
  </si>
  <si>
    <t>1-01-17008-022</t>
  </si>
  <si>
    <t>AWD00548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</si>
  <si>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</si>
  <si>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</si>
  <si>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</si>
  <si>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1-01-05027-009</t>
  </si>
  <si>
    <t>SGG00227</t>
  </si>
  <si>
    <t>MS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</si>
  <si>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</si>
  <si>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</si>
  <si>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1-01-14001-005</t>
  </si>
  <si>
    <t>SHS00183</t>
  </si>
  <si>
    <t>LTE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</si>
  <si>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</si>
  <si>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</si>
  <si>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1-01-01009-013</t>
  </si>
  <si>
    <t>KCN00152</t>
  </si>
  <si>
    <t xml:space="preserve">Colo Prevalidation Completed by Cover Sheet and Colo application approved on 15 Nov 2018 . </t>
  </si>
  <si>
    <t>1-01-11003-002</t>
  </si>
  <si>
    <t>MON00212</t>
  </si>
  <si>
    <t>UPG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</si>
  <si>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</si>
  <si>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</si>
  <si>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</si>
  <si>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1-01-14001-015</t>
  </si>
  <si>
    <t>SHS00057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</si>
  <si>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</si>
  <si>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</si>
  <si>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1-01-06002-003</t>
  </si>
  <si>
    <t>TNY00206</t>
  </si>
  <si>
    <t>44</t>
  </si>
  <si>
    <t>49</t>
  </si>
  <si>
    <t>Existing on tower actual - OML 7.16 sqm no UE  /Mytel  - 1.47 sqm - No UE ) - Change RF dimension and add RRU</t>
  </si>
  <si>
    <t>Existing Tower(OML+MYTEL+KSGM(OLD) =94.7%
Existing Tower(OML+MYTEL+KSGM(OLD+NEW) =94.1%</t>
  </si>
  <si>
    <t>ANMD_0132</t>
  </si>
  <si>
    <t>MDY00422</t>
  </si>
  <si>
    <t>TS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</si>
  <si>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</si>
  <si>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</si>
  <si>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</si>
  <si>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</si>
  <si>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</si>
  <si>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</si>
  <si>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</si>
  <si>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1-01-09008-001</t>
  </si>
  <si>
    <t>MGW00412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</si>
  <si>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</si>
  <si>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</si>
  <si>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</si>
  <si>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</si>
  <si>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/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</si>
  <si>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</si>
  <si>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</si>
  <si>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</si>
  <si>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>1-01-13004-003</t>
  </si>
  <si>
    <t>YGN02146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</si>
  <si>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</si>
  <si>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</si>
  <si>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</si>
  <si>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</si>
  <si>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</si>
  <si>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</si>
  <si>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</si>
  <si>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ANSG_0463</t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</si>
  <si>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</si>
  <si>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</si>
  <si>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</si>
  <si>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</si>
  <si>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</si>
  <si>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</si>
  <si>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</si>
  <si>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</si>
  <si>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 xml:space="preserve">Site has 10 hours DG NS or Grid connect/UG PE/Take the risk-outages 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</si>
  <si>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</si>
  <si>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</si>
  <si>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</si>
  <si>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</si>
  <si>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1-01-05018-006</t>
  </si>
  <si>
    <t>SGG00198</t>
  </si>
  <si>
    <t>TS_v1</t>
  </si>
  <si>
    <t>46.5</t>
  </si>
  <si>
    <t>51.5</t>
  </si>
  <si>
    <t xml:space="preserve">Existing on tower actual - OML 7.84 sqm no UE  /MPT - 3.88sqm , TML 3.79sqm  ) - Change Antenna Height as par actual </t>
  </si>
  <si>
    <t>EXISTING TOWER(OML+TML+KSGM(OLD+NEW)):  96.8%
EXISTING TOWER(OML+TML+KSGM(OLD)): 96.1%</t>
  </si>
  <si>
    <t>1-01-14007-007</t>
  </si>
  <si>
    <t>SHS00221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</si>
  <si>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</si>
  <si>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</si>
  <si>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</si>
  <si>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AYYN_0086</t>
  </si>
  <si>
    <t>YGN00788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</si>
  <si>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</si>
  <si>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</si>
  <si>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</si>
  <si>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</si>
  <si>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1-01-14001-026</t>
  </si>
  <si>
    <t>SHS00070</t>
  </si>
  <si>
    <t>UPG _ v1</t>
  </si>
  <si>
    <t xml:space="preserve">Existing on tower actual - OML 7.88 sqm /MPT - 2.66sqm )- Change RF Dimension and add RRU </t>
  </si>
  <si>
    <t>STR TOWER(OP1+OP3(OLD+NEW)):90.88 %
STR TOWER(OP1+OP3(OLD)): 91.4%</t>
  </si>
  <si>
    <t>1-01-04007-009</t>
  </si>
  <si>
    <t>CHN00225</t>
  </si>
  <si>
    <t>New Colocation</t>
  </si>
  <si>
    <t>Relo-TS</t>
  </si>
  <si>
    <t xml:space="preserve">Existing on tower actual - OML 6.58 sqm /TML - 2.89sqm )- New Colo Application </t>
  </si>
  <si>
    <t>Strengthened Tower: OML+TML+KSGM (OLD+NEW) = 89.7%
Strengthened Tower: OML+TML+KSGM (OLD) = 80.67%</t>
  </si>
  <si>
    <t xml:space="preserve">Existing on tower actual - OML 7.72 sqm /MPT - 3.42 sqm / TML - 4.50 sqm )- Add ODU </t>
  </si>
  <si>
    <t>Existing Tower; OML + TML + KSGM (OLD+NEW) = 99.4%
Existing Tower; OML + TML + KSGM (OLD) = 99.4%</t>
  </si>
  <si>
    <t xml:space="preserve">Existing on tower actual - OML 10.58 sqm ( UE Down - OML Occupied Area 54.90 - 49.46 )/MPT - 2.97 sqm  )- Add RRU and Change RF Dimension </t>
  </si>
  <si>
    <t>EXISTING TOWER(OP1+OP3(OLD+NEW)): 104.5  %
EXISTING TOWER(OP1+OP3(OLD)): 97.4%</t>
  </si>
  <si>
    <t>MS _ v1</t>
  </si>
  <si>
    <t xml:space="preserve">Existing on tower actual - OML 7.76 sqm /MPT - 2.61 sqm - Add RRU and Change RF Dimension </t>
  </si>
  <si>
    <t>STR TOWER(OP1+OP3(OLD+NEW)): 80.5%
STR TOWER(OP1+OP3(OLD)): 79.3%</t>
  </si>
  <si>
    <t>1-01-10015-003</t>
  </si>
  <si>
    <t>MDY00347</t>
  </si>
  <si>
    <t xml:space="preserve">Existing on tower actual - OML 8.34 sqm /MPT - 4.16 sqm - Add RRU and Change RF Dimension </t>
  </si>
  <si>
    <t>EXISTING TOWER(OP1+OP3(OLD+NEW)): 96.2  %
EXISTING TOWER(OP1+OP3(OLD)): 94.1%</t>
  </si>
  <si>
    <t>1-01-05027-006</t>
  </si>
  <si>
    <t>SGG00225</t>
  </si>
  <si>
    <t xml:space="preserve">Existing on tower actual - OML 8.91 sqm /MPT - 5.29 sqm / TML - 3.51 sqm )- Add RRU and Change RF Dimension </t>
  </si>
  <si>
    <t>EXISTING TOWER(OP1+OP4+OP3(OLD+NEW)):  99.9%
EXISTING TOWER(OP1+OP4+OP3(OLD)): 99%</t>
  </si>
  <si>
    <t xml:space="preserve">Existing on tower actual - OML 7.84 sqm ( UE Down 58.00 - 52.43 ) /MPT - 3.88 sqm / TML - 3.79 sqm )- Added RRU and Change RF Dimension </t>
  </si>
  <si>
    <t>EXISTING TOWER(OP1+OP4+OP3(OLD+NEW)):  97.5%
EXISTING TOWER(OP1+OP4+OP3(OLD)): 96.8%</t>
  </si>
  <si>
    <t>1-01-05030-010</t>
  </si>
  <si>
    <t>SGG00149</t>
  </si>
  <si>
    <t xml:space="preserve">Existing on tower actual - OML 9.75 sqm /MPT - 5.82 sqm / Mytel - 1.74 sqm  )- Added RRU and Change RF Dimension </t>
  </si>
  <si>
    <t>1-2 weeks</t>
  </si>
  <si>
    <t>DCDB for MPT tapping from OML integrated cabinet</t>
  </si>
  <si>
    <t>1-01-17023-009</t>
  </si>
  <si>
    <t>AWD01309</t>
  </si>
  <si>
    <t xml:space="preserve">Existing on tower actual - OML 11.02 sqm / TML - 2.97 sqm )- New Colo Application </t>
  </si>
  <si>
    <t>Existing Tower: OML+TML+KSGM (OLD+NEW) = 102.4%
Existing Tower: OML+TML+KSGM (OLD) = 90.8%</t>
  </si>
  <si>
    <t>1-01-04004-007</t>
  </si>
  <si>
    <t>CHN00118</t>
  </si>
  <si>
    <t xml:space="preserve">Existing on tower actual - OML 6.38 sqm / MPT - 4.26 sqm )- Change RF Dimension and add RRU </t>
  </si>
  <si>
    <t>STRENGTHENED TOWER(OP1+OP3(OLD+NEW)): 99.5%
STRENGTHENED  TOWER(OP1+OP3(OLD)): 98.3%</t>
  </si>
  <si>
    <t>1-01-05005-006</t>
  </si>
  <si>
    <t>SGG00246</t>
  </si>
  <si>
    <t xml:space="preserve">Existing on tower actual - OML 14.21 sqm / MPT - 6.37 sqm )- Change RF Dimension and add RRU </t>
  </si>
  <si>
    <t>Existing Tower: OML+1.2MW(UE)+KSGM (OLD+NEW) = 102.0%
Existing Tower: OML+1.2MW(UE)+KSGM (OLD) = 95.1%</t>
  </si>
  <si>
    <t>1-01-14001-033</t>
  </si>
  <si>
    <t>SHS00466</t>
  </si>
  <si>
    <t>EXC</t>
  </si>
  <si>
    <t>Existing on tower actual - OML 9.85 sqm / MPT - 2.86 sqm / Mytel - 2.69sqm )- Change MW Dimension</t>
  </si>
  <si>
    <t>Strengthened Tower: OML+MYTEL+KSGM (OLD+NEW) = 77.9%
Strengthened Tower: OML+MYTEL+KSGM (OLD) = 77.5%</t>
  </si>
  <si>
    <t xml:space="preserve">
MS _v1</t>
  </si>
  <si>
    <t xml:space="preserve">Existing on tower actual - OML 6.91 sqm / MPT - 3.11 sqm )- Add ODU and RRU </t>
  </si>
  <si>
    <t>Existing Tower: OML+KSGM (OLD+NEW) = 62.9%
Existing Tower: OML+KSGM (OLD) = 62.9</t>
  </si>
  <si>
    <t>1-01-15011-001</t>
  </si>
  <si>
    <t>SHN00043</t>
  </si>
  <si>
    <t>TS _v1</t>
  </si>
  <si>
    <t xml:space="preserve">Existing on tower actual - OML 6.29 sqm / MPT - 2.71 sqm )- change MW height to 33.5 - Same loading as before </t>
  </si>
  <si>
    <t>EXISTING TOWER(OP1+OP3(OLD+NEW)):     77%
EXISTING TOWER(OP1+OP3(OLD)):  77 %</t>
  </si>
  <si>
    <t>1-01-01002-008</t>
  </si>
  <si>
    <t>KCN00372</t>
  </si>
  <si>
    <t>TS  _ v1</t>
  </si>
  <si>
    <t xml:space="preserve">Existing on tower actual - OML 13.53 sqm ( UE Down 59.60 - 48.60 ) /MPT - 3.07 sqm / Mytel - 1.74 sqm  )- Changed Model name </t>
  </si>
  <si>
    <t xml:space="preserve">No action needed </t>
  </si>
  <si>
    <t>120 days min</t>
  </si>
  <si>
    <t xml:space="preserve">PE upgrade required </t>
  </si>
  <si>
    <t>1-01-15012-002</t>
  </si>
  <si>
    <t>SHN00218</t>
  </si>
  <si>
    <t>Rental increase was granted sometime in August 2016, which doubled the initial agreed rate; LL/Lessor recently asking for 100k/month on top of the current rate of 400k/month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</si>
  <si>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</si>
  <si>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</si>
  <si>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>YGNSPTR021</t>
  </si>
  <si>
    <t>r-remove</t>
  </si>
  <si>
    <t>Existing on tower - ( Assume ) TML with 4.48 EPA/ OML with 7.13 EPA / MPT with 1.02 EPA /Mytel with 2.09 EPA/ Amara with 3.52 EPA  ( Remove MW )</t>
  </si>
  <si>
    <t>Existing Tower(TML+OML+MPT+MYTEL+AMARA) : 102.44%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</si>
  <si>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</si>
  <si>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</si>
  <si>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</si>
  <si>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</si>
  <si>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Strengthened Tower : OML+TML+MYTEL+AMARA (OLD+NEW) =  206.4%
GTL did not consider underground water in design strengthening calculation since this site has flood history that is the reason why the foundation is failing.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</si>
  <si>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</si>
  <si>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</si>
  <si>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</si>
  <si>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</si>
  <si>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</si>
  <si>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</si>
  <si>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</si>
  <si>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</si>
  <si>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</si>
  <si>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</si>
  <si>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</si>
  <si>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</si>
  <si>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54</t>
  </si>
  <si>
    <t xml:space="preserve">Can use the existing slab - Space to reconfirm base on TSS </t>
  </si>
  <si>
    <t>10</t>
  </si>
  <si>
    <t>19-Nov-18: If structural team is okay then can go with easy micro soultion
6-July-17: Structural issue cant go for any co-location.</t>
  </si>
  <si>
    <t>Requested OML EPA - 3.78 EPA ( Require Colo Apps for more details ) -  Existing on tower ( assume ) TML - 3.02 EPA</t>
  </si>
  <si>
    <t>DCDB only</t>
  </si>
  <si>
    <t>Other</t>
  </si>
  <si>
    <t xml:space="preserve">Existing on tower actual - OML 9.18 sqm /MPT - 2.69 sqm / TML - 3.20 sqm  ) change 1 RF to smaller dimension </t>
  </si>
  <si>
    <t>EXISTING TOWER(OP1+OP4+OP3(OLD+NEW)):    102.93%
EXISTING TOWER(OP1+OP4+OP3(OLD)):  103.77%</t>
  </si>
  <si>
    <t xml:space="preserve">Existing on tower actual - OML 6.29 sqm /MPT - 2.71 sqm  )- Increase 3 RF dimension and add RRU </t>
  </si>
  <si>
    <t>EXISTING TOWER(OP1+OP3(OLD+NEW)):     78%
EXISTING TOWER(OP1+OP3(OLD)):  77 %</t>
  </si>
  <si>
    <t>Existing on tower - ( Assume ) TML with 6.19 EPA/ OML with  12.24 EPA /   MPT with 3.86 EPA  ( Change 1 RF Bigger Dimension and add RRU )</t>
  </si>
  <si>
    <t>EXISTING TOWER(OML+TML+KSGM (OLD+NEW)): 89.26%</t>
  </si>
  <si>
    <t>N/A</t>
  </si>
  <si>
    <t>Monitor PE poss candiate for PE upgrade</t>
  </si>
  <si>
    <t>1-01-05010-002</t>
  </si>
  <si>
    <t>SGG00209</t>
  </si>
  <si>
    <t>TS _ v1</t>
  </si>
  <si>
    <t>Based on history, no issues noted</t>
  </si>
  <si>
    <t xml:space="preserve">Existing on tower actual - OML - 7.23 Sqm / MPT - 3.70Sqm / TML Colo Apps - 3.90 Sqm  change RF and RRU height 51 to 51.5 as per actual </t>
  </si>
  <si>
    <t>Existing Tower: OML+TML+KSGM (OLD+NEW) = 88.3%
Existing Tower: OML+TML+KSGM (OLD) = 88.2%</t>
  </si>
  <si>
    <t xml:space="preserve">Monitor BB confirm EoL swap </t>
  </si>
  <si>
    <t>1-01-05010-006</t>
  </si>
  <si>
    <t>SGG00232</t>
  </si>
  <si>
    <t>45.5</t>
  </si>
  <si>
    <t>53.5</t>
  </si>
  <si>
    <t xml:space="preserve">Existing on tower actual -  OML 10.25 Sqm / MPT - 9.25 Sqm  - Add MW ( 2x0.6) and change RF and RRU height </t>
  </si>
  <si>
    <t>1-01-05009-003</t>
  </si>
  <si>
    <t>SGG00236</t>
  </si>
  <si>
    <t>46</t>
  </si>
  <si>
    <t>51</t>
  </si>
  <si>
    <t>There should be no rental increase as PAT already granted rental increase sometime in Feb-17</t>
  </si>
  <si>
    <t>Existing on tower actual -  OML 7.72 Sqm / MPT - 4.67 actual   - Removed 1.8 MW ( the actual on tower )</t>
  </si>
  <si>
    <t>1-01-14007-014</t>
  </si>
  <si>
    <t>SHN00080</t>
  </si>
  <si>
    <t>Existing on tower actual -   OML - 7.03sqm / KSGM -  3.72 sqm - Change RF and RRU height from 51 - 51.5</t>
  </si>
  <si>
    <t>1-01-15013-007</t>
  </si>
  <si>
    <t>SHN00086</t>
  </si>
  <si>
    <t>Existing on tower actual -   OML - 11.02sqm ( UE Split -59.50 - 54.00 / 48.00 - 46.00 ) / KSGM -  3.80 sqm / TML 3.51 - Add RRU</t>
  </si>
  <si>
    <t>PE system upgrade</t>
  </si>
  <si>
    <t>1-01-14007-002</t>
  </si>
  <si>
    <t>SHS00093</t>
  </si>
  <si>
    <t>Exchange</t>
  </si>
  <si>
    <t>There should be no rental increase as PAT already granted rental increase sometime in Nov-17</t>
  </si>
  <si>
    <t xml:space="preserve">Existing on tower actual -   OML - 11.02sqm ( UE Split -60.00 - 53.50 / 47.50 - 45.50 ) / KSGM -  4.36 sqm - Add MW ( 2 x 1.2 ) &amp; add RRU and ODU </t>
  </si>
  <si>
    <t>1-01-05011-004</t>
  </si>
  <si>
    <t>SGG00215</t>
  </si>
  <si>
    <t>There should be no rental increase as PAT already granted rental increase sometime in Nov-14</t>
  </si>
  <si>
    <t xml:space="preserve">Existing on tower actual - OML - 9.75 Sqm / MPT - 3.68 Sqm / TML - 4.78 Sqm  - Increase RF dimension and Add MW and ODU , RRU </t>
  </si>
  <si>
    <t>1-01-05010-004</t>
  </si>
  <si>
    <t>SGG00233</t>
  </si>
  <si>
    <t xml:space="preserve">Existing on tower actual - OML - 9.49 Sqm / MPT - 2.69 Sqm / Mytel Colo Apps - 5.20Sqm  - add one RRU </t>
  </si>
  <si>
    <t xml:space="preserve">Existing on tower actual - OML - 13.53 Sqm ( UE Top and Down - OML area 59.60 - 48 .60 )  / MPT - 3.07 Sqm / Mytel -1.74 Sqm  - Increase RF dimension and add RRU </t>
  </si>
  <si>
    <t>1-01-11007-003</t>
  </si>
  <si>
    <t>MON00275</t>
  </si>
  <si>
    <t xml:space="preserve">Existing on tower actual - OML - 9.33sqm  / MPT - 4.69 Sqm  - Decrease RF dimension and add RRU </t>
  </si>
  <si>
    <t xml:space="preserve">Existing on tower actual - OML - 7.76sqm  / MPT - 2.61 Sqm  - Increase RF dimension and add RRU </t>
  </si>
  <si>
    <t xml:space="preserve">Existing on tower actual - OML - 7.20sqm  / MPT - 2.61 Sqm  - Increase RF dimension and add RRU </t>
  </si>
  <si>
    <t>5</t>
  </si>
  <si>
    <t xml:space="preserve">Existing on tower actual - OML - 7.35sqm  / MPT - 4.10 Sqm / TML 4.64 Sqm / Mytel - 2.33 sqm - Increase RF dimension and add RRU </t>
  </si>
  <si>
    <t>ANSG_0393</t>
  </si>
  <si>
    <t>SGG00203</t>
  </si>
  <si>
    <t xml:space="preserve">Existing on tower ( Assume ) - TML - 5.92 EPA  / MPT - 3.34 EPA / TML 4.64 Sqm / Mytel -5.47 EPA  - Increase RF dimension and add MW and RRU </t>
  </si>
  <si>
    <t>ANMD_3001</t>
  </si>
  <si>
    <t>MDY01695</t>
  </si>
  <si>
    <t>BTS</t>
  </si>
  <si>
    <t xml:space="preserve">MPT BTS New Colo Application - For Regional Team - RF Pole to install and MW pole not require </t>
  </si>
  <si>
    <t xml:space="preserve">Required to construct the Slab </t>
  </si>
  <si>
    <t>Prevalidation Tracker Read Only</t>
  </si>
  <si>
    <t>Crossover</t>
  </si>
  <si>
    <t>Waiting for review BA report</t>
  </si>
  <si>
    <t>Undoable due to high VCC</t>
  </si>
  <si>
    <t>Strengthened Tower(TML+OML+MYTEL+AMARA+KSGM(OLD+NEW)): 104.4.%</t>
  </si>
  <si>
    <t>New Tenant</t>
  </si>
  <si>
    <t>Existing Tower: OML+TML+KSGM (OLD+NEW) = 114.3% (Estimate strengthening weight = 646 kg)
Existing Tower: OML+TML+KSGM (OLD) = 114.3%
** ROI is provided  with STR first, tower need to be strengthening befor KSGM antenna install**</t>
  </si>
  <si>
    <t>Strengthened Tower : OML+TML+MYTEL+AMARA (OLD+NEW) = 88.2%
(FDN Retrofitting but it was not installed yet. However, it was considered in the analysis already)</t>
  </si>
  <si>
    <t>Existing Tower: OML+KSGM (OLD+NEW) = 100.7%
Existing Tower: OML+KSGM (OLD) = 101.0%</t>
  </si>
  <si>
    <t>Existing Tower: OML+KSGM (OLD+NEW) = 87.6%
Existing Tower: OML+KSGM (OLD) = 87.9%</t>
  </si>
  <si>
    <t>EXISTING TOWER(OP1+OP3(OLD+NEW)):   93.2%
EXISTING TOWER(OP1+OP3(OLD)):   93.2%</t>
  </si>
  <si>
    <t>EXISTING TOWER(OP1+OP4+OP3(OLD+NEW)):  100.6%
EXISTING TOWER(OP1+OP4+OP3(OLD)):  100.6%</t>
  </si>
  <si>
    <t>EXISTING TOWER(OP1+OP4+OP3(OLD+NEW)):    107.1%
EXISTING TOWER(OP1+OP4+OP3(OLD)):  104.3%</t>
  </si>
  <si>
    <t>EXISTING TOWER(OP1+OP4+OP3(OLD+NEW)):    98.5%
EXISTING TOWER(OP1+OP4+OP3(OLD)):  97.1%</t>
  </si>
  <si>
    <t>EXISTING TOWER(OP1+OP3(OLD+NEW)):   93.7%
EXISTING TOWER(OP1+OP3(OLD)):   93.7%</t>
  </si>
  <si>
    <t>STR TOWER(OP1+OP5+OP3(OLD+NEW)): 95.95%
STR TOWER(OP1+OP5+OP3(OLD)):  91.6 %</t>
  </si>
  <si>
    <t>EXISTING TOWER(OP1+OP3(OLD+NEW)):   90.9%
EXISTING TOWER(OP1+OP3(OLD)):   91.3%</t>
  </si>
  <si>
    <t>STR TOWER(OP1+OP3(OLD+NEW)): 84.8%
STR TOWER(OP1+OP3(OLD)): 80.5%</t>
  </si>
  <si>
    <t>Site will require PE system capacity increase adding load will max current system, BB cap increase required</t>
  </si>
  <si>
    <t>Strengthened Tower: OML+TML+MYTEL+KSGM (OLD+NEW) = 100.6%
Strengthened Tower: OML+TML+MYTEL+KSGM (OLD) = 90.8%</t>
  </si>
  <si>
    <t>Strengthened Tower: OML+TML+MYTEL+KSGM (OLD+NEW) = 98.1%
Strengthened Tower: OML+TML+MYTEL+KSGM (OLD) = 100.5%</t>
  </si>
  <si>
    <t>Based on records, no issues noted</t>
  </si>
  <si>
    <t>Existing Tower: TML+MYTEL+KSGM (OLD+NEW) = 68.6%</t>
  </si>
  <si>
    <t>Existing Tower: KSGM (NEW) = 93.4%</t>
  </si>
  <si>
    <t>1-01-05007-011</t>
  </si>
  <si>
    <t>SG1093</t>
  </si>
  <si>
    <t>Move Equipment</t>
  </si>
  <si>
    <t xml:space="preserve">Existing on tower actual - OML - 8.92sqm  / MPT - 4.49 Sqm / TML 3.23 Sqm / Decrease MW dimension </t>
  </si>
  <si>
    <t>EXISTING TOWER(OP1+OP3+OP4(OLD+NEW)):    103.5%
EXISTING TOWER(OP1+OP3+OP4(OLD)):  102.2%</t>
  </si>
  <si>
    <t>1-01-15013-004</t>
  </si>
  <si>
    <t>SHN00327</t>
  </si>
  <si>
    <t xml:space="preserve">Existing on tower actual - OML - 11.75 sqm  / MPT - 3.56 Sqm / Change RF Height 49.5 to 50 m </t>
  </si>
  <si>
    <t>Strengthened Tower(OP1+OP3(OLD+NEW)): 95.1%
Strengthened Tower(OP1+OP3(OLD)): 95.1 %</t>
  </si>
  <si>
    <t>Site on grid - DG capacity UG to be confirmed grid avail to be monitored</t>
  </si>
  <si>
    <t>1-01-11009-002</t>
  </si>
  <si>
    <t>MON00311</t>
  </si>
  <si>
    <t>LTE _ v1</t>
  </si>
  <si>
    <t>9</t>
  </si>
  <si>
    <t>Existing on tower actual - OML - 8.01 sqm  / MPT - 2.56 Sqm / Increase RF dimension and add RRU .</t>
  </si>
  <si>
    <t>EXISTING TOWER(OP1+OP4+OP3(OLD+NEW)):    97%
EXISTING TOWER(OP1+OP4+OP3(OLD)):  94.4%</t>
  </si>
  <si>
    <t>PE capacity increase needed</t>
  </si>
  <si>
    <t xml:space="preserve">Existing on tower actual - OML - 9.84 sqm  / MPT - 3.50 Sqm / TML - 3.00Sqm / Mytel Actual 1.73 - Colo apps 4.73 Sqm Increase RF dimension </t>
  </si>
  <si>
    <t>Strengthened Tower(OP1+OP4+OP5+OP3(OLD+NEW)): 99.4%
Strengthened Tower(OP1+OP4+OP5+OP3(OLD)): 99.5%</t>
  </si>
  <si>
    <t>Existing on tower actual - OML - 7.99 sqm  / MPT - 2.61 Sqm / Increase RF dimension and add RRU</t>
  </si>
  <si>
    <t>Strengthened Tower: OML+KSGM (OLD+NEW) = 100.3%
Strengthened Tower: OML+KSGM (OLD) = 95.8%</t>
  </si>
  <si>
    <t xml:space="preserve">existing load slpit 1.5KW </t>
  </si>
  <si>
    <t>Existing on tower actual - OML - 7.16 sqm  / MPT - 3.14 Sqm / Mytel -1.47 actual . 4.07 Colo Apps - Increase RF Dimension and add RRU</t>
  </si>
  <si>
    <t>Existing Tower: OML+MYTEL+KSGM (OLD+NEW) = 96.0%
Existing Tower: OML+MYTEL+KSGM (OLD) = 91.5%</t>
  </si>
  <si>
    <t>1-01-06001-002</t>
  </si>
  <si>
    <t>TNY00288</t>
  </si>
  <si>
    <t xml:space="preserve">Existing on tower actual - OML - 6.00 sqm  / MPT - 2.90 Sqm - Add RRU </t>
  </si>
  <si>
    <t>Existing Tower: OML+KSGM (OLD+NEW) = 53.7%
Existing Tower: OML+KSGM (OLD) = 51.9%</t>
  </si>
  <si>
    <t>1-01-13004-006</t>
  </si>
  <si>
    <t>YGN00927</t>
  </si>
  <si>
    <t>Existing on tower actual - OML - 7.44 sqm  / MPT - 2.56 Sqm / TML -3.30 actual -Increase RF Dimension and add  RRU .</t>
  </si>
  <si>
    <t>Existing Tower: OML+TML+KSGM (OLD+NEW) = 65.5%
Existing Tower: OML+TML+KSGM (OLD) = 62.0%</t>
  </si>
  <si>
    <t>1-01-04002-004</t>
  </si>
  <si>
    <t>CHN00147</t>
  </si>
  <si>
    <t>MW Exp</t>
  </si>
  <si>
    <t xml:space="preserve">Existing on tower actual - OML - 6.63 sqm  / MPT - 2.41 Sqm actual and 3.18sqm for Colo Apps  /Decrease MW Dimension </t>
  </si>
  <si>
    <t>Strengthened Tower(OP1+OP3(OLD+NEW)): 92.4%
Strengthened Tower(OP1+OP3(OLD)): 95.1 %</t>
  </si>
  <si>
    <t>1-01-08009-002</t>
  </si>
  <si>
    <t>MGW00400</t>
  </si>
  <si>
    <t>41.5</t>
  </si>
  <si>
    <t xml:space="preserve">Existing on tower actual - OML - 8.34 sqm  / MPT - 3.59 Sqm / Change MW and RF height </t>
  </si>
  <si>
    <t>EXISTING TOWER(OP1+OP3(OLD+NEW)):   83.1%
EXISTING TOWER(OP1+OP3(OLD)):    83.1 %</t>
  </si>
  <si>
    <t>Add Rect mods, increase BB cap, DG UG</t>
  </si>
  <si>
    <t>1-01-09017-004</t>
  </si>
  <si>
    <t>MGW00413</t>
  </si>
  <si>
    <t xml:space="preserve">Existing on tower actual - OML - 8.34 sqm  / MPT - 3.52 Sqm / change MW and ODU height </t>
  </si>
  <si>
    <t>EXISTING TOWER(OP1+OP3(OLD+NEW)):   88.7%
EXISTING TOWER(OP1+OP3(OLD)):   89.1%</t>
  </si>
  <si>
    <t xml:space="preserve">Existing on tower actual - OML - 7.23 sqm  / MPT - 3.70 Sqm / Increase RF dimension and add RRU </t>
  </si>
  <si>
    <t>EXISTING TOWER(OP1+OP4+OP3(OLD+NEW)):   92.7%
EXISTING TOWER(OP1+OP4+OP3(OLD)):   91.4 %</t>
  </si>
  <si>
    <t>Wk52</t>
  </si>
  <si>
    <t xml:space="preserve">Add rectifier modules, Swap DG, BB SOH check </t>
  </si>
  <si>
    <t>1-01-05005-002</t>
  </si>
  <si>
    <t>SGG00219</t>
  </si>
  <si>
    <t xml:space="preserve">Existing on tower actual - OML - 7.72 sqm  / MPT - 4.16 Sqm / TML 2.83 /  Change RF and MW height </t>
  </si>
  <si>
    <t>EXISTING TOWER(OP1+OP4+OP3(OLD+NEW)):   102.3%
EXISTING TOWER(OP1+OP4+OP3(OLD)):   102.5 %</t>
  </si>
  <si>
    <t xml:space="preserve">Existing on tower actual - OML - 10.25 sqm  / MPT - 9.26 Sqm / Increase RF Dimension and </t>
  </si>
  <si>
    <t>EXISTING TOWER(OP1+OP3(OLD+NEW)):   103.1%
EXISTING TOWER(OP1+OP3(OLD)):  102.8%</t>
  </si>
  <si>
    <t xml:space="preserve">Add rectifier modules, BB SOH check </t>
  </si>
  <si>
    <t>1-01-05007-006</t>
  </si>
  <si>
    <t>SGG00780</t>
  </si>
  <si>
    <t xml:space="preserve">Existing on tower actual - OML - 10.25 sqm  / MPT - 3.56 Sqm / TML - 3.90 sqm- Change RF and MW height </t>
  </si>
  <si>
    <t>EXISTING TOWER(OP1+OP4+OP3(OLD+NEW)):   99.5%
EXISTING TOWER(OP1+OP4+OP3(OLD)):    92   %</t>
  </si>
  <si>
    <t>1-01-15009-006</t>
  </si>
  <si>
    <t>SHN00051</t>
  </si>
  <si>
    <t xml:space="preserve">Existing on tower actual - OML - 6.46 sqm  / MPT - 3.56 Sqm / TML - 3.51 sqm . Change RF and MW height </t>
  </si>
  <si>
    <t>EXISTING TOWER(OP1+OP4+OP3(OLD+NEW)):   93.7%
EXISTING TOWER(OP1+OP4+OP3(OLD)):    93.8  %</t>
  </si>
  <si>
    <t>Add rectifier modules, BB SOH check, monitor DG performance</t>
  </si>
  <si>
    <t>1-01-15012-004</t>
  </si>
  <si>
    <t>SHN00053</t>
  </si>
  <si>
    <t xml:space="preserve">Existing on tower actual - OML - 11.16 sqm  / MPT - 3.52 Sqm Actual and 5.42 ( Colo Apps ) / Increase RF Dimension </t>
  </si>
  <si>
    <t>Strengthened Tower(OP1+OP3(OLD+NEW)): 95.3%
Strengthened Tower(OP1+OP3(OLD)): 99.9 %</t>
  </si>
  <si>
    <t>ANMD_0069</t>
  </si>
  <si>
    <t>MDYAMPR004</t>
  </si>
  <si>
    <t>Amara Colocation</t>
  </si>
  <si>
    <t>4-Dec-18: Considering this site as GBT okay to go ahead.</t>
  </si>
  <si>
    <t xml:space="preserve">Existing on tower - ( Assume ) TML with 8.18 EPA </t>
  </si>
  <si>
    <t>Total EPA is 8.18+3 =11.18 &lt; 25 EPA Design - OK (Preliminaly Tower Assessment), Amara 3.0EPA Required</t>
  </si>
  <si>
    <t>WK50</t>
  </si>
  <si>
    <t>AC connect</t>
  </si>
  <si>
    <t xml:space="preserve">sharing on the existing slab </t>
  </si>
  <si>
    <t>ANMD_0066</t>
  </si>
  <si>
    <t>MDYAMPR011</t>
  </si>
  <si>
    <t xml:space="preserve">Existing on tower - ( Assume ) TML with 4.20 EPA </t>
  </si>
  <si>
    <t>Total EPA is 4.2+3 =7.2 &lt; 25 EPA Design - OK (Preliminaly Tower Assessment), Amara 3.0EPA Required</t>
  </si>
  <si>
    <t>ANMD_0067</t>
  </si>
  <si>
    <t>MDYAMPR012</t>
  </si>
  <si>
    <t xml:space="preserve">Existing on tower - ( Assume ) TML with 4.26 EPA </t>
  </si>
  <si>
    <t>Total EPA is 4.26+3 =7.26 &lt; 18 EPA Design - OK (Preliminaly Tower Assessment), Amara 3.0EPA Required</t>
  </si>
  <si>
    <t xml:space="preserve">AC connect </t>
  </si>
  <si>
    <t>ANMD_0070</t>
  </si>
  <si>
    <t>MDYAMPR013</t>
  </si>
  <si>
    <t>4-Dec-18: Considering this site as GBT okay to go ahead. But lese hike may raise while TI installation as already 3 opco exisiting on site.</t>
  </si>
  <si>
    <t>Existing on tower - ( Assume ) TML with 4.38 EPA ,OML with 11.43 EPA , MPT with 1.02EPA</t>
  </si>
  <si>
    <t>Total EPA is 16.82+3 =19.82 &lt; 25 EPA Design - OK (Preliminaly Tower Assessment), Amara 3.0EPA Required</t>
  </si>
  <si>
    <t>ANMD_0071</t>
  </si>
  <si>
    <t>MDYAMPR014</t>
  </si>
  <si>
    <t xml:space="preserve">Existing on tower - ( Assume ) TML with 4.38 EPA ,OML with 11.07 EPA </t>
  </si>
  <si>
    <t>Total EPA is 15.45+3 =18.45 &lt; 25 EPA Design - OK (Preliminaly Tower Assessment), Amara 3.0EPA Required</t>
  </si>
  <si>
    <t>ANMD_0077</t>
  </si>
  <si>
    <t>MDYAMPR015</t>
  </si>
  <si>
    <t>Existing on tower - ( Assume ) TML with 6.29 EPA ,OML with 9.22 EPA , Mytel 5.47 EPA</t>
  </si>
  <si>
    <t>Total EPA is 15.51+3 =18.51 &lt; 25 EPA Design - OK (Preliminaly Tower Assessment), Amara 3.0EPA Required</t>
  </si>
  <si>
    <t>MDYPGTG020</t>
  </si>
  <si>
    <t>34</t>
  </si>
  <si>
    <t xml:space="preserve">Existing on tower - ( Assume ) TML with 3.93 EPA </t>
  </si>
  <si>
    <t>Total EPA is 3.93+3 =6.93 &lt; 25 EPA Design - OK (Preliminaly Tower Assessment), Amara 3.0EPA Required</t>
  </si>
  <si>
    <t>ANMD_0165</t>
  </si>
  <si>
    <t>MDYPGTG033</t>
  </si>
  <si>
    <t>19</t>
  </si>
  <si>
    <t xml:space="preserve">Existing on tower - ( Assume ) TML with 4.56 EPA </t>
  </si>
  <si>
    <t>Total EPA is 4.56+3 =7.56 &lt; 18 EPA Design - OK (Preliminaly Tower Assessment), Amara 3.0EPA Required</t>
  </si>
  <si>
    <t>MDYPGTG036</t>
  </si>
  <si>
    <t xml:space="preserve">Existing on tower - ( Assume ) TML with 6.77 EPA </t>
  </si>
  <si>
    <t>Total EPA is 6.77+3 =9.77 &lt; 18 EPA Design - OK (Preliminaly Tower Assessment), Amara 3.0EPA Required</t>
  </si>
  <si>
    <t>ANMD_0172</t>
  </si>
  <si>
    <t>MDYPGTG039</t>
  </si>
  <si>
    <t>14</t>
  </si>
  <si>
    <t xml:space="preserve">Existing on tower - ( Assume ) TML with 5.10 EPA </t>
  </si>
  <si>
    <t>Total EPA is 8.69+5 =13.69 &lt; 18 EPA Design - OK (Preliminaly Tower Assessment), Amara 5.0EPA Required</t>
  </si>
  <si>
    <t>ACAY_0122</t>
  </si>
  <si>
    <t>AWD00530</t>
  </si>
  <si>
    <t>12-Dec-18: Okay for MPT upgrdation program as we don’t have any issue any site.
4-Dec-18: MPT is already on air from 27-Feb-17, then why again its repeated for pre-validation</t>
  </si>
  <si>
    <t xml:space="preserve">Existing on tower - ( Assume ) TML with 5.74 EPA / OML with 9.87 EPA / MPT with 4.69 EPA - add ODU as per the actual on tower </t>
  </si>
  <si>
    <t>ANMD_0153</t>
  </si>
  <si>
    <t>MDYPTGI008</t>
  </si>
  <si>
    <t>4-Dec-18: Has to reverifiy with owner and lease area and space.
27-June-18: Lease hike approved by ATF by Managment for Mytel only
4-June-18: No reduction..the difficulty here is its a phase 1 site on which we have very little litigation leverage.
16-May-18: owner on three occasions but he is adamant and resists any form of contract or mandate explanation. He demands an additional 300,000 MMK/M for Mytel only</t>
  </si>
  <si>
    <t xml:space="preserve">Existing on tower - ( Assume ) TML with 6.55 EPA </t>
  </si>
  <si>
    <t>Total EPA is 6.55+3 =9.55 &lt; 18 EPA Design - OK (Preliminaly Tower Assessment), Amara 3.0EPA Required</t>
  </si>
  <si>
    <t>1-01-05012-001</t>
  </si>
  <si>
    <t>SGG00200</t>
  </si>
  <si>
    <t>46.5-48.5</t>
  </si>
  <si>
    <t>53-56</t>
  </si>
  <si>
    <t>Existing on tower actual - OML - 8.63 sqm  / MPT - 4.73 Sqm / TML - 3.51 Sqm /  / Added 1 RRU</t>
  </si>
  <si>
    <t>Strengthened Tower(OP1+OP4+OP3(OLD+NEW)): 100.6%
Strengthened Tower(OP1+OP4+OP3(OLD)): 98.6 %</t>
  </si>
  <si>
    <t xml:space="preserve">Existing on tower actual - OML - 7.72 sqm  / MPT - 4.67 Sqm actual and 7.24 sqm on previous colo apps  - Added RRU . </t>
  </si>
  <si>
    <t>EXISTING TOWER(OP1+OP3(OLD+NEW)):   89.1%
EXISTING TOWER(OP1+OP3(OLD)): 89.2  %</t>
  </si>
  <si>
    <t>PE capacity expansion</t>
  </si>
  <si>
    <t>MDYAMTZ010</t>
  </si>
  <si>
    <t xml:space="preserve">Existing on tower - ( Assume ) TML with 4.10 EPA </t>
  </si>
  <si>
    <t>Total EPA is 4.10+3 =7.10 &lt; 10.5 EPA Design - OK (Preliminaly Tower Assessment), Amara 3.0EPA Required</t>
  </si>
  <si>
    <t>ANMD_0173</t>
  </si>
  <si>
    <t>MDYPGTG007</t>
  </si>
  <si>
    <t>Existing on tower - ( Assume ) TML with 4.83 EPA , OML with 9.22 EPA , MPT with 3.48 EPA ,Mytel with 5.467 EPA</t>
  </si>
  <si>
    <t>Total EPA is 17.53+3 =20.53 &lt; 25 EPA Design - OK (Preliminaly Tower Assessment), Amara 3.0EPA Required</t>
  </si>
  <si>
    <t>MDYPGTG010</t>
  </si>
  <si>
    <t xml:space="preserve">Existing on tower - ( Assume ) TML with 4.74 EPA </t>
  </si>
  <si>
    <t>Total EPA is 4.74+3 =7.74 &lt; 18 EPA Design - OK (Preliminaly Tower Assessment), Amara 3.0EPA Required</t>
  </si>
  <si>
    <t>1-01-10006-004</t>
  </si>
  <si>
    <t>MDYAMPR005</t>
  </si>
  <si>
    <t xml:space="preserve">Existing on tower actual - OML - 6.70 sqm </t>
  </si>
  <si>
    <t>EXISTING TOWER(OP1+OP6(NEW)):   71.8%</t>
  </si>
  <si>
    <t xml:space="preserve">Need new slab </t>
  </si>
  <si>
    <t>AYYN_0225</t>
  </si>
  <si>
    <t>YGN00526</t>
  </si>
  <si>
    <t>39</t>
  </si>
  <si>
    <t xml:space="preserve">Existing on tower - ( Assume ) TML with 4.73 EPA , MPT with 5.34EPA , Mytel with 2.55EPA ( Decrease MW Dimension ) </t>
  </si>
  <si>
    <t>Total EPA is 4.86+2.55+4.73 =12.09 &lt; 25 EPA Design - OK (Preliminaly Tower Assessment), MPT is 4.86EPA Required</t>
  </si>
  <si>
    <t xml:space="preserve">Capacity available </t>
  </si>
  <si>
    <t>1-01-17019-002</t>
  </si>
  <si>
    <t>AWD00413</t>
  </si>
  <si>
    <t>PE capacity expansion PE system to be re ordered</t>
  </si>
  <si>
    <t>1-01-17011-006</t>
  </si>
  <si>
    <t>AWD00287</t>
  </si>
  <si>
    <t>1-03-06008-014</t>
  </si>
  <si>
    <t>TNY00361</t>
  </si>
  <si>
    <t xml:space="preserve">Needs PE system none installed  on site </t>
  </si>
  <si>
    <t>1-01-01010-012</t>
  </si>
  <si>
    <t>KCN00455</t>
  </si>
  <si>
    <t>upgrade DG to 20Kva</t>
  </si>
  <si>
    <t>1-01-17003-008</t>
  </si>
  <si>
    <t>AY0830</t>
  </si>
  <si>
    <t>Add Equipment</t>
  </si>
  <si>
    <t xml:space="preserve">Existing on tower actual - OML - 9.82 sqm / TML - 4.50 Sqm - Decrease MW dimension </t>
  </si>
  <si>
    <t>Strengthened Tower(OP1+OP4(OLD+NEW)):   94.75%
Strengthened Tower(OP1+OP4(OLD)): 95.8  %</t>
  </si>
  <si>
    <t>1-01-01010-013</t>
  </si>
  <si>
    <t>KCN00442</t>
  </si>
  <si>
    <t>Add rectifier modules upgrade DG to 20Kva</t>
  </si>
  <si>
    <t>ANMD_0169</t>
  </si>
  <si>
    <t>MDYPGTG007ML</t>
  </si>
  <si>
    <t xml:space="preserve">Existing on tower - ( Assume ) TML with 4.96 EPA , OML with 8.95 EPA , MPT with 1.02 EPA , Mytel colo apps 4.07 EPA </t>
  </si>
  <si>
    <t>EXISTING TOWER: TML+OML+KSGM+MYTEL+Amara(NEW)):  86.79%</t>
  </si>
  <si>
    <t xml:space="preserve">If Amara can share the existing slab , no need to construct new slab- Space to reconfirm base on TSS </t>
  </si>
  <si>
    <t>1-01-01009-002</t>
  </si>
  <si>
    <t>KCN00139</t>
  </si>
  <si>
    <t>ANMD_0195</t>
  </si>
  <si>
    <t>MDY00607</t>
  </si>
  <si>
    <t>Refarming UL2100</t>
  </si>
  <si>
    <t xml:space="preserve">Existing on tower - ( Assume ) TML with 5.75 EPA , MPT with 3.74 EPA , MPT with 1.02 EPA - Add RRU </t>
  </si>
  <si>
    <t>Existing Tower: TML+KSGM (OLD+NEW) = 90.2%</t>
  </si>
  <si>
    <t>Monitor battery back up,  BB @ EoL swap</t>
  </si>
  <si>
    <t>ANMD_0022</t>
  </si>
  <si>
    <t>MDY00913</t>
  </si>
  <si>
    <t>Existing on tower - ( Assume ) TML with 4.80 EPA , OML with 11.81 EPA , MPT with 3.58 EPA - Add RRU</t>
  </si>
  <si>
    <t>EXISTING TOWER: TML+OML+KSGM(OLD+NEW)):   86.85 %</t>
  </si>
  <si>
    <t>Existing on tower - ( Assume ) TML with 7.55 EPA , MPT with 4.20 EPA - Add RRU</t>
  </si>
  <si>
    <t>Existing Tower: TML+KSGM (OLD+NEW) = 64.0%</t>
  </si>
  <si>
    <t>1-01-09022-005</t>
  </si>
  <si>
    <t>MGW00780</t>
  </si>
  <si>
    <t>Existing on tower - ( Assume ) TML with 5.65 EPA , MPT with 4.84 EPA - Add RRUand ODU</t>
  </si>
  <si>
    <t>AYYN_0300</t>
  </si>
  <si>
    <t>YGN00953</t>
  </si>
  <si>
    <t>Existing on tower - ( Assume ) TML with 5.67 EPA , OML with 9.80 EPA , MPT with 6.13 EPA -, Mytel with 2.91 EPA  , Amara  with 2.88 EPA ( Increase RF dimension and add RRU )</t>
  </si>
  <si>
    <t>Close Date</t>
  </si>
  <si>
    <t>1-01-17007-005</t>
  </si>
  <si>
    <t>AWD00484</t>
  </si>
  <si>
    <t>Refarmaing_UL2100</t>
  </si>
  <si>
    <t>1-01-02003-003</t>
  </si>
  <si>
    <t>KYH00055</t>
  </si>
  <si>
    <t>1-01-03001-001</t>
  </si>
  <si>
    <t>KYN00267</t>
  </si>
  <si>
    <t>1-01-09001-003</t>
  </si>
  <si>
    <t>MGW00148</t>
  </si>
  <si>
    <t>1-01-05009-001</t>
  </si>
  <si>
    <t>SGG00235</t>
  </si>
  <si>
    <t>1-01-05015-004</t>
  </si>
  <si>
    <t>SGG00765</t>
  </si>
  <si>
    <t>1-01-15013-008</t>
  </si>
  <si>
    <t>SHN00087</t>
  </si>
  <si>
    <t>1-01-17016-011</t>
  </si>
  <si>
    <t>AWD00293</t>
  </si>
  <si>
    <t>1-01-17017-001</t>
  </si>
  <si>
    <t>AWD00871</t>
  </si>
  <si>
    <t>1-01-01014-005</t>
  </si>
  <si>
    <t>KCN00119</t>
  </si>
  <si>
    <t>Expansion_L2100</t>
  </si>
  <si>
    <t>Existing Tower: TML+MYTEL+KSGM (OLD+NEW) = 74.9%</t>
  </si>
  <si>
    <t>EXISTING TOWER: TML+OML+KSGM+MYTEL+Amara(NEW)):  69.33%</t>
  </si>
  <si>
    <t>Total EPA is 3.02+6 =9.02&lt; 18 EPA Design - OK (Preliminaly Tower Assessment), OML 6.0EPA Required</t>
  </si>
  <si>
    <t>Mytel Phase 1a Colo</t>
  </si>
  <si>
    <t>On Air</t>
  </si>
  <si>
    <t>Amara Phase 1</t>
  </si>
  <si>
    <t>MPT  Phase 1a Colo</t>
  </si>
  <si>
    <t>OML Phase 1 Colo</t>
  </si>
  <si>
    <t>OML Phase 2 Colo</t>
  </si>
  <si>
    <t>RFI</t>
  </si>
  <si>
    <t>Mytel Phase 1b Colo</t>
  </si>
  <si>
    <t>MPT  Phase 1b Colo</t>
  </si>
  <si>
    <t>MPT Phase 2 Colo</t>
  </si>
  <si>
    <t>MPT  Phase 1a B2S</t>
  </si>
  <si>
    <t>TML Phase 1 Colo</t>
  </si>
  <si>
    <t xml:space="preserve">Existing on tower Actual - OML - 10.60 Sqm / MPT - 2.61 Sqm / Mytel 1.75 Sqm - Add MW and ODU </t>
  </si>
  <si>
    <t>PE UG - BB, DG</t>
  </si>
  <si>
    <t xml:space="preserve">Existing on tower Actual - OML - 8.44 Sqm / MPT latest Colo Apps - 4.09 Sqm /TML Colo Apps - 4.05 sqm/ Mytel  Colo Apps 4.07 Sqm - Add 3 RRU </t>
  </si>
  <si>
    <t>BB &amp; DG swaps/upgrade</t>
  </si>
  <si>
    <t xml:space="preserve">Existing on tower Actual - OML - 7.02 Sqm / MPT latest Colo Apps - 3.99 Sqm /TML  - 2.67 sqm/ - Increase RF Dimension </t>
  </si>
  <si>
    <t xml:space="preserve">Existing on tower Actual - OML - 8.34 Sqm / MPT  - 4.69 Sqm - Add  MW and ODU as per actual </t>
  </si>
  <si>
    <t xml:space="preserve">add rect modules - PE UG later </t>
  </si>
  <si>
    <t xml:space="preserve">add rectifer modules UG DG </t>
  </si>
  <si>
    <t>Okay short term DG 12Hrs NS, DG&amp;BB capacity increase required</t>
  </si>
  <si>
    <t>PE system upgrade - Dep on new PE ordered Dec18 - adjust FC accord</t>
  </si>
  <si>
    <t>PE cap incr BB UG - Dep on new PE ordered Dec18 - adjust FC accord</t>
  </si>
  <si>
    <t>Strengthened Tower: OML+MYTEL+KSGM (OLD+NEW) = 96.1%
Strengthened Tower: OML+MYTEL+KSGM (OLD) = 95.6%</t>
  </si>
  <si>
    <t>Strengthened Tower: OML+TML+MYTEL+KSGM (OLD+NEW) = 104.4%
Strengthened Tower: OML+TML+MYTEL+KSGM (OLD) = 104.4%</t>
  </si>
  <si>
    <t>Existing Tower: OML+TML+KSGM (OLD+NEW) = 102.9%
Existing Tower: OML+TML+KSGM (OLD) = 101.4%</t>
  </si>
  <si>
    <t>EXISTING TOWER(OP1+OP3(OLD+NEW)):   93.8%
EXISTING TOWER(OP1+OP3(OLD)):   92.63%</t>
  </si>
  <si>
    <t xml:space="preserve">Existing on tower Actual - OML - 8.34 Sqm / MPT Colo Apps - 4.29 Sqm - Add MW and ODU </t>
  </si>
  <si>
    <t>EXISTING TOWER(OP1+OP3(OLD+NEW)):   89.1%
EXISTING TOWER(OP1+OP3(OLD)):   85.7%</t>
  </si>
  <si>
    <t xml:space="preserve">Existing on tower Actual - OML - 9.26 Sqm / MPT Colo Apps - 2.29 Sqm - Add MW and ODU </t>
  </si>
  <si>
    <t>Strengthened Tower(OP1+OP5+OP3(OLD+NEW)): 91.4%
Strengthened Tower(OP1+OP5+OP3(OLD)): 90.6 %</t>
  </si>
  <si>
    <t xml:space="preserve">Existing on tower Actual - OML - 6.18 Sqm / MPT - 2.71 Sqm / TML 3.51 sqm  - Add 1 RRU </t>
  </si>
  <si>
    <t>Existing on tower Actual - OML - 6.43 Sqm / MPT prev colo apps - 4.55 Sqm / TML 3.23sqm  - NO Data Changed - Only need to checkwith  power team</t>
  </si>
  <si>
    <t>Existing Tower (OML+TML+KSGM(OLD)) = 101.3%</t>
  </si>
  <si>
    <t xml:space="preserve">Existing on tower Actual - OML - 11.46 Sqm / MPT prev colo apps - 5.42 Sqm /Decrease RF Dimension and add MW and Odu </t>
  </si>
  <si>
    <t>Existing on tower Actual - OML - 14.06 Sqm / MPT prev colo apps - 8.15 Sqm / TML 4.93 sqm / Decrease RF and MW Dimension , add RRU and ODU .</t>
  </si>
  <si>
    <t xml:space="preserve">Existing on tower Actual - OML - 7.56 Sqm / MPT - 2.86 Sqm / TML- 3.87sqm / Increase RF Dimension and add RRU </t>
  </si>
  <si>
    <t xml:space="preserve">Existing on tower Actual - OML - 10.88 Sqm / MPT Colo Apps  - 2.35 Sqm / Mytel - 6.13 sqm / Increase RF Dimension and add RRU </t>
  </si>
  <si>
    <t>Strengthened Tower: OML+MYTEL+KSGM (OLD+NEW) = 100.4%
Strengthened Tower: OML+MYTEL+KSGM (OLD) = 97.9%</t>
  </si>
  <si>
    <t xml:space="preserve">Existing on tower Actual - OML - 8.43 Sqm / MPT  - 3.03 Sqm / Mytel - 4.99 sqm / add RRU </t>
  </si>
  <si>
    <t xml:space="preserve">Existing on tower Actual - OML - 8.43 Sqm / MPT  - 3.03 Sqm / Mytel - 4.99 sqm / Add 1 RRU </t>
  </si>
  <si>
    <t>ASKH_0007</t>
  </si>
  <si>
    <t>KYH00181</t>
  </si>
  <si>
    <t>Tower Share</t>
  </si>
  <si>
    <t>Active</t>
  </si>
  <si>
    <t xml:space="preserve">Existing on tower (Assume ) - TML 5.47 EPA / OML 12.22 EPA  /  New Colo Apps Submission </t>
  </si>
  <si>
    <t>ANNP_0222</t>
  </si>
  <si>
    <t>NPT00514</t>
  </si>
  <si>
    <t xml:space="preserve">Existing on tower (Assume ) - TML 4.29 EPA /New Colo Apps Submission </t>
  </si>
  <si>
    <t>3-00-01014-003</t>
  </si>
  <si>
    <t>KCN00120</t>
  </si>
  <si>
    <t xml:space="preserve">Existing on tower actual - MPT 3.52 Sqm - Add MW and RRU/ODU </t>
  </si>
  <si>
    <t>EXISTING TOWER(KSGM(OLD+NEW)):  82.9%
EXISTING TOWER(KSGM(OLD)):    79 %</t>
  </si>
  <si>
    <t>3-00-01014-002</t>
  </si>
  <si>
    <t>KCN00121</t>
  </si>
  <si>
    <t>Existing on tower actual - MPT 4.16 Sqm / Mytel Colo Apps - 4.43 sqm -Add MW and Odu</t>
  </si>
  <si>
    <t>1-01-05015-002</t>
  </si>
  <si>
    <t>SGG00199</t>
  </si>
  <si>
    <t xml:space="preserve">Existing on tower actual - OML - 10.81 Sqm / MPT 3.07 Sqm  /Op2 - 3.87 sqm-Add MW </t>
  </si>
  <si>
    <t>LTE_ v1</t>
  </si>
  <si>
    <t xml:space="preserve">Existing on tower actual - OML - 8.70 Sqm / MPT - 4.25 Sqm / TML - 3.30 sqm -Add RRU and ODU </t>
  </si>
  <si>
    <t>1-01-17008-014</t>
  </si>
  <si>
    <t>AYY0016</t>
  </si>
  <si>
    <t xml:space="preserve">Existing on tower actual - OML - 6.88 Sqm / MYTEL - 3.39 Sqm - </t>
  </si>
  <si>
    <t>1-01-17019-006</t>
  </si>
  <si>
    <t>AYY0333</t>
  </si>
  <si>
    <t xml:space="preserve">Existing on tower actual - OML - 11.73 Sqm / MPT - 3.33Sqm / TML - 3.02 Sqm / MYTEL - 4.07 Sqm - </t>
  </si>
  <si>
    <t>1-01-01008-016</t>
  </si>
  <si>
    <t>KCN0033</t>
  </si>
  <si>
    <t xml:space="preserve">Existing on tower actual - OML - 7.52 Sqm / MYTEL - 3.79 Sqm - </t>
  </si>
  <si>
    <t>1-01-10030-007</t>
  </si>
  <si>
    <t>MDY0162</t>
  </si>
  <si>
    <t xml:space="preserve">Existing on tower actual - OML - 6.63 Sqm / TML - 3.41 sqm / MYTEL - 4.07 Sqm - </t>
  </si>
  <si>
    <t>1-01-10024-004</t>
  </si>
  <si>
    <t>MDY0379</t>
  </si>
  <si>
    <t xml:space="preserve">Existing on tower actual - OML - 8.44 Sqm / TML - 4.83 sqm / MYTEL - 4.07 Sqm - </t>
  </si>
  <si>
    <t>1-01-01001-018</t>
  </si>
  <si>
    <t>KCN0063</t>
  </si>
  <si>
    <t>ANMG_0037</t>
  </si>
  <si>
    <t>MGW00580</t>
  </si>
  <si>
    <t>6-Jan-17: MPT on-air, okay for upgrdation</t>
  </si>
  <si>
    <t xml:space="preserve">Existing on tower (Assume ) -TML-8.01 EPA , Mytel 4.24 EPA , Amara - 3.42 EPA  , MPT 1.32 EPA - Need only power confirmation </t>
  </si>
  <si>
    <t>EXISTING TOWER: TML+OML+KSGM(NEW)):  86.79%</t>
  </si>
  <si>
    <t>26-Dec-18: Okay for TI installtion</t>
  </si>
  <si>
    <t xml:space="preserve">Existing on tower actual -TML- 3.54 EPA , MPT - 1.32 EPA , Mytel - 4.24 EPA ,Amara - 3.42 EPA - Need Power Confirmation </t>
  </si>
  <si>
    <t>EXISTING TOWER: TML+Mytel+Amara+KSGM(OLD+NEW)):  104.2%</t>
  </si>
  <si>
    <t>ANMD_0176</t>
  </si>
  <si>
    <t>MDY00350</t>
  </si>
  <si>
    <t>26-Dec-18: Site on air from 30-Sep-15 no issue for any upgradation.</t>
  </si>
  <si>
    <t xml:space="preserve">Existing on tower Assume -TML- 9.82 EPA , OML - 5.85 EPA , MPT - 3.40 EPA , Mytel - 2.81 EPA -Increase RF dimension and add RRU / ODU </t>
  </si>
  <si>
    <t>26-Dec-18: Site on air from 28-Dec-16 no issue for any upgradation.</t>
  </si>
  <si>
    <t>Existing on tower (Assume ) -TMl - 9.82 EPA / OML - 5.85 EPA / MPT - 3.40 EPA / Mytel 2.81 EPA -  Increase RF Dimension and Add RRU</t>
  </si>
  <si>
    <t>ASTN_0023</t>
  </si>
  <si>
    <t>TNY00315</t>
  </si>
  <si>
    <t>39.5-42.5</t>
  </si>
  <si>
    <t>45.5-47.5</t>
  </si>
  <si>
    <t>26-Dec-18: Site on air from 30-Apr-16 no issue for any upgradation.</t>
  </si>
  <si>
    <t xml:space="preserve">Existing on tower (Assume ) - TML 4.29 EPA / MPT - 4.60 EPA /Add 1  Odu </t>
  </si>
  <si>
    <t>1-01-01004-001</t>
  </si>
  <si>
    <t>KCN00148</t>
  </si>
  <si>
    <t xml:space="preserve">Existing on tower actual - OML - 7.31sqm , MPT 5.99 Sqm - add MW and add RRU / ODU </t>
  </si>
  <si>
    <t>EXISTING TOWER(OML+KSGM(OLD+NEW)):   96.2 %
EXISTING TOWER(OML+KSGM(OLD)):  92.2 %</t>
  </si>
  <si>
    <t>1-01-15013-001</t>
  </si>
  <si>
    <t>SHN00055</t>
  </si>
  <si>
    <t>Previously, Gov Road construction department stopped tower due to our site is located at the road boundary area since long time ago.No More complain now and still alive tower.</t>
  </si>
  <si>
    <t xml:space="preserve">Existing on tower actual - OML - 7.03sqm , MPT actual on tower 3.03 / previous Colo Apps  5.61 Sqm  , Add RRU and ODU </t>
  </si>
  <si>
    <t>EXISTING TOWER(OML+KSGM(OLD+NEW)):   94.3 %
EXISTING TOWER(OML+KSGM(OLD)):92.3 %</t>
  </si>
  <si>
    <t>1-01-14007-016</t>
  </si>
  <si>
    <t>SHN00079</t>
  </si>
  <si>
    <t xml:space="preserve">Existing on tower actual - OML - 8.09 sqm , MPT 4.97 Sqm , TML -2.87 sqm -Add 1 Odu </t>
  </si>
  <si>
    <t>EXISTING TOWER(OML+TML+KSGM(OLD+NEW)):  97%
EXISTING TOWER(OML+TML+KSGM(OLD)): 96.8  %</t>
  </si>
  <si>
    <t>1-01-10029-005</t>
  </si>
  <si>
    <t>MDY0382</t>
  </si>
  <si>
    <t>1-01-03005-004</t>
  </si>
  <si>
    <t>KYN0185</t>
  </si>
  <si>
    <t>1-01-17026-003</t>
  </si>
  <si>
    <t>AYY0879</t>
  </si>
  <si>
    <t>1-01-17004-007</t>
  </si>
  <si>
    <t>AYY0207</t>
  </si>
  <si>
    <t>Refarming _ UL2100</t>
  </si>
  <si>
    <t xml:space="preserve">Existing on tower - ( Assume ) TML with 5.74 EPA , OML with 9.87 EPA , MPT with 4.69 EPA - Add RRU </t>
  </si>
  <si>
    <t>Existing Tower: OML+TML+KSGM (OLD+NEW) = FDN Unstale due to soil condition is submerged
(Estimate volume of concrete = 16 cb.m;  extend pad of foundation to 9.6m)</t>
  </si>
  <si>
    <t>ANMD_0136</t>
  </si>
  <si>
    <t>MDY01437</t>
  </si>
  <si>
    <t>26-Dec-18: Okay for survey and TI installtion</t>
  </si>
  <si>
    <t>Existing on tower - ( Assume ) TML with 7.74 EPA - Add 2 RRU</t>
  </si>
  <si>
    <t>Existing Tower: TML+KSGM (OLD+NEW) = 76.4%</t>
  </si>
  <si>
    <t>1-01-01010-003</t>
  </si>
  <si>
    <t>KCN00441</t>
  </si>
  <si>
    <t xml:space="preserve">Existing on tower Actual -9.17Sqm /  MPT prev colo apps - 5.32 Sqm / TML - 5.00 Sqm / Mytel 5.28 Sqm . Add 1 RRU </t>
  </si>
  <si>
    <t>Strengthened Tower(OML+TML+Mytel+KSGM(OLD+NEW)):  97.51 %
Strengthened Tower(OML+TML+Mytel+KSGM(OLD)): 97.51 %</t>
  </si>
  <si>
    <t>KCN00564</t>
  </si>
  <si>
    <t xml:space="preserve">TS </t>
  </si>
  <si>
    <t>Existing on tower - ( Assume ) TML with 3.84 EPA - MPT previous Colo Apps 3.924 EPA - Mytel Colo Apps - 5.46 EPA  - Add 2 RRU</t>
  </si>
  <si>
    <t>EXISTING TOWER: TML+MYTEL+KSGM(OLD+NEW)):  57.69%</t>
  </si>
  <si>
    <t>1-01-14001-010</t>
  </si>
  <si>
    <t>SHS00100</t>
  </si>
  <si>
    <t xml:space="preserve">Existing on tower Actual - OML - 8.44 Sqm / MPT - 7.68 Sqm  - Increase Rf Dimension add RRU / Change MW dimesion and add ODU </t>
  </si>
  <si>
    <t>Strengthened Tower: OML+KSGM (OLD+NEW) = 97.2%
Strengthened Tower: OML+KSGM (OLD) = 91.1%</t>
  </si>
  <si>
    <t>31-Jan-19</t>
  </si>
  <si>
    <t>ready</t>
  </si>
  <si>
    <t>1-01-10009-003</t>
  </si>
  <si>
    <t>MDY01362</t>
  </si>
  <si>
    <t>2019-01-30</t>
  </si>
  <si>
    <t>DG &amp; BB upgrade</t>
  </si>
  <si>
    <t xml:space="preserve">Existing on tower Actual - OML - 8.09 Sqm / MPT - 4.97 Sqm / TML 2.87 sqm  - Same loading as before - Change height only </t>
  </si>
  <si>
    <t>EXISTING TOWER(OML+TML+KSGM(OLD+NEW)):  96.9%
EXISTING TOWER(OML+TML+KSGM(OLD)): 96.9  %</t>
  </si>
  <si>
    <t>2019-04-05</t>
  </si>
  <si>
    <t>2018-12-27</t>
  </si>
  <si>
    <t>2019-01-18</t>
  </si>
  <si>
    <t>2019-04-07</t>
  </si>
  <si>
    <t>2019-04-08</t>
  </si>
  <si>
    <t>EXISTING TOWER(OP1+OP4+OP3(OLD+NEW)):   81.6 %
EXISTING TOWER(OP1+OP4+OP3(OLD)):  82%</t>
  </si>
  <si>
    <t>2018-12-23</t>
  </si>
  <si>
    <t>Strengthened Tower(OP1+OP3(OLD+NEW)): 91.3 %
Strengthened Tower(OP1+OP3(OLD)): 85.04 %</t>
  </si>
  <si>
    <t>2019-04-09</t>
  </si>
  <si>
    <t>Strengthened Tower: OML+TML+KSGM (OLD+NEW) = 103.3%
Strengthened Tower: OML+TML+KSGM (OLD) = 104.2%</t>
  </si>
  <si>
    <t>2018-12-28</t>
  </si>
  <si>
    <t>Strengthened Tower: OML+TML+KSGM (OLD+NEW) = 94 %
Strengthened Tower: OML+TML+KSGM (OLD) = 92.6%</t>
  </si>
  <si>
    <t>2019-04-10</t>
  </si>
  <si>
    <t>2019-04-11</t>
  </si>
  <si>
    <t>Strengthened Tower: OML+MYTEL+KSGM (OLD+NEW) = 92.4%
Strengthened Tower: OML+MYTEL+KSGM (OLD) = 91.7%</t>
  </si>
  <si>
    <t>Strengthened Tower: OML+MYTEL+KSGM (OLD+NEW) = 92.5%
Strengthened Tower: OML+MYTEL+KSGM (OLD) = 92.4</t>
  </si>
  <si>
    <t xml:space="preserve">26-Dec-18: Already 4 opco at site (TN/MPT/OML/Mytel) possible for lease hike during TI installtion </t>
  </si>
  <si>
    <t>2019-01-12</t>
  </si>
  <si>
    <t>26-Dec-18: Re-negotation has to be done with owner as we have to install new slab for Amara. Note: Mytel is already present on the same roof.</t>
  </si>
  <si>
    <t>Existing Tower: OML+TML+KSGM (OLD+NEW) = FDN Unstale due to soil condition is submerged (Estimate volume of concrete = 16 cb.m;  exten pad of foundation to 9.6m)
Approved By Rudy per email on 17-Dec-2018.</t>
  </si>
  <si>
    <t>2018-12-31</t>
  </si>
  <si>
    <t>2019-04-17</t>
  </si>
  <si>
    <t>2019-01-10</t>
  </si>
  <si>
    <t>2019-04-14</t>
  </si>
  <si>
    <t>2019-04-18</t>
  </si>
  <si>
    <t>2019-04-20</t>
  </si>
  <si>
    <t>2019-04-15</t>
  </si>
  <si>
    <t>2019-01-20</t>
  </si>
  <si>
    <t>2019-01-07</t>
  </si>
  <si>
    <t>2019-01-08</t>
  </si>
  <si>
    <t>2019-01-21</t>
  </si>
  <si>
    <t>2019-04-01</t>
  </si>
  <si>
    <t>2019-01-23</t>
  </si>
  <si>
    <t>2019-01-24</t>
  </si>
  <si>
    <t>2018-12-29</t>
  </si>
  <si>
    <t>Grand Total</t>
  </si>
  <si>
    <t>Count of Site ID</t>
  </si>
  <si>
    <t xml:space="preserve">Existing on tower (Assume ) - TML 4.29 EPA / MPT - 4.60 EPA /   Increase RF Dimension and add RRU . </t>
  </si>
  <si>
    <t xml:space="preserve">Existing on tower actual - OML - 6.64 Sqm / MPT - 2.71 Sqm  / TML - 2.74 sqm / MYTEL - 2.03 Sqm - increase RF Dimension , Add RRU and ODU </t>
  </si>
  <si>
    <t>ASMO_0155</t>
  </si>
  <si>
    <t>MON00618</t>
  </si>
  <si>
    <t xml:space="preserve">MPT Phase 2 Colo </t>
  </si>
  <si>
    <t xml:space="preserve">Existing on tower (Assume ) - TML 9.08 EPA /  New Colo Apps Submission </t>
  </si>
  <si>
    <t>Strengthened Tower(OML+MYTEL+KSGM(OLD+NEW)): 103.67 %
Strengthened Tower(OML+MYTEL+KSGM(OLD)): 100.84 %</t>
  </si>
  <si>
    <t>Strengthened Tower(OML+OP2+KSGM(OLD+NEW)): 89.7 %
Strengthened Tower(OML+OP2+KSGM(OLD)): 91 %</t>
  </si>
  <si>
    <t>EXISTING TOWER(OML+TML+KSGM(OLD+NEW)):  99.2%
EXISTING TOWER(OML+TML+KSGM(OLD)): 99.2%</t>
  </si>
  <si>
    <t>47</t>
  </si>
  <si>
    <t>1-01-14013-003</t>
  </si>
  <si>
    <t>SHS00383</t>
  </si>
  <si>
    <t>52.5</t>
  </si>
  <si>
    <t xml:space="preserve">Existing on tower actual - OML - 9.23 Sqm / MPT -3.93 Sqm  / TML - 2.74 sqm / MYTEL - 5.00 Sqm - Increase RF Dimension , Add RRU </t>
  </si>
  <si>
    <t>1-01-03007-002</t>
  </si>
  <si>
    <t>KA3411</t>
  </si>
  <si>
    <t>Existing on tower actual - OML - 8.67 Sqm / MYTEL -4.07 Sqm - New Colocation</t>
  </si>
  <si>
    <t>Required New Slab</t>
  </si>
  <si>
    <t>1-03-01014-017</t>
  </si>
  <si>
    <t>KC0459</t>
  </si>
  <si>
    <t>Existing on tower actual - MPT- 3.56 Sqm - New Colocation</t>
  </si>
  <si>
    <t>SH4020</t>
  </si>
  <si>
    <t>Existing on tower actual - OML - 7.03Sqm / MPT - 3.72 Sqm - New Colocation</t>
  </si>
  <si>
    <t>1-01-01015-020</t>
  </si>
  <si>
    <t>KC0091</t>
  </si>
  <si>
    <t>Existing on tower actual - OML - 8.10 Sqm / - New Colocation</t>
  </si>
  <si>
    <t>EXISTING TOWER(OML+Mytel(NEW)):  99 %</t>
  </si>
  <si>
    <t>Strengthened Tower(OML+TML+KSGM+Mytel(NEW)):  103.1 %</t>
  </si>
  <si>
    <t>EXISTING TOWER(OML+Mytel(NEW)):  93.5 %</t>
  </si>
  <si>
    <t>EXISTING TOWER: TML+KSGM(OLD+NEW)):  56.22%</t>
  </si>
  <si>
    <t>Row Labels</t>
  </si>
  <si>
    <t>1-01-12016-011</t>
  </si>
  <si>
    <t>RA0021</t>
  </si>
  <si>
    <t xml:space="preserve">Existing on tower actual - OML - 8.69 Sqm / TML on tower 2.32 Or TML previous Colo Apps 4.41 Sqm - Add 1 ODU </t>
  </si>
  <si>
    <t>MDYAMPR003</t>
  </si>
  <si>
    <t>ANMG_0034</t>
  </si>
  <si>
    <t>MGW00303</t>
  </si>
  <si>
    <t>ANKC_0024</t>
  </si>
  <si>
    <t>KCN00341</t>
  </si>
  <si>
    <t xml:space="preserve">Existing on tower (Assume ) - TML 6.73 EPA / MPT - 4.82 EPA /Mytel 8.09 EPA - Decrease RF Dimension and add RRU </t>
  </si>
  <si>
    <t>1-01-10013-005</t>
  </si>
  <si>
    <t>MDY01364</t>
  </si>
  <si>
    <t xml:space="preserve">Existing on tower actual - OML - 7.76 Sqm / MPT - 3.08 Sqm /TML 3.52 sqm /- Add 2 RRU </t>
  </si>
  <si>
    <t>ANSG_0466</t>
  </si>
  <si>
    <t>SGG00230</t>
  </si>
  <si>
    <t xml:space="preserve">Existing on tower (Assume ) - TML 5.28 EPA / MPT - 4.82 EPA  - Remove MW and add RRU </t>
  </si>
  <si>
    <t>YGNDMNH014</t>
  </si>
  <si>
    <t>Require Colo Apps to update in prevalidation -  Existing on tower (Assume ) - TML 3.56 EPA / Amara previous Colo Apps 3.35 EPA  - Remove 1 MW (0.3 ) and Odu</t>
  </si>
  <si>
    <t>AYYN_0620</t>
  </si>
  <si>
    <t>YGNDMSH008</t>
  </si>
  <si>
    <t>Require Colo Apps to update in prevalidation -  Existing on tower (Assume ) - TML 4.11 EPA / OML - 12.15 EPA / MPT - 3.24 EPA / Mytel Colo Apps - 5.68 EPA /Amara previous Colo Apps 3.48 EPA  - Remove 2 MW (0.3 ) and Odu</t>
  </si>
  <si>
    <t xml:space="preserve">Existing on tower actual - OML - 6.46 Sqm / MPT - 3.52 Sqm /TML 3.56 sqm / Decrease Dimension and add RRU </t>
  </si>
  <si>
    <t>1-01-15002-002</t>
  </si>
  <si>
    <t>SHN00062</t>
  </si>
  <si>
    <t xml:space="preserve">Existing on tower actual - OML - 8.09 Sqm / MPT - 3.07 Sqm /TML 4.50 sqm / Decrease Dimension and add RRU </t>
  </si>
  <si>
    <t>1-01-14007-013</t>
  </si>
  <si>
    <t>SHN00081</t>
  </si>
  <si>
    <t>45-48</t>
  </si>
  <si>
    <t>52-54</t>
  </si>
  <si>
    <t xml:space="preserve">Existing on tower actual - OML - 7.90 Sqm / MPT - 2.69 Sqm /Mytel actual - 2.97 sqm - Mytel  colo apps 4.07 sqm / Decrease Dimension and add RRU </t>
  </si>
  <si>
    <t>AYYN_0284</t>
  </si>
  <si>
    <t>YGNINSN005</t>
  </si>
  <si>
    <t>Require Colo Apps to update in prevalidation -  Existing on tower (Assume ) - TML -5.40 EPA/ Amara Previous Colo Apps 3.35 EPA  - Remove 2 MW (0.3 ) and Odu</t>
  </si>
  <si>
    <t>AYYN_0575</t>
  </si>
  <si>
    <t>YGNSPTR001</t>
  </si>
  <si>
    <t>Require Colo Apps to update in prevalidation -  Existing on tower (Assume ) - TML -2.57 EPA/ Amara Previous Colo Apps 3.40 EPA  - Remove 1 MW (0.6 ) and Odu</t>
  </si>
  <si>
    <t>AYYN_0403</t>
  </si>
  <si>
    <t>YGNTKTA002</t>
  </si>
  <si>
    <t>Require Colo Apps to update in prevalidation -  Existing on tower (Assume ) - TML -2.57 EPA/ Amara Previous Colo Apps 3.09 EPA  - Remove 1 MW (0.3 ) and Odu</t>
  </si>
  <si>
    <t>AYYN_0570</t>
  </si>
  <si>
    <t>YGNSPTR022</t>
  </si>
  <si>
    <t>Require Colo Apps to update in prevalidation -  Existing on tower (Assume ) - TML -5.79 EPA/ MPT - 4.85 EPA / Mytel 5.68 EPA / Amara Previous Colo Apps 3.36 EPA  - Remove 1 MW (0.6 ) and Odu</t>
  </si>
  <si>
    <t>Existing Tower: TML+KSGM (OLD+NEW) = 129.2%
(Estimate modification steel weight = 1500 kg)
Existing Tower: TML+KSGM (OLD) = 124.7%</t>
  </si>
  <si>
    <t>EXISTING TOWER(OML+TML+Mytel+KSGM(OLD+NEW)):  87.4 %
EXISTING TOWER(OML+TML+Mytel+KSGM(OLD)): 85.75 %</t>
  </si>
  <si>
    <t>EXISTING TOWER: TML+KSGM(OLD+NEW)):  96.4%</t>
  </si>
  <si>
    <t>Existing Tower: TML+KSGM (OLD+NEW) = 62.7%</t>
  </si>
  <si>
    <t>Existing Tower: OML+TML+MYTEL (OLD+NEW) = 88.9%
Existing Tower: OML+TML+MYTEL (OLD) = 82.1%</t>
  </si>
  <si>
    <t>Existing Tower: OML+TML+MYTEL (OLD+NEW) = 99.0%</t>
  </si>
  <si>
    <t>Strengthened Tower: OML+TML+MYTEL+KSGM (OLD+NEW) = 198.7% (Estimate steel weight 1700 kg)
Strengthened Tower: OML+MYTEL+KSGM (OLD) = 193.0%</t>
  </si>
  <si>
    <t>Existing Tower: TML+KSGM (OLD+NEW) = 124.7%
(Estimate modification steel weight = 1500 kg)
Existing Tower: TML+KSGM (OLD) = 124.7%</t>
  </si>
  <si>
    <t>Approved by Management</t>
  </si>
  <si>
    <t>Kitcha agreed on 26 Dec 18 to proceed and accepted the BA report.</t>
  </si>
  <si>
    <t>10-Jan-19: Okay for TI installation as GBT site and single opco.</t>
  </si>
  <si>
    <t>1-01-10018-001</t>
  </si>
  <si>
    <t>MDY00339</t>
  </si>
  <si>
    <t>1-01-15013-009</t>
  </si>
  <si>
    <t>SHN00040</t>
  </si>
  <si>
    <t>10-Jan-19: Okay for upgrdation as MPT is already on-air from 23-Dec-15</t>
  </si>
  <si>
    <t xml:space="preserve">Existing on tower (Assume ) - TML 5.68 EPA / OML - 10.61 EPA / MPT - 3.75 EPA  - Increase RF Dimension and add RRU </t>
  </si>
  <si>
    <t>10-Jan-19: Okay for upgrdation as MPT is already on-air from 23-Mar-16</t>
  </si>
  <si>
    <t>Existing Tower: TML+MYTEL+KSGM (OLD+NEW) = 62.3%</t>
  </si>
  <si>
    <t>Existing Tower: OML+TML+KSGM (OLD+NEW) = 97.0%
Existing Tower: OML+TML+KSGM (OLD) = 97.0%</t>
  </si>
  <si>
    <t>10-Jan-19: Okay for upgrdation as MPT is already on-air from 27-May-16</t>
  </si>
  <si>
    <t>Existing Tower: TML+KSGM (OLD+NEW) = 47.1%</t>
  </si>
  <si>
    <t>10-Jan-19: Okay for upgrdation as Amara is already on-air from 29-Mar-18</t>
  </si>
  <si>
    <t>STR OK for MW0.6m removal</t>
  </si>
  <si>
    <t>removing equiptments so not require power comment</t>
  </si>
  <si>
    <t>10-Jan-19: Okay for upgrdation as Amara is already on-air from 09-Feb-18</t>
  </si>
  <si>
    <t>10-Jan-19: Okay for upgrdation as Amara is already on-air from 08-Mar-18</t>
  </si>
  <si>
    <t>10-Jan-19: Okay for upgrdation as Amara is already on-air from 13-Mar-18</t>
  </si>
  <si>
    <t>10-Jan-19: Okay for upgrdation as Amara is already on-air from 06-Mar-18</t>
  </si>
  <si>
    <t>10-Jan-19: Okay for upgrdation as Amara is already on-air from 22-Jun-18</t>
  </si>
  <si>
    <t>Strengthened Tower(OML+TML+KSGM(OLD+NEW)): 92.4 %
Strengthened Tower(OML+TML+KSGM(OLD)): 84.7 %</t>
  </si>
  <si>
    <t>EXISTING TOWER(OML+TML(NEW)):  91.7 % (old wind zone)
EXISTING TOWER(OML+TML(NEW)):  137.4 % (new wind zone)_STR later</t>
  </si>
  <si>
    <t>OK to proceed, community will provide the feedback on 11 Jan 2019</t>
  </si>
  <si>
    <t>EXISTING TOWER(OML+KSGM+TML(NEW)):  98.30 %</t>
  </si>
  <si>
    <t>EXISTING TOWER(OML+TML(NEW)):  98.61 %</t>
  </si>
  <si>
    <t>1-01-08008-001</t>
  </si>
  <si>
    <t>BGW00539</t>
  </si>
  <si>
    <t xml:space="preserve">Existing on tower (Assume ) - TML 5.74 EPA - New Colocation </t>
  </si>
  <si>
    <t xml:space="preserve">Existing on tower (Actual) - OML with 15.69 sqm , MPT  - 3.09 Sqm , TML with 3.40 Sqm   - MW height change as per actual </t>
  </si>
  <si>
    <t xml:space="preserve">Existing on tower (Actual) - OML with 10.64 sqm , MPT  - 2.71 Sqm , TML with 3.51 Sqm   - Add MW </t>
  </si>
  <si>
    <t xml:space="preserve">Existing on tower (Actual) - OML with 11.76 sqm , MPT  - 3.56 Sqm    - Add 1 RRU </t>
  </si>
  <si>
    <t>EXISTING TOWER(OML+TML(OLD+NEW)):  103.8 %
EXISTING TOWER(OML+TML(OLD)): 98.8 %</t>
  </si>
  <si>
    <t>STRENGTHENED TOWER(KSGM+MYTEL+TML(NEW)):  99.27 %</t>
  </si>
  <si>
    <t>Existing Tower: OML+TML+KSGM(NEW) = 59.5%</t>
  </si>
  <si>
    <t>1-01-09018-009</t>
  </si>
  <si>
    <t>MGW00506</t>
  </si>
  <si>
    <t>MPT Phase 2 B2S</t>
  </si>
  <si>
    <t xml:space="preserve"> MPT B2S Colo Application </t>
  </si>
  <si>
    <t xml:space="preserve">Existing on tower (Actual) - OML with 15.69 sqm/ MPT actual on tower -2.96 sqm - MPT previous colo apps - 3.09 Sqm  / TML - 3.47 sqm / Add 1 RRU </t>
  </si>
  <si>
    <t>1-01-10029-006</t>
  </si>
  <si>
    <t>MDY00358</t>
  </si>
  <si>
    <t xml:space="preserve">Existing on tower (Actual) - OML with7.41 sqm/ MPT-4.97 Sqm  - Add 1 RRU </t>
  </si>
  <si>
    <t>04-Feb-19</t>
  </si>
  <si>
    <t>DG cap expansion</t>
  </si>
  <si>
    <t>1-01-09022-002</t>
  </si>
  <si>
    <t>MGW00204</t>
  </si>
  <si>
    <t>Require to inform Ei Shwe Zin (NPT) before site visit.</t>
  </si>
  <si>
    <t xml:space="preserve">Existing on tower (Actual) - OML with 8.01 sqm/ MPT-4.20 Sqm /TML - 3.51 Sqm  - Add 1 RRU </t>
  </si>
  <si>
    <t xml:space="preserve">Existing on tower (Actual) - OML with 10.81 sqm/ MPT-3.07 Sqm / Op2 - 3.87 Sqm  - Add 1 RRU </t>
  </si>
  <si>
    <t>05-Feb-19</t>
  </si>
  <si>
    <t>11-Feb-19</t>
  </si>
  <si>
    <t>BB &amp; DG cap expansion</t>
  </si>
  <si>
    <t>1-01-15018-003</t>
  </si>
  <si>
    <t>SHN00063</t>
  </si>
  <si>
    <t>PBAG00032</t>
  </si>
  <si>
    <t>BGE00825</t>
  </si>
  <si>
    <t>1-01-04002-007</t>
  </si>
  <si>
    <t>CHN00140</t>
  </si>
  <si>
    <t>27.5</t>
  </si>
  <si>
    <t>32.5</t>
  </si>
  <si>
    <t>1-01-09021-002</t>
  </si>
  <si>
    <t>MGW00156</t>
  </si>
  <si>
    <t>06-Feb-19</t>
  </si>
  <si>
    <t>Add rectifier modules DG cap expansion</t>
  </si>
  <si>
    <t>1-01-05027-007</t>
  </si>
  <si>
    <t>SGG00242</t>
  </si>
  <si>
    <t>16-Feb-19</t>
  </si>
  <si>
    <t xml:space="preserve">PE upgrade </t>
  </si>
  <si>
    <t>LTE_v1</t>
  </si>
  <si>
    <t>17-Feb-19</t>
  </si>
  <si>
    <t>PTNT00059</t>
  </si>
  <si>
    <t>TNY00789</t>
  </si>
  <si>
    <t>1-01-05027-016</t>
  </si>
  <si>
    <t>SGG00226</t>
  </si>
  <si>
    <t>07-Feb-19</t>
  </si>
  <si>
    <t>18-Feb-19</t>
  </si>
  <si>
    <t>Existing on tower (Assume ) - TML 4.20 EPA / Amara Previous Colo apps - 3.097 EPA - Add 1 ODU</t>
  </si>
  <si>
    <t>Existing on tower (Assume ) - TML 4.26 EPA / Amara Previous Colo apps - 3.40 EPA - Add 1 ODU</t>
  </si>
  <si>
    <t>Existing on tower (Assume ) - TML 4.56EPA /Amara Previous Colo apps - 3.096 EPA - Increase Mw Dimesion and add 1 ODU</t>
  </si>
  <si>
    <t>Existing on tower (Assume ) - TML 4.10EPA / MPT - 3.58EPA , Amara Previous Colo Apps - 3.09 EPA ,  Add 1 ODU</t>
  </si>
  <si>
    <t>ABAG00003</t>
  </si>
  <si>
    <t>BGE00821</t>
  </si>
  <si>
    <t xml:space="preserve">New Colo Apps Submission - MPT Phase 2 BTS </t>
  </si>
  <si>
    <t>Existing Tower: KSGM (NEW) = 34.3%</t>
  </si>
  <si>
    <t>3-00-01014-001</t>
  </si>
  <si>
    <t>KCN00056</t>
  </si>
  <si>
    <t xml:space="preserve">Existing on tower (Actual) - MPT - 3.52 sqm - Add Mw and Odu as per the actual </t>
  </si>
  <si>
    <t>EXISTING TOWER (KSGM(OLD+NEW)):  80.03 %
EXISTING TOWER (KSGM(OLD)):  77.84 %</t>
  </si>
  <si>
    <t>ANMD_0236</t>
  </si>
  <si>
    <t>MDY00844</t>
  </si>
  <si>
    <t>Existing on tower (Assume ) - TML 4.20 EPA / MPT 4.82 EPA - Add MW and Odu</t>
  </si>
  <si>
    <t>1-01-15014-008</t>
  </si>
  <si>
    <t>SHN00175</t>
  </si>
  <si>
    <t xml:space="preserve">UPG </t>
  </si>
  <si>
    <t xml:space="preserve">Existing on tower (Actual) - OML 7.02 sqm / MPT - 2.91 sqm - Add 1 ODU </t>
  </si>
  <si>
    <t>EXISTING TOWER(OML+TML+KSGM(OLD+NEW)):  93.4 %
EXISTING TOWER(OML+TML+KSGM(OLD)):  93.4%</t>
  </si>
  <si>
    <t>ANMD_0220</t>
  </si>
  <si>
    <t>MDY00991</t>
  </si>
  <si>
    <t>15-Jan-19: Okay for upgrdation as MPT is already on-air from 28-Feb-17.</t>
  </si>
  <si>
    <t xml:space="preserve">Existing on tower (Assume ) - TML 7.70 EPA / OML 21.17 EPA  / MPT 6.63 EPA /Mytel Colo apps 4.074 EPA   -  Add MW and ODU </t>
  </si>
  <si>
    <t>Existing Tower: OML+TML+MYTEL+KSGM(OLD+NEW) = 66.4%</t>
  </si>
  <si>
    <t>1-01-05005-001</t>
  </si>
  <si>
    <t>SGG00218</t>
  </si>
  <si>
    <t>Existing on tower (Actual) - OML with 8.34 sqm / MPT - 5.86 / TML - 4.50 Sqm /add MW and Odu</t>
  </si>
  <si>
    <t>EXISTING TOWER(OML+TML+KSGM(OLD+NEW)): 104 %
EXISTING TOWER(OML+TML+KSGM(OLD)):100.9%</t>
  </si>
  <si>
    <t xml:space="preserve">DG EOL swap </t>
  </si>
  <si>
    <t>ANSG_0498</t>
  </si>
  <si>
    <t>SGG00255</t>
  </si>
  <si>
    <t>15-Jan-19: Okay for upgrdation as MPT is already on-air from 25-Feb-16.</t>
  </si>
  <si>
    <t xml:space="preserve">Existing on tower (Assume ) - TML 3.84 EPA / OML 13.18 EPA  / MPT 6.27 EPA  -  Change height within reserved area </t>
  </si>
  <si>
    <t>Strengthened Tower: OML+TML+MYTEL+KSGM(OLD+NEW) = 87.2% (Strengthening and Retrofitting are not completed 100% yet. However, it was considered in this analysis by following the design.)
% strengthening done 80%
% Retrofitting  done 70%</t>
  </si>
  <si>
    <t>1-01-05027-001</t>
  </si>
  <si>
    <t>SGG00562</t>
  </si>
  <si>
    <t>As per conversation with LL, site access ok to proceed.</t>
  </si>
  <si>
    <t xml:space="preserve">Existing on tower (Actual) - OML with 10.81 sqm / MPT - 2.50 sqm / TML - 3.37 Sqm / Change MW height </t>
  </si>
  <si>
    <t>EXISTING TOWER(OP1+OP4+OP3(OLD+NEW)): 72.2  %
EXISTING TOWER(OP1+OP4+OP3(OLD)):  72.2 %</t>
  </si>
  <si>
    <t>SHN00207</t>
  </si>
  <si>
    <t>15-Jan-19: Okay for upgrdation as MPT is already on-air from 26-Feb-16.</t>
  </si>
  <si>
    <t xml:space="preserve">Existing on tower (Assume ) - TML 3.93 EPA / MPT 3.74 EPA -Add RRU </t>
  </si>
  <si>
    <t>Existing Tower:TML+KSGM(OLD+NEW) = 63.8%</t>
  </si>
  <si>
    <t>Relocation</t>
  </si>
  <si>
    <t xml:space="preserve">Existing on tower (Actual) - OML with 11.02 sqm / MPT - 4.44 sqm / TML - 2.97 Sqm / Increase RF dimension and Decrease MW dimesion </t>
  </si>
  <si>
    <t>EXISTING TOWER(OML+TML+KSGM(OLD+NEW)):  103.2%
EXISTING TOWER(OML+TML+KSGM(OLD)):  99%</t>
  </si>
  <si>
    <t xml:space="preserve">Existing on tower (Actual) - OML with 7.72 sqm / MPT - 4.16 sqm / TML - 4.04 Sqm / Add 1 RRU </t>
  </si>
  <si>
    <t>EXISTING TOWER(OP1+OP4+OP3(OLD+NEW)): 99.4  %
EXISTING TOWER(OP1+OP4+OP3(OLD)):   99.4 %</t>
  </si>
  <si>
    <t>1-01-05007-010</t>
  </si>
  <si>
    <t>SGG00223</t>
  </si>
  <si>
    <t xml:space="preserve">Existing on tower (Actual) - OML with 9.47 sqm / MPT - 3.04 sqm / TML - 3.87 Sqm / Decrease MW dimesion and add RRU </t>
  </si>
  <si>
    <t>EXISTING TOWER(OP1+OP4+OP3(OLD+NEW)): 96.9  %
EXISTING TOWER(OP1+OP4+OP3(OLD)):  95.8  %</t>
  </si>
  <si>
    <t>1-01-11002-003</t>
  </si>
  <si>
    <t>MON00623</t>
  </si>
  <si>
    <t xml:space="preserve">Existing on tower (Actual) - OML with 9.75 sqm / MPT - 4.43 sqm / New Colocation </t>
  </si>
  <si>
    <t>WIND ZONE CHANGE:
Strengthened Tower(OML+MYTEL+KSGM(NEW)):  93.7  % (old wind zone 130 kPH)
Strengthened  Tower(OML+MYTEL+KSGM(NEW)): 138.4 % (new wind zone 160 kPH)
Estimated Strengthening(Tower steel weight: 3141.647kg ,Foundation Conc; weight 5.1m3 )</t>
  </si>
  <si>
    <t>1-01-06005-005</t>
  </si>
  <si>
    <t>TN0624</t>
  </si>
  <si>
    <t xml:space="preserve"> For VSAT ground space </t>
  </si>
  <si>
    <t>Commercial team to advise if VSAT foundation to be constructed by PAT or TML team .</t>
  </si>
  <si>
    <t>1-01-14007-015</t>
  </si>
  <si>
    <t>KCN00508</t>
  </si>
  <si>
    <t>Multisector</t>
  </si>
  <si>
    <t>41.5-46.5</t>
  </si>
  <si>
    <t>59-60</t>
  </si>
  <si>
    <t xml:space="preserve">Existing on tower (Actual) - OML with 9.01 sqm , MPT actual 4.93 sqm / Latest Colo Apps - 5.07 sqm / TML - 3.94 sqm - Increase 1 RF dimension , add RRU and change leg on MW </t>
  </si>
  <si>
    <t>Strengthened Tower(OML+TML+KSGM(OLD+NEW)): 93.36 %
Strengthened Tower(OML+TML+KSGM(OLD)): 93.22 %</t>
  </si>
  <si>
    <t>Existing on tower (Actual) - OML with 9.75 sqm , TML - 3.56 Sqm   -New Colocation</t>
  </si>
  <si>
    <t>EXISTING TOWER(OML+TML+KSGM(NEW)): 67.3%</t>
  </si>
  <si>
    <t>Rental increase of 100k/month was granted which took effect last 16-Dec-18 (400k-500k)</t>
  </si>
  <si>
    <t>Existing on tower (Actual) - OML with 6.41 sqm , MPT - 5.10 Sqm / Increase RF dimension and add RRU and ODU</t>
  </si>
  <si>
    <t>EXISTING TOWER(OML+KSGM(OLD+NEW)): 57.2 %
EXISTING TOWER(OML+KSGM(OLD)):59.4 %</t>
  </si>
  <si>
    <t>Existing on tower (Actual) - OML with 7.56 sqm , MPT - 3.92 Sqm , TML - 2.84 sqm / Increase RF dimension and add RRU and ODU</t>
  </si>
  <si>
    <t>Existing Tower: OML+TML+KSGM(OLD+NEW) = 99.5%
Existing Tower: OML+TML+KSGM(OLD) = 98.0%</t>
  </si>
  <si>
    <t xml:space="preserve">Review PE system capacity after actual site load confirmed </t>
  </si>
  <si>
    <t>1-01-05004-001</t>
  </si>
  <si>
    <t>SGG00208</t>
  </si>
  <si>
    <t xml:space="preserve">Existing on tower (Actual) - OML with 11.73 sqm , MPT - 4.16 Sqm , TML - 3.79 sqm -Change MW height ( 0.5m difference ) - add ODU </t>
  </si>
  <si>
    <t>EXISTING TOWER(OML+TML+KSGM(OLD+NEW)): 103.2 %
EXISTING TOWER(OML+TML+KSGM(OLD)):103.3%</t>
  </si>
  <si>
    <t xml:space="preserve">DG SOH to be confirmed </t>
  </si>
  <si>
    <t>Total EPA is 5.74+5 =10.74 &lt; 18 EPA Design - OK (Preliminaly Tower Assessment)</t>
  </si>
  <si>
    <t>EXISTING TOWER(OML+TML+KSGM(OLD+NEW)): 104.8 %
EXISTING TOWER(OML+TML+KSGM(OLD)):    104.8 %</t>
  </si>
  <si>
    <t>EXISTING TOWER(OML+TML+KSGM(OLD+NEW)): 100.9 %
EXISTING TOWER(OML+TML+KSGM(OLD)):97.7%</t>
  </si>
  <si>
    <t>Strengthened Tower(OP1+OP3(OLD+NEW)): 95.1 %
Strengthened Tower(OP1+OP3(OLD)): 95.1 %</t>
  </si>
  <si>
    <t>Existing Tower: OML+TML+KSGM (OLD+NEW) = 56.8%</t>
  </si>
  <si>
    <t>Rental increase of 50k/month was granted which took effect last 29-Nov-18 (250k-300k)</t>
  </si>
  <si>
    <t>New PE system I&amp;C in planning part of 41 site list</t>
  </si>
  <si>
    <t>EXISTING TOWER(OML+TML+KSGM(OLD+NEW)): 97.96 %
EXISTING TOWER(OML+TML+KSGM(OLD)):93.4 %</t>
  </si>
  <si>
    <t>New PE system I&amp;C in planning  part of 41 site list</t>
  </si>
  <si>
    <t>EXISTING TOWER(OML+TML+KSGM(OLD+NEW)): 99.7 %
EXISTING TOWER(OML+TML+KSGM(OLD)): 95.8  %</t>
  </si>
  <si>
    <t>15-Feb-19</t>
  </si>
  <si>
    <t>PE capacity upgrade required confrim available stock</t>
  </si>
  <si>
    <t>Strengthened Tower: OML+MYTEL+KSGM (OLD+NEW) = 120.6% (Estimate modification weight = 140 kg)
Strengthened Tower: OML+MYTEL+KSGM (OLD) = 120.6%
Additional 2x0.9MWs (UE) and KSGM will change bigger antennas and add feedlines</t>
  </si>
  <si>
    <t>DG cap expan</t>
  </si>
  <si>
    <t>PE systems upgrade required</t>
  </si>
  <si>
    <t>As above site ID duplicated</t>
  </si>
  <si>
    <t>2019-01-31</t>
  </si>
  <si>
    <t>Confirm site ID</t>
  </si>
  <si>
    <t xml:space="preserve">PE systems upgrade required - BB DG </t>
  </si>
  <si>
    <t>2-3 weeks</t>
  </si>
  <si>
    <t xml:space="preserve">Add rect modules </t>
  </si>
  <si>
    <t xml:space="preserve">10 hrs NS monitor BB  </t>
  </si>
  <si>
    <t>Confirm site load and PE condition no data available</t>
  </si>
  <si>
    <t>Add rectifier modules confirm DG SOH - DG NS</t>
  </si>
  <si>
    <t>DG SOH TBA</t>
  </si>
  <si>
    <t>Monitor BB performance DG 24/7 NS</t>
  </si>
  <si>
    <t xml:space="preserve">ACAY_0122 with MPT Colo App rev. 3 Reject because Foundation is unstable - As discussed specific case for your evaluation// email by mark //Wednesday, 9 January 2019 </t>
  </si>
  <si>
    <t>Monitor DG cap increase maybe required DG SOH TBA</t>
  </si>
  <si>
    <t>Tower Strengthening</t>
  </si>
  <si>
    <t>Foundation Retrofit</t>
  </si>
  <si>
    <t>ANPT00018</t>
  </si>
  <si>
    <t>NPT00540</t>
  </si>
  <si>
    <t>59</t>
  </si>
  <si>
    <t>PNPT00048</t>
  </si>
  <si>
    <t>NPT00548</t>
  </si>
  <si>
    <t>ASHN00025</t>
  </si>
  <si>
    <t>SHS00969</t>
  </si>
  <si>
    <t>PMON00045</t>
  </si>
  <si>
    <t>MON00569</t>
  </si>
  <si>
    <t>No Strengthening</t>
  </si>
  <si>
    <t>No Retrofit</t>
  </si>
  <si>
    <t>EXISTING TOWER(OML+TML+KSGM(OLD+NEW)): 104.8  %
EXISTING TOWER(OML+TML+KSGM(OLD)):    104.8 %</t>
  </si>
  <si>
    <t>Strengthened Tower(OML+MYTEL+MPT(OLD+NEW)): 104.9 %
Strengthened Tower(OML+MYTEL+MPT(OLD)): 105.1%</t>
  </si>
  <si>
    <t>Strengthened Tower(OML+OP2+KSGM(OLD+NEW)): 89.7 %
Strengthened Tower(OML+OP2+KSGM(OLD)): 89.7 %</t>
  </si>
  <si>
    <t xml:space="preserve">Existing on tower (Actual) - OML with 10.64 sqm/ MPT-2.69Sqm/ Previous Colo Apps - 3.88 Sqm / TML - 3.51 Sqm  - Add 1 RRU </t>
  </si>
  <si>
    <t>EXISTING TOWER(OML+TML+KSGM(OLD+NEW)): 101.1%
EXISTING TOWER(OML+TML+KSGM(OLD)): 100.9 %</t>
  </si>
  <si>
    <t xml:space="preserve">Existing on tower (Actual) - OML with 7.45 sqm/ MPT-6.47 Sqm/ Add 1 RRU </t>
  </si>
  <si>
    <t>Existing Tower: OML+KSGM (OLD+NEW) = 96.1%
Existing Tower: OML+KSGM (OLD) = 97.2%</t>
  </si>
  <si>
    <t>Existing Tower: KSGM (NEW) = 56.7%</t>
  </si>
  <si>
    <t>Existing on tower (Actual) - OML with 8.79 sqm/ MPT- 4.58 Sqm/TML with 3.44 sqm /  Add RRU and ODU</t>
  </si>
  <si>
    <t>OK with Flag</t>
  </si>
  <si>
    <t>Strengthening Later</t>
  </si>
  <si>
    <t>WIND ZONE CHANGE:
Existing Tower: OML+TML+KSGM (OLD+NEW) = 115.0% (new wind zone 160 kPH) (Estimate steel modification weight = 700 kg)
Existing Tower: OML+TML+KSGM (OLD+NEW) = 74.8% (old wind zone 130 kPH)</t>
  </si>
  <si>
    <t>Existing on tower (Actual) - OML with 10.10 sqm/ MPT- 3.56 Sqm/TML with 5.40 sqm /  Add RRU and ODU</t>
  </si>
  <si>
    <t xml:space="preserve">Existing on tower (Actual) - OML with 8.04 sqm/ MPT- 2.39 Sqm/TML with 3.30 sqm /  Add 2 MW ( 0.6 ) , Add ODu and RRU </t>
  </si>
  <si>
    <t>Existing on tower (Actual) - OML with 6.88 sqm/ MPTactual - 2.97 / previous colo apps -  3.72 Sqm - Add RRU</t>
  </si>
  <si>
    <t>Existing on tower (Actual ) - OML with 8.29 sqm / MPTactual - 3.56 sqm / TML - 3.30 sqm - Add 1 RRU</t>
  </si>
  <si>
    <t>Existing Tower: TML+KSGM (OLD+NEW) = 46.7%</t>
  </si>
  <si>
    <t>22-Jan-2019, structural approved as per Rudy and Steve.</t>
  </si>
  <si>
    <t>Strengthening First</t>
  </si>
  <si>
    <t>ASHN00023</t>
  </si>
  <si>
    <t>SHN00997</t>
  </si>
  <si>
    <t>1-01-09016-007</t>
  </si>
  <si>
    <t>MG0458</t>
  </si>
  <si>
    <t>Existing on tower (Actual) - OML with 9.47 sqm/ TML - 5.77 sqm / add new MW and ODU</t>
  </si>
  <si>
    <t>Existing Tower: OML+TML(OLD+NEW) = 98.4%
Existing Tower: OML+TML(OLD) = 96.8%</t>
  </si>
  <si>
    <t>Rollout</t>
  </si>
  <si>
    <t>EXISTING TOWER (KSGM(NEW)):  75.74%</t>
  </si>
  <si>
    <t>EXISTING TOWER (KSGM(NEW)):  56.8 %</t>
  </si>
  <si>
    <t>EXISTING TOWER (KSGM(NEW)):  48.38 %</t>
  </si>
  <si>
    <t>EXISTING TOWER (KSGM(NEW)):  71.3%</t>
  </si>
  <si>
    <t>05-Mar-19</t>
  </si>
  <si>
    <t xml:space="preserve">DG upgrade Add rect modules check breaker configuration </t>
  </si>
  <si>
    <t>EXISTING TOWER(OML+TML+KSGM(OLD+NEW)): 99.51  %
EXISTING TOWER(OML+TML+KSGM(OLD)):  99.34 %</t>
  </si>
  <si>
    <t>Existing Tower: OML+TML+KSGM (OLD+NEW) = 96.9%
Existing Tower: OML+TML+KSGM (OLD) = 90.9%</t>
  </si>
  <si>
    <t>Strengthened Tower(OML+TML+KSGM(OLD+NEW)): 78.35 %
Strengthened Tower(OML+TML+KSGM(OLD)):73.76 %</t>
  </si>
  <si>
    <t>EXISTING TOWER(OML+KSGM(OLD+NEW)):  70.06 %
EXISTING TOWER(OML+KSGM(OLD)): 70.02   %</t>
  </si>
  <si>
    <t>Existing Tower: KSGM (NEW) = 98.3%</t>
  </si>
  <si>
    <t>Existing Tower: OML+TML+KSGM (OLD+NEW) = 102.9%
Existing Tower: OML+TML+KSGM (OLD) = 102.9%</t>
  </si>
  <si>
    <t>Structuraling required RFI FC, 30 Apr 2019</t>
  </si>
  <si>
    <t>Existing Tower: KSGM (NEW) = 100.5%</t>
  </si>
  <si>
    <t>Date</t>
  </si>
  <si>
    <t>Colocation Request</t>
  </si>
  <si>
    <t>Tenant ID</t>
  </si>
  <si>
    <t>Rev</t>
  </si>
  <si>
    <t>Lower Space</t>
  </si>
  <si>
    <t>Average Power</t>
  </si>
  <si>
    <t>kW</t>
  </si>
  <si>
    <t>Upper Space</t>
  </si>
  <si>
    <t>Peak Power</t>
  </si>
  <si>
    <t>Field</t>
  </si>
  <si>
    <t>Colo Prevalidation - Handover Notice</t>
  </si>
  <si>
    <t>CAR</t>
  </si>
  <si>
    <t>Lookup</t>
  </si>
  <si>
    <t>Result</t>
  </si>
  <si>
    <t>Community Validation</t>
  </si>
  <si>
    <t>Tower Space Validation</t>
  </si>
  <si>
    <t>Structural Validation</t>
  </si>
  <si>
    <t>Power Validation</t>
  </si>
  <si>
    <t>Ground Space Validation</t>
  </si>
  <si>
    <t>Account Manager Review</t>
  </si>
  <si>
    <t>Planned RFI</t>
  </si>
  <si>
    <t>Commercial Manager Signature</t>
  </si>
  <si>
    <t>ARKH00020</t>
  </si>
  <si>
    <t>RKE01056</t>
  </si>
  <si>
    <t>EXISTING TOWER (KSGM(NEW)):  78.4 %</t>
  </si>
  <si>
    <t>PYGN00062</t>
  </si>
  <si>
    <t>YGN03417</t>
  </si>
  <si>
    <t>EXISTING TOWER (KSGM(NEW)):  68.49 %</t>
  </si>
  <si>
    <t>PYGN00063</t>
  </si>
  <si>
    <t>YGN03457</t>
  </si>
  <si>
    <t>EXISTING TOWER (KSGM(NEW)):  68.06 %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</si>
</sst>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#\ &quot;m&quot;"/>
    <numFmt numFmtId="301" formatCode="0.0#\ &quot;kW&quot;"/>
    <numFmt numFmtId="302" formatCode="0\ &quot;Days&quot;"/>
    <numFmt numFmtId="303" formatCode="[$-F400]h:mm:ss\ AM/PM"/>
    <numFmt numFmtId="304" formatCode="&quot;CAR&quot;0000"/>
    <numFmt numFmtId="305" formatCode="0.0#\ &quot;kph&quot;"/>
    <numFmt numFmtId="306" formatCode="yyyy/mm/dd;@"/>
    <numFmt numFmtId="307" formatCode="0\ &quot;m&quot;"/>
    <numFmt numFmtId="308" formatCode="0\ &quot;kW&quot;"/>
  </numFmts>
  <fonts count="2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8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9" fillId="0" borderId="0" applyNumberFormat="0" applyFill="0" applyBorder="0" applyAlignment="0" applyProtection="0"/>
  </cellStyleXfs>
  <cellXfs count="330">
    <xf numFmtId="164" fontId="0" fillId="0" borderId="0" xfId="0"/>
    <xf numFmtId="0" fontId="0" fillId="0" borderId="0" xfId="0" applyNumberFormat="1"/>
    <xf numFmtId="164" fontId="0" fillId="0" borderId="0" xfId="0" applyFill="1" applyAlignment="1" applyProtection="1">
      <protection locked="0"/>
    </xf>
    <xf numFmtId="164" fontId="0" fillId="0" borderId="0" xfId="0" applyAlignment="1" applyProtection="1">
      <protection locked="0"/>
    </xf>
    <xf numFmtId="164" fontId="0" fillId="0" borderId="0" xfId="0" applyFill="1" applyBorder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 applyProtection="1">
      <protection locked="0"/>
    </xf>
    <xf numFmtId="0" fontId="255" fillId="0" borderId="44" xfId="0" applyNumberFormat="1" applyFont="1" applyFill="1" applyBorder="1" applyAlignment="1" applyProtection="1"/>
    <xf numFmtId="164" fontId="254" fillId="0" borderId="71" xfId="0" applyFont="1" applyFill="1" applyBorder="1" applyAlignment="1" applyProtection="1"/>
    <xf numFmtId="164" fontId="254" fillId="89" borderId="0" xfId="0" applyFont="1" applyFill="1" applyBorder="1" applyAlignment="1" applyProtection="1"/>
    <xf numFmtId="14" fontId="254" fillId="89" borderId="71" xfId="0" applyNumberFormat="1" applyFont="1" applyFill="1" applyBorder="1" applyAlignment="1" applyProtection="1"/>
    <xf numFmtId="0" fontId="254" fillId="89" borderId="71" xfId="0" applyNumberFormat="1" applyFont="1" applyFill="1" applyBorder="1" applyAlignment="1" applyProtection="1"/>
    <xf numFmtId="0" fontId="254" fillId="89" borderId="72" xfId="0" applyNumberFormat="1" applyFont="1" applyFill="1" applyBorder="1" applyAlignment="1" applyProtection="1"/>
    <xf numFmtId="164" fontId="254" fillId="89" borderId="71" xfId="0" applyFont="1" applyFill="1" applyBorder="1" applyAlignment="1" applyProtection="1"/>
    <xf numFmtId="0" fontId="254" fillId="89" borderId="0" xfId="0" applyNumberFormat="1" applyFont="1" applyFill="1" applyBorder="1" applyAlignment="1" applyProtection="1">
      <alignment horizontal="center"/>
    </xf>
    <xf numFmtId="164" fontId="254" fillId="89" borderId="0" xfId="0" applyFont="1" applyFill="1" applyAlignment="1" applyProtection="1"/>
    <xf numFmtId="0" fontId="255" fillId="89" borderId="44" xfId="0" applyNumberFormat="1" applyFont="1" applyFill="1" applyBorder="1" applyAlignment="1" applyProtection="1"/>
    <xf numFmtId="14" fontId="254" fillId="89" borderId="0" xfId="0" applyNumberFormat="1" applyFont="1" applyFill="1" applyBorder="1" applyAlignment="1" applyProtection="1"/>
    <xf numFmtId="0" fontId="254" fillId="89" borderId="0" xfId="0" applyNumberFormat="1" applyFont="1" applyFill="1" applyBorder="1" applyAlignment="1" applyProtection="1"/>
    <xf numFmtId="0" fontId="0" fillId="0" borderId="70" xfId="0" applyNumberFormat="1" applyFill="1" applyBorder="1" applyAlignment="1" applyProtection="1"/>
    <xf numFmtId="164" fontId="254" fillId="0" borderId="73" xfId="0" applyFont="1" applyFill="1" applyBorder="1" applyAlignment="1" applyProtection="1"/>
    <xf numFmtId="164" fontId="0" fillId="0" borderId="74" xfId="0" applyFill="1" applyBorder="1" applyAlignment="1" applyProtection="1"/>
    <xf numFmtId="0" fontId="254" fillId="0" borderId="70" xfId="0" applyNumberFormat="1" applyFont="1" applyFill="1" applyBorder="1" applyAlignment="1" applyProtection="1"/>
    <xf numFmtId="0" fontId="254" fillId="89" borderId="0" xfId="0" applyNumberFormat="1" applyFont="1" applyFill="1" applyAlignment="1" applyProtection="1"/>
    <xf numFmtId="0" fontId="255" fillId="89" borderId="50" xfId="0" applyNumberFormat="1" applyFont="1" applyFill="1" applyBorder="1" applyAlignment="1" applyProtection="1"/>
    <xf numFmtId="164" fontId="0" fillId="89" borderId="0" xfId="0" applyFill="1" applyAlignment="1" applyProtection="1"/>
    <xf numFmtId="14" fontId="0" fillId="89" borderId="0" xfId="0" applyNumberFormat="1" applyFill="1" applyAlignment="1" applyProtection="1"/>
    <xf numFmtId="0" fontId="0" fillId="89" borderId="0" xfId="0" applyNumberFormat="1" applyFill="1" applyAlignment="1" applyProtection="1"/>
    <xf numFmtId="164" fontId="0" fillId="89" borderId="0" xfId="0" applyFill="1" applyBorder="1" applyAlignment="1" applyProtection="1"/>
    <xf numFmtId="0" fontId="0" fillId="89" borderId="0" xfId="0" applyNumberFormat="1" applyFill="1" applyBorder="1" applyAlignment="1" applyProtection="1">
      <alignment horizontal="center"/>
    </xf>
    <xf numFmtId="0" fontId="254" fillId="87" borderId="0" xfId="0" applyNumberFormat="1" applyFont="1" applyFill="1" applyBorder="1" applyAlignment="1" applyProtection="1"/>
    <xf numFmtId="164" fontId="0" fillId="89" borderId="0" xfId="0" applyNumberFormat="1" applyFill="1" applyAlignment="1" applyProtection="1"/>
    <xf numFmtId="0" fontId="198" fillId="89" borderId="0" xfId="0" applyNumberFormat="1" applyFont="1" applyFill="1" applyAlignment="1" applyProtection="1"/>
    <xf numFmtId="0" fontId="0" fillId="87" borderId="0" xfId="0" applyNumberFormat="1" applyFill="1" applyAlignment="1" applyProtection="1"/>
    <xf numFmtId="0" fontId="0" fillId="89" borderId="0" xfId="0" applyNumberFormat="1" applyFill="1" applyBorder="1" applyAlignment="1" applyProtection="1"/>
    <xf numFmtId="0" fontId="254" fillId="0" borderId="74" xfId="0" applyNumberFormat="1" applyFont="1" applyFill="1" applyBorder="1" applyAlignment="1" applyProtection="1"/>
    <xf numFmtId="164" fontId="255" fillId="0" borderId="74" xfId="0" applyFont="1" applyFill="1" applyBorder="1" applyAlignment="1" applyProtection="1"/>
    <xf numFmtId="164" fontId="254" fillId="0" borderId="74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4" fontId="0" fillId="0" borderId="0" xfId="0" applyNumberFormat="1" applyFill="1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0" fontId="254" fillId="88" borderId="13" xfId="0" applyNumberFormat="1" applyFont="1" applyFill="1" applyBorder="1" applyAlignment="1" applyProtection="1">
      <alignment horizontal="center" vertical="center" wrapText="1"/>
    </xf>
    <xf numFmtId="164" fontId="254" fillId="90" borderId="0" xfId="0" applyFont="1" applyFill="1" applyBorder="1" applyAlignment="1" applyProtection="1"/>
    <xf numFmtId="0" fontId="254" fillId="90" borderId="0" xfId="0" applyNumberFormat="1" applyFont="1" applyFill="1" applyBorder="1" applyAlignment="1" applyProtection="1"/>
    <xf numFmtId="164" fontId="0" fillId="90" borderId="0" xfId="0" applyFill="1" applyBorder="1" applyAlignment="1" applyProtection="1"/>
    <xf numFmtId="0" fontId="0" fillId="90" borderId="0" xfId="0" applyNumberFormat="1" applyFill="1" applyBorder="1" applyAlignment="1" applyProtection="1"/>
    <xf numFmtId="0" fontId="0" fillId="90" borderId="0" xfId="0" applyNumberFormat="1" applyFill="1" applyAlignment="1" applyProtection="1"/>
    <xf numFmtId="164" fontId="0" fillId="90" borderId="0" xfId="0" applyFill="1" applyAlignment="1" applyProtection="1"/>
    <xf numFmtId="0" fontId="258" fillId="90" borderId="0" xfId="0" applyNumberFormat="1" applyFont="1" applyFill="1" applyAlignment="1" applyProtection="1">
      <alignment horizontal="center" vertical="center"/>
    </xf>
    <xf numFmtId="0" fontId="254" fillId="90" borderId="13" xfId="0" applyNumberFormat="1" applyFont="1" applyFill="1" applyBorder="1" applyAlignment="1" applyProtection="1">
      <alignment horizontal="center" vertical="center" wrapText="1"/>
    </xf>
    <xf numFmtId="164" fontId="254" fillId="90" borderId="13" xfId="0" applyFont="1" applyFill="1" applyBorder="1" applyAlignment="1" applyProtection="1">
      <alignment horizontal="center" vertical="center" wrapText="1"/>
    </xf>
    <xf numFmtId="164" fontId="0" fillId="90" borderId="0" xfId="0" applyFill="1" applyAlignment="1" applyProtection="1">
      <protection locked="0"/>
    </xf>
    <xf numFmtId="0" fontId="0" fillId="90" borderId="0" xfId="0" applyNumberFormat="1" applyFill="1" applyAlignment="1" applyProtection="1">
      <protection locked="0"/>
    </xf>
    <xf numFmtId="0" fontId="0" fillId="101" borderId="74" xfId="0" applyNumberFormat="1" applyFill="1" applyBorder="1"/>
    <xf numFmtId="14" fontId="0" fillId="101" borderId="74" xfId="0" applyNumberFormat="1" applyFill="1" applyBorder="1"/>
    <xf numFmtId="164" fontId="0" fillId="101" borderId="74" xfId="0" applyFill="1" applyBorder="1"/>
    <xf numFmtId="164" fontId="254" fillId="0" borderId="0" xfId="0" applyFont="1" applyFill="1" applyBorder="1" applyAlignment="1" applyProtection="1"/>
    <xf numFmtId="164" fontId="254" fillId="102" borderId="13" xfId="0" applyFont="1" applyFill="1" applyBorder="1" applyAlignment="1" applyProtection="1">
      <alignment horizontal="center" vertical="center" wrapText="1"/>
    </xf>
    <xf numFmtId="164" fontId="254" fillId="103" borderId="13" xfId="0" applyFont="1" applyFill="1" applyBorder="1" applyAlignment="1" applyProtection="1">
      <alignment horizontal="center" vertical="center" wrapText="1"/>
    </xf>
    <xf numFmtId="164" fontId="254" fillId="104" borderId="13" xfId="0" applyFont="1" applyFill="1" applyBorder="1" applyAlignment="1" applyProtection="1">
      <alignment horizontal="center" vertical="center" wrapText="1"/>
    </xf>
    <xf numFmtId="164" fontId="254" fillId="92" borderId="13" xfId="0" applyFont="1" applyFill="1" applyBorder="1" applyAlignment="1" applyProtection="1">
      <alignment horizontal="center" vertical="center" wrapText="1"/>
    </xf>
    <xf numFmtId="164" fontId="254" fillId="91" borderId="13" xfId="0" applyFont="1" applyFill="1" applyBorder="1" applyAlignment="1" applyProtection="1">
      <alignment horizontal="center" vertical="center" wrapText="1"/>
    </xf>
    <xf numFmtId="164" fontId="254" fillId="88" borderId="13" xfId="0" applyFont="1" applyFill="1" applyBorder="1" applyAlignment="1" applyProtection="1">
      <alignment horizontal="center" vertical="center" wrapText="1"/>
    </xf>
    <xf numFmtId="14" fontId="0" fillId="106" borderId="0" xfId="0" applyNumberFormat="1" applyFill="1" applyAlignment="1" applyProtection="1"/>
    <xf numFmtId="0" fontId="0" fillId="106" borderId="0" xfId="0" applyNumberFormat="1" applyFill="1" applyAlignment="1" applyProtection="1"/>
    <xf numFmtId="164" fontId="0" fillId="106" borderId="0" xfId="0" applyFill="1" applyAlignment="1" applyProtection="1"/>
    <xf numFmtId="0" fontId="0" fillId="107" borderId="0" xfId="0" applyNumberFormat="1" applyFill="1" applyAlignment="1" applyProtection="1"/>
    <xf numFmtId="164" fontId="0" fillId="0" borderId="75" xfId="0" applyFill="1" applyBorder="1" applyAlignment="1" applyProtection="1"/>
    <xf numFmtId="0" fontId="254" fillId="0" borderId="75" xfId="0" applyNumberFormat="1" applyFont="1" applyFill="1" applyBorder="1" applyAlignment="1" applyProtection="1"/>
    <xf numFmtId="164" fontId="254" fillId="0" borderId="75" xfId="0" applyFont="1" applyFill="1" applyBorder="1" applyAlignment="1" applyProtection="1"/>
    <xf numFmtId="164" fontId="198" fillId="0" borderId="0" xfId="0" applyFont="1" applyBorder="1" applyAlignment="1" applyProtection="1">
      <alignment horizontal="left"/>
    </xf>
    <xf numFmtId="164" fontId="0" fillId="0" borderId="0" xfId="0" applyFont="1" applyBorder="1" applyAlignment="1" applyProtection="1">
      <alignment horizontal="center"/>
    </xf>
    <xf numFmtId="303" fontId="0" fillId="0" borderId="0" xfId="0" applyNumberFormat="1" applyBorder="1" applyAlignment="1" applyProtection="1">
      <alignment horizontal="center"/>
    </xf>
    <xf numFmtId="164" fontId="254" fillId="89" borderId="76" xfId="0" applyFont="1" applyFill="1" applyBorder="1" applyAlignment="1" applyProtection="1">
      <alignment horizontal="center" vertical="center" wrapText="1"/>
    </xf>
    <xf numFmtId="164" fontId="254" fillId="89" borderId="13" xfId="0" applyFont="1" applyFill="1" applyBorder="1" applyAlignment="1" applyProtection="1">
      <alignment horizontal="center" vertical="center" wrapText="1"/>
    </xf>
    <xf numFmtId="164" fontId="254" fillId="99" borderId="13" xfId="0" applyFont="1" applyFill="1" applyBorder="1" applyAlignment="1" applyProtection="1">
      <alignment horizontal="center" vertical="center" wrapText="1"/>
    </xf>
    <xf numFmtId="164" fontId="254" fillId="100" borderId="13" xfId="0" applyFont="1" applyFill="1" applyBorder="1" applyAlignment="1" applyProtection="1">
      <alignment horizontal="center" vertical="center" wrapText="1"/>
    </xf>
    <xf numFmtId="164" fontId="257" fillId="93" borderId="13" xfId="0" applyFont="1" applyFill="1" applyBorder="1" applyAlignment="1" applyProtection="1">
      <alignment horizontal="left" vertical="center" textRotation="90" wrapText="1"/>
    </xf>
    <xf numFmtId="164" fontId="254" fillId="93" borderId="13" xfId="0" applyFont="1" applyFill="1" applyBorder="1" applyAlignment="1" applyProtection="1">
      <alignment horizontal="center" vertical="center" wrapText="1"/>
    </xf>
    <xf numFmtId="164" fontId="257" fillId="94" borderId="13" xfId="0" applyFont="1" applyFill="1" applyBorder="1" applyAlignment="1" applyProtection="1">
      <alignment horizontal="left" vertical="center" textRotation="90" wrapText="1"/>
    </xf>
    <xf numFmtId="164" fontId="254" fillId="94" borderId="13" xfId="0" applyFont="1" applyFill="1" applyBorder="1" applyAlignment="1" applyProtection="1">
      <alignment horizontal="center" vertical="center" wrapText="1"/>
    </xf>
    <xf numFmtId="164" fontId="257" fillId="95" borderId="13" xfId="0" applyFont="1" applyFill="1" applyBorder="1" applyAlignment="1" applyProtection="1">
      <alignment horizontal="left" vertical="center" textRotation="90" wrapText="1"/>
    </xf>
    <xf numFmtId="164" fontId="254" fillId="95" borderId="13" xfId="0" applyFont="1" applyFill="1" applyBorder="1" applyAlignment="1" applyProtection="1">
      <alignment horizontal="center" vertical="center" wrapText="1"/>
    </xf>
    <xf numFmtId="164" fontId="257" fillId="96" borderId="13" xfId="0" applyFont="1" applyFill="1" applyBorder="1" applyAlignment="1" applyProtection="1">
      <alignment horizontal="left" vertical="center" textRotation="90" wrapText="1"/>
    </xf>
    <xf numFmtId="164" fontId="254" fillId="96" borderId="13" xfId="0" applyFont="1" applyFill="1" applyBorder="1" applyAlignment="1" applyProtection="1">
      <alignment horizontal="center" vertical="center" wrapText="1"/>
    </xf>
    <xf numFmtId="164" fontId="257" fillId="97" borderId="13" xfId="0" applyFont="1" applyFill="1" applyBorder="1" applyAlignment="1" applyProtection="1">
      <alignment horizontal="left" vertical="center" textRotation="90" wrapText="1"/>
    </xf>
    <xf numFmtId="164" fontId="254" fillId="97" borderId="13" xfId="0" applyFont="1" applyFill="1" applyBorder="1" applyAlignment="1" applyProtection="1">
      <alignment horizontal="center" vertical="center" wrapText="1"/>
    </xf>
    <xf numFmtId="164" fontId="257" fillId="98" borderId="13" xfId="0" applyFont="1" applyFill="1" applyBorder="1" applyAlignment="1" applyProtection="1">
      <alignment horizontal="left" vertical="center" textRotation="90" wrapText="1"/>
    </xf>
    <xf numFmtId="164" fontId="254" fillId="98" borderId="13" xfId="0" applyFont="1" applyFill="1" applyBorder="1" applyAlignment="1" applyProtection="1">
      <alignment horizontal="center" vertical="center" wrapText="1"/>
    </xf>
    <xf numFmtId="303" fontId="198" fillId="0" borderId="0" xfId="0" applyNumberFormat="1" applyFont="1" applyBorder="1" applyAlignment="1" applyProtection="1">
      <alignment horizontal="center"/>
    </xf>
    <xf numFmtId="0" fontId="254" fillId="90" borderId="76" xfId="0" applyNumberFormat="1" applyFont="1" applyFill="1" applyBorder="1" applyAlignment="1" applyProtection="1">
      <alignment horizontal="center" vertical="center" wrapText="1"/>
    </xf>
    <xf numFmtId="0" fontId="254" fillId="88" borderId="75" xfId="0" applyNumberFormat="1" applyFont="1" applyFill="1" applyBorder="1" applyAlignment="1" applyProtection="1">
      <alignment horizontal="center" vertical="center" wrapText="1"/>
    </xf>
    <xf numFmtId="164" fontId="0" fillId="90" borderId="0" xfId="0" applyNumberFormat="1" applyFill="1" applyAlignment="1" applyProtection="1">
      <protection locked="0"/>
    </xf>
    <xf numFmtId="304" fontId="0" fillId="0" borderId="76" xfId="0" applyNumberFormat="1" applyBorder="1" applyAlignment="1"/>
    <xf numFmtId="164" fontId="254" fillId="105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 applyProtection="1">
      <alignment horizontal="center" vertical="center" wrapText="1"/>
    </xf>
    <xf numFmtId="164" fontId="254" fillId="88" borderId="75" xfId="0" applyFont="1" applyFill="1" applyBorder="1" applyAlignment="1">
      <alignment horizontal="center" vertical="center"/>
    </xf>
    <xf numFmtId="164" fontId="0" fillId="0" borderId="0" xfId="0" pivotButton="1"/>
    <xf numFmtId="164" fontId="0" fillId="0" borderId="0" xfId="0" applyAlignment="1">
      <alignment horizontal="left"/>
    </xf>
    <xf numFmtId="0" fontId="0" fillId="0" borderId="80" xfId="0" applyNumberFormat="1" applyBorder="1" applyAlignment="1"/>
    <xf numFmtId="14" fontId="0" fillId="0" borderId="80" xfId="0" applyNumberFormat="1" applyBorder="1" applyAlignment="1"/>
    <xf numFmtId="301" fontId="0" fillId="0" borderId="80" xfId="0" applyNumberFormat="1" applyBorder="1" applyAlignment="1"/>
    <xf numFmtId="300" fontId="0" fillId="0" borderId="80" xfId="0" applyNumberFormat="1" applyBorder="1" applyAlignment="1"/>
    <xf numFmtId="0" fontId="0" fillId="0" borderId="80" xfId="0" applyNumberFormat="1" applyBorder="1" applyAlignment="1">
      <alignment shrinkToFit="1"/>
    </xf>
    <xf numFmtId="0" fontId="0" fillId="0" borderId="82" xfId="0" applyNumberFormat="1" applyBorder="1" applyAlignment="1">
      <alignment shrinkToFit="1"/>
    </xf>
    <xf numFmtId="4" fontId="0" fillId="0" borderId="80" xfId="0" applyNumberFormat="1" applyBorder="1"/>
    <xf numFmtId="0" fontId="0" fillId="0" borderId="76" xfId="0" applyNumberFormat="1" applyBorder="1" applyAlignment="1"/>
    <xf numFmtId="164" fontId="0" fillId="0" borderId="80" xfId="0" applyBorder="1" applyAlignment="1"/>
    <xf numFmtId="14" fontId="0" fillId="0" borderId="80" xfId="0" applyNumberFormat="1" applyBorder="1" applyAlignment="1">
      <alignment shrinkToFit="1"/>
    </xf>
    <xf numFmtId="14" fontId="0" fillId="0" borderId="80" xfId="0" applyNumberFormat="1" applyBorder="1"/>
    <xf numFmtId="302" fontId="0" fillId="0" borderId="80" xfId="0" applyNumberFormat="1" applyBorder="1" applyAlignment="1" applyProtection="1">
      <alignment horizontal="center"/>
    </xf>
    <xf numFmtId="0" fontId="0" fillId="0" borderId="80" xfId="0" applyNumberFormat="1" applyBorder="1" applyAlignment="1" applyProtection="1">
      <alignment horizontal="center"/>
    </xf>
    <xf numFmtId="0" fontId="259" fillId="0" borderId="80" xfId="33834" applyNumberFormat="1" applyBorder="1" applyAlignment="1" applyProtection="1">
      <protection locked="0"/>
    </xf>
    <xf numFmtId="0" fontId="0" fillId="0" borderId="80" xfId="0" applyNumberFormat="1" applyBorder="1" applyAlignment="1" applyProtection="1">
      <protection locked="0"/>
    </xf>
    <xf numFmtId="0" fontId="0" fillId="0" borderId="0" xfId="0" applyNumberFormat="1" applyProtection="1"/>
    <xf numFmtId="0" fontId="0" fillId="90" borderId="0" xfId="0" applyNumberFormat="1" applyFill="1" applyProtection="1"/>
    <xf numFmtId="0" fontId="0" fillId="92" borderId="43" xfId="0" applyNumberFormat="1" applyFill="1" applyBorder="1" applyProtection="1"/>
    <xf numFmtId="0" fontId="198" fillId="92" borderId="43" xfId="0" applyNumberFormat="1" applyFont="1" applyFill="1" applyBorder="1" applyProtection="1"/>
    <xf numFmtId="306" fontId="198" fillId="92" borderId="43" xfId="33833" applyNumberFormat="1" applyFont="1" applyFill="1" applyBorder="1" applyAlignment="1" applyProtection="1">
      <alignment horizontal="center" vertical="center"/>
    </xf>
    <xf numFmtId="0" fontId="0" fillId="92" borderId="79" xfId="0" applyNumberFormat="1" applyFill="1" applyBorder="1" applyProtection="1"/>
    <xf numFmtId="0" fontId="0" fillId="0" borderId="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Border="1" applyProtection="1"/>
    <xf numFmtId="0" fontId="0" fillId="108" borderId="0" xfId="0" applyNumberFormat="1" applyFill="1" applyProtection="1"/>
    <xf numFmtId="0" fontId="0" fillId="89" borderId="0" xfId="0" applyNumberFormat="1" applyFill="1" applyProtection="1"/>
    <xf numFmtId="0" fontId="198" fillId="0" borderId="0" xfId="0" applyNumberFormat="1" applyFont="1" applyAlignment="1" applyProtection="1">
      <alignment horizontal="center"/>
    </xf>
    <xf numFmtId="0" fontId="198" fillId="96" borderId="20" xfId="0" applyNumberFormat="1" applyFont="1" applyFill="1" applyBorder="1" applyProtection="1"/>
    <xf numFmtId="0" fontId="198" fillId="96" borderId="48" xfId="0" applyNumberFormat="1" applyFont="1" applyFill="1" applyBorder="1" applyProtection="1"/>
    <xf numFmtId="0" fontId="198" fillId="96" borderId="50" xfId="0" applyNumberFormat="1" applyFont="1" applyFill="1" applyBorder="1" applyProtection="1"/>
    <xf numFmtId="0" fontId="0" fillId="108" borderId="20" xfId="0" applyNumberFormat="1" applyFill="1" applyBorder="1" applyProtection="1"/>
    <xf numFmtId="0" fontId="0" fillId="108" borderId="48" xfId="0" applyNumberFormat="1" applyFill="1" applyBorder="1" applyProtection="1"/>
    <xf numFmtId="0" fontId="0" fillId="108" borderId="50" xfId="0" applyNumberFormat="1" applyFill="1" applyBorder="1" applyProtection="1"/>
    <xf numFmtId="0" fontId="0" fillId="109" borderId="0" xfId="0" applyNumberFormat="1" applyFill="1" applyProtection="1"/>
    <xf numFmtId="0" fontId="0" fillId="109" borderId="48" xfId="0" applyNumberFormat="1" applyFill="1" applyBorder="1" applyProtection="1"/>
    <xf numFmtId="0" fontId="0" fillId="109" borderId="50" xfId="0" applyNumberFormat="1" applyFill="1" applyBorder="1" applyProtection="1"/>
    <xf numFmtId="0" fontId="0" fillId="104" borderId="43" xfId="0" applyNumberFormat="1" applyFill="1" applyBorder="1" applyProtection="1"/>
    <xf numFmtId="0" fontId="198" fillId="104" borderId="43" xfId="0" applyNumberFormat="1" applyFont="1" applyFill="1" applyBorder="1" applyProtection="1"/>
    <xf numFmtId="306" fontId="198" fillId="104" borderId="43" xfId="33833" applyNumberFormat="1" applyFont="1" applyFill="1" applyBorder="1" applyAlignment="1" applyProtection="1">
      <alignment horizontal="center" vertical="center"/>
    </xf>
    <xf numFmtId="0" fontId="0" fillId="104" borderId="79" xfId="0" applyNumberFormat="1" applyFill="1" applyBorder="1" applyProtection="1"/>
    <xf numFmtId="0" fontId="0" fillId="103" borderId="43" xfId="0" applyNumberFormat="1" applyFill="1" applyBorder="1" applyProtection="1"/>
    <xf numFmtId="0" fontId="198" fillId="103" borderId="43" xfId="0" applyNumberFormat="1" applyFont="1" applyFill="1" applyBorder="1" applyProtection="1"/>
    <xf numFmtId="306" fontId="198" fillId="103" borderId="43" xfId="33833" applyNumberFormat="1" applyFont="1" applyFill="1" applyBorder="1" applyAlignment="1" applyProtection="1">
      <alignment horizontal="center" vertical="center"/>
    </xf>
    <xf numFmtId="0" fontId="0" fillId="103" borderId="79" xfId="0" applyNumberFormat="1" applyFill="1" applyBorder="1" applyProtection="1"/>
    <xf numFmtId="246" fontId="260" fillId="0" borderId="50" xfId="0" applyNumberFormat="1" applyFont="1" applyBorder="1" applyAlignment="1" applyProtection="1">
      <alignment vertical="center"/>
    </xf>
    <xf numFmtId="0" fontId="198" fillId="0" borderId="0" xfId="0" applyNumberFormat="1" applyFont="1" applyFill="1" applyBorder="1" applyAlignment="1" applyProtection="1"/>
    <xf numFmtId="0" fontId="198" fillId="103" borderId="43" xfId="0" applyNumberFormat="1" applyFont="1" applyFill="1" applyBorder="1" applyAlignment="1" applyProtection="1"/>
    <xf numFmtId="14" fontId="0" fillId="103" borderId="43" xfId="0" applyNumberFormat="1" applyFill="1" applyBorder="1" applyAlignment="1" applyProtection="1"/>
    <xf numFmtId="0" fontId="198" fillId="104" borderId="43" xfId="0" applyNumberFormat="1" applyFont="1" applyFill="1" applyBorder="1" applyAlignment="1" applyProtection="1"/>
    <xf numFmtId="14" fontId="0" fillId="104" borderId="43" xfId="0" applyNumberFormat="1" applyFill="1" applyBorder="1" applyAlignment="1" applyProtection="1"/>
    <xf numFmtId="0" fontId="198" fillId="92" borderId="43" xfId="0" applyNumberFormat="1" applyFont="1" applyFill="1" applyBorder="1" applyAlignment="1" applyProtection="1"/>
    <xf numFmtId="14" fontId="0" fillId="92" borderId="43" xfId="0" applyNumberFormat="1" applyFill="1" applyBorder="1" applyAlignment="1" applyProtection="1"/>
    <xf numFmtId="307" fontId="0" fillId="0" borderId="0" xfId="0" applyNumberFormat="1" applyFill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left" vertical="center"/>
    </xf>
    <xf numFmtId="0" fontId="198" fillId="0" borderId="43" xfId="0" applyNumberFormat="1" applyFont="1" applyBorder="1" applyAlignment="1" applyProtection="1">
      <alignment vertical="center"/>
    </xf>
    <xf numFmtId="0" fontId="0" fillId="0" borderId="43" xfId="0" applyNumberFormat="1" applyBorder="1" applyProtection="1"/>
    <xf numFmtId="0" fontId="0" fillId="0" borderId="43" xfId="0" applyNumberFormat="1" applyBorder="1" applyAlignment="1" applyProtection="1">
      <alignment vertical="center"/>
    </xf>
    <xf numFmtId="0" fontId="0" fillId="0" borderId="79" xfId="0" applyNumberFormat="1" applyBorder="1" applyAlignment="1" applyProtection="1">
      <alignment vertical="center"/>
    </xf>
    <xf numFmtId="0" fontId="198" fillId="0" borderId="81" xfId="0" applyNumberFormat="1" applyFont="1" applyBorder="1" applyAlignment="1" applyProtection="1">
      <alignment horizontal="left" indent="1"/>
    </xf>
    <xf numFmtId="0" fontId="198" fillId="97" borderId="43" xfId="0" applyNumberFormat="1" applyFont="1" applyFill="1" applyBorder="1" applyAlignment="1" applyProtection="1"/>
    <xf numFmtId="0" fontId="0" fillId="97" borderId="43" xfId="0" applyNumberFormat="1" applyFill="1" applyBorder="1" applyProtection="1"/>
    <xf numFmtId="0" fontId="0" fillId="97" borderId="43" xfId="0" applyNumberFormat="1" applyFill="1" applyBorder="1" applyAlignment="1" applyProtection="1"/>
    <xf numFmtId="14" fontId="0" fillId="97" borderId="43" xfId="0" applyNumberFormat="1" applyFill="1" applyBorder="1" applyAlignment="1" applyProtection="1"/>
    <xf numFmtId="0" fontId="198" fillId="97" borderId="43" xfId="0" applyNumberFormat="1" applyFont="1" applyFill="1" applyBorder="1" applyProtection="1"/>
    <xf numFmtId="306" fontId="198" fillId="97" borderId="43" xfId="33833" applyNumberFormat="1" applyFont="1" applyFill="1" applyBorder="1" applyAlignment="1" applyProtection="1">
      <alignment horizontal="center" vertical="center"/>
    </xf>
    <xf numFmtId="0" fontId="0" fillId="97" borderId="79" xfId="0" applyNumberFormat="1" applyFill="1" applyBorder="1" applyProtection="1"/>
    <xf numFmtId="308" fontId="0" fillId="0" borderId="43" xfId="0" applyNumberFormat="1" applyBorder="1" applyAlignment="1" applyProtection="1">
      <alignment vertical="center"/>
    </xf>
    <xf numFmtId="0" fontId="198" fillId="98" borderId="43" xfId="0" applyNumberFormat="1" applyFont="1" applyFill="1" applyBorder="1" applyAlignment="1" applyProtection="1"/>
    <xf numFmtId="0" fontId="0" fillId="98" borderId="43" xfId="0" applyNumberFormat="1" applyFill="1" applyBorder="1" applyProtection="1"/>
    <xf numFmtId="14" fontId="0" fillId="98" borderId="43" xfId="0" applyNumberFormat="1" applyFill="1" applyBorder="1" applyAlignment="1" applyProtection="1"/>
    <xf numFmtId="0" fontId="198" fillId="98" borderId="43" xfId="0" applyNumberFormat="1" applyFont="1" applyFill="1" applyBorder="1" applyProtection="1"/>
    <xf numFmtId="306" fontId="198" fillId="98" borderId="43" xfId="33833" applyNumberFormat="1" applyFont="1" applyFill="1" applyBorder="1" applyAlignment="1" applyProtection="1">
      <alignment horizontal="center" vertical="center"/>
    </xf>
    <xf numFmtId="0" fontId="0" fillId="98" borderId="79" xfId="0" applyNumberFormat="1" applyFill="1" applyBorder="1" applyProtection="1"/>
    <xf numFmtId="0" fontId="0" fillId="0" borderId="0" xfId="0" applyNumberFormat="1" applyBorder="1" applyAlignment="1" applyProtection="1">
      <alignment horizontal="left" vertical="center" wrapText="1"/>
    </xf>
    <xf numFmtId="0" fontId="198" fillId="110" borderId="43" xfId="0" applyNumberFormat="1" applyFont="1" applyFill="1" applyBorder="1" applyAlignment="1" applyProtection="1"/>
    <xf numFmtId="0" fontId="0" fillId="110" borderId="43" xfId="0" applyNumberFormat="1" applyFill="1" applyBorder="1" applyProtection="1"/>
    <xf numFmtId="14" fontId="0" fillId="110" borderId="43" xfId="0" applyNumberFormat="1" applyFill="1" applyBorder="1" applyAlignment="1" applyProtection="1"/>
    <xf numFmtId="0" fontId="198" fillId="110" borderId="43" xfId="0" applyNumberFormat="1" applyFont="1" applyFill="1" applyBorder="1" applyProtection="1"/>
    <xf numFmtId="306" fontId="198" fillId="110" borderId="43" xfId="33833" applyNumberFormat="1" applyFont="1" applyFill="1" applyBorder="1" applyAlignment="1" applyProtection="1">
      <alignment horizontal="center" vertical="center"/>
    </xf>
    <xf numFmtId="0" fontId="0" fillId="110" borderId="79" xfId="0" applyNumberFormat="1" applyFill="1" applyBorder="1" applyProtection="1"/>
    <xf numFmtId="0" fontId="0" fillId="0" borderId="44" xfId="0" applyNumberFormat="1" applyBorder="1" applyAlignment="1" applyProtection="1"/>
    <xf numFmtId="0" fontId="0" fillId="0" borderId="72" xfId="0" applyNumberFormat="1" applyBorder="1" applyAlignment="1" applyProtection="1"/>
    <xf numFmtId="0" fontId="0" fillId="0" borderId="50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82" xfId="0" applyNumberFormat="1" applyBorder="1" applyAlignment="1" applyProtection="1"/>
    <xf numFmtId="0" fontId="0" fillId="0" borderId="22" xfId="0" applyNumberFormat="1" applyBorder="1" applyAlignment="1" applyProtection="1"/>
    <xf numFmtId="0" fontId="0" fillId="0" borderId="77" xfId="0" applyNumberFormat="1" applyBorder="1" applyAlignment="1" applyProtection="1"/>
    <xf numFmtId="0" fontId="0" fillId="0" borderId="20" xfId="0" applyNumberFormat="1" applyBorder="1" applyAlignment="1" applyProtection="1"/>
    <xf numFmtId="0" fontId="0" fillId="0" borderId="76" xfId="0" applyNumberFormat="1" applyBorder="1" applyAlignment="1" applyProtection="1"/>
    <xf numFmtId="0" fontId="256" fillId="0" borderId="0" xfId="0" applyNumberFormat="1" applyFont="1" applyBorder="1" applyAlignment="1" applyProtection="1">
      <alignment horizontal="center" vertical="center"/>
    </xf>
    <xf numFmtId="0" fontId="198" fillId="0" borderId="0" xfId="0" applyNumberFormat="1" applyFont="1" applyBorder="1" applyAlignment="1" applyProtection="1">
      <alignment horizontal="left" vertical="center" indent="1"/>
    </xf>
    <xf numFmtId="0" fontId="258" fillId="110" borderId="81" xfId="0" applyNumberFormat="1" applyFont="1" applyFill="1" applyBorder="1" applyAlignment="1" applyProtection="1"/>
    <xf numFmtId="0" fontId="258" fillId="110" borderId="81" xfId="0" applyNumberFormat="1" applyFont="1" applyFill="1" applyBorder="1" applyAlignment="1" applyProtection="1">
      <alignment vertical="center"/>
    </xf>
    <xf numFmtId="0" fontId="258" fillId="98" borderId="81" xfId="0" applyNumberFormat="1" applyFont="1" applyFill="1" applyBorder="1" applyAlignment="1" applyProtection="1"/>
    <xf numFmtId="0" fontId="258" fillId="97" borderId="81" xfId="0" applyNumberFormat="1" applyFont="1" applyFill="1" applyBorder="1" applyAlignment="1" applyProtection="1"/>
    <xf numFmtId="0" fontId="258" fillId="92" borderId="81" xfId="0" applyNumberFormat="1" applyFont="1" applyFill="1" applyBorder="1" applyAlignment="1" applyProtection="1"/>
    <xf numFmtId="0" fontId="258" fillId="104" borderId="81" xfId="0" applyNumberFormat="1" applyFont="1" applyFill="1" applyBorder="1" applyAlignment="1" applyProtection="1"/>
    <xf numFmtId="0" fontId="258" fillId="103" borderId="81" xfId="0" applyNumberFormat="1" applyFont="1" applyFill="1" applyBorder="1" applyAlignment="1" applyProtection="1"/>
    <xf numFmtId="300" fontId="254" fillId="0" borderId="0" xfId="0" applyNumberFormat="1" applyFont="1" applyAlignment="1" applyProtection="1">
      <alignment horizontal="center"/>
    </xf>
    <xf numFmtId="305" fontId="0" fillId="0" borderId="0" xfId="0" applyNumberFormat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Border="1" applyAlignment="1" applyProtection="1">
      <alignment horizontal="center"/>
    </xf>
    <xf numFmtId="300" fontId="254" fillId="0" borderId="0" xfId="0" applyNumberFormat="1" applyFont="1" applyBorder="1" applyAlignment="1" applyProtection="1">
      <alignment horizontal="center"/>
    </xf>
    <xf numFmtId="246" fontId="260" fillId="0" borderId="0" xfId="0" applyNumberFormat="1" applyFont="1" applyBorder="1" applyAlignment="1" applyProtection="1">
      <alignment horizontal="right" vertical="center"/>
    </xf>
    <xf numFmtId="246" fontId="260" fillId="0" borderId="0" xfId="0" applyNumberFormat="1" applyFont="1" applyBorder="1" applyAlignment="1" applyProtection="1">
      <alignment horizontal="left" vertical="center"/>
      <protection locked="0"/>
    </xf>
    <xf numFmtId="246" fontId="260" fillId="0" borderId="0" xfId="0" applyNumberFormat="1" applyFont="1" applyBorder="1" applyAlignment="1" applyProtection="1">
      <alignment vertical="center"/>
    </xf>
    <xf numFmtId="0" fontId="198" fillId="0" borderId="78" xfId="0" applyNumberFormat="1" applyFont="1" applyFill="1" applyBorder="1" applyAlignment="1" applyProtection="1">
      <alignment horizontal="center"/>
    </xf>
    <xf numFmtId="307" fontId="0" fillId="0" borderId="80" xfId="0" applyNumberFormat="1" applyFill="1" applyBorder="1" applyAlignment="1" applyProtection="1">
      <alignment horizontal="center"/>
    </xf>
    <xf numFmtId="0" fontId="0" fillId="0" borderId="76" xfId="0" applyNumberFormat="1" applyFill="1" applyBorder="1" applyAlignment="1" applyProtection="1"/>
    <xf numFmtId="0" fontId="0" fillId="0" borderId="76" xfId="0" applyNumberFormat="1" applyFill="1" applyBorder="1" applyAlignment="1" applyProtection="1">
      <alignment horizontal="left"/>
    </xf>
    <xf numFmtId="0" fontId="0" fillId="0" borderId="82" xfId="0" applyNumberFormat="1" applyFill="1" applyBorder="1" applyAlignment="1" applyProtection="1"/>
    <xf numFmtId="0" fontId="0" fillId="0" borderId="82" xfId="0" applyNumberFormat="1" applyFill="1" applyBorder="1" applyAlignment="1" applyProtection="1">
      <alignment horizontal="right"/>
    </xf>
    <xf numFmtId="300" fontId="255" fillId="0" borderId="78" xfId="0" applyNumberFormat="1" applyFont="1" applyBorder="1" applyAlignment="1" applyProtection="1">
      <alignment horizontal="center"/>
    </xf>
    <xf numFmtId="300" fontId="254" fillId="0" borderId="80" xfId="0" applyNumberFormat="1" applyFont="1" applyBorder="1" applyAlignment="1" applyProtection="1">
      <alignment horizontal="center"/>
    </xf>
    <xf numFmtId="0" fontId="198" fillId="0" borderId="78" xfId="0" applyNumberFormat="1" applyFont="1" applyBorder="1" applyAlignment="1" applyProtection="1">
      <alignment horizontal="center"/>
    </xf>
    <xf numFmtId="0" fontId="0" fillId="0" borderId="80" xfId="0" applyNumberFormat="1" applyFont="1" applyBorder="1" applyAlignment="1" applyProtection="1">
      <alignment horizontal="center"/>
    </xf>
    <xf numFmtId="0" fontId="260" fillId="0" borderId="0" xfId="0" applyNumberFormat="1" applyFont="1" applyProtection="1"/>
    <xf numFmtId="0" fontId="198" fillId="0" borderId="44" xfId="0" applyNumberFormat="1" applyFont="1" applyBorder="1" applyAlignment="1" applyProtection="1">
      <alignment horizontal="center"/>
    </xf>
    <xf numFmtId="0" fontId="198" fillId="0" borderId="77" xfId="0" applyNumberFormat="1" applyFont="1" applyBorder="1" applyAlignment="1" applyProtection="1">
      <alignment horizontal="center"/>
    </xf>
    <xf numFmtId="300" fontId="254" fillId="0" borderId="82" xfId="0" applyNumberFormat="1" applyFont="1" applyBorder="1" applyAlignment="1" applyProtection="1">
      <alignment horizontal="center"/>
    </xf>
    <xf numFmtId="300" fontId="254" fillId="0" borderId="76" xfId="0" applyNumberFormat="1" applyFont="1" applyBorder="1" applyAlignment="1" applyProtection="1">
      <alignment horizontal="center"/>
    </xf>
    <xf numFmtId="300" fontId="255" fillId="0" borderId="44" xfId="0" applyNumberFormat="1" applyFont="1" applyBorder="1" applyAlignment="1" applyProtection="1">
      <alignment horizontal="center"/>
    </xf>
    <xf numFmtId="300" fontId="255" fillId="0" borderId="77" xfId="0" applyNumberFormat="1" applyFont="1" applyBorder="1" applyAlignment="1" applyProtection="1">
      <alignment horizontal="center"/>
    </xf>
    <xf numFmtId="305" fontId="198" fillId="0" borderId="44" xfId="0" applyNumberFormat="1" applyFont="1" applyBorder="1" applyAlignment="1" applyProtection="1">
      <alignment horizontal="center"/>
    </xf>
    <xf numFmtId="305" fontId="198" fillId="0" borderId="77" xfId="0" applyNumberFormat="1" applyFont="1" applyBorder="1" applyAlignment="1" applyProtection="1">
      <alignment horizontal="center"/>
    </xf>
    <xf numFmtId="0" fontId="0" fillId="0" borderId="82" xfId="0" applyNumberFormat="1" applyBorder="1" applyAlignment="1" applyProtection="1">
      <alignment horizontal="center"/>
    </xf>
    <xf numFmtId="0" fontId="0" fillId="0" borderId="76" xfId="0" applyNumberFormat="1" applyBorder="1" applyAlignment="1" applyProtection="1">
      <alignment horizontal="center"/>
    </xf>
    <xf numFmtId="14" fontId="0" fillId="0" borderId="0" xfId="0" applyNumberFormat="1" applyAlignment="1" applyProtection="1">
      <alignment horizontal="center"/>
    </xf>
    <xf numFmtId="0" fontId="198" fillId="0" borderId="78" xfId="0" applyNumberFormat="1" applyFont="1" applyFill="1" applyBorder="1" applyAlignment="1" applyProtection="1">
      <alignment horizontal="center"/>
    </xf>
    <xf numFmtId="307" fontId="0" fillId="0" borderId="80" xfId="0" applyNumberFormat="1" applyFill="1" applyBorder="1" applyAlignment="1" applyProtection="1">
      <alignment horizontal="center"/>
    </xf>
    <xf numFmtId="0" fontId="0" fillId="0" borderId="82" xfId="0" applyNumberFormat="1" applyFont="1" applyBorder="1" applyAlignment="1" applyProtection="1">
      <alignment horizontal="center"/>
    </xf>
    <xf numFmtId="0" fontId="0" fillId="0" borderId="76" xfId="0" applyNumberFormat="1" applyFont="1" applyBorder="1" applyAlignment="1" applyProtection="1">
      <alignment horizontal="center"/>
    </xf>
    <xf numFmtId="0" fontId="198" fillId="0" borderId="0" xfId="0" applyNumberFormat="1" applyFont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76" xfId="0" applyNumberFormat="1" applyFont="1" applyFill="1" applyBorder="1" applyAlignment="1" applyProtection="1">
      <alignment horizontal="center"/>
    </xf>
    <xf numFmtId="0" fontId="198" fillId="0" borderId="72" xfId="0" applyNumberFormat="1" applyFont="1" applyFill="1" applyBorder="1" applyAlignment="1" applyProtection="1">
      <alignment horizontal="center"/>
    </xf>
    <xf numFmtId="0" fontId="198" fillId="0" borderId="77" xfId="0" applyNumberFormat="1" applyFont="1" applyFill="1" applyBorder="1" applyAlignment="1" applyProtection="1">
      <alignment horizontal="center"/>
    </xf>
    <xf numFmtId="0" fontId="0" fillId="0" borderId="22" xfId="0" applyNumberFormat="1" applyFont="1" applyFill="1" applyBorder="1" applyAlignment="1" applyProtection="1">
      <alignment horizontal="center"/>
    </xf>
    <xf numFmtId="0" fontId="258" fillId="0" borderId="81" xfId="0" applyNumberFormat="1" applyFont="1" applyBorder="1" applyAlignment="1" applyProtection="1">
      <alignment horizontal="center"/>
    </xf>
    <xf numFmtId="0" fontId="258" fillId="0" borderId="43" xfId="0" applyNumberFormat="1" applyFont="1" applyBorder="1" applyAlignment="1" applyProtection="1">
      <alignment horizontal="center"/>
    </xf>
    <xf numFmtId="0" fontId="258" fillId="0" borderId="79" xfId="0" applyNumberFormat="1" applyFont="1" applyBorder="1" applyAlignment="1" applyProtection="1">
      <alignment horizontal="center"/>
    </xf>
    <xf numFmtId="0" fontId="0" fillId="0" borderId="44" xfId="0" applyNumberFormat="1" applyBorder="1" applyAlignment="1" applyProtection="1">
      <alignment horizontal="left" vertical="center" wrapText="1"/>
    </xf>
    <xf numFmtId="0" fontId="0" fillId="0" borderId="72" xfId="0" applyNumberFormat="1" applyBorder="1" applyAlignment="1" applyProtection="1">
      <alignment horizontal="left" vertical="center" wrapText="1"/>
    </xf>
    <xf numFmtId="0" fontId="0" fillId="0" borderId="77" xfId="0" applyNumberFormat="1" applyBorder="1" applyAlignment="1" applyProtection="1">
      <alignment horizontal="left" vertical="center" wrapText="1"/>
    </xf>
    <xf numFmtId="0" fontId="0" fillId="0" borderId="50" xfId="0" applyNumberFormat="1" applyBorder="1" applyAlignment="1" applyProtection="1">
      <alignment horizontal="left" vertical="center" wrapText="1"/>
    </xf>
    <xf numFmtId="0" fontId="0" fillId="0" borderId="0" xfId="0" applyNumberFormat="1" applyBorder="1" applyAlignment="1" applyProtection="1">
      <alignment horizontal="left" vertical="center" wrapText="1"/>
    </xf>
    <xf numFmtId="0" fontId="0" fillId="0" borderId="20" xfId="0" applyNumberFormat="1" applyBorder="1" applyAlignment="1" applyProtection="1">
      <alignment horizontal="left" vertical="center" wrapText="1"/>
    </xf>
    <xf numFmtId="0" fontId="0" fillId="0" borderId="82" xfId="0" applyNumberFormat="1" applyBorder="1" applyAlignment="1" applyProtection="1">
      <alignment horizontal="left" vertical="center" wrapText="1"/>
    </xf>
    <xf numFmtId="0" fontId="0" fillId="0" borderId="22" xfId="0" applyNumberFormat="1" applyBorder="1" applyAlignment="1" applyProtection="1">
      <alignment horizontal="left" vertical="center" wrapText="1"/>
    </xf>
    <xf numFmtId="0" fontId="0" fillId="0" borderId="76" xfId="0" applyNumberFormat="1" applyBorder="1" applyAlignment="1" applyProtection="1">
      <alignment horizontal="left" vertical="center" wrapText="1"/>
    </xf>
    <xf numFmtId="0" fontId="256" fillId="0" borderId="78" xfId="0" applyNumberFormat="1" applyFont="1" applyBorder="1" applyAlignment="1" applyProtection="1">
      <alignment horizontal="center" vertical="center"/>
    </xf>
    <xf numFmtId="0" fontId="256" fillId="0" borderId="48" xfId="0" applyNumberFormat="1" applyFont="1" applyBorder="1" applyAlignment="1" applyProtection="1">
      <alignment horizontal="center" vertical="center"/>
    </xf>
    <xf numFmtId="0" fontId="256" fillId="0" borderId="80" xfId="0" applyNumberFormat="1" applyFont="1" applyBorder="1" applyAlignment="1" applyProtection="1">
      <alignment horizontal="center" vertical="center"/>
    </xf>
    <xf numFmtId="0" fontId="198" fillId="0" borderId="44" xfId="0" applyNumberFormat="1" applyFont="1" applyBorder="1" applyAlignment="1" applyProtection="1">
      <alignment horizontal="left" vertical="center" indent="1"/>
    </xf>
    <xf numFmtId="0" fontId="198" fillId="0" borderId="72" xfId="0" applyNumberFormat="1" applyFont="1" applyBorder="1" applyAlignment="1" applyProtection="1">
      <alignment horizontal="left" vertical="center" indent="1"/>
    </xf>
    <xf numFmtId="0" fontId="198" fillId="0" borderId="50" xfId="0" applyNumberFormat="1" applyFont="1" applyBorder="1" applyAlignment="1" applyProtection="1">
      <alignment horizontal="left" vertical="center" indent="1"/>
    </xf>
    <xf numFmtId="0" fontId="198" fillId="0" borderId="0" xfId="0" applyNumberFormat="1" applyFont="1" applyBorder="1" applyAlignment="1" applyProtection="1">
      <alignment horizontal="left" vertical="center" indent="1"/>
    </xf>
    <xf numFmtId="0" fontId="198" fillId="0" borderId="82" xfId="0" applyNumberFormat="1" applyFont="1" applyBorder="1" applyAlignment="1" applyProtection="1">
      <alignment horizontal="left" vertical="center" indent="1"/>
    </xf>
    <xf numFmtId="0" fontId="198" fillId="0" borderId="22" xfId="0" applyNumberFormat="1" applyFont="1" applyBorder="1" applyAlignment="1" applyProtection="1">
      <alignment horizontal="left" vertical="center" indent="1"/>
    </xf>
    <xf numFmtId="0" fontId="0" fillId="0" borderId="72" xfId="0" applyNumberFormat="1" applyBorder="1" applyAlignment="1" applyProtection="1">
      <alignment horizontal="left" vertical="center"/>
    </xf>
    <xf numFmtId="0" fontId="0" fillId="0" borderId="77" xfId="0" applyNumberFormat="1" applyBorder="1" applyAlignment="1" applyProtection="1">
      <alignment horizontal="left" vertical="center"/>
    </xf>
    <xf numFmtId="0" fontId="0" fillId="0" borderId="0" xfId="0" applyNumberFormat="1" applyBorder="1" applyAlignment="1" applyProtection="1">
      <alignment horizontal="left" vertical="center"/>
    </xf>
    <xf numFmtId="0" fontId="0" fillId="0" borderId="20" xfId="0" applyNumberFormat="1" applyBorder="1" applyAlignment="1" applyProtection="1">
      <alignment horizontal="left" vertical="center"/>
    </xf>
    <xf numFmtId="0" fontId="0" fillId="0" borderId="22" xfId="0" applyNumberFormat="1" applyBorder="1" applyAlignment="1" applyProtection="1">
      <alignment horizontal="left" vertical="center"/>
    </xf>
    <xf numFmtId="0" fontId="0" fillId="0" borderId="76" xfId="0" applyNumberFormat="1" applyBorder="1" applyAlignment="1" applyProtection="1">
      <alignment horizontal="left" vertical="center"/>
    </xf>
    <xf numFmtId="0" fontId="0" fillId="0" borderId="44" xfId="0" applyNumberFormat="1" applyBorder="1" applyAlignment="1" applyProtection="1">
      <alignment horizontal="left" vertical="center"/>
    </xf>
    <xf numFmtId="0" fontId="0" fillId="0" borderId="50" xfId="0" applyNumberFormat="1" applyBorder="1" applyAlignment="1" applyProtection="1">
      <alignment horizontal="left" vertical="center"/>
    </xf>
    <xf numFmtId="0" fontId="0" fillId="0" borderId="82" xfId="0" applyNumberFormat="1" applyBorder="1" applyAlignment="1" applyProtection="1">
      <alignment horizontal="left" vertical="center"/>
    </xf>
    <xf numFmtId="0" fontId="261" fillId="0" borderId="0" xfId="0" applyNumberFormat="1" applyFont="1" applyAlignment="1" applyProtection="1">
      <alignment horizontal="center"/>
    </xf>
    <xf numFmtId="246" fontId="260" fillId="0" borderId="44" xfId="0" applyNumberFormat="1" applyFont="1" applyBorder="1" applyAlignment="1" applyProtection="1">
      <alignment horizontal="right" vertical="center"/>
    </xf>
    <xf numFmtId="246" fontId="260" fillId="0" borderId="82" xfId="0" applyNumberFormat="1" applyFont="1" applyBorder="1" applyAlignment="1" applyProtection="1">
      <alignment horizontal="right" vertical="center"/>
    </xf>
    <xf numFmtId="246" fontId="260" fillId="0" borderId="72" xfId="0" applyNumberFormat="1" applyFont="1" applyBorder="1" applyAlignment="1" applyProtection="1">
      <alignment horizontal="left" vertical="center"/>
      <protection locked="0"/>
    </xf>
    <xf numFmtId="246" fontId="260" fillId="0" borderId="22" xfId="0" applyNumberFormat="1" applyFont="1" applyBorder="1" applyAlignment="1" applyProtection="1">
      <alignment horizontal="left" vertical="center"/>
      <protection locked="0"/>
    </xf>
    <xf numFmtId="0" fontId="198" fillId="0" borderId="44" xfId="0" applyNumberFormat="1" applyFont="1" applyFill="1" applyBorder="1" applyAlignment="1" applyProtection="1">
      <alignment horizontal="center"/>
    </xf>
    <xf numFmtId="0" fontId="258" fillId="0" borderId="78" xfId="0" applyNumberFormat="1" applyFont="1" applyBorder="1" applyAlignment="1" applyProtection="1">
      <alignment horizontal="center" vertical="center"/>
    </xf>
    <xf numFmtId="0" fontId="258" fillId="0" borderId="80" xfId="0" applyNumberFormat="1" applyFont="1" applyBorder="1" applyAlignment="1" applyProtection="1">
      <alignment horizontal="center" vertical="center"/>
    </xf>
    <xf numFmtId="304" fontId="0" fillId="0" borderId="83" xfId="0" applyNumberFormat="1" applyBorder="1" applyAlignment="1"/>
    <xf numFmtId="0" fontId="0" fillId="0" borderId="84" xfId="0" applyNumberFormat="1" applyBorder="1" applyAlignment="1"/>
    <xf numFmtId="14" fontId="0" fillId="0" borderId="84" xfId="0" applyNumberFormat="1" applyBorder="1" applyAlignment="1"/>
    <xf numFmtId="301" fontId="0" fillId="0" borderId="84" xfId="0" applyNumberFormat="1" applyBorder="1" applyAlignment="1"/>
    <xf numFmtId="300" fontId="0" fillId="0" borderId="84" xfId="0" applyNumberFormat="1" applyBorder="1" applyAlignment="1"/>
    <xf numFmtId="0" fontId="0" fillId="0" borderId="84" xfId="0" applyNumberFormat="1" applyBorder="1" applyAlignment="1">
      <alignment shrinkToFit="1"/>
    </xf>
    <xf numFmtId="0" fontId="0" fillId="0" borderId="85" xfId="0" applyNumberFormat="1" applyBorder="1" applyAlignment="1">
      <alignment shrinkToFit="1"/>
    </xf>
    <xf numFmtId="4" fontId="0" fillId="0" borderId="84" xfId="0" applyNumberFormat="1" applyBorder="1"/>
    <xf numFmtId="0" fontId="0" fillId="0" borderId="83" xfId="0" applyNumberFormat="1" applyBorder="1" applyAlignment="1"/>
    <xf numFmtId="164" fontId="0" fillId="0" borderId="84" xfId="0" applyBorder="1" applyAlignment="1"/>
    <xf numFmtId="14" fontId="0" fillId="0" borderId="84" xfId="0" applyNumberFormat="1" applyBorder="1" applyAlignment="1">
      <alignment shrinkToFit="1"/>
    </xf>
    <xf numFmtId="14" fontId="0" fillId="0" borderId="84" xfId="0" applyNumberFormat="1" applyBorder="1"/>
    <xf numFmtId="302" fontId="0" fillId="0" borderId="84" xfId="0" applyNumberFormat="1" applyBorder="1" applyAlignment="1" applyProtection="1">
      <alignment horizontal="center"/>
    </xf>
    <xf numFmtId="0" fontId="0" fillId="0" borderId="84" xfId="0" applyNumberFormat="1" applyBorder="1" applyAlignment="1" applyProtection="1">
      <alignment horizontal="center"/>
    </xf>
    <xf numFmtId="0" fontId="259" fillId="0" borderId="84" xfId="33834" applyNumberFormat="1" applyBorder="1" applyAlignment="1" applyProtection="1">
      <protection locked="0"/>
    </xf>
    <xf numFmtId="0" fontId="0" fillId="0" borderId="84" xfId="0" applyNumberFormat="1" applyBorder="1" applyAlignment="1" applyProtection="1">
      <protection locked="0"/>
    </xf>
    <xf numFmtId="304" fontId="0" fillId="0" borderId="86" xfId="0" applyNumberFormat="1" applyBorder="1" applyAlignment="1"/>
    <xf numFmtId="0" fontId="0" fillId="0" borderId="87" xfId="0" applyNumberFormat="1" applyBorder="1" applyAlignment="1"/>
    <xf numFmtId="14" fontId="0" fillId="0" borderId="87" xfId="0" applyNumberFormat="1" applyBorder="1" applyAlignment="1"/>
    <xf numFmtId="301" fontId="0" fillId="0" borderId="87" xfId="0" applyNumberFormat="1" applyBorder="1" applyAlignment="1"/>
    <xf numFmtId="300" fontId="0" fillId="0" borderId="87" xfId="0" applyNumberFormat="1" applyBorder="1" applyAlignment="1"/>
    <xf numFmtId="0" fontId="0" fillId="0" borderId="87" xfId="0" applyNumberFormat="1" applyBorder="1" applyAlignment="1">
      <alignment shrinkToFit="1"/>
    </xf>
    <xf numFmtId="0" fontId="0" fillId="0" borderId="88" xfId="0" applyNumberFormat="1" applyBorder="1" applyAlignment="1">
      <alignment shrinkToFit="1"/>
    </xf>
    <xf numFmtId="4" fontId="0" fillId="0" borderId="87" xfId="0" applyNumberFormat="1" applyBorder="1"/>
    <xf numFmtId="0" fontId="0" fillId="0" borderId="86" xfId="0" applyNumberFormat="1" applyBorder="1" applyAlignment="1"/>
    <xf numFmtId="164" fontId="0" fillId="0" borderId="87" xfId="0" applyBorder="1" applyAlignment="1"/>
    <xf numFmtId="14" fontId="0" fillId="0" borderId="87" xfId="0" applyNumberFormat="1" applyBorder="1" applyAlignment="1">
      <alignment shrinkToFit="1"/>
    </xf>
    <xf numFmtId="14" fontId="0" fillId="0" borderId="87" xfId="0" applyNumberFormat="1" applyBorder="1"/>
    <xf numFmtId="302" fontId="0" fillId="0" borderId="87" xfId="0" applyNumberFormat="1" applyBorder="1" applyAlignment="1" applyProtection="1">
      <alignment horizontal="center"/>
    </xf>
    <xf numFmtId="0" fontId="0" fillId="0" borderId="87" xfId="0" applyNumberFormat="1" applyBorder="1" applyAlignment="1" applyProtection="1">
      <alignment horizontal="center"/>
    </xf>
    <xf numFmtId="0" fontId="259" fillId="0" borderId="87" xfId="33834" applyNumberFormat="1" applyBorder="1" applyAlignment="1" applyProtection="1">
      <protection locked="0"/>
    </xf>
    <xf numFmtId="0" fontId="0" fillId="0" borderId="87" xfId="0" applyNumberFormat="1" applyBorder="1" applyAlignment="1" applyProtection="1">
      <protection locked="0"/>
    </xf>
    <xf numFmtId="0" fontId="258" fillId="0" borderId="0" xfId="0" applyNumberFormat="1" applyFont="1" applyBorder="1" applyAlignment="1" applyProtection="1">
      <alignment horizontal="center"/>
    </xf>
    <xf numFmtId="0" fontId="166" fillId="0" borderId="44" xfId="0" applyNumberFormat="1" applyFont="1" applyBorder="1" applyAlignment="1" applyProtection="1">
      <alignment horizontal="left" vertical="center" wrapText="1"/>
    </xf>
    <xf numFmtId="0" fontId="166" fillId="0" borderId="72" xfId="0" applyNumberFormat="1" applyFont="1" applyBorder="1" applyAlignment="1" applyProtection="1">
      <alignment horizontal="left" vertical="center" wrapText="1"/>
    </xf>
    <xf numFmtId="0" fontId="166" fillId="0" borderId="77" xfId="0" applyNumberFormat="1" applyFont="1" applyBorder="1" applyAlignment="1" applyProtection="1">
      <alignment horizontal="left" vertical="center" wrapText="1"/>
    </xf>
    <xf numFmtId="0" fontId="166" fillId="0" borderId="50" xfId="0" applyNumberFormat="1" applyFont="1" applyBorder="1" applyAlignment="1" applyProtection="1">
      <alignment horizontal="left" vertical="center" wrapText="1"/>
    </xf>
    <xf numFmtId="0" fontId="166" fillId="0" borderId="0" xfId="0" applyNumberFormat="1" applyFont="1" applyBorder="1" applyAlignment="1" applyProtection="1">
      <alignment horizontal="left" vertical="center" wrapText="1"/>
    </xf>
    <xf numFmtId="0" fontId="166" fillId="0" borderId="20" xfId="0" applyNumberFormat="1" applyFont="1" applyBorder="1" applyAlignment="1" applyProtection="1">
      <alignment horizontal="left" vertical="center" wrapText="1"/>
    </xf>
    <xf numFmtId="0" fontId="166" fillId="0" borderId="82" xfId="0" applyNumberFormat="1" applyFont="1" applyBorder="1" applyAlignment="1" applyProtection="1">
      <alignment horizontal="left" vertical="center" wrapText="1"/>
    </xf>
    <xf numFmtId="0" fontId="166" fillId="0" borderId="22" xfId="0" applyNumberFormat="1" applyFont="1" applyBorder="1" applyAlignment="1" applyProtection="1">
      <alignment horizontal="left" vertical="center" wrapText="1"/>
    </xf>
    <xf numFmtId="0" fontId="166" fillId="0" borderId="76" xfId="0" applyNumberFormat="1" applyFont="1" applyBorder="1" applyAlignment="1" applyProtection="1">
      <alignment horizontal="left" vertical="center" wrapText="1"/>
    </xf>
    <xf numFmtId="0" fontId="166" fillId="0" borderId="88" xfId="0" applyNumberFormat="1" applyFont="1" applyBorder="1" applyAlignment="1" applyProtection="1">
      <alignment horizontal="left" vertical="center" wrapText="1"/>
    </xf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49" xfId="33833" xr:uid="{00000000-0005-0000-0000-00001F5B0000}"/>
    <cellStyle name="Normal 25" xfId="23322" xr:uid="{00000000-0005-0000-0000-0000205B0000}"/>
    <cellStyle name="Normal 25 2" xfId="23323" xr:uid="{00000000-0005-0000-0000-0000215B0000}"/>
    <cellStyle name="Normal 26" xfId="23324" xr:uid="{00000000-0005-0000-0000-0000225B0000}"/>
    <cellStyle name="Normal 26 2" xfId="23325" xr:uid="{00000000-0005-0000-0000-0000235B0000}"/>
    <cellStyle name="Normal 26 2 2" xfId="23326" xr:uid="{00000000-0005-0000-0000-0000245B0000}"/>
    <cellStyle name="Normal 26 2 3" xfId="23327" xr:uid="{00000000-0005-0000-0000-0000255B0000}"/>
    <cellStyle name="Normal 26 3" xfId="23328" xr:uid="{00000000-0005-0000-0000-0000265B0000}"/>
    <cellStyle name="Normal 26 4" xfId="23329" xr:uid="{00000000-0005-0000-0000-0000275B0000}"/>
    <cellStyle name="Normal 266" xfId="23330" xr:uid="{00000000-0005-0000-0000-0000285B0000}"/>
    <cellStyle name="Normal 27" xfId="23331" xr:uid="{00000000-0005-0000-0000-0000295B0000}"/>
    <cellStyle name="Normal 27 2" xfId="23332" xr:uid="{00000000-0005-0000-0000-00002A5B0000}"/>
    <cellStyle name="Normal 27 2 2" xfId="23333" xr:uid="{00000000-0005-0000-0000-00002B5B0000}"/>
    <cellStyle name="Normal 27 3" xfId="23334" xr:uid="{00000000-0005-0000-0000-00002C5B0000}"/>
    <cellStyle name="Normal 28" xfId="23335" xr:uid="{00000000-0005-0000-0000-00002D5B0000}"/>
    <cellStyle name="Normal 28 2" xfId="23336" xr:uid="{00000000-0005-0000-0000-00002E5B0000}"/>
    <cellStyle name="Normal 29" xfId="23337" xr:uid="{00000000-0005-0000-0000-00002F5B0000}"/>
    <cellStyle name="Normal 29 2" xfId="23338" xr:uid="{00000000-0005-0000-0000-0000305B0000}"/>
    <cellStyle name="Normal 29 2 2" xfId="23339" xr:uid="{00000000-0005-0000-0000-0000315B0000}"/>
    <cellStyle name="Normal 29 3" xfId="23340" xr:uid="{00000000-0005-0000-0000-0000325B0000}"/>
    <cellStyle name="Normal 3" xfId="23341" xr:uid="{00000000-0005-0000-0000-0000335B0000}"/>
    <cellStyle name="Normal 3 10" xfId="23342" xr:uid="{00000000-0005-0000-0000-0000345B0000}"/>
    <cellStyle name="Normal 3 10 2" xfId="23343" xr:uid="{00000000-0005-0000-0000-0000355B0000}"/>
    <cellStyle name="Normal 3 11" xfId="23344" xr:uid="{00000000-0005-0000-0000-0000365B0000}"/>
    <cellStyle name="Normal 3 11 2" xfId="23345" xr:uid="{00000000-0005-0000-0000-0000375B0000}"/>
    <cellStyle name="Normal 3 12" xfId="23346" xr:uid="{00000000-0005-0000-0000-0000385B0000}"/>
    <cellStyle name="Normal 3 12 2" xfId="23347" xr:uid="{00000000-0005-0000-0000-0000395B0000}"/>
    <cellStyle name="Normal 3 13" xfId="23348" xr:uid="{00000000-0005-0000-0000-00003A5B0000}"/>
    <cellStyle name="Normal 3 13 2" xfId="23349" xr:uid="{00000000-0005-0000-0000-00003B5B0000}"/>
    <cellStyle name="Normal 3 14" xfId="23350" xr:uid="{00000000-0005-0000-0000-00003C5B0000}"/>
    <cellStyle name="Normal 3 14 2" xfId="23351" xr:uid="{00000000-0005-0000-0000-00003D5B0000}"/>
    <cellStyle name="Normal 3 15" xfId="23352" xr:uid="{00000000-0005-0000-0000-00003E5B0000}"/>
    <cellStyle name="Normal 3 15 2" xfId="23353" xr:uid="{00000000-0005-0000-0000-00003F5B0000}"/>
    <cellStyle name="Normal 3 16" xfId="23354" xr:uid="{00000000-0005-0000-0000-0000405B0000}"/>
    <cellStyle name="Normal 3 16 2" xfId="23355" xr:uid="{00000000-0005-0000-0000-0000415B0000}"/>
    <cellStyle name="Normal 3 17" xfId="23356" xr:uid="{00000000-0005-0000-0000-0000425B0000}"/>
    <cellStyle name="Normal 3 17 2" xfId="23357" xr:uid="{00000000-0005-0000-0000-0000435B0000}"/>
    <cellStyle name="Normal 3 18" xfId="23358" xr:uid="{00000000-0005-0000-0000-0000445B0000}"/>
    <cellStyle name="Normal 3 18 2" xfId="23359" xr:uid="{00000000-0005-0000-0000-0000455B0000}"/>
    <cellStyle name="Normal 3 19" xfId="23360" xr:uid="{00000000-0005-0000-0000-0000465B0000}"/>
    <cellStyle name="Normal 3 19 2" xfId="23361" xr:uid="{00000000-0005-0000-0000-0000475B0000}"/>
    <cellStyle name="Normal 3 2" xfId="23362" xr:uid="{00000000-0005-0000-0000-0000485B0000}"/>
    <cellStyle name="Normal 3 2 10" xfId="23363" xr:uid="{00000000-0005-0000-0000-0000495B0000}"/>
    <cellStyle name="Normal 3 2 10 2" xfId="23364" xr:uid="{00000000-0005-0000-0000-00004A5B0000}"/>
    <cellStyle name="Normal 3 2 11" xfId="23365" xr:uid="{00000000-0005-0000-0000-00004B5B0000}"/>
    <cellStyle name="Normal 3 2 11 2" xfId="23366" xr:uid="{00000000-0005-0000-0000-00004C5B0000}"/>
    <cellStyle name="Normal 3 2 12" xfId="23367" xr:uid="{00000000-0005-0000-0000-00004D5B0000}"/>
    <cellStyle name="Normal 3 2 12 2" xfId="23368" xr:uid="{00000000-0005-0000-0000-00004E5B0000}"/>
    <cellStyle name="Normal 3 2 13" xfId="23369" xr:uid="{00000000-0005-0000-0000-00004F5B0000}"/>
    <cellStyle name="Normal 3 2 13 2" xfId="23370" xr:uid="{00000000-0005-0000-0000-0000505B0000}"/>
    <cellStyle name="Normal 3 2 14" xfId="23371" xr:uid="{00000000-0005-0000-0000-0000515B0000}"/>
    <cellStyle name="Normal 3 2 14 2" xfId="23372" xr:uid="{00000000-0005-0000-0000-0000525B0000}"/>
    <cellStyle name="Normal 3 2 15" xfId="23373" xr:uid="{00000000-0005-0000-0000-0000535B0000}"/>
    <cellStyle name="Normal 3 2 15 2" xfId="23374" xr:uid="{00000000-0005-0000-0000-0000545B0000}"/>
    <cellStyle name="Normal 3 2 16" xfId="23375" xr:uid="{00000000-0005-0000-0000-0000555B0000}"/>
    <cellStyle name="Normal 3 2 16 2" xfId="23376" xr:uid="{00000000-0005-0000-0000-0000565B0000}"/>
    <cellStyle name="Normal 3 2 17" xfId="23377" xr:uid="{00000000-0005-0000-0000-0000575B0000}"/>
    <cellStyle name="Normal 3 2 17 2" xfId="23378" xr:uid="{00000000-0005-0000-0000-0000585B0000}"/>
    <cellStyle name="Normal 3 2 18" xfId="23379" xr:uid="{00000000-0005-0000-0000-0000595B0000}"/>
    <cellStyle name="Normal 3 2 18 2" xfId="23380" xr:uid="{00000000-0005-0000-0000-00005A5B0000}"/>
    <cellStyle name="Normal 3 2 19" xfId="23381" xr:uid="{00000000-0005-0000-0000-00005B5B0000}"/>
    <cellStyle name="Normal 3 2 19 2" xfId="23382" xr:uid="{00000000-0005-0000-0000-00005C5B0000}"/>
    <cellStyle name="Normal 3 2 2" xfId="23383" xr:uid="{00000000-0005-0000-0000-00005D5B0000}"/>
    <cellStyle name="Normal 3 2 2 2" xfId="23384" xr:uid="{00000000-0005-0000-0000-00005E5B0000}"/>
    <cellStyle name="Normal 3 2 2 2 2" xfId="23385" xr:uid="{00000000-0005-0000-0000-00005F5B0000}"/>
    <cellStyle name="Normal 3 2 2 3" xfId="23386" xr:uid="{00000000-0005-0000-0000-0000605B0000}"/>
    <cellStyle name="Normal 3 2 20" xfId="23387" xr:uid="{00000000-0005-0000-0000-0000615B0000}"/>
    <cellStyle name="Normal 3 2 21" xfId="23388" xr:uid="{00000000-0005-0000-0000-0000625B0000}"/>
    <cellStyle name="Normal 3 2 22" xfId="23389" xr:uid="{00000000-0005-0000-0000-0000635B0000}"/>
    <cellStyle name="Normal 3 2 23" xfId="23390" xr:uid="{00000000-0005-0000-0000-0000645B0000}"/>
    <cellStyle name="Normal 3 2 24" xfId="23391" xr:uid="{00000000-0005-0000-0000-0000655B0000}"/>
    <cellStyle name="Normal 3 2 25" xfId="23392" xr:uid="{00000000-0005-0000-0000-0000665B0000}"/>
    <cellStyle name="Normal 3 2 26" xfId="23393" xr:uid="{00000000-0005-0000-0000-0000675B0000}"/>
    <cellStyle name="Normal 3 2 27" xfId="23394" xr:uid="{00000000-0005-0000-0000-0000685B0000}"/>
    <cellStyle name="Normal 3 2 28" xfId="23395" xr:uid="{00000000-0005-0000-0000-0000695B0000}"/>
    <cellStyle name="Normal 3 2 29" xfId="23396" xr:uid="{00000000-0005-0000-0000-00006A5B0000}"/>
    <cellStyle name="Normal 3 2 3" xfId="23397" xr:uid="{00000000-0005-0000-0000-00006B5B0000}"/>
    <cellStyle name="Normal 3 2 3 2" xfId="23398" xr:uid="{00000000-0005-0000-0000-00006C5B0000}"/>
    <cellStyle name="Normal 3 2 30" xfId="23399" xr:uid="{00000000-0005-0000-0000-00006D5B0000}"/>
    <cellStyle name="Normal 3 2 31" xfId="23400" xr:uid="{00000000-0005-0000-0000-00006E5B0000}"/>
    <cellStyle name="Normal 3 2 32" xfId="23401" xr:uid="{00000000-0005-0000-0000-00006F5B0000}"/>
    <cellStyle name="Normal 3 2 33" xfId="23402" xr:uid="{00000000-0005-0000-0000-0000705B0000}"/>
    <cellStyle name="Normal 3 2 34" xfId="23403" xr:uid="{00000000-0005-0000-0000-0000715B0000}"/>
    <cellStyle name="Normal 3 2 35" xfId="23404" xr:uid="{00000000-0005-0000-0000-0000725B0000}"/>
    <cellStyle name="Normal 3 2 36" xfId="23405" xr:uid="{00000000-0005-0000-0000-0000735B0000}"/>
    <cellStyle name="Normal 3 2 37" xfId="23406" xr:uid="{00000000-0005-0000-0000-0000745B0000}"/>
    <cellStyle name="Normal 3 2 38" xfId="23407" xr:uid="{00000000-0005-0000-0000-0000755B0000}"/>
    <cellStyle name="Normal 3 2 39" xfId="23408" xr:uid="{00000000-0005-0000-0000-0000765B0000}"/>
    <cellStyle name="Normal 3 2 4" xfId="23409" xr:uid="{00000000-0005-0000-0000-0000775B0000}"/>
    <cellStyle name="Normal 3 2 4 2" xfId="23410" xr:uid="{00000000-0005-0000-0000-0000785B0000}"/>
    <cellStyle name="Normal 3 2 40" xfId="23411" xr:uid="{00000000-0005-0000-0000-0000795B0000}"/>
    <cellStyle name="Normal 3 2 41" xfId="23412" xr:uid="{00000000-0005-0000-0000-00007A5B0000}"/>
    <cellStyle name="Normal 3 2 42" xfId="23413" xr:uid="{00000000-0005-0000-0000-00007B5B0000}"/>
    <cellStyle name="Normal 3 2 43" xfId="23414" xr:uid="{00000000-0005-0000-0000-00007C5B0000}"/>
    <cellStyle name="Normal 3 2 44" xfId="23415" xr:uid="{00000000-0005-0000-0000-00007D5B0000}"/>
    <cellStyle name="Normal 3 2 45" xfId="23416" xr:uid="{00000000-0005-0000-0000-00007E5B0000}"/>
    <cellStyle name="Normal 3 2 46" xfId="23417" xr:uid="{00000000-0005-0000-0000-00007F5B0000}"/>
    <cellStyle name="Normal 3 2 47" xfId="23418" xr:uid="{00000000-0005-0000-0000-0000805B0000}"/>
    <cellStyle name="Normal 3 2 48" xfId="23419" xr:uid="{00000000-0005-0000-0000-0000815B0000}"/>
    <cellStyle name="Normal 3 2 49" xfId="23420" xr:uid="{00000000-0005-0000-0000-0000825B0000}"/>
    <cellStyle name="Normal 3 2 5" xfId="23421" xr:uid="{00000000-0005-0000-0000-0000835B0000}"/>
    <cellStyle name="Normal 3 2 5 2" xfId="23422" xr:uid="{00000000-0005-0000-0000-0000845B0000}"/>
    <cellStyle name="Normal 3 2 50" xfId="23423" xr:uid="{00000000-0005-0000-0000-0000855B0000}"/>
    <cellStyle name="Normal 3 2 51" xfId="23424" xr:uid="{00000000-0005-0000-0000-0000865B0000}"/>
    <cellStyle name="Normal 3 2 52" xfId="23425" xr:uid="{00000000-0005-0000-0000-0000875B0000}"/>
    <cellStyle name="Normal 3 2 53" xfId="23426" xr:uid="{00000000-0005-0000-0000-0000885B0000}"/>
    <cellStyle name="Normal 3 2 54" xfId="23427" xr:uid="{00000000-0005-0000-0000-0000895B0000}"/>
    <cellStyle name="Normal 3 2 55" xfId="23428" xr:uid="{00000000-0005-0000-0000-00008A5B0000}"/>
    <cellStyle name="Normal 3 2 56" xfId="23429" xr:uid="{00000000-0005-0000-0000-00008B5B0000}"/>
    <cellStyle name="Normal 3 2 57" xfId="23430" xr:uid="{00000000-0005-0000-0000-00008C5B0000}"/>
    <cellStyle name="Normal 3 2 58" xfId="23431" xr:uid="{00000000-0005-0000-0000-00008D5B0000}"/>
    <cellStyle name="Normal 3 2 59" xfId="23432" xr:uid="{00000000-0005-0000-0000-00008E5B0000}"/>
    <cellStyle name="Normal 3 2 6" xfId="23433" xr:uid="{00000000-0005-0000-0000-00008F5B0000}"/>
    <cellStyle name="Normal 3 2 6 2" xfId="23434" xr:uid="{00000000-0005-0000-0000-0000905B0000}"/>
    <cellStyle name="Normal 3 2 60" xfId="23435" xr:uid="{00000000-0005-0000-0000-0000915B0000}"/>
    <cellStyle name="Normal 3 2 61" xfId="23436" xr:uid="{00000000-0005-0000-0000-0000925B0000}"/>
    <cellStyle name="Normal 3 2 62" xfId="23437" xr:uid="{00000000-0005-0000-0000-0000935B0000}"/>
    <cellStyle name="Normal 3 2 63" xfId="23438" xr:uid="{00000000-0005-0000-0000-0000945B0000}"/>
    <cellStyle name="Normal 3 2 64" xfId="23439" xr:uid="{00000000-0005-0000-0000-0000955B0000}"/>
    <cellStyle name="Normal 3 2 65" xfId="23440" xr:uid="{00000000-0005-0000-0000-0000965B0000}"/>
    <cellStyle name="Normal 3 2 66" xfId="23441" xr:uid="{00000000-0005-0000-0000-0000975B0000}"/>
    <cellStyle name="Normal 3 2 67" xfId="23442" xr:uid="{00000000-0005-0000-0000-0000985B0000}"/>
    <cellStyle name="Normal 3 2 68" xfId="23443" xr:uid="{00000000-0005-0000-0000-0000995B0000}"/>
    <cellStyle name="Normal 3 2 69" xfId="23444" xr:uid="{00000000-0005-0000-0000-00009A5B0000}"/>
    <cellStyle name="Normal 3 2 7" xfId="23445" xr:uid="{00000000-0005-0000-0000-00009B5B0000}"/>
    <cellStyle name="Normal 3 2 7 2" xfId="23446" xr:uid="{00000000-0005-0000-0000-00009C5B0000}"/>
    <cellStyle name="Normal 3 2 70" xfId="23447" xr:uid="{00000000-0005-0000-0000-00009D5B0000}"/>
    <cellStyle name="Normal 3 2 71" xfId="23448" xr:uid="{00000000-0005-0000-0000-00009E5B0000}"/>
    <cellStyle name="Normal 3 2 72" xfId="23449" xr:uid="{00000000-0005-0000-0000-00009F5B0000}"/>
    <cellStyle name="Normal 3 2 8" xfId="23450" xr:uid="{00000000-0005-0000-0000-0000A05B0000}"/>
    <cellStyle name="Normal 3 2 8 2" xfId="23451" xr:uid="{00000000-0005-0000-0000-0000A15B0000}"/>
    <cellStyle name="Normal 3 2 9" xfId="23452" xr:uid="{00000000-0005-0000-0000-0000A25B0000}"/>
    <cellStyle name="Normal 3 2 9 2" xfId="23453" xr:uid="{00000000-0005-0000-0000-0000A35B0000}"/>
    <cellStyle name="Normal 3 20" xfId="23454" xr:uid="{00000000-0005-0000-0000-0000A45B0000}"/>
    <cellStyle name="Normal 3 20 2" xfId="23455" xr:uid="{00000000-0005-0000-0000-0000A55B0000}"/>
    <cellStyle name="Normal 3 21" xfId="23456" xr:uid="{00000000-0005-0000-0000-0000A65B0000}"/>
    <cellStyle name="Normal 3 21 2" xfId="23457" xr:uid="{00000000-0005-0000-0000-0000A75B0000}"/>
    <cellStyle name="Normal 3 22" xfId="23458" xr:uid="{00000000-0005-0000-0000-0000A85B0000}"/>
    <cellStyle name="Normal 3 22 2" xfId="23459" xr:uid="{00000000-0005-0000-0000-0000A95B0000}"/>
    <cellStyle name="Normal 3 23" xfId="23460" xr:uid="{00000000-0005-0000-0000-0000AA5B0000}"/>
    <cellStyle name="Normal 3 23 2" xfId="23461" xr:uid="{00000000-0005-0000-0000-0000AB5B0000}"/>
    <cellStyle name="Normal 3 24" xfId="23462" xr:uid="{00000000-0005-0000-0000-0000AC5B0000}"/>
    <cellStyle name="Normal 3 24 2" xfId="23463" xr:uid="{00000000-0005-0000-0000-0000AD5B0000}"/>
    <cellStyle name="Normal 3 25" xfId="23464" xr:uid="{00000000-0005-0000-0000-0000AE5B0000}"/>
    <cellStyle name="Normal 3 25 2" xfId="23465" xr:uid="{00000000-0005-0000-0000-0000AF5B0000}"/>
    <cellStyle name="Normal 3 26" xfId="23466" xr:uid="{00000000-0005-0000-0000-0000B05B0000}"/>
    <cellStyle name="Normal 3 26 2" xfId="23467" xr:uid="{00000000-0005-0000-0000-0000B15B0000}"/>
    <cellStyle name="Normal 3 27" xfId="23468" xr:uid="{00000000-0005-0000-0000-0000B25B0000}"/>
    <cellStyle name="Normal 3 27 2" xfId="23469" xr:uid="{00000000-0005-0000-0000-0000B35B0000}"/>
    <cellStyle name="Normal 3 28" xfId="23470" xr:uid="{00000000-0005-0000-0000-0000B45B0000}"/>
    <cellStyle name="Normal 3 28 2" xfId="23471" xr:uid="{00000000-0005-0000-0000-0000B55B0000}"/>
    <cellStyle name="Normal 3 29" xfId="23472" xr:uid="{00000000-0005-0000-0000-0000B65B0000}"/>
    <cellStyle name="Normal 3 29 2" xfId="23473" xr:uid="{00000000-0005-0000-0000-0000B75B0000}"/>
    <cellStyle name="Normal 3 3" xfId="23474" xr:uid="{00000000-0005-0000-0000-0000B85B0000}"/>
    <cellStyle name="Normal 3 3 2" xfId="23475" xr:uid="{00000000-0005-0000-0000-0000B95B0000}"/>
    <cellStyle name="Normal 3 3 2 2" xfId="23476" xr:uid="{00000000-0005-0000-0000-0000BA5B0000}"/>
    <cellStyle name="Normal 3 3 2 2 2" xfId="23477" xr:uid="{00000000-0005-0000-0000-0000BB5B0000}"/>
    <cellStyle name="Normal 3 3 2 3" xfId="23478" xr:uid="{00000000-0005-0000-0000-0000BC5B0000}"/>
    <cellStyle name="Normal 3 3 3" xfId="23479" xr:uid="{00000000-0005-0000-0000-0000BD5B0000}"/>
    <cellStyle name="Normal 3 3 3 2" xfId="23480" xr:uid="{00000000-0005-0000-0000-0000BE5B0000}"/>
    <cellStyle name="Normal 3 3 4" xfId="23481" xr:uid="{00000000-0005-0000-0000-0000BF5B0000}"/>
    <cellStyle name="Normal 3 3 4 2" xfId="23482" xr:uid="{00000000-0005-0000-0000-0000C05B0000}"/>
    <cellStyle name="Normal 3 3 5" xfId="23483" xr:uid="{00000000-0005-0000-0000-0000C15B0000}"/>
    <cellStyle name="Normal 3 30" xfId="23484" xr:uid="{00000000-0005-0000-0000-0000C25B0000}"/>
    <cellStyle name="Normal 3 30 2" xfId="23485" xr:uid="{00000000-0005-0000-0000-0000C35B0000}"/>
    <cellStyle name="Normal 3 31" xfId="23486" xr:uid="{00000000-0005-0000-0000-0000C45B0000}"/>
    <cellStyle name="Normal 3 31 2" xfId="23487" xr:uid="{00000000-0005-0000-0000-0000C55B0000}"/>
    <cellStyle name="Normal 3 32" xfId="23488" xr:uid="{00000000-0005-0000-0000-0000C65B0000}"/>
    <cellStyle name="Normal 3 32 2" xfId="23489" xr:uid="{00000000-0005-0000-0000-0000C75B0000}"/>
    <cellStyle name="Normal 3 33" xfId="23490" xr:uid="{00000000-0005-0000-0000-0000C85B0000}"/>
    <cellStyle name="Normal 3 33 2" xfId="23491" xr:uid="{00000000-0005-0000-0000-0000C95B0000}"/>
    <cellStyle name="Normal 3 34" xfId="23492" xr:uid="{00000000-0005-0000-0000-0000CA5B0000}"/>
    <cellStyle name="Normal 3 34 2" xfId="23493" xr:uid="{00000000-0005-0000-0000-0000CB5B0000}"/>
    <cellStyle name="Normal 3 35" xfId="23494" xr:uid="{00000000-0005-0000-0000-0000CC5B0000}"/>
    <cellStyle name="Normal 3 35 2" xfId="23495" xr:uid="{00000000-0005-0000-0000-0000CD5B0000}"/>
    <cellStyle name="Normal 3 36" xfId="23496" xr:uid="{00000000-0005-0000-0000-0000CE5B0000}"/>
    <cellStyle name="Normal 3 36 2" xfId="23497" xr:uid="{00000000-0005-0000-0000-0000CF5B0000}"/>
    <cellStyle name="Normal 3 37" xfId="23498" xr:uid="{00000000-0005-0000-0000-0000D05B0000}"/>
    <cellStyle name="Normal 3 37 2" xfId="23499" xr:uid="{00000000-0005-0000-0000-0000D15B0000}"/>
    <cellStyle name="Normal 3 38" xfId="23500" xr:uid="{00000000-0005-0000-0000-0000D25B0000}"/>
    <cellStyle name="Normal 3 38 2" xfId="23501" xr:uid="{00000000-0005-0000-0000-0000D35B0000}"/>
    <cellStyle name="Normal 3 39" xfId="23502" xr:uid="{00000000-0005-0000-0000-0000D45B0000}"/>
    <cellStyle name="Normal 3 39 2" xfId="23503" xr:uid="{00000000-0005-0000-0000-0000D55B0000}"/>
    <cellStyle name="Normal 3 4" xfId="23504" xr:uid="{00000000-0005-0000-0000-0000D65B0000}"/>
    <cellStyle name="Normal 3 4 2" xfId="23505" xr:uid="{00000000-0005-0000-0000-0000D75B0000}"/>
    <cellStyle name="Normal 3 4 2 2" xfId="23506" xr:uid="{00000000-0005-0000-0000-0000D85B0000}"/>
    <cellStyle name="Normal 3 4 2 2 2" xfId="23507" xr:uid="{00000000-0005-0000-0000-0000D95B0000}"/>
    <cellStyle name="Normal 3 4 2 3" xfId="23508" xr:uid="{00000000-0005-0000-0000-0000DA5B0000}"/>
    <cellStyle name="Normal 3 4 3" xfId="23509" xr:uid="{00000000-0005-0000-0000-0000DB5B0000}"/>
    <cellStyle name="Normal 3 4 3 2" xfId="23510" xr:uid="{00000000-0005-0000-0000-0000DC5B0000}"/>
    <cellStyle name="Normal 3 4 4" xfId="23511" xr:uid="{00000000-0005-0000-0000-0000DD5B0000}"/>
    <cellStyle name="Normal 3 4 4 2" xfId="23512" xr:uid="{00000000-0005-0000-0000-0000DE5B0000}"/>
    <cellStyle name="Normal 3 4 5" xfId="23513" xr:uid="{00000000-0005-0000-0000-0000DF5B0000}"/>
    <cellStyle name="Normal 3 40" xfId="23514" xr:uid="{00000000-0005-0000-0000-0000E05B0000}"/>
    <cellStyle name="Normal 3 40 2" xfId="23515" xr:uid="{00000000-0005-0000-0000-0000E15B0000}"/>
    <cellStyle name="Normal 3 41" xfId="23516" xr:uid="{00000000-0005-0000-0000-0000E25B0000}"/>
    <cellStyle name="Normal 3 41 2" xfId="23517" xr:uid="{00000000-0005-0000-0000-0000E35B0000}"/>
    <cellStyle name="Normal 3 42" xfId="23518" xr:uid="{00000000-0005-0000-0000-0000E45B0000}"/>
    <cellStyle name="Normal 3 42 2" xfId="23519" xr:uid="{00000000-0005-0000-0000-0000E55B0000}"/>
    <cellStyle name="Normal 3 43" xfId="23520" xr:uid="{00000000-0005-0000-0000-0000E65B0000}"/>
    <cellStyle name="Normal 3 43 2" xfId="23521" xr:uid="{00000000-0005-0000-0000-0000E75B0000}"/>
    <cellStyle name="Normal 3 44" xfId="23522" xr:uid="{00000000-0005-0000-0000-0000E85B0000}"/>
    <cellStyle name="Normal 3 44 2" xfId="23523" xr:uid="{00000000-0005-0000-0000-0000E95B0000}"/>
    <cellStyle name="Normal 3 45" xfId="23524" xr:uid="{00000000-0005-0000-0000-0000EA5B0000}"/>
    <cellStyle name="Normal 3 45 2" xfId="23525" xr:uid="{00000000-0005-0000-0000-0000EB5B0000}"/>
    <cellStyle name="Normal 3 46" xfId="23526" xr:uid="{00000000-0005-0000-0000-0000EC5B0000}"/>
    <cellStyle name="Normal 3 46 2" xfId="23527" xr:uid="{00000000-0005-0000-0000-0000ED5B0000}"/>
    <cellStyle name="Normal 3 47" xfId="23528" xr:uid="{00000000-0005-0000-0000-0000EE5B0000}"/>
    <cellStyle name="Normal 3 47 2" xfId="23529" xr:uid="{00000000-0005-0000-0000-0000EF5B0000}"/>
    <cellStyle name="Normal 3 48" xfId="23530" xr:uid="{00000000-0005-0000-0000-0000F05B0000}"/>
    <cellStyle name="Normal 3 48 2" xfId="23531" xr:uid="{00000000-0005-0000-0000-0000F15B0000}"/>
    <cellStyle name="Normal 3 49" xfId="23532" xr:uid="{00000000-0005-0000-0000-0000F25B0000}"/>
    <cellStyle name="Normal 3 49 2" xfId="23533" xr:uid="{00000000-0005-0000-0000-0000F35B0000}"/>
    <cellStyle name="Normal 3 5" xfId="23534" xr:uid="{00000000-0005-0000-0000-0000F45B0000}"/>
    <cellStyle name="Normal 3 5 2" xfId="23535" xr:uid="{00000000-0005-0000-0000-0000F55B0000}"/>
    <cellStyle name="Normal 3 5 2 2" xfId="23536" xr:uid="{00000000-0005-0000-0000-0000F65B0000}"/>
    <cellStyle name="Normal 3 5 3" xfId="23537" xr:uid="{00000000-0005-0000-0000-0000F75B0000}"/>
    <cellStyle name="Normal 3 50" xfId="23538" xr:uid="{00000000-0005-0000-0000-0000F85B0000}"/>
    <cellStyle name="Normal 3 50 2" xfId="23539" xr:uid="{00000000-0005-0000-0000-0000F95B0000}"/>
    <cellStyle name="Normal 3 51" xfId="23540" xr:uid="{00000000-0005-0000-0000-0000FA5B0000}"/>
    <cellStyle name="Normal 3 51 2" xfId="23541" xr:uid="{00000000-0005-0000-0000-0000FB5B0000}"/>
    <cellStyle name="Normal 3 52" xfId="23542" xr:uid="{00000000-0005-0000-0000-0000FC5B0000}"/>
    <cellStyle name="Normal 3 52 2" xfId="23543" xr:uid="{00000000-0005-0000-0000-0000FD5B0000}"/>
    <cellStyle name="Normal 3 53" xfId="23544" xr:uid="{00000000-0005-0000-0000-0000FE5B0000}"/>
    <cellStyle name="Normal 3 53 2" xfId="23545" xr:uid="{00000000-0005-0000-0000-0000FF5B0000}"/>
    <cellStyle name="Normal 3 54" xfId="23546" xr:uid="{00000000-0005-0000-0000-0000005C0000}"/>
    <cellStyle name="Normal 3 54 2" xfId="23547" xr:uid="{00000000-0005-0000-0000-0000015C0000}"/>
    <cellStyle name="Normal 3 55" xfId="23548" xr:uid="{00000000-0005-0000-0000-0000025C0000}"/>
    <cellStyle name="Normal 3 55 2" xfId="23549" xr:uid="{00000000-0005-0000-0000-0000035C0000}"/>
    <cellStyle name="Normal 3 56" xfId="23550" xr:uid="{00000000-0005-0000-0000-0000045C0000}"/>
    <cellStyle name="Normal 3 56 2" xfId="23551" xr:uid="{00000000-0005-0000-0000-0000055C0000}"/>
    <cellStyle name="Normal 3 57" xfId="23552" xr:uid="{00000000-0005-0000-0000-0000065C0000}"/>
    <cellStyle name="Normal 3 57 2" xfId="23553" xr:uid="{00000000-0005-0000-0000-0000075C0000}"/>
    <cellStyle name="Normal 3 58" xfId="23554" xr:uid="{00000000-0005-0000-0000-0000085C0000}"/>
    <cellStyle name="Normal 3 58 2" xfId="23555" xr:uid="{00000000-0005-0000-0000-0000095C0000}"/>
    <cellStyle name="Normal 3 59" xfId="23556" xr:uid="{00000000-0005-0000-0000-00000A5C0000}"/>
    <cellStyle name="Normal 3 59 2" xfId="23557" xr:uid="{00000000-0005-0000-0000-00000B5C0000}"/>
    <cellStyle name="Normal 3 6" xfId="23558" xr:uid="{00000000-0005-0000-0000-00000C5C0000}"/>
    <cellStyle name="Normal 3 6 2" xfId="23559" xr:uid="{00000000-0005-0000-0000-00000D5C0000}"/>
    <cellStyle name="Normal 3 6 2 2" xfId="23560" xr:uid="{00000000-0005-0000-0000-00000E5C0000}"/>
    <cellStyle name="Normal 3 6 3" xfId="23561" xr:uid="{00000000-0005-0000-0000-00000F5C0000}"/>
    <cellStyle name="Normal 3 60" xfId="23562" xr:uid="{00000000-0005-0000-0000-0000105C0000}"/>
    <cellStyle name="Normal 3 60 2" xfId="23563" xr:uid="{00000000-0005-0000-0000-0000115C0000}"/>
    <cellStyle name="Normal 3 61" xfId="23564" xr:uid="{00000000-0005-0000-0000-0000125C0000}"/>
    <cellStyle name="Normal 3 61 2" xfId="23565" xr:uid="{00000000-0005-0000-0000-0000135C0000}"/>
    <cellStyle name="Normal 3 62" xfId="23566" xr:uid="{00000000-0005-0000-0000-0000145C0000}"/>
    <cellStyle name="Normal 3 62 2" xfId="23567" xr:uid="{00000000-0005-0000-0000-0000155C0000}"/>
    <cellStyle name="Normal 3 63" xfId="23568" xr:uid="{00000000-0005-0000-0000-0000165C0000}"/>
    <cellStyle name="Normal 3 63 2" xfId="23569" xr:uid="{00000000-0005-0000-0000-0000175C0000}"/>
    <cellStyle name="Normal 3 64" xfId="23570" xr:uid="{00000000-0005-0000-0000-0000185C0000}"/>
    <cellStyle name="Normal 3 64 2" xfId="23571" xr:uid="{00000000-0005-0000-0000-0000195C0000}"/>
    <cellStyle name="Normal 3 65" xfId="23572" xr:uid="{00000000-0005-0000-0000-00001A5C0000}"/>
    <cellStyle name="Normal 3 65 2" xfId="23573" xr:uid="{00000000-0005-0000-0000-00001B5C0000}"/>
    <cellStyle name="Normal 3 66" xfId="23574" xr:uid="{00000000-0005-0000-0000-00001C5C0000}"/>
    <cellStyle name="Normal 3 66 2" xfId="23575" xr:uid="{00000000-0005-0000-0000-00001D5C0000}"/>
    <cellStyle name="Normal 3 67" xfId="23576" xr:uid="{00000000-0005-0000-0000-00001E5C0000}"/>
    <cellStyle name="Normal 3 67 2" xfId="23577" xr:uid="{00000000-0005-0000-0000-00001F5C0000}"/>
    <cellStyle name="Normal 3 68" xfId="23578" xr:uid="{00000000-0005-0000-0000-0000205C0000}"/>
    <cellStyle name="Normal 3 68 2" xfId="23579" xr:uid="{00000000-0005-0000-0000-0000215C0000}"/>
    <cellStyle name="Normal 3 69" xfId="23580" xr:uid="{00000000-0005-0000-0000-0000225C0000}"/>
    <cellStyle name="Normal 3 69 2" xfId="23581" xr:uid="{00000000-0005-0000-0000-0000235C0000}"/>
    <cellStyle name="Normal 3 7" xfId="23582" xr:uid="{00000000-0005-0000-0000-0000245C0000}"/>
    <cellStyle name="Normal 3 7 2" xfId="23583" xr:uid="{00000000-0005-0000-0000-0000255C0000}"/>
    <cellStyle name="Normal 3 70" xfId="23584" xr:uid="{00000000-0005-0000-0000-0000265C0000}"/>
    <cellStyle name="Normal 3 70 2" xfId="23585" xr:uid="{00000000-0005-0000-0000-0000275C0000}"/>
    <cellStyle name="Normal 3 71" xfId="23586" xr:uid="{00000000-0005-0000-0000-0000285C0000}"/>
    <cellStyle name="Normal 3 72" xfId="23587" xr:uid="{00000000-0005-0000-0000-0000295C0000}"/>
    <cellStyle name="Normal 3 73" xfId="23588" xr:uid="{00000000-0005-0000-0000-00002A5C0000}"/>
    <cellStyle name="Normal 3 8" xfId="23589" xr:uid="{00000000-0005-0000-0000-00002B5C0000}"/>
    <cellStyle name="Normal 3 8 2" xfId="23590" xr:uid="{00000000-0005-0000-0000-00002C5C0000}"/>
    <cellStyle name="Normal 3 9" xfId="23591" xr:uid="{00000000-0005-0000-0000-00002D5C0000}"/>
    <cellStyle name="Normal 3 9 2" xfId="23592" xr:uid="{00000000-0005-0000-0000-00002E5C0000}"/>
    <cellStyle name="Normal 30" xfId="23593" xr:uid="{00000000-0005-0000-0000-00002F5C0000}"/>
    <cellStyle name="Normal 30 2" xfId="23594" xr:uid="{00000000-0005-0000-0000-0000305C0000}"/>
    <cellStyle name="Normal 31" xfId="23595" xr:uid="{00000000-0005-0000-0000-0000315C0000}"/>
    <cellStyle name="Normal 31 2" xfId="23596" xr:uid="{00000000-0005-0000-0000-0000325C0000}"/>
    <cellStyle name="Normal 32" xfId="23597" xr:uid="{00000000-0005-0000-0000-0000335C0000}"/>
    <cellStyle name="Normal 33" xfId="23598" xr:uid="{00000000-0005-0000-0000-0000345C0000}"/>
    <cellStyle name="Normal 33 2" xfId="23599" xr:uid="{00000000-0005-0000-0000-0000355C0000}"/>
    <cellStyle name="Normal 34" xfId="23600" xr:uid="{00000000-0005-0000-0000-0000365C0000}"/>
    <cellStyle name="Normal 34 2" xfId="23601" xr:uid="{00000000-0005-0000-0000-0000375C0000}"/>
    <cellStyle name="Normal 35" xfId="23602" xr:uid="{00000000-0005-0000-0000-0000385C0000}"/>
    <cellStyle name="Normal 35 2" xfId="23603" xr:uid="{00000000-0005-0000-0000-0000395C0000}"/>
    <cellStyle name="Normal 36" xfId="23604" xr:uid="{00000000-0005-0000-0000-00003A5C0000}"/>
    <cellStyle name="Normal 36 2" xfId="23605" xr:uid="{00000000-0005-0000-0000-00003B5C0000}"/>
    <cellStyle name="Normal 37" xfId="23606" xr:uid="{00000000-0005-0000-0000-00003C5C0000}"/>
    <cellStyle name="Normal 37 2" xfId="23607" xr:uid="{00000000-0005-0000-0000-00003D5C0000}"/>
    <cellStyle name="Normal 37 3" xfId="23608" xr:uid="{00000000-0005-0000-0000-00003E5C0000}"/>
    <cellStyle name="Normal 38" xfId="23609" xr:uid="{00000000-0005-0000-0000-00003F5C0000}"/>
    <cellStyle name="Normal 38 2" xfId="23610" xr:uid="{00000000-0005-0000-0000-0000405C0000}"/>
    <cellStyle name="Normal 39" xfId="23611" xr:uid="{00000000-0005-0000-0000-0000415C0000}"/>
    <cellStyle name="Normal 39 2" xfId="23612" xr:uid="{00000000-0005-0000-0000-0000425C0000}"/>
    <cellStyle name="Normal 4" xfId="23613" xr:uid="{00000000-0005-0000-0000-0000435C0000}"/>
    <cellStyle name="Normal 4 10" xfId="23614" xr:uid="{00000000-0005-0000-0000-0000445C0000}"/>
    <cellStyle name="Normal 4 11" xfId="23615" xr:uid="{00000000-0005-0000-0000-0000455C0000}"/>
    <cellStyle name="Normal 4 12" xfId="23616" xr:uid="{00000000-0005-0000-0000-0000465C0000}"/>
    <cellStyle name="Normal 4 13" xfId="23617" xr:uid="{00000000-0005-0000-0000-0000475C0000}"/>
    <cellStyle name="Normal 4 14" xfId="23618" xr:uid="{00000000-0005-0000-0000-0000485C0000}"/>
    <cellStyle name="Normal 4 15" xfId="23619" xr:uid="{00000000-0005-0000-0000-0000495C0000}"/>
    <cellStyle name="Normal 4 16" xfId="23620" xr:uid="{00000000-0005-0000-0000-00004A5C0000}"/>
    <cellStyle name="Normal 4 17" xfId="23621" xr:uid="{00000000-0005-0000-0000-00004B5C0000}"/>
    <cellStyle name="Normal 4 18" xfId="23622" xr:uid="{00000000-0005-0000-0000-00004C5C0000}"/>
    <cellStyle name="Normal 4 19" xfId="23623" xr:uid="{00000000-0005-0000-0000-00004D5C0000}"/>
    <cellStyle name="Normal 4 2" xfId="23624" xr:uid="{00000000-0005-0000-0000-00004E5C0000}"/>
    <cellStyle name="Normal 4 2 2" xfId="23625" xr:uid="{00000000-0005-0000-0000-00004F5C0000}"/>
    <cellStyle name="Normal 4 2 2 2" xfId="23626" xr:uid="{00000000-0005-0000-0000-0000505C0000}"/>
    <cellStyle name="Normal 4 2 2 2 2" xfId="23627" xr:uid="{00000000-0005-0000-0000-0000515C0000}"/>
    <cellStyle name="Normal 4 2 2 3" xfId="23628" xr:uid="{00000000-0005-0000-0000-0000525C0000}"/>
    <cellStyle name="Normal 4 2 2 4" xfId="23629" xr:uid="{00000000-0005-0000-0000-0000535C0000}"/>
    <cellStyle name="Normal 4 2 2 5" xfId="23630" xr:uid="{00000000-0005-0000-0000-0000545C0000}"/>
    <cellStyle name="Normal 4 2 2 6" xfId="23631" xr:uid="{00000000-0005-0000-0000-0000555C0000}"/>
    <cellStyle name="Normal 4 2 2 7" xfId="23632" xr:uid="{00000000-0005-0000-0000-0000565C0000}"/>
    <cellStyle name="Normal 4 2 2 8" xfId="23633" xr:uid="{00000000-0005-0000-0000-0000575C0000}"/>
    <cellStyle name="Normal 4 2 3" xfId="23634" xr:uid="{00000000-0005-0000-0000-0000585C0000}"/>
    <cellStyle name="Normal 4 2 4" xfId="23635" xr:uid="{00000000-0005-0000-0000-0000595C0000}"/>
    <cellStyle name="Normal 4 2 5" xfId="23636" xr:uid="{00000000-0005-0000-0000-00005A5C0000}"/>
    <cellStyle name="Normal 4 2 6" xfId="23637" xr:uid="{00000000-0005-0000-0000-00005B5C0000}"/>
    <cellStyle name="Normal 4 2 7" xfId="23638" xr:uid="{00000000-0005-0000-0000-00005C5C0000}"/>
    <cellStyle name="Normal 4 2 8" xfId="23639" xr:uid="{00000000-0005-0000-0000-00005D5C0000}"/>
    <cellStyle name="Normal 4 20" xfId="23640" xr:uid="{00000000-0005-0000-0000-00005E5C0000}"/>
    <cellStyle name="Normal 4 21" xfId="23641" xr:uid="{00000000-0005-0000-0000-00005F5C0000}"/>
    <cellStyle name="Normal 4 22" xfId="23642" xr:uid="{00000000-0005-0000-0000-0000605C0000}"/>
    <cellStyle name="Normal 4 23" xfId="23643" xr:uid="{00000000-0005-0000-0000-0000615C0000}"/>
    <cellStyle name="Normal 4 24" xfId="23644" xr:uid="{00000000-0005-0000-0000-0000625C0000}"/>
    <cellStyle name="Normal 4 25" xfId="23645" xr:uid="{00000000-0005-0000-0000-0000635C0000}"/>
    <cellStyle name="Normal 4 26" xfId="23646" xr:uid="{00000000-0005-0000-0000-0000645C0000}"/>
    <cellStyle name="Normal 4 27" xfId="23647" xr:uid="{00000000-0005-0000-0000-0000655C0000}"/>
    <cellStyle name="Normal 4 28" xfId="23648" xr:uid="{00000000-0005-0000-0000-0000665C0000}"/>
    <cellStyle name="Normal 4 29" xfId="23649" xr:uid="{00000000-0005-0000-0000-0000675C0000}"/>
    <cellStyle name="Normal 4 3" xfId="23650" xr:uid="{00000000-0005-0000-0000-0000685C0000}"/>
    <cellStyle name="Normal 4 3 2" xfId="23651" xr:uid="{00000000-0005-0000-0000-0000695C0000}"/>
    <cellStyle name="Normal 4 30" xfId="23652" xr:uid="{00000000-0005-0000-0000-00006A5C0000}"/>
    <cellStyle name="Normal 4 31" xfId="23653" xr:uid="{00000000-0005-0000-0000-00006B5C0000}"/>
    <cellStyle name="Normal 4 32" xfId="23654" xr:uid="{00000000-0005-0000-0000-00006C5C0000}"/>
    <cellStyle name="Normal 4 33" xfId="23655" xr:uid="{00000000-0005-0000-0000-00006D5C0000}"/>
    <cellStyle name="Normal 4 34" xfId="23656" xr:uid="{00000000-0005-0000-0000-00006E5C0000}"/>
    <cellStyle name="Normal 4 35" xfId="23657" xr:uid="{00000000-0005-0000-0000-00006F5C0000}"/>
    <cellStyle name="Normal 4 36" xfId="23658" xr:uid="{00000000-0005-0000-0000-0000705C0000}"/>
    <cellStyle name="Normal 4 37" xfId="23659" xr:uid="{00000000-0005-0000-0000-0000715C0000}"/>
    <cellStyle name="Normal 4 38" xfId="23660" xr:uid="{00000000-0005-0000-0000-0000725C0000}"/>
    <cellStyle name="Normal 4 39" xfId="23661" xr:uid="{00000000-0005-0000-0000-0000735C0000}"/>
    <cellStyle name="Normal 4 4" xfId="23662" xr:uid="{00000000-0005-0000-0000-0000745C0000}"/>
    <cellStyle name="Normal 4 4 2" xfId="23663" xr:uid="{00000000-0005-0000-0000-0000755C0000}"/>
    <cellStyle name="Normal 4 40" xfId="23664" xr:uid="{00000000-0005-0000-0000-0000765C0000}"/>
    <cellStyle name="Normal 4 41" xfId="23665" xr:uid="{00000000-0005-0000-0000-0000775C0000}"/>
    <cellStyle name="Normal 4 42" xfId="23666" xr:uid="{00000000-0005-0000-0000-0000785C0000}"/>
    <cellStyle name="Normal 4 43" xfId="23667" xr:uid="{00000000-0005-0000-0000-0000795C0000}"/>
    <cellStyle name="Normal 4 44" xfId="23668" xr:uid="{00000000-0005-0000-0000-00007A5C0000}"/>
    <cellStyle name="Normal 4 45" xfId="23669" xr:uid="{00000000-0005-0000-0000-00007B5C0000}"/>
    <cellStyle name="Normal 4 46" xfId="23670" xr:uid="{00000000-0005-0000-0000-00007C5C0000}"/>
    <cellStyle name="Normal 4 47" xfId="23671" xr:uid="{00000000-0005-0000-0000-00007D5C0000}"/>
    <cellStyle name="Normal 4 48" xfId="23672" xr:uid="{00000000-0005-0000-0000-00007E5C0000}"/>
    <cellStyle name="Normal 4 49" xfId="23673" xr:uid="{00000000-0005-0000-0000-00007F5C0000}"/>
    <cellStyle name="Normal 4 5" xfId="23674" xr:uid="{00000000-0005-0000-0000-0000805C0000}"/>
    <cellStyle name="Normal 4 5 2" xfId="23675" xr:uid="{00000000-0005-0000-0000-0000815C0000}"/>
    <cellStyle name="Normal 4 50" xfId="23676" xr:uid="{00000000-0005-0000-0000-0000825C0000}"/>
    <cellStyle name="Normal 4 51" xfId="23677" xr:uid="{00000000-0005-0000-0000-0000835C0000}"/>
    <cellStyle name="Normal 4 52" xfId="23678" xr:uid="{00000000-0005-0000-0000-0000845C0000}"/>
    <cellStyle name="Normal 4 53" xfId="23679" xr:uid="{00000000-0005-0000-0000-0000855C0000}"/>
    <cellStyle name="Normal 4 54" xfId="23680" xr:uid="{00000000-0005-0000-0000-0000865C0000}"/>
    <cellStyle name="Normal 4 55" xfId="23681" xr:uid="{00000000-0005-0000-0000-0000875C0000}"/>
    <cellStyle name="Normal 4 56" xfId="23682" xr:uid="{00000000-0005-0000-0000-0000885C0000}"/>
    <cellStyle name="Normal 4 57" xfId="23683" xr:uid="{00000000-0005-0000-0000-0000895C0000}"/>
    <cellStyle name="Normal 4 58" xfId="23684" xr:uid="{00000000-0005-0000-0000-00008A5C0000}"/>
    <cellStyle name="Normal 4 59" xfId="23685" xr:uid="{00000000-0005-0000-0000-00008B5C0000}"/>
    <cellStyle name="Normal 4 6" xfId="23686" xr:uid="{00000000-0005-0000-0000-00008C5C0000}"/>
    <cellStyle name="Normal 4 60" xfId="23687" xr:uid="{00000000-0005-0000-0000-00008D5C0000}"/>
    <cellStyle name="Normal 4 61" xfId="23688" xr:uid="{00000000-0005-0000-0000-00008E5C0000}"/>
    <cellStyle name="Normal 4 62" xfId="23689" xr:uid="{00000000-0005-0000-0000-00008F5C0000}"/>
    <cellStyle name="Normal 4 63" xfId="23690" xr:uid="{00000000-0005-0000-0000-0000905C0000}"/>
    <cellStyle name="Normal 4 64" xfId="23691" xr:uid="{00000000-0005-0000-0000-0000915C0000}"/>
    <cellStyle name="Normal 4 65" xfId="23692" xr:uid="{00000000-0005-0000-0000-0000925C0000}"/>
    <cellStyle name="Normal 4 66" xfId="23693" xr:uid="{00000000-0005-0000-0000-0000935C0000}"/>
    <cellStyle name="Normal 4 67" xfId="23694" xr:uid="{00000000-0005-0000-0000-0000945C0000}"/>
    <cellStyle name="Normal 4 68" xfId="23695" xr:uid="{00000000-0005-0000-0000-0000955C0000}"/>
    <cellStyle name="Normal 4 69" xfId="23696" xr:uid="{00000000-0005-0000-0000-0000965C0000}"/>
    <cellStyle name="Normal 4 7" xfId="23697" xr:uid="{00000000-0005-0000-0000-0000975C0000}"/>
    <cellStyle name="Normal 4 70" xfId="23698" xr:uid="{00000000-0005-0000-0000-0000985C0000}"/>
    <cellStyle name="Normal 4 8" xfId="23699" xr:uid="{00000000-0005-0000-0000-0000995C0000}"/>
    <cellStyle name="Normal 4 9" xfId="23700" xr:uid="{00000000-0005-0000-0000-00009A5C0000}"/>
    <cellStyle name="Normal 40" xfId="23701" xr:uid="{00000000-0005-0000-0000-00009B5C0000}"/>
    <cellStyle name="Normal 40 2" xfId="23702" xr:uid="{00000000-0005-0000-0000-00009C5C0000}"/>
    <cellStyle name="Normal 41" xfId="23703" xr:uid="{00000000-0005-0000-0000-00009D5C0000}"/>
    <cellStyle name="Normal 41 2" xfId="23704" xr:uid="{00000000-0005-0000-0000-00009E5C0000}"/>
    <cellStyle name="Normal 42" xfId="23705" xr:uid="{00000000-0005-0000-0000-00009F5C0000}"/>
    <cellStyle name="Normal 42 2" xfId="23706" xr:uid="{00000000-0005-0000-0000-0000A05C0000}"/>
    <cellStyle name="Normal 43" xfId="23707" xr:uid="{00000000-0005-0000-0000-0000A15C0000}"/>
    <cellStyle name="Normal 43 2" xfId="23708" xr:uid="{00000000-0005-0000-0000-0000A25C0000}"/>
    <cellStyle name="Normal 44" xfId="23709" xr:uid="{00000000-0005-0000-0000-0000A35C0000}"/>
    <cellStyle name="Normal 44 2" xfId="23710" xr:uid="{00000000-0005-0000-0000-0000A45C0000}"/>
    <cellStyle name="Normal 45" xfId="23711" xr:uid="{00000000-0005-0000-0000-0000A55C0000}"/>
    <cellStyle name="Normal 45 2" xfId="23712" xr:uid="{00000000-0005-0000-0000-0000A65C0000}"/>
    <cellStyle name="Normal 46" xfId="23713" xr:uid="{00000000-0005-0000-0000-0000A75C0000}"/>
    <cellStyle name="Normal 46 2" xfId="23714" xr:uid="{00000000-0005-0000-0000-0000A85C0000}"/>
    <cellStyle name="Normal 47" xfId="23715" xr:uid="{00000000-0005-0000-0000-0000A95C0000}"/>
    <cellStyle name="Normal 47 2" xfId="23716" xr:uid="{00000000-0005-0000-0000-0000AA5C0000}"/>
    <cellStyle name="Normal 48" xfId="23717" xr:uid="{00000000-0005-0000-0000-0000AB5C0000}"/>
    <cellStyle name="Normal 48 2" xfId="23718" xr:uid="{00000000-0005-0000-0000-0000AC5C0000}"/>
    <cellStyle name="Normal 49" xfId="23719" xr:uid="{00000000-0005-0000-0000-0000AD5C0000}"/>
    <cellStyle name="Normal 49 2" xfId="23720" xr:uid="{00000000-0005-0000-0000-0000AE5C0000}"/>
    <cellStyle name="Normal 5" xfId="23721" xr:uid="{00000000-0005-0000-0000-0000AF5C0000}"/>
    <cellStyle name="Normal 5 10" xfId="23722" xr:uid="{00000000-0005-0000-0000-0000B05C0000}"/>
    <cellStyle name="Normal 5 10 2" xfId="23723" xr:uid="{00000000-0005-0000-0000-0000B15C0000}"/>
    <cellStyle name="Normal 5 10 2 2" xfId="23724" xr:uid="{00000000-0005-0000-0000-0000B25C0000}"/>
    <cellStyle name="Normal 5 11" xfId="23725" xr:uid="{00000000-0005-0000-0000-0000B35C0000}"/>
    <cellStyle name="Normal 5 12" xfId="23726" xr:uid="{00000000-0005-0000-0000-0000B45C0000}"/>
    <cellStyle name="Normal 5 13" xfId="23727" xr:uid="{00000000-0005-0000-0000-0000B55C0000}"/>
    <cellStyle name="Normal 5 14" xfId="23728" xr:uid="{00000000-0005-0000-0000-0000B65C0000}"/>
    <cellStyle name="Normal 5 15" xfId="23729" xr:uid="{00000000-0005-0000-0000-0000B75C0000}"/>
    <cellStyle name="Normal 5 16" xfId="23730" xr:uid="{00000000-0005-0000-0000-0000B85C0000}"/>
    <cellStyle name="Normal 5 17" xfId="23731" xr:uid="{00000000-0005-0000-0000-0000B95C0000}"/>
    <cellStyle name="Normal 5 18" xfId="23732" xr:uid="{00000000-0005-0000-0000-0000BA5C0000}"/>
    <cellStyle name="Normal 5 19" xfId="23733" xr:uid="{00000000-0005-0000-0000-0000BB5C0000}"/>
    <cellStyle name="Normal 5 2" xfId="23734" xr:uid="{00000000-0005-0000-0000-0000BC5C0000}"/>
    <cellStyle name="Normal 5 2 2" xfId="23735" xr:uid="{00000000-0005-0000-0000-0000BD5C0000}"/>
    <cellStyle name="Normal 5 2 2 2" xfId="23736" xr:uid="{00000000-0005-0000-0000-0000BE5C0000}"/>
    <cellStyle name="Normal 5 2 3" xfId="23737" xr:uid="{00000000-0005-0000-0000-0000BF5C0000}"/>
    <cellStyle name="Normal 5 2 4" xfId="23738" xr:uid="{00000000-0005-0000-0000-0000C05C0000}"/>
    <cellStyle name="Normal 5 2 5" xfId="23739" xr:uid="{00000000-0005-0000-0000-0000C15C0000}"/>
    <cellStyle name="Normal 5 2 6" xfId="23740" xr:uid="{00000000-0005-0000-0000-0000C25C0000}"/>
    <cellStyle name="Normal 5 20" xfId="23741" xr:uid="{00000000-0005-0000-0000-0000C35C0000}"/>
    <cellStyle name="Normal 5 21" xfId="23742" xr:uid="{00000000-0005-0000-0000-0000C45C0000}"/>
    <cellStyle name="Normal 5 22" xfId="23743" xr:uid="{00000000-0005-0000-0000-0000C55C0000}"/>
    <cellStyle name="Normal 5 23" xfId="23744" xr:uid="{00000000-0005-0000-0000-0000C65C0000}"/>
    <cellStyle name="Normal 5 24" xfId="23745" xr:uid="{00000000-0005-0000-0000-0000C75C0000}"/>
    <cellStyle name="Normal 5 25" xfId="23746" xr:uid="{00000000-0005-0000-0000-0000C85C0000}"/>
    <cellStyle name="Normal 5 26" xfId="23747" xr:uid="{00000000-0005-0000-0000-0000C95C0000}"/>
    <cellStyle name="Normal 5 27" xfId="23748" xr:uid="{00000000-0005-0000-0000-0000CA5C0000}"/>
    <cellStyle name="Normal 5 28" xfId="23749" xr:uid="{00000000-0005-0000-0000-0000CB5C0000}"/>
    <cellStyle name="Normal 5 29" xfId="23750" xr:uid="{00000000-0005-0000-0000-0000CC5C0000}"/>
    <cellStyle name="Normal 5 3" xfId="23751" xr:uid="{00000000-0005-0000-0000-0000CD5C0000}"/>
    <cellStyle name="Normal 5 3 2" xfId="23752" xr:uid="{00000000-0005-0000-0000-0000CE5C0000}"/>
    <cellStyle name="Normal 5 30" xfId="23753" xr:uid="{00000000-0005-0000-0000-0000CF5C0000}"/>
    <cellStyle name="Normal 5 31" xfId="23754" xr:uid="{00000000-0005-0000-0000-0000D05C0000}"/>
    <cellStyle name="Normal 5 32" xfId="23755" xr:uid="{00000000-0005-0000-0000-0000D15C0000}"/>
    <cellStyle name="Normal 5 33" xfId="23756" xr:uid="{00000000-0005-0000-0000-0000D25C0000}"/>
    <cellStyle name="Normal 5 34" xfId="23757" xr:uid="{00000000-0005-0000-0000-0000D35C0000}"/>
    <cellStyle name="Normal 5 35" xfId="23758" xr:uid="{00000000-0005-0000-0000-0000D45C0000}"/>
    <cellStyle name="Normal 5 36" xfId="23759" xr:uid="{00000000-0005-0000-0000-0000D55C0000}"/>
    <cellStyle name="Normal 5 37" xfId="23760" xr:uid="{00000000-0005-0000-0000-0000D65C0000}"/>
    <cellStyle name="Normal 5 38" xfId="23761" xr:uid="{00000000-0005-0000-0000-0000D75C0000}"/>
    <cellStyle name="Normal 5 39" xfId="23762" xr:uid="{00000000-0005-0000-0000-0000D85C0000}"/>
    <cellStyle name="Normal 5 4" xfId="23763" xr:uid="{00000000-0005-0000-0000-0000D95C0000}"/>
    <cellStyle name="Normal 5 4 2" xfId="23764" xr:uid="{00000000-0005-0000-0000-0000DA5C0000}"/>
    <cellStyle name="Normal 5 40" xfId="23765" xr:uid="{00000000-0005-0000-0000-0000DB5C0000}"/>
    <cellStyle name="Normal 5 41" xfId="23766" xr:uid="{00000000-0005-0000-0000-0000DC5C0000}"/>
    <cellStyle name="Normal 5 42" xfId="23767" xr:uid="{00000000-0005-0000-0000-0000DD5C0000}"/>
    <cellStyle name="Normal 5 43" xfId="23768" xr:uid="{00000000-0005-0000-0000-0000DE5C0000}"/>
    <cellStyle name="Normal 5 44" xfId="23769" xr:uid="{00000000-0005-0000-0000-0000DF5C0000}"/>
    <cellStyle name="Normal 5 45" xfId="23770" xr:uid="{00000000-0005-0000-0000-0000E05C0000}"/>
    <cellStyle name="Normal 5 46" xfId="23771" xr:uid="{00000000-0005-0000-0000-0000E15C0000}"/>
    <cellStyle name="Normal 5 47" xfId="23772" xr:uid="{00000000-0005-0000-0000-0000E25C0000}"/>
    <cellStyle name="Normal 5 48" xfId="23773" xr:uid="{00000000-0005-0000-0000-0000E35C0000}"/>
    <cellStyle name="Normal 5 49" xfId="23774" xr:uid="{00000000-0005-0000-0000-0000E45C0000}"/>
    <cellStyle name="Normal 5 5" xfId="23775" xr:uid="{00000000-0005-0000-0000-0000E55C0000}"/>
    <cellStyle name="Normal 5 5 2" xfId="23776" xr:uid="{00000000-0005-0000-0000-0000E65C0000}"/>
    <cellStyle name="Normal 5 50" xfId="23777" xr:uid="{00000000-0005-0000-0000-0000E75C0000}"/>
    <cellStyle name="Normal 5 51" xfId="23778" xr:uid="{00000000-0005-0000-0000-0000E85C0000}"/>
    <cellStyle name="Normal 5 52" xfId="23779" xr:uid="{00000000-0005-0000-0000-0000E95C0000}"/>
    <cellStyle name="Normal 5 53" xfId="23780" xr:uid="{00000000-0005-0000-0000-0000EA5C0000}"/>
    <cellStyle name="Normal 5 54" xfId="23781" xr:uid="{00000000-0005-0000-0000-0000EB5C0000}"/>
    <cellStyle name="Normal 5 55" xfId="23782" xr:uid="{00000000-0005-0000-0000-0000EC5C0000}"/>
    <cellStyle name="Normal 5 56" xfId="23783" xr:uid="{00000000-0005-0000-0000-0000ED5C0000}"/>
    <cellStyle name="Normal 5 57" xfId="23784" xr:uid="{00000000-0005-0000-0000-0000EE5C0000}"/>
    <cellStyle name="Normal 5 58" xfId="23785" xr:uid="{00000000-0005-0000-0000-0000EF5C0000}"/>
    <cellStyle name="Normal 5 59" xfId="23786" xr:uid="{00000000-0005-0000-0000-0000F05C0000}"/>
    <cellStyle name="Normal 5 6" xfId="23787" xr:uid="{00000000-0005-0000-0000-0000F15C0000}"/>
    <cellStyle name="Normal 5 6 2" xfId="23788" xr:uid="{00000000-0005-0000-0000-0000F25C0000}"/>
    <cellStyle name="Normal 5 6 3" xfId="23789" xr:uid="{00000000-0005-0000-0000-0000F35C0000}"/>
    <cellStyle name="Normal 5 60" xfId="23790" xr:uid="{00000000-0005-0000-0000-0000F45C0000}"/>
    <cellStyle name="Normal 5 61" xfId="23791" xr:uid="{00000000-0005-0000-0000-0000F55C0000}"/>
    <cellStyle name="Normal 5 62" xfId="23792" xr:uid="{00000000-0005-0000-0000-0000F65C0000}"/>
    <cellStyle name="Normal 5 63" xfId="23793" xr:uid="{00000000-0005-0000-0000-0000F75C0000}"/>
    <cellStyle name="Normal 5 64" xfId="23794" xr:uid="{00000000-0005-0000-0000-0000F85C0000}"/>
    <cellStyle name="Normal 5 65" xfId="23795" xr:uid="{00000000-0005-0000-0000-0000F95C0000}"/>
    <cellStyle name="Normal 5 66" xfId="23796" xr:uid="{00000000-0005-0000-0000-0000FA5C0000}"/>
    <cellStyle name="Normal 5 67" xfId="23797" xr:uid="{00000000-0005-0000-0000-0000FB5C0000}"/>
    <cellStyle name="Normal 5 68" xfId="23798" xr:uid="{00000000-0005-0000-0000-0000FC5C0000}"/>
    <cellStyle name="Normal 5 69" xfId="23799" xr:uid="{00000000-0005-0000-0000-0000FD5C0000}"/>
    <cellStyle name="Normal 5 7" xfId="23800" xr:uid="{00000000-0005-0000-0000-0000FE5C0000}"/>
    <cellStyle name="Normal 5 70" xfId="23801" xr:uid="{00000000-0005-0000-0000-0000FF5C0000}"/>
    <cellStyle name="Normal 5 71" xfId="23802" xr:uid="{00000000-0005-0000-0000-0000005D0000}"/>
    <cellStyle name="Normal 5 8" xfId="23803" xr:uid="{00000000-0005-0000-0000-0000015D0000}"/>
    <cellStyle name="Normal 5 9" xfId="23804" xr:uid="{00000000-0005-0000-0000-0000025D0000}"/>
    <cellStyle name="Normal 5_20100303 Annex 27 Part 2.1b Prices Serbia and Hungary, Core  20100410 V2.0" xfId="23805" xr:uid="{00000000-0005-0000-0000-0000035D0000}"/>
    <cellStyle name="Normal 50" xfId="23806" xr:uid="{00000000-0005-0000-0000-0000045D0000}"/>
    <cellStyle name="Normal 50 2" xfId="23807" xr:uid="{00000000-0005-0000-0000-0000055D0000}"/>
    <cellStyle name="Normal 51" xfId="23808" xr:uid="{00000000-0005-0000-0000-0000065D0000}"/>
    <cellStyle name="Normal 51 2" xfId="23809" xr:uid="{00000000-0005-0000-0000-0000075D0000}"/>
    <cellStyle name="Normal 52" xfId="23810" xr:uid="{00000000-0005-0000-0000-0000085D0000}"/>
    <cellStyle name="Normal 52 2" xfId="23811" xr:uid="{00000000-0005-0000-0000-0000095D0000}"/>
    <cellStyle name="Normal 53" xfId="23812" xr:uid="{00000000-0005-0000-0000-00000A5D0000}"/>
    <cellStyle name="Normal 53 2" xfId="23813" xr:uid="{00000000-0005-0000-0000-00000B5D0000}"/>
    <cellStyle name="Normal 54" xfId="23814" xr:uid="{00000000-0005-0000-0000-00000C5D0000}"/>
    <cellStyle name="Normal 54 2" xfId="23815" xr:uid="{00000000-0005-0000-0000-00000D5D0000}"/>
    <cellStyle name="Normal 55" xfId="23816" xr:uid="{00000000-0005-0000-0000-00000E5D0000}"/>
    <cellStyle name="Normal 55 2" xfId="23817" xr:uid="{00000000-0005-0000-0000-00000F5D0000}"/>
    <cellStyle name="Normal 56" xfId="23818" xr:uid="{00000000-0005-0000-0000-0000105D0000}"/>
    <cellStyle name="Normal 56 2" xfId="23819" xr:uid="{00000000-0005-0000-0000-0000115D0000}"/>
    <cellStyle name="Normal 57" xfId="23820" xr:uid="{00000000-0005-0000-0000-0000125D0000}"/>
    <cellStyle name="Normal 57 2" xfId="23821" xr:uid="{00000000-0005-0000-0000-0000135D0000}"/>
    <cellStyle name="Normal 58" xfId="23822" xr:uid="{00000000-0005-0000-0000-0000145D0000}"/>
    <cellStyle name="Normal 58 2" xfId="23823" xr:uid="{00000000-0005-0000-0000-0000155D0000}"/>
    <cellStyle name="Normal 59" xfId="23824" xr:uid="{00000000-0005-0000-0000-0000165D0000}"/>
    <cellStyle name="Normal 59 2" xfId="23825" xr:uid="{00000000-0005-0000-0000-0000175D0000}"/>
    <cellStyle name="Normal 6" xfId="23826" xr:uid="{00000000-0005-0000-0000-0000185D0000}"/>
    <cellStyle name="Normal 6 10" xfId="23827" xr:uid="{00000000-0005-0000-0000-0000195D0000}"/>
    <cellStyle name="Normal 6 10 2" xfId="23828" xr:uid="{00000000-0005-0000-0000-00001A5D0000}"/>
    <cellStyle name="Normal 6 11" xfId="23829" xr:uid="{00000000-0005-0000-0000-00001B5D0000}"/>
    <cellStyle name="Normal 6 11 2" xfId="23830" xr:uid="{00000000-0005-0000-0000-00001C5D0000}"/>
    <cellStyle name="Normal 6 12" xfId="23831" xr:uid="{00000000-0005-0000-0000-00001D5D0000}"/>
    <cellStyle name="Normal 6 12 2" xfId="23832" xr:uid="{00000000-0005-0000-0000-00001E5D0000}"/>
    <cellStyle name="Normal 6 13" xfId="23833" xr:uid="{00000000-0005-0000-0000-00001F5D0000}"/>
    <cellStyle name="Normal 6 13 2" xfId="23834" xr:uid="{00000000-0005-0000-0000-0000205D0000}"/>
    <cellStyle name="Normal 6 14" xfId="23835" xr:uid="{00000000-0005-0000-0000-0000215D0000}"/>
    <cellStyle name="Normal 6 14 2" xfId="23836" xr:uid="{00000000-0005-0000-0000-0000225D0000}"/>
    <cellStyle name="Normal 6 15" xfId="23837" xr:uid="{00000000-0005-0000-0000-0000235D0000}"/>
    <cellStyle name="Normal 6 15 2" xfId="23838" xr:uid="{00000000-0005-0000-0000-0000245D0000}"/>
    <cellStyle name="Normal 6 16" xfId="23839" xr:uid="{00000000-0005-0000-0000-0000255D0000}"/>
    <cellStyle name="Normal 6 16 2" xfId="23840" xr:uid="{00000000-0005-0000-0000-0000265D0000}"/>
    <cellStyle name="Normal 6 17" xfId="23841" xr:uid="{00000000-0005-0000-0000-0000275D0000}"/>
    <cellStyle name="Normal 6 17 2" xfId="23842" xr:uid="{00000000-0005-0000-0000-0000285D0000}"/>
    <cellStyle name="Normal 6 18" xfId="23843" xr:uid="{00000000-0005-0000-0000-0000295D0000}"/>
    <cellStyle name="Normal 6 18 2" xfId="23844" xr:uid="{00000000-0005-0000-0000-00002A5D0000}"/>
    <cellStyle name="Normal 6 19" xfId="23845" xr:uid="{00000000-0005-0000-0000-00002B5D0000}"/>
    <cellStyle name="Normal 6 19 2" xfId="23846" xr:uid="{00000000-0005-0000-0000-00002C5D0000}"/>
    <cellStyle name="Normal 6 2" xfId="23847" xr:uid="{00000000-0005-0000-0000-00002D5D0000}"/>
    <cellStyle name="Normal 6 2 2" xfId="23848" xr:uid="{00000000-0005-0000-0000-00002E5D0000}"/>
    <cellStyle name="Normal 6 2 2 2" xfId="23849" xr:uid="{00000000-0005-0000-0000-00002F5D0000}"/>
    <cellStyle name="Normal 6 2 2 2 2" xfId="23850" xr:uid="{00000000-0005-0000-0000-0000305D0000}"/>
    <cellStyle name="Normal 6 2 2 3" xfId="23851" xr:uid="{00000000-0005-0000-0000-0000315D0000}"/>
    <cellStyle name="Normal 6 2 3" xfId="23852" xr:uid="{00000000-0005-0000-0000-0000325D0000}"/>
    <cellStyle name="Normal 6 2 3 2" xfId="23853" xr:uid="{00000000-0005-0000-0000-0000335D0000}"/>
    <cellStyle name="Normal 6 2 4" xfId="23854" xr:uid="{00000000-0005-0000-0000-0000345D0000}"/>
    <cellStyle name="Normal 6 2 5" xfId="23855" xr:uid="{00000000-0005-0000-0000-0000355D0000}"/>
    <cellStyle name="Normal 6 2 6" xfId="23856" xr:uid="{00000000-0005-0000-0000-0000365D0000}"/>
    <cellStyle name="Normal 6 2 7" xfId="23857" xr:uid="{00000000-0005-0000-0000-0000375D0000}"/>
    <cellStyle name="Normal 6 2 8" xfId="23858" xr:uid="{00000000-0005-0000-0000-0000385D0000}"/>
    <cellStyle name="Normal 6 2 9" xfId="23859" xr:uid="{00000000-0005-0000-0000-0000395D0000}"/>
    <cellStyle name="Normal 6 20" xfId="23860" xr:uid="{00000000-0005-0000-0000-00003A5D0000}"/>
    <cellStyle name="Normal 6 20 2" xfId="23861" xr:uid="{00000000-0005-0000-0000-00003B5D0000}"/>
    <cellStyle name="Normal 6 21" xfId="23862" xr:uid="{00000000-0005-0000-0000-00003C5D0000}"/>
    <cellStyle name="Normal 6 21 2" xfId="23863" xr:uid="{00000000-0005-0000-0000-00003D5D0000}"/>
    <cellStyle name="Normal 6 22" xfId="23864" xr:uid="{00000000-0005-0000-0000-00003E5D0000}"/>
    <cellStyle name="Normal 6 22 2" xfId="23865" xr:uid="{00000000-0005-0000-0000-00003F5D0000}"/>
    <cellStyle name="Normal 6 23" xfId="23866" xr:uid="{00000000-0005-0000-0000-0000405D0000}"/>
    <cellStyle name="Normal 6 23 2" xfId="23867" xr:uid="{00000000-0005-0000-0000-0000415D0000}"/>
    <cellStyle name="Normal 6 24" xfId="23868" xr:uid="{00000000-0005-0000-0000-0000425D0000}"/>
    <cellStyle name="Normal 6 24 2" xfId="23869" xr:uid="{00000000-0005-0000-0000-0000435D0000}"/>
    <cellStyle name="Normal 6 25" xfId="23870" xr:uid="{00000000-0005-0000-0000-0000445D0000}"/>
    <cellStyle name="Normal 6 25 2" xfId="23871" xr:uid="{00000000-0005-0000-0000-0000455D0000}"/>
    <cellStyle name="Normal 6 26" xfId="23872" xr:uid="{00000000-0005-0000-0000-0000465D0000}"/>
    <cellStyle name="Normal 6 26 2" xfId="23873" xr:uid="{00000000-0005-0000-0000-0000475D0000}"/>
    <cellStyle name="Normal 6 27" xfId="23874" xr:uid="{00000000-0005-0000-0000-0000485D0000}"/>
    <cellStyle name="Normal 6 27 2" xfId="23875" xr:uid="{00000000-0005-0000-0000-0000495D0000}"/>
    <cellStyle name="Normal 6 28" xfId="23876" xr:uid="{00000000-0005-0000-0000-00004A5D0000}"/>
    <cellStyle name="Normal 6 28 2" xfId="23877" xr:uid="{00000000-0005-0000-0000-00004B5D0000}"/>
    <cellStyle name="Normal 6 29" xfId="23878" xr:uid="{00000000-0005-0000-0000-00004C5D0000}"/>
    <cellStyle name="Normal 6 29 2" xfId="23879" xr:uid="{00000000-0005-0000-0000-00004D5D0000}"/>
    <cellStyle name="Normal 6 3" xfId="23880" xr:uid="{00000000-0005-0000-0000-00004E5D0000}"/>
    <cellStyle name="Normal 6 3 2" xfId="23881" xr:uid="{00000000-0005-0000-0000-00004F5D0000}"/>
    <cellStyle name="Normal 6 3 2 2" xfId="23882" xr:uid="{00000000-0005-0000-0000-0000505D0000}"/>
    <cellStyle name="Normal 6 3 3" xfId="23883" xr:uid="{00000000-0005-0000-0000-0000515D0000}"/>
    <cellStyle name="Normal 6 30" xfId="23884" xr:uid="{00000000-0005-0000-0000-0000525D0000}"/>
    <cellStyle name="Normal 6 30 2" xfId="23885" xr:uid="{00000000-0005-0000-0000-0000535D0000}"/>
    <cellStyle name="Normal 6 31" xfId="23886" xr:uid="{00000000-0005-0000-0000-0000545D0000}"/>
    <cellStyle name="Normal 6 31 2" xfId="23887" xr:uid="{00000000-0005-0000-0000-0000555D0000}"/>
    <cellStyle name="Normal 6 32" xfId="23888" xr:uid="{00000000-0005-0000-0000-0000565D0000}"/>
    <cellStyle name="Normal 6 32 2" xfId="23889" xr:uid="{00000000-0005-0000-0000-0000575D0000}"/>
    <cellStyle name="Normal 6 33" xfId="23890" xr:uid="{00000000-0005-0000-0000-0000585D0000}"/>
    <cellStyle name="Normal 6 33 2" xfId="23891" xr:uid="{00000000-0005-0000-0000-0000595D0000}"/>
    <cellStyle name="Normal 6 34" xfId="23892" xr:uid="{00000000-0005-0000-0000-00005A5D0000}"/>
    <cellStyle name="Normal 6 34 2" xfId="23893" xr:uid="{00000000-0005-0000-0000-00005B5D0000}"/>
    <cellStyle name="Normal 6 35" xfId="23894" xr:uid="{00000000-0005-0000-0000-00005C5D0000}"/>
    <cellStyle name="Normal 6 35 2" xfId="23895" xr:uid="{00000000-0005-0000-0000-00005D5D0000}"/>
    <cellStyle name="Normal 6 36" xfId="23896" xr:uid="{00000000-0005-0000-0000-00005E5D0000}"/>
    <cellStyle name="Normal 6 36 2" xfId="23897" xr:uid="{00000000-0005-0000-0000-00005F5D0000}"/>
    <cellStyle name="Normal 6 37" xfId="23898" xr:uid="{00000000-0005-0000-0000-0000605D0000}"/>
    <cellStyle name="Normal 6 37 2" xfId="23899" xr:uid="{00000000-0005-0000-0000-0000615D0000}"/>
    <cellStyle name="Normal 6 38" xfId="23900" xr:uid="{00000000-0005-0000-0000-0000625D0000}"/>
    <cellStyle name="Normal 6 38 2" xfId="23901" xr:uid="{00000000-0005-0000-0000-0000635D0000}"/>
    <cellStyle name="Normal 6 39" xfId="23902" xr:uid="{00000000-0005-0000-0000-0000645D0000}"/>
    <cellStyle name="Normal 6 39 2" xfId="23903" xr:uid="{00000000-0005-0000-0000-0000655D0000}"/>
    <cellStyle name="Normal 6 4" xfId="23904" xr:uid="{00000000-0005-0000-0000-0000665D0000}"/>
    <cellStyle name="Normal 6 4 2" xfId="23905" xr:uid="{00000000-0005-0000-0000-0000675D0000}"/>
    <cellStyle name="Normal 6 40" xfId="23906" xr:uid="{00000000-0005-0000-0000-0000685D0000}"/>
    <cellStyle name="Normal 6 40 2" xfId="23907" xr:uid="{00000000-0005-0000-0000-0000695D0000}"/>
    <cellStyle name="Normal 6 41" xfId="23908" xr:uid="{00000000-0005-0000-0000-00006A5D0000}"/>
    <cellStyle name="Normal 6 41 2" xfId="23909" xr:uid="{00000000-0005-0000-0000-00006B5D0000}"/>
    <cellStyle name="Normal 6 42" xfId="23910" xr:uid="{00000000-0005-0000-0000-00006C5D0000}"/>
    <cellStyle name="Normal 6 42 2" xfId="23911" xr:uid="{00000000-0005-0000-0000-00006D5D0000}"/>
    <cellStyle name="Normal 6 43" xfId="23912" xr:uid="{00000000-0005-0000-0000-00006E5D0000}"/>
    <cellStyle name="Normal 6 43 2" xfId="23913" xr:uid="{00000000-0005-0000-0000-00006F5D0000}"/>
    <cellStyle name="Normal 6 44" xfId="23914" xr:uid="{00000000-0005-0000-0000-0000705D0000}"/>
    <cellStyle name="Normal 6 44 2" xfId="23915" xr:uid="{00000000-0005-0000-0000-0000715D0000}"/>
    <cellStyle name="Normal 6 45" xfId="23916" xr:uid="{00000000-0005-0000-0000-0000725D0000}"/>
    <cellStyle name="Normal 6 45 2" xfId="23917" xr:uid="{00000000-0005-0000-0000-0000735D0000}"/>
    <cellStyle name="Normal 6 46" xfId="23918" xr:uid="{00000000-0005-0000-0000-0000745D0000}"/>
    <cellStyle name="Normal 6 46 2" xfId="23919" xr:uid="{00000000-0005-0000-0000-0000755D0000}"/>
    <cellStyle name="Normal 6 47" xfId="23920" xr:uid="{00000000-0005-0000-0000-0000765D0000}"/>
    <cellStyle name="Normal 6 47 2" xfId="23921" xr:uid="{00000000-0005-0000-0000-0000775D0000}"/>
    <cellStyle name="Normal 6 48" xfId="23922" xr:uid="{00000000-0005-0000-0000-0000785D0000}"/>
    <cellStyle name="Normal 6 48 2" xfId="23923" xr:uid="{00000000-0005-0000-0000-0000795D0000}"/>
    <cellStyle name="Normal 6 49" xfId="23924" xr:uid="{00000000-0005-0000-0000-00007A5D0000}"/>
    <cellStyle name="Normal 6 49 2" xfId="23925" xr:uid="{00000000-0005-0000-0000-00007B5D0000}"/>
    <cellStyle name="Normal 6 5" xfId="23926" xr:uid="{00000000-0005-0000-0000-00007C5D0000}"/>
    <cellStyle name="Normal 6 5 2" xfId="23927" xr:uid="{00000000-0005-0000-0000-00007D5D0000}"/>
    <cellStyle name="Normal 6 50" xfId="23928" xr:uid="{00000000-0005-0000-0000-00007E5D0000}"/>
    <cellStyle name="Normal 6 50 2" xfId="23929" xr:uid="{00000000-0005-0000-0000-00007F5D0000}"/>
    <cellStyle name="Normal 6 51" xfId="23930" xr:uid="{00000000-0005-0000-0000-0000805D0000}"/>
    <cellStyle name="Normal 6 51 2" xfId="23931" xr:uid="{00000000-0005-0000-0000-0000815D0000}"/>
    <cellStyle name="Normal 6 52" xfId="23932" xr:uid="{00000000-0005-0000-0000-0000825D0000}"/>
    <cellStyle name="Normal 6 52 2" xfId="23933" xr:uid="{00000000-0005-0000-0000-0000835D0000}"/>
    <cellStyle name="Normal 6 53" xfId="23934" xr:uid="{00000000-0005-0000-0000-0000845D0000}"/>
    <cellStyle name="Normal 6 53 2" xfId="23935" xr:uid="{00000000-0005-0000-0000-0000855D0000}"/>
    <cellStyle name="Normal 6 54" xfId="23936" xr:uid="{00000000-0005-0000-0000-0000865D0000}"/>
    <cellStyle name="Normal 6 54 2" xfId="23937" xr:uid="{00000000-0005-0000-0000-0000875D0000}"/>
    <cellStyle name="Normal 6 55" xfId="23938" xr:uid="{00000000-0005-0000-0000-0000885D0000}"/>
    <cellStyle name="Normal 6 55 2" xfId="23939" xr:uid="{00000000-0005-0000-0000-0000895D0000}"/>
    <cellStyle name="Normal 6 56" xfId="23940" xr:uid="{00000000-0005-0000-0000-00008A5D0000}"/>
    <cellStyle name="Normal 6 56 2" xfId="23941" xr:uid="{00000000-0005-0000-0000-00008B5D0000}"/>
    <cellStyle name="Normal 6 57" xfId="23942" xr:uid="{00000000-0005-0000-0000-00008C5D0000}"/>
    <cellStyle name="Normal 6 57 2" xfId="23943" xr:uid="{00000000-0005-0000-0000-00008D5D0000}"/>
    <cellStyle name="Normal 6 58" xfId="23944" xr:uid="{00000000-0005-0000-0000-00008E5D0000}"/>
    <cellStyle name="Normal 6 58 2" xfId="23945" xr:uid="{00000000-0005-0000-0000-00008F5D0000}"/>
    <cellStyle name="Normal 6 59" xfId="23946" xr:uid="{00000000-0005-0000-0000-0000905D0000}"/>
    <cellStyle name="Normal 6 59 2" xfId="23947" xr:uid="{00000000-0005-0000-0000-0000915D0000}"/>
    <cellStyle name="Normal 6 6" xfId="23948" xr:uid="{00000000-0005-0000-0000-0000925D0000}"/>
    <cellStyle name="Normal 6 6 2" xfId="23949" xr:uid="{00000000-0005-0000-0000-0000935D0000}"/>
    <cellStyle name="Normal 6 60" xfId="23950" xr:uid="{00000000-0005-0000-0000-0000945D0000}"/>
    <cellStyle name="Normal 6 60 2" xfId="23951" xr:uid="{00000000-0005-0000-0000-0000955D0000}"/>
    <cellStyle name="Normal 6 61" xfId="23952" xr:uid="{00000000-0005-0000-0000-0000965D0000}"/>
    <cellStyle name="Normal 6 61 2" xfId="23953" xr:uid="{00000000-0005-0000-0000-0000975D0000}"/>
    <cellStyle name="Normal 6 62" xfId="23954" xr:uid="{00000000-0005-0000-0000-0000985D0000}"/>
    <cellStyle name="Normal 6 62 2" xfId="23955" xr:uid="{00000000-0005-0000-0000-0000995D0000}"/>
    <cellStyle name="Normal 6 63" xfId="23956" xr:uid="{00000000-0005-0000-0000-00009A5D0000}"/>
    <cellStyle name="Normal 6 63 2" xfId="23957" xr:uid="{00000000-0005-0000-0000-00009B5D0000}"/>
    <cellStyle name="Normal 6 64" xfId="23958" xr:uid="{00000000-0005-0000-0000-00009C5D0000}"/>
    <cellStyle name="Normal 6 64 2" xfId="23959" xr:uid="{00000000-0005-0000-0000-00009D5D0000}"/>
    <cellStyle name="Normal 6 65" xfId="23960" xr:uid="{00000000-0005-0000-0000-00009E5D0000}"/>
    <cellStyle name="Normal 6 65 2" xfId="23961" xr:uid="{00000000-0005-0000-0000-00009F5D0000}"/>
    <cellStyle name="Normal 6 66" xfId="23962" xr:uid="{00000000-0005-0000-0000-0000A05D0000}"/>
    <cellStyle name="Normal 6 66 2" xfId="23963" xr:uid="{00000000-0005-0000-0000-0000A15D0000}"/>
    <cellStyle name="Normal 6 67" xfId="23964" xr:uid="{00000000-0005-0000-0000-0000A25D0000}"/>
    <cellStyle name="Normal 6 67 2" xfId="23965" xr:uid="{00000000-0005-0000-0000-0000A35D0000}"/>
    <cellStyle name="Normal 6 68" xfId="23966" xr:uid="{00000000-0005-0000-0000-0000A45D0000}"/>
    <cellStyle name="Normal 6 68 2" xfId="23967" xr:uid="{00000000-0005-0000-0000-0000A55D0000}"/>
    <cellStyle name="Normal 6 69" xfId="23968" xr:uid="{00000000-0005-0000-0000-0000A65D0000}"/>
    <cellStyle name="Normal 6 69 2" xfId="23969" xr:uid="{00000000-0005-0000-0000-0000A75D0000}"/>
    <cellStyle name="Normal 6 7" xfId="23970" xr:uid="{00000000-0005-0000-0000-0000A85D0000}"/>
    <cellStyle name="Normal 6 7 2" xfId="23971" xr:uid="{00000000-0005-0000-0000-0000A95D0000}"/>
    <cellStyle name="Normal 6 70" xfId="23972" xr:uid="{00000000-0005-0000-0000-0000AA5D0000}"/>
    <cellStyle name="Normal 6 70 2" xfId="23973" xr:uid="{00000000-0005-0000-0000-0000AB5D0000}"/>
    <cellStyle name="Normal 6 71" xfId="1" xr:uid="{00000000-0005-0000-0000-0000AC5D0000}"/>
    <cellStyle name="Normal 6 72" xfId="23974" xr:uid="{00000000-0005-0000-0000-0000AD5D0000}"/>
    <cellStyle name="Normal 6 8" xfId="23975" xr:uid="{00000000-0005-0000-0000-0000AE5D0000}"/>
    <cellStyle name="Normal 6 8 2" xfId="23976" xr:uid="{00000000-0005-0000-0000-0000AF5D0000}"/>
    <cellStyle name="Normal 6 9" xfId="23977" xr:uid="{00000000-0005-0000-0000-0000B05D0000}"/>
    <cellStyle name="Normal 6 9 2" xfId="23978" xr:uid="{00000000-0005-0000-0000-0000B15D0000}"/>
    <cellStyle name="Normal 60" xfId="23979" xr:uid="{00000000-0005-0000-0000-0000B25D0000}"/>
    <cellStyle name="Normal 60 2" xfId="23980" xr:uid="{00000000-0005-0000-0000-0000B35D0000}"/>
    <cellStyle name="Normal 61" xfId="23981" xr:uid="{00000000-0005-0000-0000-0000B45D0000}"/>
    <cellStyle name="Normal 61 2" xfId="23982" xr:uid="{00000000-0005-0000-0000-0000B55D0000}"/>
    <cellStyle name="Normal 62" xfId="23983" xr:uid="{00000000-0005-0000-0000-0000B65D0000}"/>
    <cellStyle name="Normal 62 2" xfId="23984" xr:uid="{00000000-0005-0000-0000-0000B75D0000}"/>
    <cellStyle name="Normal 63" xfId="23985" xr:uid="{00000000-0005-0000-0000-0000B85D0000}"/>
    <cellStyle name="Normal 63 2" xfId="23986" xr:uid="{00000000-0005-0000-0000-0000B95D0000}"/>
    <cellStyle name="Normal 64" xfId="23987" xr:uid="{00000000-0005-0000-0000-0000BA5D0000}"/>
    <cellStyle name="Normal 64 2" xfId="23988" xr:uid="{00000000-0005-0000-0000-0000BB5D0000}"/>
    <cellStyle name="Normal 65" xfId="23989" xr:uid="{00000000-0005-0000-0000-0000BC5D0000}"/>
    <cellStyle name="Normal 65 2" xfId="23990" xr:uid="{00000000-0005-0000-0000-0000BD5D0000}"/>
    <cellStyle name="Normal 66" xfId="23991" xr:uid="{00000000-0005-0000-0000-0000BE5D0000}"/>
    <cellStyle name="Normal 66 2" xfId="23992" xr:uid="{00000000-0005-0000-0000-0000BF5D0000}"/>
    <cellStyle name="Normal 67" xfId="23993" xr:uid="{00000000-0005-0000-0000-0000C05D0000}"/>
    <cellStyle name="Normal 67 2" xfId="23994" xr:uid="{00000000-0005-0000-0000-0000C15D0000}"/>
    <cellStyle name="Normal 68" xfId="23995" xr:uid="{00000000-0005-0000-0000-0000C25D0000}"/>
    <cellStyle name="Normal 68 2" xfId="23996" xr:uid="{00000000-0005-0000-0000-0000C35D0000}"/>
    <cellStyle name="Normal 69" xfId="23997" xr:uid="{00000000-0005-0000-0000-0000C45D0000}"/>
    <cellStyle name="Normal 69 2" xfId="23998" xr:uid="{00000000-0005-0000-0000-0000C55D0000}"/>
    <cellStyle name="Normal 7" xfId="23999" xr:uid="{00000000-0005-0000-0000-0000C65D0000}"/>
    <cellStyle name="Normal 7 10" xfId="24000" xr:uid="{00000000-0005-0000-0000-0000C75D0000}"/>
    <cellStyle name="Normal 7 10 2" xfId="24001" xr:uid="{00000000-0005-0000-0000-0000C85D0000}"/>
    <cellStyle name="Normal 7 11" xfId="24002" xr:uid="{00000000-0005-0000-0000-0000C95D0000}"/>
    <cellStyle name="Normal 7 11 2" xfId="24003" xr:uid="{00000000-0005-0000-0000-0000CA5D0000}"/>
    <cellStyle name="Normal 7 12" xfId="24004" xr:uid="{00000000-0005-0000-0000-0000CB5D0000}"/>
    <cellStyle name="Normal 7 12 2" xfId="24005" xr:uid="{00000000-0005-0000-0000-0000CC5D0000}"/>
    <cellStyle name="Normal 7 13" xfId="24006" xr:uid="{00000000-0005-0000-0000-0000CD5D0000}"/>
    <cellStyle name="Normal 7 13 2" xfId="24007" xr:uid="{00000000-0005-0000-0000-0000CE5D0000}"/>
    <cellStyle name="Normal 7 14" xfId="24008" xr:uid="{00000000-0005-0000-0000-0000CF5D0000}"/>
    <cellStyle name="Normal 7 14 2" xfId="24009" xr:uid="{00000000-0005-0000-0000-0000D05D0000}"/>
    <cellStyle name="Normal 7 15" xfId="24010" xr:uid="{00000000-0005-0000-0000-0000D15D0000}"/>
    <cellStyle name="Normal 7 15 2" xfId="24011" xr:uid="{00000000-0005-0000-0000-0000D25D0000}"/>
    <cellStyle name="Normal 7 16" xfId="24012" xr:uid="{00000000-0005-0000-0000-0000D35D0000}"/>
    <cellStyle name="Normal 7 16 2" xfId="24013" xr:uid="{00000000-0005-0000-0000-0000D45D0000}"/>
    <cellStyle name="Normal 7 17" xfId="24014" xr:uid="{00000000-0005-0000-0000-0000D55D0000}"/>
    <cellStyle name="Normal 7 17 2" xfId="24015" xr:uid="{00000000-0005-0000-0000-0000D65D0000}"/>
    <cellStyle name="Normal 7 18" xfId="24016" xr:uid="{00000000-0005-0000-0000-0000D75D0000}"/>
    <cellStyle name="Normal 7 18 2" xfId="24017" xr:uid="{00000000-0005-0000-0000-0000D85D0000}"/>
    <cellStyle name="Normal 7 19" xfId="24018" xr:uid="{00000000-0005-0000-0000-0000D95D0000}"/>
    <cellStyle name="Normal 7 19 2" xfId="24019" xr:uid="{00000000-0005-0000-0000-0000DA5D0000}"/>
    <cellStyle name="Normal 7 2" xfId="24020" xr:uid="{00000000-0005-0000-0000-0000DB5D0000}"/>
    <cellStyle name="Normal 7 2 2" xfId="24021" xr:uid="{00000000-0005-0000-0000-0000DC5D0000}"/>
    <cellStyle name="Normal 7 2 2 2" xfId="24022" xr:uid="{00000000-0005-0000-0000-0000DD5D0000}"/>
    <cellStyle name="Normal 7 2 2 2 2" xfId="24023" xr:uid="{00000000-0005-0000-0000-0000DE5D0000}"/>
    <cellStyle name="Normal 7 2 2 3" xfId="24024" xr:uid="{00000000-0005-0000-0000-0000DF5D0000}"/>
    <cellStyle name="Normal 7 2 3" xfId="24025" xr:uid="{00000000-0005-0000-0000-0000E05D0000}"/>
    <cellStyle name="Normal 7 2 3 2" xfId="24026" xr:uid="{00000000-0005-0000-0000-0000E15D0000}"/>
    <cellStyle name="Normal 7 2 4" xfId="24027" xr:uid="{00000000-0005-0000-0000-0000E25D0000}"/>
    <cellStyle name="Normal 7 20" xfId="24028" xr:uid="{00000000-0005-0000-0000-0000E35D0000}"/>
    <cellStyle name="Normal 7 20 2" xfId="24029" xr:uid="{00000000-0005-0000-0000-0000E45D0000}"/>
    <cellStyle name="Normal 7 21" xfId="24030" xr:uid="{00000000-0005-0000-0000-0000E55D0000}"/>
    <cellStyle name="Normal 7 21 2" xfId="24031" xr:uid="{00000000-0005-0000-0000-0000E65D0000}"/>
    <cellStyle name="Normal 7 22" xfId="24032" xr:uid="{00000000-0005-0000-0000-0000E75D0000}"/>
    <cellStyle name="Normal 7 22 2" xfId="24033" xr:uid="{00000000-0005-0000-0000-0000E85D0000}"/>
    <cellStyle name="Normal 7 23" xfId="24034" xr:uid="{00000000-0005-0000-0000-0000E95D0000}"/>
    <cellStyle name="Normal 7 23 2" xfId="24035" xr:uid="{00000000-0005-0000-0000-0000EA5D0000}"/>
    <cellStyle name="Normal 7 24" xfId="24036" xr:uid="{00000000-0005-0000-0000-0000EB5D0000}"/>
    <cellStyle name="Normal 7 24 2" xfId="24037" xr:uid="{00000000-0005-0000-0000-0000EC5D0000}"/>
    <cellStyle name="Normal 7 25" xfId="24038" xr:uid="{00000000-0005-0000-0000-0000ED5D0000}"/>
    <cellStyle name="Normal 7 25 2" xfId="24039" xr:uid="{00000000-0005-0000-0000-0000EE5D0000}"/>
    <cellStyle name="Normal 7 26" xfId="24040" xr:uid="{00000000-0005-0000-0000-0000EF5D0000}"/>
    <cellStyle name="Normal 7 26 2" xfId="24041" xr:uid="{00000000-0005-0000-0000-0000F05D0000}"/>
    <cellStyle name="Normal 7 27" xfId="24042" xr:uid="{00000000-0005-0000-0000-0000F15D0000}"/>
    <cellStyle name="Normal 7 27 2" xfId="24043" xr:uid="{00000000-0005-0000-0000-0000F25D0000}"/>
    <cellStyle name="Normal 7 28" xfId="24044" xr:uid="{00000000-0005-0000-0000-0000F35D0000}"/>
    <cellStyle name="Normal 7 28 2" xfId="24045" xr:uid="{00000000-0005-0000-0000-0000F45D0000}"/>
    <cellStyle name="Normal 7 29" xfId="24046" xr:uid="{00000000-0005-0000-0000-0000F55D0000}"/>
    <cellStyle name="Normal 7 29 2" xfId="24047" xr:uid="{00000000-0005-0000-0000-0000F65D0000}"/>
    <cellStyle name="Normal 7 3" xfId="24048" xr:uid="{00000000-0005-0000-0000-0000F75D0000}"/>
    <cellStyle name="Normal 7 3 2" xfId="24049" xr:uid="{00000000-0005-0000-0000-0000F85D0000}"/>
    <cellStyle name="Normal 7 3 2 2" xfId="24050" xr:uid="{00000000-0005-0000-0000-0000F95D0000}"/>
    <cellStyle name="Normal 7 3 3" xfId="24051" xr:uid="{00000000-0005-0000-0000-0000FA5D0000}"/>
    <cellStyle name="Normal 7 30" xfId="24052" xr:uid="{00000000-0005-0000-0000-0000FB5D0000}"/>
    <cellStyle name="Normal 7 30 2" xfId="24053" xr:uid="{00000000-0005-0000-0000-0000FC5D0000}"/>
    <cellStyle name="Normal 7 31" xfId="24054" xr:uid="{00000000-0005-0000-0000-0000FD5D0000}"/>
    <cellStyle name="Normal 7 31 2" xfId="24055" xr:uid="{00000000-0005-0000-0000-0000FE5D0000}"/>
    <cellStyle name="Normal 7 32" xfId="24056" xr:uid="{00000000-0005-0000-0000-0000FF5D0000}"/>
    <cellStyle name="Normal 7 32 2" xfId="24057" xr:uid="{00000000-0005-0000-0000-0000005E0000}"/>
    <cellStyle name="Normal 7 33" xfId="24058" xr:uid="{00000000-0005-0000-0000-0000015E0000}"/>
    <cellStyle name="Normal 7 33 2" xfId="24059" xr:uid="{00000000-0005-0000-0000-0000025E0000}"/>
    <cellStyle name="Normal 7 34" xfId="24060" xr:uid="{00000000-0005-0000-0000-0000035E0000}"/>
    <cellStyle name="Normal 7 34 2" xfId="24061" xr:uid="{00000000-0005-0000-0000-0000045E0000}"/>
    <cellStyle name="Normal 7 35" xfId="24062" xr:uid="{00000000-0005-0000-0000-0000055E0000}"/>
    <cellStyle name="Normal 7 35 2" xfId="24063" xr:uid="{00000000-0005-0000-0000-0000065E0000}"/>
    <cellStyle name="Normal 7 36" xfId="24064" xr:uid="{00000000-0005-0000-0000-0000075E0000}"/>
    <cellStyle name="Normal 7 36 2" xfId="24065" xr:uid="{00000000-0005-0000-0000-0000085E0000}"/>
    <cellStyle name="Normal 7 37" xfId="24066" xr:uid="{00000000-0005-0000-0000-0000095E0000}"/>
    <cellStyle name="Normal 7 37 2" xfId="24067" xr:uid="{00000000-0005-0000-0000-00000A5E0000}"/>
    <cellStyle name="Normal 7 38" xfId="24068" xr:uid="{00000000-0005-0000-0000-00000B5E0000}"/>
    <cellStyle name="Normal 7 38 2" xfId="24069" xr:uid="{00000000-0005-0000-0000-00000C5E0000}"/>
    <cellStyle name="Normal 7 39" xfId="24070" xr:uid="{00000000-0005-0000-0000-00000D5E0000}"/>
    <cellStyle name="Normal 7 39 2" xfId="24071" xr:uid="{00000000-0005-0000-0000-00000E5E0000}"/>
    <cellStyle name="Normal 7 4" xfId="24072" xr:uid="{00000000-0005-0000-0000-00000F5E0000}"/>
    <cellStyle name="Normal 7 4 2" xfId="24073" xr:uid="{00000000-0005-0000-0000-0000105E0000}"/>
    <cellStyle name="Normal 7 40" xfId="24074" xr:uid="{00000000-0005-0000-0000-0000115E0000}"/>
    <cellStyle name="Normal 7 40 2" xfId="24075" xr:uid="{00000000-0005-0000-0000-0000125E0000}"/>
    <cellStyle name="Normal 7 41" xfId="24076" xr:uid="{00000000-0005-0000-0000-0000135E0000}"/>
    <cellStyle name="Normal 7 41 2" xfId="24077" xr:uid="{00000000-0005-0000-0000-0000145E0000}"/>
    <cellStyle name="Normal 7 42" xfId="24078" xr:uid="{00000000-0005-0000-0000-0000155E0000}"/>
    <cellStyle name="Normal 7 42 2" xfId="24079" xr:uid="{00000000-0005-0000-0000-0000165E0000}"/>
    <cellStyle name="Normal 7 43" xfId="24080" xr:uid="{00000000-0005-0000-0000-0000175E0000}"/>
    <cellStyle name="Normal 7 43 2" xfId="24081" xr:uid="{00000000-0005-0000-0000-0000185E0000}"/>
    <cellStyle name="Normal 7 44" xfId="24082" xr:uid="{00000000-0005-0000-0000-0000195E0000}"/>
    <cellStyle name="Normal 7 44 2" xfId="24083" xr:uid="{00000000-0005-0000-0000-00001A5E0000}"/>
    <cellStyle name="Normal 7 45" xfId="24084" xr:uid="{00000000-0005-0000-0000-00001B5E0000}"/>
    <cellStyle name="Normal 7 45 2" xfId="24085" xr:uid="{00000000-0005-0000-0000-00001C5E0000}"/>
    <cellStyle name="Normal 7 46" xfId="24086" xr:uid="{00000000-0005-0000-0000-00001D5E0000}"/>
    <cellStyle name="Normal 7 46 2" xfId="24087" xr:uid="{00000000-0005-0000-0000-00001E5E0000}"/>
    <cellStyle name="Normal 7 47" xfId="24088" xr:uid="{00000000-0005-0000-0000-00001F5E0000}"/>
    <cellStyle name="Normal 7 47 2" xfId="24089" xr:uid="{00000000-0005-0000-0000-0000205E0000}"/>
    <cellStyle name="Normal 7 48" xfId="24090" xr:uid="{00000000-0005-0000-0000-0000215E0000}"/>
    <cellStyle name="Normal 7 48 2" xfId="24091" xr:uid="{00000000-0005-0000-0000-0000225E0000}"/>
    <cellStyle name="Normal 7 49" xfId="24092" xr:uid="{00000000-0005-0000-0000-0000235E0000}"/>
    <cellStyle name="Normal 7 49 2" xfId="24093" xr:uid="{00000000-0005-0000-0000-0000245E0000}"/>
    <cellStyle name="Normal 7 5" xfId="24094" xr:uid="{00000000-0005-0000-0000-0000255E0000}"/>
    <cellStyle name="Normal 7 5 2" xfId="24095" xr:uid="{00000000-0005-0000-0000-0000265E0000}"/>
    <cellStyle name="Normal 7 50" xfId="24096" xr:uid="{00000000-0005-0000-0000-0000275E0000}"/>
    <cellStyle name="Normal 7 50 2" xfId="24097" xr:uid="{00000000-0005-0000-0000-0000285E0000}"/>
    <cellStyle name="Normal 7 51" xfId="24098" xr:uid="{00000000-0005-0000-0000-0000295E0000}"/>
    <cellStyle name="Normal 7 51 2" xfId="24099" xr:uid="{00000000-0005-0000-0000-00002A5E0000}"/>
    <cellStyle name="Normal 7 52" xfId="24100" xr:uid="{00000000-0005-0000-0000-00002B5E0000}"/>
    <cellStyle name="Normal 7 52 2" xfId="24101" xr:uid="{00000000-0005-0000-0000-00002C5E0000}"/>
    <cellStyle name="Normal 7 53" xfId="24102" xr:uid="{00000000-0005-0000-0000-00002D5E0000}"/>
    <cellStyle name="Normal 7 53 2" xfId="24103" xr:uid="{00000000-0005-0000-0000-00002E5E0000}"/>
    <cellStyle name="Normal 7 54" xfId="24104" xr:uid="{00000000-0005-0000-0000-00002F5E0000}"/>
    <cellStyle name="Normal 7 54 2" xfId="24105" xr:uid="{00000000-0005-0000-0000-0000305E0000}"/>
    <cellStyle name="Normal 7 55" xfId="24106" xr:uid="{00000000-0005-0000-0000-0000315E0000}"/>
    <cellStyle name="Normal 7 55 2" xfId="24107" xr:uid="{00000000-0005-0000-0000-0000325E0000}"/>
    <cellStyle name="Normal 7 56" xfId="24108" xr:uid="{00000000-0005-0000-0000-0000335E0000}"/>
    <cellStyle name="Normal 7 56 2" xfId="24109" xr:uid="{00000000-0005-0000-0000-0000345E0000}"/>
    <cellStyle name="Normal 7 57" xfId="24110" xr:uid="{00000000-0005-0000-0000-0000355E0000}"/>
    <cellStyle name="Normal 7 57 2" xfId="24111" xr:uid="{00000000-0005-0000-0000-0000365E0000}"/>
    <cellStyle name="Normal 7 58" xfId="24112" xr:uid="{00000000-0005-0000-0000-0000375E0000}"/>
    <cellStyle name="Normal 7 58 2" xfId="24113" xr:uid="{00000000-0005-0000-0000-0000385E0000}"/>
    <cellStyle name="Normal 7 59" xfId="24114" xr:uid="{00000000-0005-0000-0000-0000395E0000}"/>
    <cellStyle name="Normal 7 59 2" xfId="24115" xr:uid="{00000000-0005-0000-0000-00003A5E0000}"/>
    <cellStyle name="Normal 7 6" xfId="24116" xr:uid="{00000000-0005-0000-0000-00003B5E0000}"/>
    <cellStyle name="Normal 7 6 2" xfId="24117" xr:uid="{00000000-0005-0000-0000-00003C5E0000}"/>
    <cellStyle name="Normal 7 60" xfId="24118" xr:uid="{00000000-0005-0000-0000-00003D5E0000}"/>
    <cellStyle name="Normal 7 60 2" xfId="24119" xr:uid="{00000000-0005-0000-0000-00003E5E0000}"/>
    <cellStyle name="Normal 7 61" xfId="24120" xr:uid="{00000000-0005-0000-0000-00003F5E0000}"/>
    <cellStyle name="Normal 7 61 2" xfId="24121" xr:uid="{00000000-0005-0000-0000-0000405E0000}"/>
    <cellStyle name="Normal 7 62" xfId="24122" xr:uid="{00000000-0005-0000-0000-0000415E0000}"/>
    <cellStyle name="Normal 7 62 2" xfId="24123" xr:uid="{00000000-0005-0000-0000-0000425E0000}"/>
    <cellStyle name="Normal 7 63" xfId="24124" xr:uid="{00000000-0005-0000-0000-0000435E0000}"/>
    <cellStyle name="Normal 7 63 2" xfId="24125" xr:uid="{00000000-0005-0000-0000-0000445E0000}"/>
    <cellStyle name="Normal 7 64" xfId="24126" xr:uid="{00000000-0005-0000-0000-0000455E0000}"/>
    <cellStyle name="Normal 7 64 2" xfId="24127" xr:uid="{00000000-0005-0000-0000-0000465E0000}"/>
    <cellStyle name="Normal 7 65" xfId="24128" xr:uid="{00000000-0005-0000-0000-0000475E0000}"/>
    <cellStyle name="Normal 7 65 2" xfId="24129" xr:uid="{00000000-0005-0000-0000-0000485E0000}"/>
    <cellStyle name="Normal 7 66" xfId="24130" xr:uid="{00000000-0005-0000-0000-0000495E0000}"/>
    <cellStyle name="Normal 7 66 2" xfId="24131" xr:uid="{00000000-0005-0000-0000-00004A5E0000}"/>
    <cellStyle name="Normal 7 67" xfId="24132" xr:uid="{00000000-0005-0000-0000-00004B5E0000}"/>
    <cellStyle name="Normal 7 67 2" xfId="24133" xr:uid="{00000000-0005-0000-0000-00004C5E0000}"/>
    <cellStyle name="Normal 7 68" xfId="24134" xr:uid="{00000000-0005-0000-0000-00004D5E0000}"/>
    <cellStyle name="Normal 7 68 2" xfId="24135" xr:uid="{00000000-0005-0000-0000-00004E5E0000}"/>
    <cellStyle name="Normal 7 69" xfId="24136" xr:uid="{00000000-0005-0000-0000-00004F5E0000}"/>
    <cellStyle name="Normal 7 69 2" xfId="24137" xr:uid="{00000000-0005-0000-0000-0000505E0000}"/>
    <cellStyle name="Normal 7 7" xfId="24138" xr:uid="{00000000-0005-0000-0000-0000515E0000}"/>
    <cellStyle name="Normal 7 7 2" xfId="24139" xr:uid="{00000000-0005-0000-0000-0000525E0000}"/>
    <cellStyle name="Normal 7 70" xfId="24140" xr:uid="{00000000-0005-0000-0000-0000535E0000}"/>
    <cellStyle name="Normal 7 70 2" xfId="24141" xr:uid="{00000000-0005-0000-0000-0000545E0000}"/>
    <cellStyle name="Normal 7 71" xfId="24142" xr:uid="{00000000-0005-0000-0000-0000555E0000}"/>
    <cellStyle name="Normal 7 8" xfId="24143" xr:uid="{00000000-0005-0000-0000-0000565E0000}"/>
    <cellStyle name="Normal 7 8 2" xfId="24144" xr:uid="{00000000-0005-0000-0000-0000575E0000}"/>
    <cellStyle name="Normal 7 9" xfId="24145" xr:uid="{00000000-0005-0000-0000-0000585E0000}"/>
    <cellStyle name="Normal 7 9 2" xfId="24146" xr:uid="{00000000-0005-0000-0000-0000595E0000}"/>
    <cellStyle name="Normal 70" xfId="24147" xr:uid="{00000000-0005-0000-0000-00005A5E0000}"/>
    <cellStyle name="Normal 70 2" xfId="24148" xr:uid="{00000000-0005-0000-0000-00005B5E0000}"/>
    <cellStyle name="Normal 71" xfId="24149" xr:uid="{00000000-0005-0000-0000-00005C5E0000}"/>
    <cellStyle name="Normal 71 2" xfId="24150" xr:uid="{00000000-0005-0000-0000-00005D5E0000}"/>
    <cellStyle name="Normal 72" xfId="24151" xr:uid="{00000000-0005-0000-0000-00005E5E0000}"/>
    <cellStyle name="Normal 72 2" xfId="24152" xr:uid="{00000000-0005-0000-0000-00005F5E0000}"/>
    <cellStyle name="Normal 73" xfId="24153" xr:uid="{00000000-0005-0000-0000-0000605E0000}"/>
    <cellStyle name="Normal 74" xfId="24154" xr:uid="{00000000-0005-0000-0000-0000615E0000}"/>
    <cellStyle name="Normal 75" xfId="24155" xr:uid="{00000000-0005-0000-0000-0000625E0000}"/>
    <cellStyle name="Normal 76" xfId="24156" xr:uid="{00000000-0005-0000-0000-0000635E0000}"/>
    <cellStyle name="Normal 77" xfId="24157" xr:uid="{00000000-0005-0000-0000-0000645E0000}"/>
    <cellStyle name="Normal 78" xfId="24158" xr:uid="{00000000-0005-0000-0000-0000655E0000}"/>
    <cellStyle name="Normal 79" xfId="24159" xr:uid="{00000000-0005-0000-0000-0000665E0000}"/>
    <cellStyle name="Normal 8" xfId="24160" xr:uid="{00000000-0005-0000-0000-0000675E0000}"/>
    <cellStyle name="Normal 8 2" xfId="24161" xr:uid="{00000000-0005-0000-0000-0000685E0000}"/>
    <cellStyle name="Normal 8 2 2" xfId="24162" xr:uid="{00000000-0005-0000-0000-0000695E0000}"/>
    <cellStyle name="Normal 8 3" xfId="24163" xr:uid="{00000000-0005-0000-0000-00006A5E0000}"/>
    <cellStyle name="Normal 8 3 2" xfId="24164" xr:uid="{00000000-0005-0000-0000-00006B5E0000}"/>
    <cellStyle name="Normal 8 4" xfId="24165" xr:uid="{00000000-0005-0000-0000-00006C5E0000}"/>
    <cellStyle name="Normal 80" xfId="24166" xr:uid="{00000000-0005-0000-0000-00006D5E0000}"/>
    <cellStyle name="Normal 81" xfId="24167" xr:uid="{00000000-0005-0000-0000-00006E5E0000}"/>
    <cellStyle name="Normal 82" xfId="24168" xr:uid="{00000000-0005-0000-0000-00006F5E0000}"/>
    <cellStyle name="Normal 83" xfId="24169" xr:uid="{00000000-0005-0000-0000-0000705E0000}"/>
    <cellStyle name="Normal 84" xfId="24170" xr:uid="{00000000-0005-0000-0000-0000715E0000}"/>
    <cellStyle name="Normal 85" xfId="24171" xr:uid="{00000000-0005-0000-0000-0000725E0000}"/>
    <cellStyle name="Normal 86" xfId="24172" xr:uid="{00000000-0005-0000-0000-0000735E0000}"/>
    <cellStyle name="Normal 87" xfId="24173" xr:uid="{00000000-0005-0000-0000-0000745E0000}"/>
    <cellStyle name="Normal 88" xfId="24174" xr:uid="{00000000-0005-0000-0000-0000755E0000}"/>
    <cellStyle name="Normal 89" xfId="24175" xr:uid="{00000000-0005-0000-0000-0000765E0000}"/>
    <cellStyle name="Normal 9" xfId="24176" xr:uid="{00000000-0005-0000-0000-0000775E0000}"/>
    <cellStyle name="Normal 9 2" xfId="24177" xr:uid="{00000000-0005-0000-0000-0000785E0000}"/>
    <cellStyle name="Normal 9 2 2" xfId="24178" xr:uid="{00000000-0005-0000-0000-0000795E0000}"/>
    <cellStyle name="Normal 9 2 2 2" xfId="24179" xr:uid="{00000000-0005-0000-0000-00007A5E0000}"/>
    <cellStyle name="Normal 9 2 3" xfId="24180" xr:uid="{00000000-0005-0000-0000-00007B5E0000}"/>
    <cellStyle name="Normal 9 2 3 2" xfId="24181" xr:uid="{00000000-0005-0000-0000-00007C5E0000}"/>
    <cellStyle name="Normal 9 2 4" xfId="24182" xr:uid="{00000000-0005-0000-0000-00007D5E0000}"/>
    <cellStyle name="Normal 9 3" xfId="24183" xr:uid="{00000000-0005-0000-0000-00007E5E0000}"/>
    <cellStyle name="Normal 9 3 2" xfId="24184" xr:uid="{00000000-0005-0000-0000-00007F5E0000}"/>
    <cellStyle name="Normal 9 4" xfId="24185" xr:uid="{00000000-0005-0000-0000-0000805E0000}"/>
    <cellStyle name="Normal 9 4 2" xfId="24186" xr:uid="{00000000-0005-0000-0000-0000815E0000}"/>
    <cellStyle name="Normal 9 5" xfId="24187" xr:uid="{00000000-0005-0000-0000-0000825E0000}"/>
    <cellStyle name="Normal 90" xfId="24188" xr:uid="{00000000-0005-0000-0000-0000835E0000}"/>
    <cellStyle name="Normal 91" xfId="24189" xr:uid="{00000000-0005-0000-0000-0000845E0000}"/>
    <cellStyle name="Normal 92" xfId="24190" xr:uid="{00000000-0005-0000-0000-0000855E0000}"/>
    <cellStyle name="Normal 93" xfId="24191" xr:uid="{00000000-0005-0000-0000-0000865E0000}"/>
    <cellStyle name="Normal 94" xfId="24192" xr:uid="{00000000-0005-0000-0000-0000875E0000}"/>
    <cellStyle name="Normal 95" xfId="24193" xr:uid="{00000000-0005-0000-0000-0000885E0000}"/>
    <cellStyle name="Normal 96" xfId="24194" xr:uid="{00000000-0005-0000-0000-0000895E0000}"/>
    <cellStyle name="Normal 97" xfId="24195" xr:uid="{00000000-0005-0000-0000-00008A5E0000}"/>
    <cellStyle name="Normal 98" xfId="24196" xr:uid="{00000000-0005-0000-0000-00008B5E0000}"/>
    <cellStyle name="Normal 99" xfId="24197" xr:uid="{00000000-0005-0000-0000-00008C5E0000}"/>
    <cellStyle name="Normal Bold" xfId="24198" xr:uid="{00000000-0005-0000-0000-00008D5E0000}"/>
    <cellStyle name="Normal Figures" xfId="24199" xr:uid="{00000000-0005-0000-0000-00008E5E0000}"/>
    <cellStyle name="Normal Pct" xfId="24200" xr:uid="{00000000-0005-0000-0000-00008F5E0000}"/>
    <cellStyle name="Normal2" xfId="24201" xr:uid="{00000000-0005-0000-0000-0000905E0000}"/>
    <cellStyle name="Normale_Foglio1" xfId="24202" xr:uid="{00000000-0005-0000-0000-0000915E0000}"/>
    <cellStyle name="Normalny_12" xfId="24203" xr:uid="{00000000-0005-0000-0000-0000925E0000}"/>
    <cellStyle name="Nota" xfId="24204" xr:uid="{00000000-0005-0000-0000-0000935E0000}"/>
    <cellStyle name="Nota 10" xfId="24205" xr:uid="{00000000-0005-0000-0000-0000945E0000}"/>
    <cellStyle name="Nota 11" xfId="24206" xr:uid="{00000000-0005-0000-0000-0000955E0000}"/>
    <cellStyle name="Nota 12" xfId="24207" xr:uid="{00000000-0005-0000-0000-0000965E0000}"/>
    <cellStyle name="Nota 13" xfId="24208" xr:uid="{00000000-0005-0000-0000-0000975E0000}"/>
    <cellStyle name="Nota 14" xfId="24209" xr:uid="{00000000-0005-0000-0000-0000985E0000}"/>
    <cellStyle name="Nota 15" xfId="24210" xr:uid="{00000000-0005-0000-0000-0000995E0000}"/>
    <cellStyle name="Nota 16" xfId="24211" xr:uid="{00000000-0005-0000-0000-00009A5E0000}"/>
    <cellStyle name="Nota 17" xfId="24212" xr:uid="{00000000-0005-0000-0000-00009B5E0000}"/>
    <cellStyle name="Nota 18" xfId="24213" xr:uid="{00000000-0005-0000-0000-00009C5E0000}"/>
    <cellStyle name="Nota 19" xfId="24214" xr:uid="{00000000-0005-0000-0000-00009D5E0000}"/>
    <cellStyle name="Nota 2" xfId="24215" xr:uid="{00000000-0005-0000-0000-00009E5E0000}"/>
    <cellStyle name="Nota 2 10" xfId="24216" xr:uid="{00000000-0005-0000-0000-00009F5E0000}"/>
    <cellStyle name="Nota 2 11" xfId="24217" xr:uid="{00000000-0005-0000-0000-0000A05E0000}"/>
    <cellStyle name="Nota 2 12" xfId="24218" xr:uid="{00000000-0005-0000-0000-0000A15E0000}"/>
    <cellStyle name="Nota 2 13" xfId="24219" xr:uid="{00000000-0005-0000-0000-0000A25E0000}"/>
    <cellStyle name="Nota 2 14" xfId="24220" xr:uid="{00000000-0005-0000-0000-0000A35E0000}"/>
    <cellStyle name="Nota 2 15" xfId="24221" xr:uid="{00000000-0005-0000-0000-0000A45E0000}"/>
    <cellStyle name="Nota 2 16" xfId="24222" xr:uid="{00000000-0005-0000-0000-0000A55E0000}"/>
    <cellStyle name="Nota 2 17" xfId="24223" xr:uid="{00000000-0005-0000-0000-0000A65E0000}"/>
    <cellStyle name="Nota 2 18" xfId="24224" xr:uid="{00000000-0005-0000-0000-0000A75E0000}"/>
    <cellStyle name="Nota 2 19" xfId="24225" xr:uid="{00000000-0005-0000-0000-0000A85E0000}"/>
    <cellStyle name="Nota 2 2" xfId="24226" xr:uid="{00000000-0005-0000-0000-0000A95E0000}"/>
    <cellStyle name="Nota 2 2 2" xfId="24227" xr:uid="{00000000-0005-0000-0000-0000AA5E0000}"/>
    <cellStyle name="Nota 2 2 2 2" xfId="24228" xr:uid="{00000000-0005-0000-0000-0000AB5E0000}"/>
    <cellStyle name="Nota 2 2 2 3" xfId="24229" xr:uid="{00000000-0005-0000-0000-0000AC5E0000}"/>
    <cellStyle name="Nota 2 2 3" xfId="24230" xr:uid="{00000000-0005-0000-0000-0000AD5E0000}"/>
    <cellStyle name="Nota 2 2 3 2" xfId="24231" xr:uid="{00000000-0005-0000-0000-0000AE5E0000}"/>
    <cellStyle name="Nota 2 2 3 3" xfId="24232" xr:uid="{00000000-0005-0000-0000-0000AF5E0000}"/>
    <cellStyle name="Nota 2 2 4" xfId="24233" xr:uid="{00000000-0005-0000-0000-0000B05E0000}"/>
    <cellStyle name="Nota 2 2 5" xfId="24234" xr:uid="{00000000-0005-0000-0000-0000B15E0000}"/>
    <cellStyle name="Nota 2 20" xfId="24235" xr:uid="{00000000-0005-0000-0000-0000B25E0000}"/>
    <cellStyle name="Nota 2 21" xfId="24236" xr:uid="{00000000-0005-0000-0000-0000B35E0000}"/>
    <cellStyle name="Nota 2 22" xfId="24237" xr:uid="{00000000-0005-0000-0000-0000B45E0000}"/>
    <cellStyle name="Nota 2 23" xfId="24238" xr:uid="{00000000-0005-0000-0000-0000B55E0000}"/>
    <cellStyle name="Nota 2 24" xfId="24239" xr:uid="{00000000-0005-0000-0000-0000B65E0000}"/>
    <cellStyle name="Nota 2 25" xfId="24240" xr:uid="{00000000-0005-0000-0000-0000B75E0000}"/>
    <cellStyle name="Nota 2 26" xfId="24241" xr:uid="{00000000-0005-0000-0000-0000B85E0000}"/>
    <cellStyle name="Nota 2 27" xfId="24242" xr:uid="{00000000-0005-0000-0000-0000B95E0000}"/>
    <cellStyle name="Nota 2 28" xfId="24243" xr:uid="{00000000-0005-0000-0000-0000BA5E0000}"/>
    <cellStyle name="Nota 2 29" xfId="24244" xr:uid="{00000000-0005-0000-0000-0000BB5E0000}"/>
    <cellStyle name="Nota 2 3" xfId="24245" xr:uid="{00000000-0005-0000-0000-0000BC5E0000}"/>
    <cellStyle name="Nota 2 3 2" xfId="24246" xr:uid="{00000000-0005-0000-0000-0000BD5E0000}"/>
    <cellStyle name="Nota 2 3 2 2" xfId="24247" xr:uid="{00000000-0005-0000-0000-0000BE5E0000}"/>
    <cellStyle name="Nota 2 3 2 3" xfId="24248" xr:uid="{00000000-0005-0000-0000-0000BF5E0000}"/>
    <cellStyle name="Nota 2 3 3" xfId="24249" xr:uid="{00000000-0005-0000-0000-0000C05E0000}"/>
    <cellStyle name="Nota 2 3 3 2" xfId="24250" xr:uid="{00000000-0005-0000-0000-0000C15E0000}"/>
    <cellStyle name="Nota 2 3 3 3" xfId="24251" xr:uid="{00000000-0005-0000-0000-0000C25E0000}"/>
    <cellStyle name="Nota 2 3 4" xfId="24252" xr:uid="{00000000-0005-0000-0000-0000C35E0000}"/>
    <cellStyle name="Nota 2 3 5" xfId="24253" xr:uid="{00000000-0005-0000-0000-0000C45E0000}"/>
    <cellStyle name="Nota 2 30" xfId="24254" xr:uid="{00000000-0005-0000-0000-0000C55E0000}"/>
    <cellStyle name="Nota 2 31" xfId="24255" xr:uid="{00000000-0005-0000-0000-0000C65E0000}"/>
    <cellStyle name="Nota 2 32" xfId="24256" xr:uid="{00000000-0005-0000-0000-0000C75E0000}"/>
    <cellStyle name="Nota 2 33" xfId="24257" xr:uid="{00000000-0005-0000-0000-0000C85E0000}"/>
    <cellStyle name="Nota 2 34" xfId="24258" xr:uid="{00000000-0005-0000-0000-0000C95E0000}"/>
    <cellStyle name="Nota 2 35" xfId="24259" xr:uid="{00000000-0005-0000-0000-0000CA5E0000}"/>
    <cellStyle name="Nota 2 4" xfId="24260" xr:uid="{00000000-0005-0000-0000-0000CB5E0000}"/>
    <cellStyle name="Nota 2 4 2" xfId="24261" xr:uid="{00000000-0005-0000-0000-0000CC5E0000}"/>
    <cellStyle name="Nota 2 4 3" xfId="24262" xr:uid="{00000000-0005-0000-0000-0000CD5E0000}"/>
    <cellStyle name="Nota 2 5" xfId="24263" xr:uid="{00000000-0005-0000-0000-0000CE5E0000}"/>
    <cellStyle name="Nota 2 5 2" xfId="24264" xr:uid="{00000000-0005-0000-0000-0000CF5E0000}"/>
    <cellStyle name="Nota 2 5 3" xfId="24265" xr:uid="{00000000-0005-0000-0000-0000D05E0000}"/>
    <cellStyle name="Nota 2 6" xfId="24266" xr:uid="{00000000-0005-0000-0000-0000D15E0000}"/>
    <cellStyle name="Nota 2 7" xfId="24267" xr:uid="{00000000-0005-0000-0000-0000D25E0000}"/>
    <cellStyle name="Nota 2 8" xfId="24268" xr:uid="{00000000-0005-0000-0000-0000D35E0000}"/>
    <cellStyle name="Nota 2 9" xfId="24269" xr:uid="{00000000-0005-0000-0000-0000D45E0000}"/>
    <cellStyle name="Nota 20" xfId="24270" xr:uid="{00000000-0005-0000-0000-0000D55E0000}"/>
    <cellStyle name="Nota 21" xfId="24271" xr:uid="{00000000-0005-0000-0000-0000D65E0000}"/>
    <cellStyle name="Nota 22" xfId="24272" xr:uid="{00000000-0005-0000-0000-0000D75E0000}"/>
    <cellStyle name="Nota 23" xfId="24273" xr:uid="{00000000-0005-0000-0000-0000D85E0000}"/>
    <cellStyle name="Nota 24" xfId="24274" xr:uid="{00000000-0005-0000-0000-0000D95E0000}"/>
    <cellStyle name="Nota 25" xfId="24275" xr:uid="{00000000-0005-0000-0000-0000DA5E0000}"/>
    <cellStyle name="Nota 26" xfId="24276" xr:uid="{00000000-0005-0000-0000-0000DB5E0000}"/>
    <cellStyle name="Nota 27" xfId="24277" xr:uid="{00000000-0005-0000-0000-0000DC5E0000}"/>
    <cellStyle name="Nota 28" xfId="24278" xr:uid="{00000000-0005-0000-0000-0000DD5E0000}"/>
    <cellStyle name="Nota 29" xfId="24279" xr:uid="{00000000-0005-0000-0000-0000DE5E0000}"/>
    <cellStyle name="Nota 3" xfId="24280" xr:uid="{00000000-0005-0000-0000-0000DF5E0000}"/>
    <cellStyle name="Nota 3 2" xfId="24281" xr:uid="{00000000-0005-0000-0000-0000E05E0000}"/>
    <cellStyle name="Nota 3 3" xfId="24282" xr:uid="{00000000-0005-0000-0000-0000E15E0000}"/>
    <cellStyle name="Nota 30" xfId="24283" xr:uid="{00000000-0005-0000-0000-0000E25E0000}"/>
    <cellStyle name="Nota 31" xfId="24284" xr:uid="{00000000-0005-0000-0000-0000E35E0000}"/>
    <cellStyle name="Nota 32" xfId="24285" xr:uid="{00000000-0005-0000-0000-0000E45E0000}"/>
    <cellStyle name="Nota 33" xfId="24286" xr:uid="{00000000-0005-0000-0000-0000E55E0000}"/>
    <cellStyle name="Nota 34" xfId="24287" xr:uid="{00000000-0005-0000-0000-0000E65E0000}"/>
    <cellStyle name="Nota 4" xfId="24288" xr:uid="{00000000-0005-0000-0000-0000E75E0000}"/>
    <cellStyle name="Nota 4 2" xfId="24289" xr:uid="{00000000-0005-0000-0000-0000E85E0000}"/>
    <cellStyle name="Nota 4 3" xfId="24290" xr:uid="{00000000-0005-0000-0000-0000E95E0000}"/>
    <cellStyle name="Nota 5" xfId="24291" xr:uid="{00000000-0005-0000-0000-0000EA5E0000}"/>
    <cellStyle name="Nota 6" xfId="24292" xr:uid="{00000000-0005-0000-0000-0000EB5E0000}"/>
    <cellStyle name="Nota 7" xfId="24293" xr:uid="{00000000-0005-0000-0000-0000EC5E0000}"/>
    <cellStyle name="Nota 8" xfId="24294" xr:uid="{00000000-0005-0000-0000-0000ED5E0000}"/>
    <cellStyle name="Nota 9" xfId="24295" xr:uid="{00000000-0005-0000-0000-0000EE5E0000}"/>
    <cellStyle name="Note 10" xfId="24296" xr:uid="{00000000-0005-0000-0000-0000EF5E0000}"/>
    <cellStyle name="Note 10 2" xfId="24297" xr:uid="{00000000-0005-0000-0000-0000F05E0000}"/>
    <cellStyle name="Note 11" xfId="24298" xr:uid="{00000000-0005-0000-0000-0000F15E0000}"/>
    <cellStyle name="Note 11 2" xfId="24299" xr:uid="{00000000-0005-0000-0000-0000F25E0000}"/>
    <cellStyle name="Note 12" xfId="24300" xr:uid="{00000000-0005-0000-0000-0000F35E0000}"/>
    <cellStyle name="Note 12 2" xfId="24301" xr:uid="{00000000-0005-0000-0000-0000F45E0000}"/>
    <cellStyle name="Note 13" xfId="24302" xr:uid="{00000000-0005-0000-0000-0000F55E0000}"/>
    <cellStyle name="Note 13 2" xfId="24303" xr:uid="{00000000-0005-0000-0000-0000F65E0000}"/>
    <cellStyle name="Note 14" xfId="24304" xr:uid="{00000000-0005-0000-0000-0000F75E0000}"/>
    <cellStyle name="Note 14 2" xfId="24305" xr:uid="{00000000-0005-0000-0000-0000F85E0000}"/>
    <cellStyle name="Note 15" xfId="24306" xr:uid="{00000000-0005-0000-0000-0000F95E0000}"/>
    <cellStyle name="Note 15 2" xfId="24307" xr:uid="{00000000-0005-0000-0000-0000FA5E0000}"/>
    <cellStyle name="Note 16" xfId="24308" xr:uid="{00000000-0005-0000-0000-0000FB5E0000}"/>
    <cellStyle name="Note 16 2" xfId="24309" xr:uid="{00000000-0005-0000-0000-0000FC5E0000}"/>
    <cellStyle name="Note 17" xfId="24310" xr:uid="{00000000-0005-0000-0000-0000FD5E0000}"/>
    <cellStyle name="Note 17 2" xfId="24311" xr:uid="{00000000-0005-0000-0000-0000FE5E0000}"/>
    <cellStyle name="Note 18" xfId="24312" xr:uid="{00000000-0005-0000-0000-0000FF5E0000}"/>
    <cellStyle name="Note 18 2" xfId="24313" xr:uid="{00000000-0005-0000-0000-0000005F0000}"/>
    <cellStyle name="Note 19" xfId="24314" xr:uid="{00000000-0005-0000-0000-0000015F0000}"/>
    <cellStyle name="Note 19 2" xfId="24315" xr:uid="{00000000-0005-0000-0000-0000025F0000}"/>
    <cellStyle name="Note 2" xfId="24316" xr:uid="{00000000-0005-0000-0000-0000035F0000}"/>
    <cellStyle name="Note 2 10" xfId="24317" xr:uid="{00000000-0005-0000-0000-0000045F0000}"/>
    <cellStyle name="Note 2 10 2" xfId="24318" xr:uid="{00000000-0005-0000-0000-0000055F0000}"/>
    <cellStyle name="Note 2 11" xfId="24319" xr:uid="{00000000-0005-0000-0000-0000065F0000}"/>
    <cellStyle name="Note 2 11 2" xfId="24320" xr:uid="{00000000-0005-0000-0000-0000075F0000}"/>
    <cellStyle name="Note 2 12" xfId="24321" xr:uid="{00000000-0005-0000-0000-0000085F0000}"/>
    <cellStyle name="Note 2 12 2" xfId="24322" xr:uid="{00000000-0005-0000-0000-0000095F0000}"/>
    <cellStyle name="Note 2 13" xfId="24323" xr:uid="{00000000-0005-0000-0000-00000A5F0000}"/>
    <cellStyle name="Note 2 13 2" xfId="24324" xr:uid="{00000000-0005-0000-0000-00000B5F0000}"/>
    <cellStyle name="Note 2 14" xfId="24325" xr:uid="{00000000-0005-0000-0000-00000C5F0000}"/>
    <cellStyle name="Note 2 14 2" xfId="24326" xr:uid="{00000000-0005-0000-0000-00000D5F0000}"/>
    <cellStyle name="Note 2 15" xfId="24327" xr:uid="{00000000-0005-0000-0000-00000E5F0000}"/>
    <cellStyle name="Note 2 15 2" xfId="24328" xr:uid="{00000000-0005-0000-0000-00000F5F0000}"/>
    <cellStyle name="Note 2 16" xfId="24329" xr:uid="{00000000-0005-0000-0000-0000105F0000}"/>
    <cellStyle name="Note 2 16 2" xfId="24330" xr:uid="{00000000-0005-0000-0000-0000115F0000}"/>
    <cellStyle name="Note 2 17" xfId="24331" xr:uid="{00000000-0005-0000-0000-0000125F0000}"/>
    <cellStyle name="Note 2 17 2" xfId="24332" xr:uid="{00000000-0005-0000-0000-0000135F0000}"/>
    <cellStyle name="Note 2 18" xfId="24333" xr:uid="{00000000-0005-0000-0000-0000145F0000}"/>
    <cellStyle name="Note 2 18 2" xfId="24334" xr:uid="{00000000-0005-0000-0000-0000155F0000}"/>
    <cellStyle name="Note 2 19" xfId="24335" xr:uid="{00000000-0005-0000-0000-0000165F0000}"/>
    <cellStyle name="Note 2 19 2" xfId="24336" xr:uid="{00000000-0005-0000-0000-0000175F0000}"/>
    <cellStyle name="Note 2 2" xfId="24337" xr:uid="{00000000-0005-0000-0000-0000185F0000}"/>
    <cellStyle name="Note 2 2 10" xfId="24338" xr:uid="{00000000-0005-0000-0000-0000195F0000}"/>
    <cellStyle name="Note 2 2 11" xfId="24339" xr:uid="{00000000-0005-0000-0000-00001A5F0000}"/>
    <cellStyle name="Note 2 2 12" xfId="24340" xr:uid="{00000000-0005-0000-0000-00001B5F0000}"/>
    <cellStyle name="Note 2 2 13" xfId="24341" xr:uid="{00000000-0005-0000-0000-00001C5F0000}"/>
    <cellStyle name="Note 2 2 14" xfId="24342" xr:uid="{00000000-0005-0000-0000-00001D5F0000}"/>
    <cellStyle name="Note 2 2 15" xfId="24343" xr:uid="{00000000-0005-0000-0000-00001E5F0000}"/>
    <cellStyle name="Note 2 2 16" xfId="24344" xr:uid="{00000000-0005-0000-0000-00001F5F0000}"/>
    <cellStyle name="Note 2 2 17" xfId="24345" xr:uid="{00000000-0005-0000-0000-0000205F0000}"/>
    <cellStyle name="Note 2 2 18" xfId="24346" xr:uid="{00000000-0005-0000-0000-0000215F0000}"/>
    <cellStyle name="Note 2 2 19" xfId="24347" xr:uid="{00000000-0005-0000-0000-0000225F0000}"/>
    <cellStyle name="Note 2 2 2" xfId="24348" xr:uid="{00000000-0005-0000-0000-0000235F0000}"/>
    <cellStyle name="Note 2 2 2 2" xfId="24349" xr:uid="{00000000-0005-0000-0000-0000245F0000}"/>
    <cellStyle name="Note 2 2 20" xfId="24350" xr:uid="{00000000-0005-0000-0000-0000255F0000}"/>
    <cellStyle name="Note 2 2 21" xfId="24351" xr:uid="{00000000-0005-0000-0000-0000265F0000}"/>
    <cellStyle name="Note 2 2 22" xfId="24352" xr:uid="{00000000-0005-0000-0000-0000275F0000}"/>
    <cellStyle name="Note 2 2 23" xfId="24353" xr:uid="{00000000-0005-0000-0000-0000285F0000}"/>
    <cellStyle name="Note 2 2 24" xfId="24354" xr:uid="{00000000-0005-0000-0000-0000295F0000}"/>
    <cellStyle name="Note 2 2 25" xfId="24355" xr:uid="{00000000-0005-0000-0000-00002A5F0000}"/>
    <cellStyle name="Note 2 2 26" xfId="24356" xr:uid="{00000000-0005-0000-0000-00002B5F0000}"/>
    <cellStyle name="Note 2 2 27" xfId="24357" xr:uid="{00000000-0005-0000-0000-00002C5F0000}"/>
    <cellStyle name="Note 2 2 28" xfId="24358" xr:uid="{00000000-0005-0000-0000-00002D5F0000}"/>
    <cellStyle name="Note 2 2 29" xfId="24359" xr:uid="{00000000-0005-0000-0000-00002E5F0000}"/>
    <cellStyle name="Note 2 2 3" xfId="24360" xr:uid="{00000000-0005-0000-0000-00002F5F0000}"/>
    <cellStyle name="Note 2 2 3 10" xfId="24361" xr:uid="{00000000-0005-0000-0000-0000305F0000}"/>
    <cellStyle name="Note 2 2 3 11" xfId="24362" xr:uid="{00000000-0005-0000-0000-0000315F0000}"/>
    <cellStyle name="Note 2 2 3 12" xfId="24363" xr:uid="{00000000-0005-0000-0000-0000325F0000}"/>
    <cellStyle name="Note 2 2 3 13" xfId="24364" xr:uid="{00000000-0005-0000-0000-0000335F0000}"/>
    <cellStyle name="Note 2 2 3 14" xfId="24365" xr:uid="{00000000-0005-0000-0000-0000345F0000}"/>
    <cellStyle name="Note 2 2 3 15" xfId="24366" xr:uid="{00000000-0005-0000-0000-0000355F0000}"/>
    <cellStyle name="Note 2 2 3 16" xfId="24367" xr:uid="{00000000-0005-0000-0000-0000365F0000}"/>
    <cellStyle name="Note 2 2 3 17" xfId="24368" xr:uid="{00000000-0005-0000-0000-0000375F0000}"/>
    <cellStyle name="Note 2 2 3 18" xfId="24369" xr:uid="{00000000-0005-0000-0000-0000385F0000}"/>
    <cellStyle name="Note 2 2 3 19" xfId="24370" xr:uid="{00000000-0005-0000-0000-0000395F0000}"/>
    <cellStyle name="Note 2 2 3 2" xfId="24371" xr:uid="{00000000-0005-0000-0000-00003A5F0000}"/>
    <cellStyle name="Note 2 2 3 2 10" xfId="24372" xr:uid="{00000000-0005-0000-0000-00003B5F0000}"/>
    <cellStyle name="Note 2 2 3 2 11" xfId="24373" xr:uid="{00000000-0005-0000-0000-00003C5F0000}"/>
    <cellStyle name="Note 2 2 3 2 12" xfId="24374" xr:uid="{00000000-0005-0000-0000-00003D5F0000}"/>
    <cellStyle name="Note 2 2 3 2 13" xfId="24375" xr:uid="{00000000-0005-0000-0000-00003E5F0000}"/>
    <cellStyle name="Note 2 2 3 2 14" xfId="24376" xr:uid="{00000000-0005-0000-0000-00003F5F0000}"/>
    <cellStyle name="Note 2 2 3 2 15" xfId="24377" xr:uid="{00000000-0005-0000-0000-0000405F0000}"/>
    <cellStyle name="Note 2 2 3 2 16" xfId="24378" xr:uid="{00000000-0005-0000-0000-0000415F0000}"/>
    <cellStyle name="Note 2 2 3 2 17" xfId="24379" xr:uid="{00000000-0005-0000-0000-0000425F0000}"/>
    <cellStyle name="Note 2 2 3 2 18" xfId="24380" xr:uid="{00000000-0005-0000-0000-0000435F0000}"/>
    <cellStyle name="Note 2 2 3 2 19" xfId="24381" xr:uid="{00000000-0005-0000-0000-0000445F0000}"/>
    <cellStyle name="Note 2 2 3 2 2" xfId="24382" xr:uid="{00000000-0005-0000-0000-0000455F0000}"/>
    <cellStyle name="Note 2 2 3 2 2 2" xfId="24383" xr:uid="{00000000-0005-0000-0000-0000465F0000}"/>
    <cellStyle name="Note 2 2 3 2 2 2 2" xfId="24384" xr:uid="{00000000-0005-0000-0000-0000475F0000}"/>
    <cellStyle name="Note 2 2 3 2 2 2 3" xfId="24385" xr:uid="{00000000-0005-0000-0000-0000485F0000}"/>
    <cellStyle name="Note 2 2 3 2 2 3" xfId="24386" xr:uid="{00000000-0005-0000-0000-0000495F0000}"/>
    <cellStyle name="Note 2 2 3 2 2 3 2" xfId="24387" xr:uid="{00000000-0005-0000-0000-00004A5F0000}"/>
    <cellStyle name="Note 2 2 3 2 2 3 3" xfId="24388" xr:uid="{00000000-0005-0000-0000-00004B5F0000}"/>
    <cellStyle name="Note 2 2 3 2 2 4" xfId="24389" xr:uid="{00000000-0005-0000-0000-00004C5F0000}"/>
    <cellStyle name="Note 2 2 3 2 2 5" xfId="24390" xr:uid="{00000000-0005-0000-0000-00004D5F0000}"/>
    <cellStyle name="Note 2 2 3 2 20" xfId="24391" xr:uid="{00000000-0005-0000-0000-00004E5F0000}"/>
    <cellStyle name="Note 2 2 3 2 21" xfId="24392" xr:uid="{00000000-0005-0000-0000-00004F5F0000}"/>
    <cellStyle name="Note 2 2 3 2 22" xfId="24393" xr:uid="{00000000-0005-0000-0000-0000505F0000}"/>
    <cellStyle name="Note 2 2 3 2 23" xfId="24394" xr:uid="{00000000-0005-0000-0000-0000515F0000}"/>
    <cellStyle name="Note 2 2 3 2 24" xfId="24395" xr:uid="{00000000-0005-0000-0000-0000525F0000}"/>
    <cellStyle name="Note 2 2 3 2 25" xfId="24396" xr:uid="{00000000-0005-0000-0000-0000535F0000}"/>
    <cellStyle name="Note 2 2 3 2 26" xfId="24397" xr:uid="{00000000-0005-0000-0000-0000545F0000}"/>
    <cellStyle name="Note 2 2 3 2 27" xfId="24398" xr:uid="{00000000-0005-0000-0000-0000555F0000}"/>
    <cellStyle name="Note 2 2 3 2 28" xfId="24399" xr:uid="{00000000-0005-0000-0000-0000565F0000}"/>
    <cellStyle name="Note 2 2 3 2 29" xfId="24400" xr:uid="{00000000-0005-0000-0000-0000575F0000}"/>
    <cellStyle name="Note 2 2 3 2 3" xfId="24401" xr:uid="{00000000-0005-0000-0000-0000585F0000}"/>
    <cellStyle name="Note 2 2 3 2 3 2" xfId="24402" xr:uid="{00000000-0005-0000-0000-0000595F0000}"/>
    <cellStyle name="Note 2 2 3 2 3 2 2" xfId="24403" xr:uid="{00000000-0005-0000-0000-00005A5F0000}"/>
    <cellStyle name="Note 2 2 3 2 3 2 3" xfId="24404" xr:uid="{00000000-0005-0000-0000-00005B5F0000}"/>
    <cellStyle name="Note 2 2 3 2 3 3" xfId="24405" xr:uid="{00000000-0005-0000-0000-00005C5F0000}"/>
    <cellStyle name="Note 2 2 3 2 3 3 2" xfId="24406" xr:uid="{00000000-0005-0000-0000-00005D5F0000}"/>
    <cellStyle name="Note 2 2 3 2 3 3 3" xfId="24407" xr:uid="{00000000-0005-0000-0000-00005E5F0000}"/>
    <cellStyle name="Note 2 2 3 2 3 4" xfId="24408" xr:uid="{00000000-0005-0000-0000-00005F5F0000}"/>
    <cellStyle name="Note 2 2 3 2 3 5" xfId="24409" xr:uid="{00000000-0005-0000-0000-0000605F0000}"/>
    <cellStyle name="Note 2 2 3 2 30" xfId="24410" xr:uid="{00000000-0005-0000-0000-0000615F0000}"/>
    <cellStyle name="Note 2 2 3 2 31" xfId="24411" xr:uid="{00000000-0005-0000-0000-0000625F0000}"/>
    <cellStyle name="Note 2 2 3 2 32" xfId="24412" xr:uid="{00000000-0005-0000-0000-0000635F0000}"/>
    <cellStyle name="Note 2 2 3 2 33" xfId="24413" xr:uid="{00000000-0005-0000-0000-0000645F0000}"/>
    <cellStyle name="Note 2 2 3 2 34" xfId="24414" xr:uid="{00000000-0005-0000-0000-0000655F0000}"/>
    <cellStyle name="Note 2 2 3 2 35" xfId="24415" xr:uid="{00000000-0005-0000-0000-0000665F0000}"/>
    <cellStyle name="Note 2 2 3 2 4" xfId="24416" xr:uid="{00000000-0005-0000-0000-0000675F0000}"/>
    <cellStyle name="Note 2 2 3 2 4 2" xfId="24417" xr:uid="{00000000-0005-0000-0000-0000685F0000}"/>
    <cellStyle name="Note 2 2 3 2 4 3" xfId="24418" xr:uid="{00000000-0005-0000-0000-0000695F0000}"/>
    <cellStyle name="Note 2 2 3 2 5" xfId="24419" xr:uid="{00000000-0005-0000-0000-00006A5F0000}"/>
    <cellStyle name="Note 2 2 3 2 5 2" xfId="24420" xr:uid="{00000000-0005-0000-0000-00006B5F0000}"/>
    <cellStyle name="Note 2 2 3 2 5 3" xfId="24421" xr:uid="{00000000-0005-0000-0000-00006C5F0000}"/>
    <cellStyle name="Note 2 2 3 2 6" xfId="24422" xr:uid="{00000000-0005-0000-0000-00006D5F0000}"/>
    <cellStyle name="Note 2 2 3 2 7" xfId="24423" xr:uid="{00000000-0005-0000-0000-00006E5F0000}"/>
    <cellStyle name="Note 2 2 3 2 8" xfId="24424" xr:uid="{00000000-0005-0000-0000-00006F5F0000}"/>
    <cellStyle name="Note 2 2 3 2 9" xfId="24425" xr:uid="{00000000-0005-0000-0000-0000705F0000}"/>
    <cellStyle name="Note 2 2 3 20" xfId="24426" xr:uid="{00000000-0005-0000-0000-0000715F0000}"/>
    <cellStyle name="Note 2 2 3 21" xfId="24427" xr:uid="{00000000-0005-0000-0000-0000725F0000}"/>
    <cellStyle name="Note 2 2 3 22" xfId="24428" xr:uid="{00000000-0005-0000-0000-0000735F0000}"/>
    <cellStyle name="Note 2 2 3 23" xfId="24429" xr:uid="{00000000-0005-0000-0000-0000745F0000}"/>
    <cellStyle name="Note 2 2 3 24" xfId="24430" xr:uid="{00000000-0005-0000-0000-0000755F0000}"/>
    <cellStyle name="Note 2 2 3 25" xfId="24431" xr:uid="{00000000-0005-0000-0000-0000765F0000}"/>
    <cellStyle name="Note 2 2 3 26" xfId="24432" xr:uid="{00000000-0005-0000-0000-0000775F0000}"/>
    <cellStyle name="Note 2 2 3 27" xfId="24433" xr:uid="{00000000-0005-0000-0000-0000785F0000}"/>
    <cellStyle name="Note 2 2 3 28" xfId="24434" xr:uid="{00000000-0005-0000-0000-0000795F0000}"/>
    <cellStyle name="Note 2 2 3 29" xfId="24435" xr:uid="{00000000-0005-0000-0000-00007A5F0000}"/>
    <cellStyle name="Note 2 2 3 3" xfId="24436" xr:uid="{00000000-0005-0000-0000-00007B5F0000}"/>
    <cellStyle name="Note 2 2 3 3 2" xfId="24437" xr:uid="{00000000-0005-0000-0000-00007C5F0000}"/>
    <cellStyle name="Note 2 2 3 3 3" xfId="24438" xr:uid="{00000000-0005-0000-0000-00007D5F0000}"/>
    <cellStyle name="Note 2 2 3 30" xfId="24439" xr:uid="{00000000-0005-0000-0000-00007E5F0000}"/>
    <cellStyle name="Note 2 2 3 31" xfId="24440" xr:uid="{00000000-0005-0000-0000-00007F5F0000}"/>
    <cellStyle name="Note 2 2 3 32" xfId="24441" xr:uid="{00000000-0005-0000-0000-0000805F0000}"/>
    <cellStyle name="Note 2 2 3 33" xfId="24442" xr:uid="{00000000-0005-0000-0000-0000815F0000}"/>
    <cellStyle name="Note 2 2 3 34" xfId="24443" xr:uid="{00000000-0005-0000-0000-0000825F0000}"/>
    <cellStyle name="Note 2 2 3 4" xfId="24444" xr:uid="{00000000-0005-0000-0000-0000835F0000}"/>
    <cellStyle name="Note 2 2 3 4 2" xfId="24445" xr:uid="{00000000-0005-0000-0000-0000845F0000}"/>
    <cellStyle name="Note 2 2 3 4 3" xfId="24446" xr:uid="{00000000-0005-0000-0000-0000855F0000}"/>
    <cellStyle name="Note 2 2 3 5" xfId="24447" xr:uid="{00000000-0005-0000-0000-0000865F0000}"/>
    <cellStyle name="Note 2 2 3 6" xfId="24448" xr:uid="{00000000-0005-0000-0000-0000875F0000}"/>
    <cellStyle name="Note 2 2 3 7" xfId="24449" xr:uid="{00000000-0005-0000-0000-0000885F0000}"/>
    <cellStyle name="Note 2 2 3 8" xfId="24450" xr:uid="{00000000-0005-0000-0000-0000895F0000}"/>
    <cellStyle name="Note 2 2 3 9" xfId="24451" xr:uid="{00000000-0005-0000-0000-00008A5F0000}"/>
    <cellStyle name="Note 2 2 30" xfId="24452" xr:uid="{00000000-0005-0000-0000-00008B5F0000}"/>
    <cellStyle name="Note 2 2 31" xfId="24453" xr:uid="{00000000-0005-0000-0000-00008C5F0000}"/>
    <cellStyle name="Note 2 2 32" xfId="24454" xr:uid="{00000000-0005-0000-0000-00008D5F0000}"/>
    <cellStyle name="Note 2 2 33" xfId="24455" xr:uid="{00000000-0005-0000-0000-00008E5F0000}"/>
    <cellStyle name="Note 2 2 34" xfId="24456" xr:uid="{00000000-0005-0000-0000-00008F5F0000}"/>
    <cellStyle name="Note 2 2 35" xfId="24457" xr:uid="{00000000-0005-0000-0000-0000905F0000}"/>
    <cellStyle name="Note 2 2 36" xfId="24458" xr:uid="{00000000-0005-0000-0000-0000915F0000}"/>
    <cellStyle name="Note 2 2 4" xfId="24459" xr:uid="{00000000-0005-0000-0000-0000925F0000}"/>
    <cellStyle name="Note 2 2 4 10" xfId="24460" xr:uid="{00000000-0005-0000-0000-0000935F0000}"/>
    <cellStyle name="Note 2 2 4 11" xfId="24461" xr:uid="{00000000-0005-0000-0000-0000945F0000}"/>
    <cellStyle name="Note 2 2 4 12" xfId="24462" xr:uid="{00000000-0005-0000-0000-0000955F0000}"/>
    <cellStyle name="Note 2 2 4 13" xfId="24463" xr:uid="{00000000-0005-0000-0000-0000965F0000}"/>
    <cellStyle name="Note 2 2 4 14" xfId="24464" xr:uid="{00000000-0005-0000-0000-0000975F0000}"/>
    <cellStyle name="Note 2 2 4 15" xfId="24465" xr:uid="{00000000-0005-0000-0000-0000985F0000}"/>
    <cellStyle name="Note 2 2 4 16" xfId="24466" xr:uid="{00000000-0005-0000-0000-0000995F0000}"/>
    <cellStyle name="Note 2 2 4 17" xfId="24467" xr:uid="{00000000-0005-0000-0000-00009A5F0000}"/>
    <cellStyle name="Note 2 2 4 18" xfId="24468" xr:uid="{00000000-0005-0000-0000-00009B5F0000}"/>
    <cellStyle name="Note 2 2 4 19" xfId="24469" xr:uid="{00000000-0005-0000-0000-00009C5F0000}"/>
    <cellStyle name="Note 2 2 4 2" xfId="24470" xr:uid="{00000000-0005-0000-0000-00009D5F0000}"/>
    <cellStyle name="Note 2 2 4 2 2" xfId="24471" xr:uid="{00000000-0005-0000-0000-00009E5F0000}"/>
    <cellStyle name="Note 2 2 4 2 2 2" xfId="24472" xr:uid="{00000000-0005-0000-0000-00009F5F0000}"/>
    <cellStyle name="Note 2 2 4 2 2 3" xfId="24473" xr:uid="{00000000-0005-0000-0000-0000A05F0000}"/>
    <cellStyle name="Note 2 2 4 2 3" xfId="24474" xr:uid="{00000000-0005-0000-0000-0000A15F0000}"/>
    <cellStyle name="Note 2 2 4 2 3 2" xfId="24475" xr:uid="{00000000-0005-0000-0000-0000A25F0000}"/>
    <cellStyle name="Note 2 2 4 2 3 3" xfId="24476" xr:uid="{00000000-0005-0000-0000-0000A35F0000}"/>
    <cellStyle name="Note 2 2 4 2 4" xfId="24477" xr:uid="{00000000-0005-0000-0000-0000A45F0000}"/>
    <cellStyle name="Note 2 2 4 2 5" xfId="24478" xr:uid="{00000000-0005-0000-0000-0000A55F0000}"/>
    <cellStyle name="Note 2 2 4 20" xfId="24479" xr:uid="{00000000-0005-0000-0000-0000A65F0000}"/>
    <cellStyle name="Note 2 2 4 21" xfId="24480" xr:uid="{00000000-0005-0000-0000-0000A75F0000}"/>
    <cellStyle name="Note 2 2 4 22" xfId="24481" xr:uid="{00000000-0005-0000-0000-0000A85F0000}"/>
    <cellStyle name="Note 2 2 4 23" xfId="24482" xr:uid="{00000000-0005-0000-0000-0000A95F0000}"/>
    <cellStyle name="Note 2 2 4 24" xfId="24483" xr:uid="{00000000-0005-0000-0000-0000AA5F0000}"/>
    <cellStyle name="Note 2 2 4 25" xfId="24484" xr:uid="{00000000-0005-0000-0000-0000AB5F0000}"/>
    <cellStyle name="Note 2 2 4 26" xfId="24485" xr:uid="{00000000-0005-0000-0000-0000AC5F0000}"/>
    <cellStyle name="Note 2 2 4 27" xfId="24486" xr:uid="{00000000-0005-0000-0000-0000AD5F0000}"/>
    <cellStyle name="Note 2 2 4 28" xfId="24487" xr:uid="{00000000-0005-0000-0000-0000AE5F0000}"/>
    <cellStyle name="Note 2 2 4 29" xfId="24488" xr:uid="{00000000-0005-0000-0000-0000AF5F0000}"/>
    <cellStyle name="Note 2 2 4 3" xfId="24489" xr:uid="{00000000-0005-0000-0000-0000B05F0000}"/>
    <cellStyle name="Note 2 2 4 3 2" xfId="24490" xr:uid="{00000000-0005-0000-0000-0000B15F0000}"/>
    <cellStyle name="Note 2 2 4 3 2 2" xfId="24491" xr:uid="{00000000-0005-0000-0000-0000B25F0000}"/>
    <cellStyle name="Note 2 2 4 3 2 3" xfId="24492" xr:uid="{00000000-0005-0000-0000-0000B35F0000}"/>
    <cellStyle name="Note 2 2 4 3 3" xfId="24493" xr:uid="{00000000-0005-0000-0000-0000B45F0000}"/>
    <cellStyle name="Note 2 2 4 3 3 2" xfId="24494" xr:uid="{00000000-0005-0000-0000-0000B55F0000}"/>
    <cellStyle name="Note 2 2 4 3 3 3" xfId="24495" xr:uid="{00000000-0005-0000-0000-0000B65F0000}"/>
    <cellStyle name="Note 2 2 4 3 4" xfId="24496" xr:uid="{00000000-0005-0000-0000-0000B75F0000}"/>
    <cellStyle name="Note 2 2 4 3 5" xfId="24497" xr:uid="{00000000-0005-0000-0000-0000B85F0000}"/>
    <cellStyle name="Note 2 2 4 30" xfId="24498" xr:uid="{00000000-0005-0000-0000-0000B95F0000}"/>
    <cellStyle name="Note 2 2 4 31" xfId="24499" xr:uid="{00000000-0005-0000-0000-0000BA5F0000}"/>
    <cellStyle name="Note 2 2 4 32" xfId="24500" xr:uid="{00000000-0005-0000-0000-0000BB5F0000}"/>
    <cellStyle name="Note 2 2 4 33" xfId="24501" xr:uid="{00000000-0005-0000-0000-0000BC5F0000}"/>
    <cellStyle name="Note 2 2 4 34" xfId="24502" xr:uid="{00000000-0005-0000-0000-0000BD5F0000}"/>
    <cellStyle name="Note 2 2 4 35" xfId="24503" xr:uid="{00000000-0005-0000-0000-0000BE5F0000}"/>
    <cellStyle name="Note 2 2 4 4" xfId="24504" xr:uid="{00000000-0005-0000-0000-0000BF5F0000}"/>
    <cellStyle name="Note 2 2 4 4 2" xfId="24505" xr:uid="{00000000-0005-0000-0000-0000C05F0000}"/>
    <cellStyle name="Note 2 2 4 4 3" xfId="24506" xr:uid="{00000000-0005-0000-0000-0000C15F0000}"/>
    <cellStyle name="Note 2 2 4 5" xfId="24507" xr:uid="{00000000-0005-0000-0000-0000C25F0000}"/>
    <cellStyle name="Note 2 2 4 5 2" xfId="24508" xr:uid="{00000000-0005-0000-0000-0000C35F0000}"/>
    <cellStyle name="Note 2 2 4 5 3" xfId="24509" xr:uid="{00000000-0005-0000-0000-0000C45F0000}"/>
    <cellStyle name="Note 2 2 4 6" xfId="24510" xr:uid="{00000000-0005-0000-0000-0000C55F0000}"/>
    <cellStyle name="Note 2 2 4 7" xfId="24511" xr:uid="{00000000-0005-0000-0000-0000C65F0000}"/>
    <cellStyle name="Note 2 2 4 8" xfId="24512" xr:uid="{00000000-0005-0000-0000-0000C75F0000}"/>
    <cellStyle name="Note 2 2 4 9" xfId="24513" xr:uid="{00000000-0005-0000-0000-0000C85F0000}"/>
    <cellStyle name="Note 2 2 5" xfId="24514" xr:uid="{00000000-0005-0000-0000-0000C95F0000}"/>
    <cellStyle name="Note 2 2 5 2" xfId="24515" xr:uid="{00000000-0005-0000-0000-0000CA5F0000}"/>
    <cellStyle name="Note 2 2 5 3" xfId="24516" xr:uid="{00000000-0005-0000-0000-0000CB5F0000}"/>
    <cellStyle name="Note 2 2 6" xfId="24517" xr:uid="{00000000-0005-0000-0000-0000CC5F0000}"/>
    <cellStyle name="Note 2 2 6 2" xfId="24518" xr:uid="{00000000-0005-0000-0000-0000CD5F0000}"/>
    <cellStyle name="Note 2 2 6 3" xfId="24519" xr:uid="{00000000-0005-0000-0000-0000CE5F0000}"/>
    <cellStyle name="Note 2 2 7" xfId="24520" xr:uid="{00000000-0005-0000-0000-0000CF5F0000}"/>
    <cellStyle name="Note 2 2 8" xfId="24521" xr:uid="{00000000-0005-0000-0000-0000D05F0000}"/>
    <cellStyle name="Note 2 2 9" xfId="24522" xr:uid="{00000000-0005-0000-0000-0000D15F0000}"/>
    <cellStyle name="Note 2 20" xfId="24523" xr:uid="{00000000-0005-0000-0000-0000D25F0000}"/>
    <cellStyle name="Note 2 20 10" xfId="24524" xr:uid="{00000000-0005-0000-0000-0000D35F0000}"/>
    <cellStyle name="Note 2 20 11" xfId="24525" xr:uid="{00000000-0005-0000-0000-0000D45F0000}"/>
    <cellStyle name="Note 2 20 12" xfId="24526" xr:uid="{00000000-0005-0000-0000-0000D55F0000}"/>
    <cellStyle name="Note 2 20 13" xfId="24527" xr:uid="{00000000-0005-0000-0000-0000D65F0000}"/>
    <cellStyle name="Note 2 20 14" xfId="24528" xr:uid="{00000000-0005-0000-0000-0000D75F0000}"/>
    <cellStyle name="Note 2 20 15" xfId="24529" xr:uid="{00000000-0005-0000-0000-0000D85F0000}"/>
    <cellStyle name="Note 2 20 16" xfId="24530" xr:uid="{00000000-0005-0000-0000-0000D95F0000}"/>
    <cellStyle name="Note 2 20 17" xfId="24531" xr:uid="{00000000-0005-0000-0000-0000DA5F0000}"/>
    <cellStyle name="Note 2 20 18" xfId="24532" xr:uid="{00000000-0005-0000-0000-0000DB5F0000}"/>
    <cellStyle name="Note 2 20 19" xfId="24533" xr:uid="{00000000-0005-0000-0000-0000DC5F0000}"/>
    <cellStyle name="Note 2 20 2" xfId="24534" xr:uid="{00000000-0005-0000-0000-0000DD5F0000}"/>
    <cellStyle name="Note 2 20 2 10" xfId="24535" xr:uid="{00000000-0005-0000-0000-0000DE5F0000}"/>
    <cellStyle name="Note 2 20 2 11" xfId="24536" xr:uid="{00000000-0005-0000-0000-0000DF5F0000}"/>
    <cellStyle name="Note 2 20 2 12" xfId="24537" xr:uid="{00000000-0005-0000-0000-0000E05F0000}"/>
    <cellStyle name="Note 2 20 2 13" xfId="24538" xr:uid="{00000000-0005-0000-0000-0000E15F0000}"/>
    <cellStyle name="Note 2 20 2 14" xfId="24539" xr:uid="{00000000-0005-0000-0000-0000E25F0000}"/>
    <cellStyle name="Note 2 20 2 15" xfId="24540" xr:uid="{00000000-0005-0000-0000-0000E35F0000}"/>
    <cellStyle name="Note 2 20 2 16" xfId="24541" xr:uid="{00000000-0005-0000-0000-0000E45F0000}"/>
    <cellStyle name="Note 2 20 2 17" xfId="24542" xr:uid="{00000000-0005-0000-0000-0000E55F0000}"/>
    <cellStyle name="Note 2 20 2 18" xfId="24543" xr:uid="{00000000-0005-0000-0000-0000E65F0000}"/>
    <cellStyle name="Note 2 20 2 19" xfId="24544" xr:uid="{00000000-0005-0000-0000-0000E75F0000}"/>
    <cellStyle name="Note 2 20 2 2" xfId="24545" xr:uid="{00000000-0005-0000-0000-0000E85F0000}"/>
    <cellStyle name="Note 2 20 2 2 2" xfId="24546" xr:uid="{00000000-0005-0000-0000-0000E95F0000}"/>
    <cellStyle name="Note 2 20 2 2 2 2" xfId="24547" xr:uid="{00000000-0005-0000-0000-0000EA5F0000}"/>
    <cellStyle name="Note 2 20 2 2 2 3" xfId="24548" xr:uid="{00000000-0005-0000-0000-0000EB5F0000}"/>
    <cellStyle name="Note 2 20 2 2 3" xfId="24549" xr:uid="{00000000-0005-0000-0000-0000EC5F0000}"/>
    <cellStyle name="Note 2 20 2 2 3 2" xfId="24550" xr:uid="{00000000-0005-0000-0000-0000ED5F0000}"/>
    <cellStyle name="Note 2 20 2 2 3 3" xfId="24551" xr:uid="{00000000-0005-0000-0000-0000EE5F0000}"/>
    <cellStyle name="Note 2 20 2 2 4" xfId="24552" xr:uid="{00000000-0005-0000-0000-0000EF5F0000}"/>
    <cellStyle name="Note 2 20 2 2 5" xfId="24553" xr:uid="{00000000-0005-0000-0000-0000F05F0000}"/>
    <cellStyle name="Note 2 20 2 20" xfId="24554" xr:uid="{00000000-0005-0000-0000-0000F15F0000}"/>
    <cellStyle name="Note 2 20 2 21" xfId="24555" xr:uid="{00000000-0005-0000-0000-0000F25F0000}"/>
    <cellStyle name="Note 2 20 2 22" xfId="24556" xr:uid="{00000000-0005-0000-0000-0000F35F0000}"/>
    <cellStyle name="Note 2 20 2 23" xfId="24557" xr:uid="{00000000-0005-0000-0000-0000F45F0000}"/>
    <cellStyle name="Note 2 20 2 24" xfId="24558" xr:uid="{00000000-0005-0000-0000-0000F55F0000}"/>
    <cellStyle name="Note 2 20 2 25" xfId="24559" xr:uid="{00000000-0005-0000-0000-0000F65F0000}"/>
    <cellStyle name="Note 2 20 2 26" xfId="24560" xr:uid="{00000000-0005-0000-0000-0000F75F0000}"/>
    <cellStyle name="Note 2 20 2 27" xfId="24561" xr:uid="{00000000-0005-0000-0000-0000F85F0000}"/>
    <cellStyle name="Note 2 20 2 28" xfId="24562" xr:uid="{00000000-0005-0000-0000-0000F95F0000}"/>
    <cellStyle name="Note 2 20 2 29" xfId="24563" xr:uid="{00000000-0005-0000-0000-0000FA5F0000}"/>
    <cellStyle name="Note 2 20 2 3" xfId="24564" xr:uid="{00000000-0005-0000-0000-0000FB5F0000}"/>
    <cellStyle name="Note 2 20 2 3 2" xfId="24565" xr:uid="{00000000-0005-0000-0000-0000FC5F0000}"/>
    <cellStyle name="Note 2 20 2 3 2 2" xfId="24566" xr:uid="{00000000-0005-0000-0000-0000FD5F0000}"/>
    <cellStyle name="Note 2 20 2 3 2 3" xfId="24567" xr:uid="{00000000-0005-0000-0000-0000FE5F0000}"/>
    <cellStyle name="Note 2 20 2 3 3" xfId="24568" xr:uid="{00000000-0005-0000-0000-0000FF5F0000}"/>
    <cellStyle name="Note 2 20 2 3 3 2" xfId="24569" xr:uid="{00000000-0005-0000-0000-000000600000}"/>
    <cellStyle name="Note 2 20 2 3 3 3" xfId="24570" xr:uid="{00000000-0005-0000-0000-000001600000}"/>
    <cellStyle name="Note 2 20 2 3 4" xfId="24571" xr:uid="{00000000-0005-0000-0000-000002600000}"/>
    <cellStyle name="Note 2 20 2 3 5" xfId="24572" xr:uid="{00000000-0005-0000-0000-000003600000}"/>
    <cellStyle name="Note 2 20 2 30" xfId="24573" xr:uid="{00000000-0005-0000-0000-000004600000}"/>
    <cellStyle name="Note 2 20 2 31" xfId="24574" xr:uid="{00000000-0005-0000-0000-000005600000}"/>
    <cellStyle name="Note 2 20 2 32" xfId="24575" xr:uid="{00000000-0005-0000-0000-000006600000}"/>
    <cellStyle name="Note 2 20 2 33" xfId="24576" xr:uid="{00000000-0005-0000-0000-000007600000}"/>
    <cellStyle name="Note 2 20 2 34" xfId="24577" xr:uid="{00000000-0005-0000-0000-000008600000}"/>
    <cellStyle name="Note 2 20 2 35" xfId="24578" xr:uid="{00000000-0005-0000-0000-000009600000}"/>
    <cellStyle name="Note 2 20 2 4" xfId="24579" xr:uid="{00000000-0005-0000-0000-00000A600000}"/>
    <cellStyle name="Note 2 20 2 4 2" xfId="24580" xr:uid="{00000000-0005-0000-0000-00000B600000}"/>
    <cellStyle name="Note 2 20 2 4 3" xfId="24581" xr:uid="{00000000-0005-0000-0000-00000C600000}"/>
    <cellStyle name="Note 2 20 2 5" xfId="24582" xr:uid="{00000000-0005-0000-0000-00000D600000}"/>
    <cellStyle name="Note 2 20 2 5 2" xfId="24583" xr:uid="{00000000-0005-0000-0000-00000E600000}"/>
    <cellStyle name="Note 2 20 2 5 3" xfId="24584" xr:uid="{00000000-0005-0000-0000-00000F600000}"/>
    <cellStyle name="Note 2 20 2 6" xfId="24585" xr:uid="{00000000-0005-0000-0000-000010600000}"/>
    <cellStyle name="Note 2 20 2 7" xfId="24586" xr:uid="{00000000-0005-0000-0000-000011600000}"/>
    <cellStyle name="Note 2 20 2 8" xfId="24587" xr:uid="{00000000-0005-0000-0000-000012600000}"/>
    <cellStyle name="Note 2 20 2 9" xfId="24588" xr:uid="{00000000-0005-0000-0000-000013600000}"/>
    <cellStyle name="Note 2 20 20" xfId="24589" xr:uid="{00000000-0005-0000-0000-000014600000}"/>
    <cellStyle name="Note 2 20 21" xfId="24590" xr:uid="{00000000-0005-0000-0000-000015600000}"/>
    <cellStyle name="Note 2 20 22" xfId="24591" xr:uid="{00000000-0005-0000-0000-000016600000}"/>
    <cellStyle name="Note 2 20 23" xfId="24592" xr:uid="{00000000-0005-0000-0000-000017600000}"/>
    <cellStyle name="Note 2 20 24" xfId="24593" xr:uid="{00000000-0005-0000-0000-000018600000}"/>
    <cellStyle name="Note 2 20 25" xfId="24594" xr:uid="{00000000-0005-0000-0000-000019600000}"/>
    <cellStyle name="Note 2 20 26" xfId="24595" xr:uid="{00000000-0005-0000-0000-00001A600000}"/>
    <cellStyle name="Note 2 20 27" xfId="24596" xr:uid="{00000000-0005-0000-0000-00001B600000}"/>
    <cellStyle name="Note 2 20 28" xfId="24597" xr:uid="{00000000-0005-0000-0000-00001C600000}"/>
    <cellStyle name="Note 2 20 29" xfId="24598" xr:uid="{00000000-0005-0000-0000-00001D600000}"/>
    <cellStyle name="Note 2 20 3" xfId="24599" xr:uid="{00000000-0005-0000-0000-00001E600000}"/>
    <cellStyle name="Note 2 20 3 2" xfId="24600" xr:uid="{00000000-0005-0000-0000-00001F600000}"/>
    <cellStyle name="Note 2 20 3 3" xfId="24601" xr:uid="{00000000-0005-0000-0000-000020600000}"/>
    <cellStyle name="Note 2 20 30" xfId="24602" xr:uid="{00000000-0005-0000-0000-000021600000}"/>
    <cellStyle name="Note 2 20 31" xfId="24603" xr:uid="{00000000-0005-0000-0000-000022600000}"/>
    <cellStyle name="Note 2 20 32" xfId="24604" xr:uid="{00000000-0005-0000-0000-000023600000}"/>
    <cellStyle name="Note 2 20 33" xfId="24605" xr:uid="{00000000-0005-0000-0000-000024600000}"/>
    <cellStyle name="Note 2 20 34" xfId="24606" xr:uid="{00000000-0005-0000-0000-000025600000}"/>
    <cellStyle name="Note 2 20 4" xfId="24607" xr:uid="{00000000-0005-0000-0000-000026600000}"/>
    <cellStyle name="Note 2 20 4 2" xfId="24608" xr:uid="{00000000-0005-0000-0000-000027600000}"/>
    <cellStyle name="Note 2 20 4 3" xfId="24609" xr:uid="{00000000-0005-0000-0000-000028600000}"/>
    <cellStyle name="Note 2 20 5" xfId="24610" xr:uid="{00000000-0005-0000-0000-000029600000}"/>
    <cellStyle name="Note 2 20 6" xfId="24611" xr:uid="{00000000-0005-0000-0000-00002A600000}"/>
    <cellStyle name="Note 2 20 7" xfId="24612" xr:uid="{00000000-0005-0000-0000-00002B600000}"/>
    <cellStyle name="Note 2 20 8" xfId="24613" xr:uid="{00000000-0005-0000-0000-00002C600000}"/>
    <cellStyle name="Note 2 20 9" xfId="24614" xr:uid="{00000000-0005-0000-0000-00002D600000}"/>
    <cellStyle name="Note 2 21" xfId="24615" xr:uid="{00000000-0005-0000-0000-00002E600000}"/>
    <cellStyle name="Note 2 21 10" xfId="24616" xr:uid="{00000000-0005-0000-0000-00002F600000}"/>
    <cellStyle name="Note 2 21 11" xfId="24617" xr:uid="{00000000-0005-0000-0000-000030600000}"/>
    <cellStyle name="Note 2 21 12" xfId="24618" xr:uid="{00000000-0005-0000-0000-000031600000}"/>
    <cellStyle name="Note 2 21 13" xfId="24619" xr:uid="{00000000-0005-0000-0000-000032600000}"/>
    <cellStyle name="Note 2 21 14" xfId="24620" xr:uid="{00000000-0005-0000-0000-000033600000}"/>
    <cellStyle name="Note 2 21 15" xfId="24621" xr:uid="{00000000-0005-0000-0000-000034600000}"/>
    <cellStyle name="Note 2 21 16" xfId="24622" xr:uid="{00000000-0005-0000-0000-000035600000}"/>
    <cellStyle name="Note 2 21 17" xfId="24623" xr:uid="{00000000-0005-0000-0000-000036600000}"/>
    <cellStyle name="Note 2 21 18" xfId="24624" xr:uid="{00000000-0005-0000-0000-000037600000}"/>
    <cellStyle name="Note 2 21 19" xfId="24625" xr:uid="{00000000-0005-0000-0000-000038600000}"/>
    <cellStyle name="Note 2 21 2" xfId="24626" xr:uid="{00000000-0005-0000-0000-000039600000}"/>
    <cellStyle name="Note 2 21 2 2" xfId="24627" xr:uid="{00000000-0005-0000-0000-00003A600000}"/>
    <cellStyle name="Note 2 21 2 2 2" xfId="24628" xr:uid="{00000000-0005-0000-0000-00003B600000}"/>
    <cellStyle name="Note 2 21 2 2 3" xfId="24629" xr:uid="{00000000-0005-0000-0000-00003C600000}"/>
    <cellStyle name="Note 2 21 2 3" xfId="24630" xr:uid="{00000000-0005-0000-0000-00003D600000}"/>
    <cellStyle name="Note 2 21 2 3 2" xfId="24631" xr:uid="{00000000-0005-0000-0000-00003E600000}"/>
    <cellStyle name="Note 2 21 2 3 3" xfId="24632" xr:uid="{00000000-0005-0000-0000-00003F600000}"/>
    <cellStyle name="Note 2 21 2 4" xfId="24633" xr:uid="{00000000-0005-0000-0000-000040600000}"/>
    <cellStyle name="Note 2 21 2 5" xfId="24634" xr:uid="{00000000-0005-0000-0000-000041600000}"/>
    <cellStyle name="Note 2 21 20" xfId="24635" xr:uid="{00000000-0005-0000-0000-000042600000}"/>
    <cellStyle name="Note 2 21 21" xfId="24636" xr:uid="{00000000-0005-0000-0000-000043600000}"/>
    <cellStyle name="Note 2 21 22" xfId="24637" xr:uid="{00000000-0005-0000-0000-000044600000}"/>
    <cellStyle name="Note 2 21 23" xfId="24638" xr:uid="{00000000-0005-0000-0000-000045600000}"/>
    <cellStyle name="Note 2 21 24" xfId="24639" xr:uid="{00000000-0005-0000-0000-000046600000}"/>
    <cellStyle name="Note 2 21 25" xfId="24640" xr:uid="{00000000-0005-0000-0000-000047600000}"/>
    <cellStyle name="Note 2 21 26" xfId="24641" xr:uid="{00000000-0005-0000-0000-000048600000}"/>
    <cellStyle name="Note 2 21 27" xfId="24642" xr:uid="{00000000-0005-0000-0000-000049600000}"/>
    <cellStyle name="Note 2 21 28" xfId="24643" xr:uid="{00000000-0005-0000-0000-00004A600000}"/>
    <cellStyle name="Note 2 21 29" xfId="24644" xr:uid="{00000000-0005-0000-0000-00004B600000}"/>
    <cellStyle name="Note 2 21 3" xfId="24645" xr:uid="{00000000-0005-0000-0000-00004C600000}"/>
    <cellStyle name="Note 2 21 3 2" xfId="24646" xr:uid="{00000000-0005-0000-0000-00004D600000}"/>
    <cellStyle name="Note 2 21 3 2 2" xfId="24647" xr:uid="{00000000-0005-0000-0000-00004E600000}"/>
    <cellStyle name="Note 2 21 3 2 3" xfId="24648" xr:uid="{00000000-0005-0000-0000-00004F600000}"/>
    <cellStyle name="Note 2 21 3 3" xfId="24649" xr:uid="{00000000-0005-0000-0000-000050600000}"/>
    <cellStyle name="Note 2 21 3 3 2" xfId="24650" xr:uid="{00000000-0005-0000-0000-000051600000}"/>
    <cellStyle name="Note 2 21 3 3 3" xfId="24651" xr:uid="{00000000-0005-0000-0000-000052600000}"/>
    <cellStyle name="Note 2 21 3 4" xfId="24652" xr:uid="{00000000-0005-0000-0000-000053600000}"/>
    <cellStyle name="Note 2 21 3 5" xfId="24653" xr:uid="{00000000-0005-0000-0000-000054600000}"/>
    <cellStyle name="Note 2 21 30" xfId="24654" xr:uid="{00000000-0005-0000-0000-000055600000}"/>
    <cellStyle name="Note 2 21 31" xfId="24655" xr:uid="{00000000-0005-0000-0000-000056600000}"/>
    <cellStyle name="Note 2 21 32" xfId="24656" xr:uid="{00000000-0005-0000-0000-000057600000}"/>
    <cellStyle name="Note 2 21 33" xfId="24657" xr:uid="{00000000-0005-0000-0000-000058600000}"/>
    <cellStyle name="Note 2 21 34" xfId="24658" xr:uid="{00000000-0005-0000-0000-000059600000}"/>
    <cellStyle name="Note 2 21 35" xfId="24659" xr:uid="{00000000-0005-0000-0000-00005A600000}"/>
    <cellStyle name="Note 2 21 4" xfId="24660" xr:uid="{00000000-0005-0000-0000-00005B600000}"/>
    <cellStyle name="Note 2 21 4 2" xfId="24661" xr:uid="{00000000-0005-0000-0000-00005C600000}"/>
    <cellStyle name="Note 2 21 4 3" xfId="24662" xr:uid="{00000000-0005-0000-0000-00005D600000}"/>
    <cellStyle name="Note 2 21 5" xfId="24663" xr:uid="{00000000-0005-0000-0000-00005E600000}"/>
    <cellStyle name="Note 2 21 5 2" xfId="24664" xr:uid="{00000000-0005-0000-0000-00005F600000}"/>
    <cellStyle name="Note 2 21 5 3" xfId="24665" xr:uid="{00000000-0005-0000-0000-000060600000}"/>
    <cellStyle name="Note 2 21 6" xfId="24666" xr:uid="{00000000-0005-0000-0000-000061600000}"/>
    <cellStyle name="Note 2 21 7" xfId="24667" xr:uid="{00000000-0005-0000-0000-000062600000}"/>
    <cellStyle name="Note 2 21 8" xfId="24668" xr:uid="{00000000-0005-0000-0000-000063600000}"/>
    <cellStyle name="Note 2 21 9" xfId="24669" xr:uid="{00000000-0005-0000-0000-000064600000}"/>
    <cellStyle name="Note 2 22" xfId="24670" xr:uid="{00000000-0005-0000-0000-000065600000}"/>
    <cellStyle name="Note 2 22 2" xfId="24671" xr:uid="{00000000-0005-0000-0000-000066600000}"/>
    <cellStyle name="Note 2 22 3" xfId="24672" xr:uid="{00000000-0005-0000-0000-000067600000}"/>
    <cellStyle name="Note 2 23" xfId="24673" xr:uid="{00000000-0005-0000-0000-000068600000}"/>
    <cellStyle name="Note 2 23 2" xfId="24674" xr:uid="{00000000-0005-0000-0000-000069600000}"/>
    <cellStyle name="Note 2 23 3" xfId="24675" xr:uid="{00000000-0005-0000-0000-00006A600000}"/>
    <cellStyle name="Note 2 24" xfId="24676" xr:uid="{00000000-0005-0000-0000-00006B600000}"/>
    <cellStyle name="Note 2 25" xfId="24677" xr:uid="{00000000-0005-0000-0000-00006C600000}"/>
    <cellStyle name="Note 2 26" xfId="24678" xr:uid="{00000000-0005-0000-0000-00006D600000}"/>
    <cellStyle name="Note 2 27" xfId="24679" xr:uid="{00000000-0005-0000-0000-00006E600000}"/>
    <cellStyle name="Note 2 28" xfId="24680" xr:uid="{00000000-0005-0000-0000-00006F600000}"/>
    <cellStyle name="Note 2 29" xfId="24681" xr:uid="{00000000-0005-0000-0000-000070600000}"/>
    <cellStyle name="Note 2 3" xfId="24682" xr:uid="{00000000-0005-0000-0000-000071600000}"/>
    <cellStyle name="Note 2 3 10" xfId="24683" xr:uid="{00000000-0005-0000-0000-000072600000}"/>
    <cellStyle name="Note 2 3 11" xfId="24684" xr:uid="{00000000-0005-0000-0000-000073600000}"/>
    <cellStyle name="Note 2 3 12" xfId="24685" xr:uid="{00000000-0005-0000-0000-000074600000}"/>
    <cellStyle name="Note 2 3 13" xfId="24686" xr:uid="{00000000-0005-0000-0000-000075600000}"/>
    <cellStyle name="Note 2 3 14" xfId="24687" xr:uid="{00000000-0005-0000-0000-000076600000}"/>
    <cellStyle name="Note 2 3 15" xfId="24688" xr:uid="{00000000-0005-0000-0000-000077600000}"/>
    <cellStyle name="Note 2 3 16" xfId="24689" xr:uid="{00000000-0005-0000-0000-000078600000}"/>
    <cellStyle name="Note 2 3 17" xfId="24690" xr:uid="{00000000-0005-0000-0000-000079600000}"/>
    <cellStyle name="Note 2 3 18" xfId="24691" xr:uid="{00000000-0005-0000-0000-00007A600000}"/>
    <cellStyle name="Note 2 3 19" xfId="24692" xr:uid="{00000000-0005-0000-0000-00007B600000}"/>
    <cellStyle name="Note 2 3 2" xfId="24693" xr:uid="{00000000-0005-0000-0000-00007C600000}"/>
    <cellStyle name="Note 2 3 2 10" xfId="24694" xr:uid="{00000000-0005-0000-0000-00007D600000}"/>
    <cellStyle name="Note 2 3 2 11" xfId="24695" xr:uid="{00000000-0005-0000-0000-00007E600000}"/>
    <cellStyle name="Note 2 3 2 12" xfId="24696" xr:uid="{00000000-0005-0000-0000-00007F600000}"/>
    <cellStyle name="Note 2 3 2 13" xfId="24697" xr:uid="{00000000-0005-0000-0000-000080600000}"/>
    <cellStyle name="Note 2 3 2 14" xfId="24698" xr:uid="{00000000-0005-0000-0000-000081600000}"/>
    <cellStyle name="Note 2 3 2 15" xfId="24699" xr:uid="{00000000-0005-0000-0000-000082600000}"/>
    <cellStyle name="Note 2 3 2 16" xfId="24700" xr:uid="{00000000-0005-0000-0000-000083600000}"/>
    <cellStyle name="Note 2 3 2 17" xfId="24701" xr:uid="{00000000-0005-0000-0000-000084600000}"/>
    <cellStyle name="Note 2 3 2 18" xfId="24702" xr:uid="{00000000-0005-0000-0000-000085600000}"/>
    <cellStyle name="Note 2 3 2 19" xfId="24703" xr:uid="{00000000-0005-0000-0000-000086600000}"/>
    <cellStyle name="Note 2 3 2 2" xfId="24704" xr:uid="{00000000-0005-0000-0000-000087600000}"/>
    <cellStyle name="Note 2 3 2 2 10" xfId="24705" xr:uid="{00000000-0005-0000-0000-000088600000}"/>
    <cellStyle name="Note 2 3 2 2 11" xfId="24706" xr:uid="{00000000-0005-0000-0000-000089600000}"/>
    <cellStyle name="Note 2 3 2 2 12" xfId="24707" xr:uid="{00000000-0005-0000-0000-00008A600000}"/>
    <cellStyle name="Note 2 3 2 2 13" xfId="24708" xr:uid="{00000000-0005-0000-0000-00008B600000}"/>
    <cellStyle name="Note 2 3 2 2 14" xfId="24709" xr:uid="{00000000-0005-0000-0000-00008C600000}"/>
    <cellStyle name="Note 2 3 2 2 15" xfId="24710" xr:uid="{00000000-0005-0000-0000-00008D600000}"/>
    <cellStyle name="Note 2 3 2 2 16" xfId="24711" xr:uid="{00000000-0005-0000-0000-00008E600000}"/>
    <cellStyle name="Note 2 3 2 2 17" xfId="24712" xr:uid="{00000000-0005-0000-0000-00008F600000}"/>
    <cellStyle name="Note 2 3 2 2 18" xfId="24713" xr:uid="{00000000-0005-0000-0000-000090600000}"/>
    <cellStyle name="Note 2 3 2 2 19" xfId="24714" xr:uid="{00000000-0005-0000-0000-000091600000}"/>
    <cellStyle name="Note 2 3 2 2 2" xfId="24715" xr:uid="{00000000-0005-0000-0000-000092600000}"/>
    <cellStyle name="Note 2 3 2 2 2 2" xfId="24716" xr:uid="{00000000-0005-0000-0000-000093600000}"/>
    <cellStyle name="Note 2 3 2 2 2 2 2" xfId="24717" xr:uid="{00000000-0005-0000-0000-000094600000}"/>
    <cellStyle name="Note 2 3 2 2 2 2 3" xfId="24718" xr:uid="{00000000-0005-0000-0000-000095600000}"/>
    <cellStyle name="Note 2 3 2 2 2 3" xfId="24719" xr:uid="{00000000-0005-0000-0000-000096600000}"/>
    <cellStyle name="Note 2 3 2 2 2 3 2" xfId="24720" xr:uid="{00000000-0005-0000-0000-000097600000}"/>
    <cellStyle name="Note 2 3 2 2 2 3 3" xfId="24721" xr:uid="{00000000-0005-0000-0000-000098600000}"/>
    <cellStyle name="Note 2 3 2 2 2 4" xfId="24722" xr:uid="{00000000-0005-0000-0000-000099600000}"/>
    <cellStyle name="Note 2 3 2 2 2 5" xfId="24723" xr:uid="{00000000-0005-0000-0000-00009A600000}"/>
    <cellStyle name="Note 2 3 2 2 20" xfId="24724" xr:uid="{00000000-0005-0000-0000-00009B600000}"/>
    <cellStyle name="Note 2 3 2 2 21" xfId="24725" xr:uid="{00000000-0005-0000-0000-00009C600000}"/>
    <cellStyle name="Note 2 3 2 2 22" xfId="24726" xr:uid="{00000000-0005-0000-0000-00009D600000}"/>
    <cellStyle name="Note 2 3 2 2 23" xfId="24727" xr:uid="{00000000-0005-0000-0000-00009E600000}"/>
    <cellStyle name="Note 2 3 2 2 24" xfId="24728" xr:uid="{00000000-0005-0000-0000-00009F600000}"/>
    <cellStyle name="Note 2 3 2 2 25" xfId="24729" xr:uid="{00000000-0005-0000-0000-0000A0600000}"/>
    <cellStyle name="Note 2 3 2 2 26" xfId="24730" xr:uid="{00000000-0005-0000-0000-0000A1600000}"/>
    <cellStyle name="Note 2 3 2 2 27" xfId="24731" xr:uid="{00000000-0005-0000-0000-0000A2600000}"/>
    <cellStyle name="Note 2 3 2 2 28" xfId="24732" xr:uid="{00000000-0005-0000-0000-0000A3600000}"/>
    <cellStyle name="Note 2 3 2 2 29" xfId="24733" xr:uid="{00000000-0005-0000-0000-0000A4600000}"/>
    <cellStyle name="Note 2 3 2 2 3" xfId="24734" xr:uid="{00000000-0005-0000-0000-0000A5600000}"/>
    <cellStyle name="Note 2 3 2 2 3 2" xfId="24735" xr:uid="{00000000-0005-0000-0000-0000A6600000}"/>
    <cellStyle name="Note 2 3 2 2 3 2 2" xfId="24736" xr:uid="{00000000-0005-0000-0000-0000A7600000}"/>
    <cellStyle name="Note 2 3 2 2 3 2 3" xfId="24737" xr:uid="{00000000-0005-0000-0000-0000A8600000}"/>
    <cellStyle name="Note 2 3 2 2 3 3" xfId="24738" xr:uid="{00000000-0005-0000-0000-0000A9600000}"/>
    <cellStyle name="Note 2 3 2 2 3 3 2" xfId="24739" xr:uid="{00000000-0005-0000-0000-0000AA600000}"/>
    <cellStyle name="Note 2 3 2 2 3 3 3" xfId="24740" xr:uid="{00000000-0005-0000-0000-0000AB600000}"/>
    <cellStyle name="Note 2 3 2 2 3 4" xfId="24741" xr:uid="{00000000-0005-0000-0000-0000AC600000}"/>
    <cellStyle name="Note 2 3 2 2 3 5" xfId="24742" xr:uid="{00000000-0005-0000-0000-0000AD600000}"/>
    <cellStyle name="Note 2 3 2 2 30" xfId="24743" xr:uid="{00000000-0005-0000-0000-0000AE600000}"/>
    <cellStyle name="Note 2 3 2 2 31" xfId="24744" xr:uid="{00000000-0005-0000-0000-0000AF600000}"/>
    <cellStyle name="Note 2 3 2 2 32" xfId="24745" xr:uid="{00000000-0005-0000-0000-0000B0600000}"/>
    <cellStyle name="Note 2 3 2 2 33" xfId="24746" xr:uid="{00000000-0005-0000-0000-0000B1600000}"/>
    <cellStyle name="Note 2 3 2 2 34" xfId="24747" xr:uid="{00000000-0005-0000-0000-0000B2600000}"/>
    <cellStyle name="Note 2 3 2 2 35" xfId="24748" xr:uid="{00000000-0005-0000-0000-0000B3600000}"/>
    <cellStyle name="Note 2 3 2 2 4" xfId="24749" xr:uid="{00000000-0005-0000-0000-0000B4600000}"/>
    <cellStyle name="Note 2 3 2 2 4 2" xfId="24750" xr:uid="{00000000-0005-0000-0000-0000B5600000}"/>
    <cellStyle name="Note 2 3 2 2 4 3" xfId="24751" xr:uid="{00000000-0005-0000-0000-0000B6600000}"/>
    <cellStyle name="Note 2 3 2 2 5" xfId="24752" xr:uid="{00000000-0005-0000-0000-0000B7600000}"/>
    <cellStyle name="Note 2 3 2 2 5 2" xfId="24753" xr:uid="{00000000-0005-0000-0000-0000B8600000}"/>
    <cellStyle name="Note 2 3 2 2 5 3" xfId="24754" xr:uid="{00000000-0005-0000-0000-0000B9600000}"/>
    <cellStyle name="Note 2 3 2 2 6" xfId="24755" xr:uid="{00000000-0005-0000-0000-0000BA600000}"/>
    <cellStyle name="Note 2 3 2 2 7" xfId="24756" xr:uid="{00000000-0005-0000-0000-0000BB600000}"/>
    <cellStyle name="Note 2 3 2 2 8" xfId="24757" xr:uid="{00000000-0005-0000-0000-0000BC600000}"/>
    <cellStyle name="Note 2 3 2 2 9" xfId="24758" xr:uid="{00000000-0005-0000-0000-0000BD600000}"/>
    <cellStyle name="Note 2 3 2 20" xfId="24759" xr:uid="{00000000-0005-0000-0000-0000BE600000}"/>
    <cellStyle name="Note 2 3 2 21" xfId="24760" xr:uid="{00000000-0005-0000-0000-0000BF600000}"/>
    <cellStyle name="Note 2 3 2 22" xfId="24761" xr:uid="{00000000-0005-0000-0000-0000C0600000}"/>
    <cellStyle name="Note 2 3 2 23" xfId="24762" xr:uid="{00000000-0005-0000-0000-0000C1600000}"/>
    <cellStyle name="Note 2 3 2 24" xfId="24763" xr:uid="{00000000-0005-0000-0000-0000C2600000}"/>
    <cellStyle name="Note 2 3 2 25" xfId="24764" xr:uid="{00000000-0005-0000-0000-0000C3600000}"/>
    <cellStyle name="Note 2 3 2 26" xfId="24765" xr:uid="{00000000-0005-0000-0000-0000C4600000}"/>
    <cellStyle name="Note 2 3 2 27" xfId="24766" xr:uid="{00000000-0005-0000-0000-0000C5600000}"/>
    <cellStyle name="Note 2 3 2 28" xfId="24767" xr:uid="{00000000-0005-0000-0000-0000C6600000}"/>
    <cellStyle name="Note 2 3 2 29" xfId="24768" xr:uid="{00000000-0005-0000-0000-0000C7600000}"/>
    <cellStyle name="Note 2 3 2 3" xfId="24769" xr:uid="{00000000-0005-0000-0000-0000C8600000}"/>
    <cellStyle name="Note 2 3 2 3 2" xfId="24770" xr:uid="{00000000-0005-0000-0000-0000C9600000}"/>
    <cellStyle name="Note 2 3 2 3 3" xfId="24771" xr:uid="{00000000-0005-0000-0000-0000CA600000}"/>
    <cellStyle name="Note 2 3 2 30" xfId="24772" xr:uid="{00000000-0005-0000-0000-0000CB600000}"/>
    <cellStyle name="Note 2 3 2 31" xfId="24773" xr:uid="{00000000-0005-0000-0000-0000CC600000}"/>
    <cellStyle name="Note 2 3 2 32" xfId="24774" xr:uid="{00000000-0005-0000-0000-0000CD600000}"/>
    <cellStyle name="Note 2 3 2 33" xfId="24775" xr:uid="{00000000-0005-0000-0000-0000CE600000}"/>
    <cellStyle name="Note 2 3 2 34" xfId="24776" xr:uid="{00000000-0005-0000-0000-0000CF600000}"/>
    <cellStyle name="Note 2 3 2 4" xfId="24777" xr:uid="{00000000-0005-0000-0000-0000D0600000}"/>
    <cellStyle name="Note 2 3 2 4 2" xfId="24778" xr:uid="{00000000-0005-0000-0000-0000D1600000}"/>
    <cellStyle name="Note 2 3 2 4 3" xfId="24779" xr:uid="{00000000-0005-0000-0000-0000D2600000}"/>
    <cellStyle name="Note 2 3 2 5" xfId="24780" xr:uid="{00000000-0005-0000-0000-0000D3600000}"/>
    <cellStyle name="Note 2 3 2 6" xfId="24781" xr:uid="{00000000-0005-0000-0000-0000D4600000}"/>
    <cellStyle name="Note 2 3 2 7" xfId="24782" xr:uid="{00000000-0005-0000-0000-0000D5600000}"/>
    <cellStyle name="Note 2 3 2 8" xfId="24783" xr:uid="{00000000-0005-0000-0000-0000D6600000}"/>
    <cellStyle name="Note 2 3 2 9" xfId="24784" xr:uid="{00000000-0005-0000-0000-0000D7600000}"/>
    <cellStyle name="Note 2 3 20" xfId="24785" xr:uid="{00000000-0005-0000-0000-0000D8600000}"/>
    <cellStyle name="Note 2 3 21" xfId="24786" xr:uid="{00000000-0005-0000-0000-0000D9600000}"/>
    <cellStyle name="Note 2 3 22" xfId="24787" xr:uid="{00000000-0005-0000-0000-0000DA600000}"/>
    <cellStyle name="Note 2 3 23" xfId="24788" xr:uid="{00000000-0005-0000-0000-0000DB600000}"/>
    <cellStyle name="Note 2 3 24" xfId="24789" xr:uid="{00000000-0005-0000-0000-0000DC600000}"/>
    <cellStyle name="Note 2 3 25" xfId="24790" xr:uid="{00000000-0005-0000-0000-0000DD600000}"/>
    <cellStyle name="Note 2 3 26" xfId="24791" xr:uid="{00000000-0005-0000-0000-0000DE600000}"/>
    <cellStyle name="Note 2 3 27" xfId="24792" xr:uid="{00000000-0005-0000-0000-0000DF600000}"/>
    <cellStyle name="Note 2 3 28" xfId="24793" xr:uid="{00000000-0005-0000-0000-0000E0600000}"/>
    <cellStyle name="Note 2 3 29" xfId="24794" xr:uid="{00000000-0005-0000-0000-0000E1600000}"/>
    <cellStyle name="Note 2 3 3" xfId="24795" xr:uid="{00000000-0005-0000-0000-0000E2600000}"/>
    <cellStyle name="Note 2 3 3 10" xfId="24796" xr:uid="{00000000-0005-0000-0000-0000E3600000}"/>
    <cellStyle name="Note 2 3 3 11" xfId="24797" xr:uid="{00000000-0005-0000-0000-0000E4600000}"/>
    <cellStyle name="Note 2 3 3 12" xfId="24798" xr:uid="{00000000-0005-0000-0000-0000E5600000}"/>
    <cellStyle name="Note 2 3 3 13" xfId="24799" xr:uid="{00000000-0005-0000-0000-0000E6600000}"/>
    <cellStyle name="Note 2 3 3 14" xfId="24800" xr:uid="{00000000-0005-0000-0000-0000E7600000}"/>
    <cellStyle name="Note 2 3 3 15" xfId="24801" xr:uid="{00000000-0005-0000-0000-0000E8600000}"/>
    <cellStyle name="Note 2 3 3 16" xfId="24802" xr:uid="{00000000-0005-0000-0000-0000E9600000}"/>
    <cellStyle name="Note 2 3 3 17" xfId="24803" xr:uid="{00000000-0005-0000-0000-0000EA600000}"/>
    <cellStyle name="Note 2 3 3 18" xfId="24804" xr:uid="{00000000-0005-0000-0000-0000EB600000}"/>
    <cellStyle name="Note 2 3 3 19" xfId="24805" xr:uid="{00000000-0005-0000-0000-0000EC600000}"/>
    <cellStyle name="Note 2 3 3 2" xfId="24806" xr:uid="{00000000-0005-0000-0000-0000ED600000}"/>
    <cellStyle name="Note 2 3 3 2 2" xfId="24807" xr:uid="{00000000-0005-0000-0000-0000EE600000}"/>
    <cellStyle name="Note 2 3 3 2 2 2" xfId="24808" xr:uid="{00000000-0005-0000-0000-0000EF600000}"/>
    <cellStyle name="Note 2 3 3 2 2 3" xfId="24809" xr:uid="{00000000-0005-0000-0000-0000F0600000}"/>
    <cellStyle name="Note 2 3 3 2 3" xfId="24810" xr:uid="{00000000-0005-0000-0000-0000F1600000}"/>
    <cellStyle name="Note 2 3 3 2 3 2" xfId="24811" xr:uid="{00000000-0005-0000-0000-0000F2600000}"/>
    <cellStyle name="Note 2 3 3 2 3 3" xfId="24812" xr:uid="{00000000-0005-0000-0000-0000F3600000}"/>
    <cellStyle name="Note 2 3 3 2 4" xfId="24813" xr:uid="{00000000-0005-0000-0000-0000F4600000}"/>
    <cellStyle name="Note 2 3 3 2 5" xfId="24814" xr:uid="{00000000-0005-0000-0000-0000F5600000}"/>
    <cellStyle name="Note 2 3 3 20" xfId="24815" xr:uid="{00000000-0005-0000-0000-0000F6600000}"/>
    <cellStyle name="Note 2 3 3 21" xfId="24816" xr:uid="{00000000-0005-0000-0000-0000F7600000}"/>
    <cellStyle name="Note 2 3 3 22" xfId="24817" xr:uid="{00000000-0005-0000-0000-0000F8600000}"/>
    <cellStyle name="Note 2 3 3 23" xfId="24818" xr:uid="{00000000-0005-0000-0000-0000F9600000}"/>
    <cellStyle name="Note 2 3 3 24" xfId="24819" xr:uid="{00000000-0005-0000-0000-0000FA600000}"/>
    <cellStyle name="Note 2 3 3 25" xfId="24820" xr:uid="{00000000-0005-0000-0000-0000FB600000}"/>
    <cellStyle name="Note 2 3 3 26" xfId="24821" xr:uid="{00000000-0005-0000-0000-0000FC600000}"/>
    <cellStyle name="Note 2 3 3 27" xfId="24822" xr:uid="{00000000-0005-0000-0000-0000FD600000}"/>
    <cellStyle name="Note 2 3 3 28" xfId="24823" xr:uid="{00000000-0005-0000-0000-0000FE600000}"/>
    <cellStyle name="Note 2 3 3 29" xfId="24824" xr:uid="{00000000-0005-0000-0000-0000FF600000}"/>
    <cellStyle name="Note 2 3 3 3" xfId="24825" xr:uid="{00000000-0005-0000-0000-000000610000}"/>
    <cellStyle name="Note 2 3 3 3 2" xfId="24826" xr:uid="{00000000-0005-0000-0000-000001610000}"/>
    <cellStyle name="Note 2 3 3 3 2 2" xfId="24827" xr:uid="{00000000-0005-0000-0000-000002610000}"/>
    <cellStyle name="Note 2 3 3 3 2 3" xfId="24828" xr:uid="{00000000-0005-0000-0000-000003610000}"/>
    <cellStyle name="Note 2 3 3 3 3" xfId="24829" xr:uid="{00000000-0005-0000-0000-000004610000}"/>
    <cellStyle name="Note 2 3 3 3 3 2" xfId="24830" xr:uid="{00000000-0005-0000-0000-000005610000}"/>
    <cellStyle name="Note 2 3 3 3 3 3" xfId="24831" xr:uid="{00000000-0005-0000-0000-000006610000}"/>
    <cellStyle name="Note 2 3 3 3 4" xfId="24832" xr:uid="{00000000-0005-0000-0000-000007610000}"/>
    <cellStyle name="Note 2 3 3 3 5" xfId="24833" xr:uid="{00000000-0005-0000-0000-000008610000}"/>
    <cellStyle name="Note 2 3 3 30" xfId="24834" xr:uid="{00000000-0005-0000-0000-000009610000}"/>
    <cellStyle name="Note 2 3 3 31" xfId="24835" xr:uid="{00000000-0005-0000-0000-00000A610000}"/>
    <cellStyle name="Note 2 3 3 32" xfId="24836" xr:uid="{00000000-0005-0000-0000-00000B610000}"/>
    <cellStyle name="Note 2 3 3 33" xfId="24837" xr:uid="{00000000-0005-0000-0000-00000C610000}"/>
    <cellStyle name="Note 2 3 3 34" xfId="24838" xr:uid="{00000000-0005-0000-0000-00000D610000}"/>
    <cellStyle name="Note 2 3 3 35" xfId="24839" xr:uid="{00000000-0005-0000-0000-00000E610000}"/>
    <cellStyle name="Note 2 3 3 4" xfId="24840" xr:uid="{00000000-0005-0000-0000-00000F610000}"/>
    <cellStyle name="Note 2 3 3 4 2" xfId="24841" xr:uid="{00000000-0005-0000-0000-000010610000}"/>
    <cellStyle name="Note 2 3 3 4 3" xfId="24842" xr:uid="{00000000-0005-0000-0000-000011610000}"/>
    <cellStyle name="Note 2 3 3 5" xfId="24843" xr:uid="{00000000-0005-0000-0000-000012610000}"/>
    <cellStyle name="Note 2 3 3 5 2" xfId="24844" xr:uid="{00000000-0005-0000-0000-000013610000}"/>
    <cellStyle name="Note 2 3 3 5 3" xfId="24845" xr:uid="{00000000-0005-0000-0000-000014610000}"/>
    <cellStyle name="Note 2 3 3 6" xfId="24846" xr:uid="{00000000-0005-0000-0000-000015610000}"/>
    <cellStyle name="Note 2 3 3 7" xfId="24847" xr:uid="{00000000-0005-0000-0000-000016610000}"/>
    <cellStyle name="Note 2 3 3 8" xfId="24848" xr:uid="{00000000-0005-0000-0000-000017610000}"/>
    <cellStyle name="Note 2 3 3 9" xfId="24849" xr:uid="{00000000-0005-0000-0000-000018610000}"/>
    <cellStyle name="Note 2 3 30" xfId="24850" xr:uid="{00000000-0005-0000-0000-000019610000}"/>
    <cellStyle name="Note 2 3 31" xfId="24851" xr:uid="{00000000-0005-0000-0000-00001A610000}"/>
    <cellStyle name="Note 2 3 32" xfId="24852" xr:uid="{00000000-0005-0000-0000-00001B610000}"/>
    <cellStyle name="Note 2 3 33" xfId="24853" xr:uid="{00000000-0005-0000-0000-00001C610000}"/>
    <cellStyle name="Note 2 3 34" xfId="24854" xr:uid="{00000000-0005-0000-0000-00001D610000}"/>
    <cellStyle name="Note 2 3 35" xfId="24855" xr:uid="{00000000-0005-0000-0000-00001E610000}"/>
    <cellStyle name="Note 2 3 4" xfId="24856" xr:uid="{00000000-0005-0000-0000-00001F610000}"/>
    <cellStyle name="Note 2 3 4 2" xfId="24857" xr:uid="{00000000-0005-0000-0000-000020610000}"/>
    <cellStyle name="Note 2 3 4 3" xfId="24858" xr:uid="{00000000-0005-0000-0000-000021610000}"/>
    <cellStyle name="Note 2 3 5" xfId="24859" xr:uid="{00000000-0005-0000-0000-000022610000}"/>
    <cellStyle name="Note 2 3 5 2" xfId="24860" xr:uid="{00000000-0005-0000-0000-000023610000}"/>
    <cellStyle name="Note 2 3 5 3" xfId="24861" xr:uid="{00000000-0005-0000-0000-000024610000}"/>
    <cellStyle name="Note 2 3 6" xfId="24862" xr:uid="{00000000-0005-0000-0000-000025610000}"/>
    <cellStyle name="Note 2 3 7" xfId="24863" xr:uid="{00000000-0005-0000-0000-000026610000}"/>
    <cellStyle name="Note 2 3 8" xfId="24864" xr:uid="{00000000-0005-0000-0000-000027610000}"/>
    <cellStyle name="Note 2 3 9" xfId="24865" xr:uid="{00000000-0005-0000-0000-000028610000}"/>
    <cellStyle name="Note 2 30" xfId="24866" xr:uid="{00000000-0005-0000-0000-000029610000}"/>
    <cellStyle name="Note 2 31" xfId="24867" xr:uid="{00000000-0005-0000-0000-00002A610000}"/>
    <cellStyle name="Note 2 32" xfId="24868" xr:uid="{00000000-0005-0000-0000-00002B610000}"/>
    <cellStyle name="Note 2 33" xfId="24869" xr:uid="{00000000-0005-0000-0000-00002C610000}"/>
    <cellStyle name="Note 2 34" xfId="24870" xr:uid="{00000000-0005-0000-0000-00002D610000}"/>
    <cellStyle name="Note 2 35" xfId="24871" xr:uid="{00000000-0005-0000-0000-00002E610000}"/>
    <cellStyle name="Note 2 36" xfId="24872" xr:uid="{00000000-0005-0000-0000-00002F610000}"/>
    <cellStyle name="Note 2 37" xfId="24873" xr:uid="{00000000-0005-0000-0000-000030610000}"/>
    <cellStyle name="Note 2 38" xfId="24874" xr:uid="{00000000-0005-0000-0000-000031610000}"/>
    <cellStyle name="Note 2 39" xfId="24875" xr:uid="{00000000-0005-0000-0000-000032610000}"/>
    <cellStyle name="Note 2 4" xfId="24876" xr:uid="{00000000-0005-0000-0000-000033610000}"/>
    <cellStyle name="Note 2 4 10" xfId="24877" xr:uid="{00000000-0005-0000-0000-000034610000}"/>
    <cellStyle name="Note 2 4 11" xfId="24878" xr:uid="{00000000-0005-0000-0000-000035610000}"/>
    <cellStyle name="Note 2 4 12" xfId="24879" xr:uid="{00000000-0005-0000-0000-000036610000}"/>
    <cellStyle name="Note 2 4 13" xfId="24880" xr:uid="{00000000-0005-0000-0000-000037610000}"/>
    <cellStyle name="Note 2 4 14" xfId="24881" xr:uid="{00000000-0005-0000-0000-000038610000}"/>
    <cellStyle name="Note 2 4 15" xfId="24882" xr:uid="{00000000-0005-0000-0000-000039610000}"/>
    <cellStyle name="Note 2 4 16" xfId="24883" xr:uid="{00000000-0005-0000-0000-00003A610000}"/>
    <cellStyle name="Note 2 4 17" xfId="24884" xr:uid="{00000000-0005-0000-0000-00003B610000}"/>
    <cellStyle name="Note 2 4 18" xfId="24885" xr:uid="{00000000-0005-0000-0000-00003C610000}"/>
    <cellStyle name="Note 2 4 19" xfId="24886" xr:uid="{00000000-0005-0000-0000-00003D610000}"/>
    <cellStyle name="Note 2 4 2" xfId="24887" xr:uid="{00000000-0005-0000-0000-00003E610000}"/>
    <cellStyle name="Note 2 4 2 10" xfId="24888" xr:uid="{00000000-0005-0000-0000-00003F610000}"/>
    <cellStyle name="Note 2 4 2 11" xfId="24889" xr:uid="{00000000-0005-0000-0000-000040610000}"/>
    <cellStyle name="Note 2 4 2 12" xfId="24890" xr:uid="{00000000-0005-0000-0000-000041610000}"/>
    <cellStyle name="Note 2 4 2 13" xfId="24891" xr:uid="{00000000-0005-0000-0000-000042610000}"/>
    <cellStyle name="Note 2 4 2 14" xfId="24892" xr:uid="{00000000-0005-0000-0000-000043610000}"/>
    <cellStyle name="Note 2 4 2 15" xfId="24893" xr:uid="{00000000-0005-0000-0000-000044610000}"/>
    <cellStyle name="Note 2 4 2 16" xfId="24894" xr:uid="{00000000-0005-0000-0000-000045610000}"/>
    <cellStyle name="Note 2 4 2 17" xfId="24895" xr:uid="{00000000-0005-0000-0000-000046610000}"/>
    <cellStyle name="Note 2 4 2 18" xfId="24896" xr:uid="{00000000-0005-0000-0000-000047610000}"/>
    <cellStyle name="Note 2 4 2 19" xfId="24897" xr:uid="{00000000-0005-0000-0000-000048610000}"/>
    <cellStyle name="Note 2 4 2 2" xfId="24898" xr:uid="{00000000-0005-0000-0000-000049610000}"/>
    <cellStyle name="Note 2 4 2 2 10" xfId="24899" xr:uid="{00000000-0005-0000-0000-00004A610000}"/>
    <cellStyle name="Note 2 4 2 2 11" xfId="24900" xr:uid="{00000000-0005-0000-0000-00004B610000}"/>
    <cellStyle name="Note 2 4 2 2 12" xfId="24901" xr:uid="{00000000-0005-0000-0000-00004C610000}"/>
    <cellStyle name="Note 2 4 2 2 13" xfId="24902" xr:uid="{00000000-0005-0000-0000-00004D610000}"/>
    <cellStyle name="Note 2 4 2 2 14" xfId="24903" xr:uid="{00000000-0005-0000-0000-00004E610000}"/>
    <cellStyle name="Note 2 4 2 2 15" xfId="24904" xr:uid="{00000000-0005-0000-0000-00004F610000}"/>
    <cellStyle name="Note 2 4 2 2 16" xfId="24905" xr:uid="{00000000-0005-0000-0000-000050610000}"/>
    <cellStyle name="Note 2 4 2 2 17" xfId="24906" xr:uid="{00000000-0005-0000-0000-000051610000}"/>
    <cellStyle name="Note 2 4 2 2 18" xfId="24907" xr:uid="{00000000-0005-0000-0000-000052610000}"/>
    <cellStyle name="Note 2 4 2 2 19" xfId="24908" xr:uid="{00000000-0005-0000-0000-000053610000}"/>
    <cellStyle name="Note 2 4 2 2 2" xfId="24909" xr:uid="{00000000-0005-0000-0000-000054610000}"/>
    <cellStyle name="Note 2 4 2 2 2 2" xfId="24910" xr:uid="{00000000-0005-0000-0000-000055610000}"/>
    <cellStyle name="Note 2 4 2 2 2 2 2" xfId="24911" xr:uid="{00000000-0005-0000-0000-000056610000}"/>
    <cellStyle name="Note 2 4 2 2 2 2 3" xfId="24912" xr:uid="{00000000-0005-0000-0000-000057610000}"/>
    <cellStyle name="Note 2 4 2 2 2 3" xfId="24913" xr:uid="{00000000-0005-0000-0000-000058610000}"/>
    <cellStyle name="Note 2 4 2 2 2 3 2" xfId="24914" xr:uid="{00000000-0005-0000-0000-000059610000}"/>
    <cellStyle name="Note 2 4 2 2 2 3 3" xfId="24915" xr:uid="{00000000-0005-0000-0000-00005A610000}"/>
    <cellStyle name="Note 2 4 2 2 2 4" xfId="24916" xr:uid="{00000000-0005-0000-0000-00005B610000}"/>
    <cellStyle name="Note 2 4 2 2 2 5" xfId="24917" xr:uid="{00000000-0005-0000-0000-00005C610000}"/>
    <cellStyle name="Note 2 4 2 2 20" xfId="24918" xr:uid="{00000000-0005-0000-0000-00005D610000}"/>
    <cellStyle name="Note 2 4 2 2 21" xfId="24919" xr:uid="{00000000-0005-0000-0000-00005E610000}"/>
    <cellStyle name="Note 2 4 2 2 22" xfId="24920" xr:uid="{00000000-0005-0000-0000-00005F610000}"/>
    <cellStyle name="Note 2 4 2 2 23" xfId="24921" xr:uid="{00000000-0005-0000-0000-000060610000}"/>
    <cellStyle name="Note 2 4 2 2 24" xfId="24922" xr:uid="{00000000-0005-0000-0000-000061610000}"/>
    <cellStyle name="Note 2 4 2 2 25" xfId="24923" xr:uid="{00000000-0005-0000-0000-000062610000}"/>
    <cellStyle name="Note 2 4 2 2 26" xfId="24924" xr:uid="{00000000-0005-0000-0000-000063610000}"/>
    <cellStyle name="Note 2 4 2 2 27" xfId="24925" xr:uid="{00000000-0005-0000-0000-000064610000}"/>
    <cellStyle name="Note 2 4 2 2 28" xfId="24926" xr:uid="{00000000-0005-0000-0000-000065610000}"/>
    <cellStyle name="Note 2 4 2 2 29" xfId="24927" xr:uid="{00000000-0005-0000-0000-000066610000}"/>
    <cellStyle name="Note 2 4 2 2 3" xfId="24928" xr:uid="{00000000-0005-0000-0000-000067610000}"/>
    <cellStyle name="Note 2 4 2 2 3 2" xfId="24929" xr:uid="{00000000-0005-0000-0000-000068610000}"/>
    <cellStyle name="Note 2 4 2 2 3 2 2" xfId="24930" xr:uid="{00000000-0005-0000-0000-000069610000}"/>
    <cellStyle name="Note 2 4 2 2 3 2 3" xfId="24931" xr:uid="{00000000-0005-0000-0000-00006A610000}"/>
    <cellStyle name="Note 2 4 2 2 3 3" xfId="24932" xr:uid="{00000000-0005-0000-0000-00006B610000}"/>
    <cellStyle name="Note 2 4 2 2 3 3 2" xfId="24933" xr:uid="{00000000-0005-0000-0000-00006C610000}"/>
    <cellStyle name="Note 2 4 2 2 3 3 3" xfId="24934" xr:uid="{00000000-0005-0000-0000-00006D610000}"/>
    <cellStyle name="Note 2 4 2 2 3 4" xfId="24935" xr:uid="{00000000-0005-0000-0000-00006E610000}"/>
    <cellStyle name="Note 2 4 2 2 3 5" xfId="24936" xr:uid="{00000000-0005-0000-0000-00006F610000}"/>
    <cellStyle name="Note 2 4 2 2 30" xfId="24937" xr:uid="{00000000-0005-0000-0000-000070610000}"/>
    <cellStyle name="Note 2 4 2 2 31" xfId="24938" xr:uid="{00000000-0005-0000-0000-000071610000}"/>
    <cellStyle name="Note 2 4 2 2 32" xfId="24939" xr:uid="{00000000-0005-0000-0000-000072610000}"/>
    <cellStyle name="Note 2 4 2 2 33" xfId="24940" xr:uid="{00000000-0005-0000-0000-000073610000}"/>
    <cellStyle name="Note 2 4 2 2 34" xfId="24941" xr:uid="{00000000-0005-0000-0000-000074610000}"/>
    <cellStyle name="Note 2 4 2 2 35" xfId="24942" xr:uid="{00000000-0005-0000-0000-000075610000}"/>
    <cellStyle name="Note 2 4 2 2 4" xfId="24943" xr:uid="{00000000-0005-0000-0000-000076610000}"/>
    <cellStyle name="Note 2 4 2 2 4 2" xfId="24944" xr:uid="{00000000-0005-0000-0000-000077610000}"/>
    <cellStyle name="Note 2 4 2 2 4 3" xfId="24945" xr:uid="{00000000-0005-0000-0000-000078610000}"/>
    <cellStyle name="Note 2 4 2 2 5" xfId="24946" xr:uid="{00000000-0005-0000-0000-000079610000}"/>
    <cellStyle name="Note 2 4 2 2 5 2" xfId="24947" xr:uid="{00000000-0005-0000-0000-00007A610000}"/>
    <cellStyle name="Note 2 4 2 2 5 3" xfId="24948" xr:uid="{00000000-0005-0000-0000-00007B610000}"/>
    <cellStyle name="Note 2 4 2 2 6" xfId="24949" xr:uid="{00000000-0005-0000-0000-00007C610000}"/>
    <cellStyle name="Note 2 4 2 2 7" xfId="24950" xr:uid="{00000000-0005-0000-0000-00007D610000}"/>
    <cellStyle name="Note 2 4 2 2 8" xfId="24951" xr:uid="{00000000-0005-0000-0000-00007E610000}"/>
    <cellStyle name="Note 2 4 2 2 9" xfId="24952" xr:uid="{00000000-0005-0000-0000-00007F610000}"/>
    <cellStyle name="Note 2 4 2 20" xfId="24953" xr:uid="{00000000-0005-0000-0000-000080610000}"/>
    <cellStyle name="Note 2 4 2 21" xfId="24954" xr:uid="{00000000-0005-0000-0000-000081610000}"/>
    <cellStyle name="Note 2 4 2 22" xfId="24955" xr:uid="{00000000-0005-0000-0000-000082610000}"/>
    <cellStyle name="Note 2 4 2 23" xfId="24956" xr:uid="{00000000-0005-0000-0000-000083610000}"/>
    <cellStyle name="Note 2 4 2 24" xfId="24957" xr:uid="{00000000-0005-0000-0000-000084610000}"/>
    <cellStyle name="Note 2 4 2 25" xfId="24958" xr:uid="{00000000-0005-0000-0000-000085610000}"/>
    <cellStyle name="Note 2 4 2 26" xfId="24959" xr:uid="{00000000-0005-0000-0000-000086610000}"/>
    <cellStyle name="Note 2 4 2 27" xfId="24960" xr:uid="{00000000-0005-0000-0000-000087610000}"/>
    <cellStyle name="Note 2 4 2 28" xfId="24961" xr:uid="{00000000-0005-0000-0000-000088610000}"/>
    <cellStyle name="Note 2 4 2 29" xfId="24962" xr:uid="{00000000-0005-0000-0000-000089610000}"/>
    <cellStyle name="Note 2 4 2 3" xfId="24963" xr:uid="{00000000-0005-0000-0000-00008A610000}"/>
    <cellStyle name="Note 2 4 2 3 2" xfId="24964" xr:uid="{00000000-0005-0000-0000-00008B610000}"/>
    <cellStyle name="Note 2 4 2 3 3" xfId="24965" xr:uid="{00000000-0005-0000-0000-00008C610000}"/>
    <cellStyle name="Note 2 4 2 30" xfId="24966" xr:uid="{00000000-0005-0000-0000-00008D610000}"/>
    <cellStyle name="Note 2 4 2 31" xfId="24967" xr:uid="{00000000-0005-0000-0000-00008E610000}"/>
    <cellStyle name="Note 2 4 2 32" xfId="24968" xr:uid="{00000000-0005-0000-0000-00008F610000}"/>
    <cellStyle name="Note 2 4 2 33" xfId="24969" xr:uid="{00000000-0005-0000-0000-000090610000}"/>
    <cellStyle name="Note 2 4 2 34" xfId="24970" xr:uid="{00000000-0005-0000-0000-000091610000}"/>
    <cellStyle name="Note 2 4 2 4" xfId="24971" xr:uid="{00000000-0005-0000-0000-000092610000}"/>
    <cellStyle name="Note 2 4 2 4 2" xfId="24972" xr:uid="{00000000-0005-0000-0000-000093610000}"/>
    <cellStyle name="Note 2 4 2 4 3" xfId="24973" xr:uid="{00000000-0005-0000-0000-000094610000}"/>
    <cellStyle name="Note 2 4 2 5" xfId="24974" xr:uid="{00000000-0005-0000-0000-000095610000}"/>
    <cellStyle name="Note 2 4 2 6" xfId="24975" xr:uid="{00000000-0005-0000-0000-000096610000}"/>
    <cellStyle name="Note 2 4 2 7" xfId="24976" xr:uid="{00000000-0005-0000-0000-000097610000}"/>
    <cellStyle name="Note 2 4 2 8" xfId="24977" xr:uid="{00000000-0005-0000-0000-000098610000}"/>
    <cellStyle name="Note 2 4 2 9" xfId="24978" xr:uid="{00000000-0005-0000-0000-000099610000}"/>
    <cellStyle name="Note 2 4 20" xfId="24979" xr:uid="{00000000-0005-0000-0000-00009A610000}"/>
    <cellStyle name="Note 2 4 21" xfId="24980" xr:uid="{00000000-0005-0000-0000-00009B610000}"/>
    <cellStyle name="Note 2 4 22" xfId="24981" xr:uid="{00000000-0005-0000-0000-00009C610000}"/>
    <cellStyle name="Note 2 4 23" xfId="24982" xr:uid="{00000000-0005-0000-0000-00009D610000}"/>
    <cellStyle name="Note 2 4 24" xfId="24983" xr:uid="{00000000-0005-0000-0000-00009E610000}"/>
    <cellStyle name="Note 2 4 25" xfId="24984" xr:uid="{00000000-0005-0000-0000-00009F610000}"/>
    <cellStyle name="Note 2 4 26" xfId="24985" xr:uid="{00000000-0005-0000-0000-0000A0610000}"/>
    <cellStyle name="Note 2 4 27" xfId="24986" xr:uid="{00000000-0005-0000-0000-0000A1610000}"/>
    <cellStyle name="Note 2 4 28" xfId="24987" xr:uid="{00000000-0005-0000-0000-0000A2610000}"/>
    <cellStyle name="Note 2 4 29" xfId="24988" xr:uid="{00000000-0005-0000-0000-0000A3610000}"/>
    <cellStyle name="Note 2 4 3" xfId="24989" xr:uid="{00000000-0005-0000-0000-0000A4610000}"/>
    <cellStyle name="Note 2 4 3 10" xfId="24990" xr:uid="{00000000-0005-0000-0000-0000A5610000}"/>
    <cellStyle name="Note 2 4 3 11" xfId="24991" xr:uid="{00000000-0005-0000-0000-0000A6610000}"/>
    <cellStyle name="Note 2 4 3 12" xfId="24992" xr:uid="{00000000-0005-0000-0000-0000A7610000}"/>
    <cellStyle name="Note 2 4 3 13" xfId="24993" xr:uid="{00000000-0005-0000-0000-0000A8610000}"/>
    <cellStyle name="Note 2 4 3 14" xfId="24994" xr:uid="{00000000-0005-0000-0000-0000A9610000}"/>
    <cellStyle name="Note 2 4 3 15" xfId="24995" xr:uid="{00000000-0005-0000-0000-0000AA610000}"/>
    <cellStyle name="Note 2 4 3 16" xfId="24996" xr:uid="{00000000-0005-0000-0000-0000AB610000}"/>
    <cellStyle name="Note 2 4 3 17" xfId="24997" xr:uid="{00000000-0005-0000-0000-0000AC610000}"/>
    <cellStyle name="Note 2 4 3 18" xfId="24998" xr:uid="{00000000-0005-0000-0000-0000AD610000}"/>
    <cellStyle name="Note 2 4 3 19" xfId="24999" xr:uid="{00000000-0005-0000-0000-0000AE610000}"/>
    <cellStyle name="Note 2 4 3 2" xfId="25000" xr:uid="{00000000-0005-0000-0000-0000AF610000}"/>
    <cellStyle name="Note 2 4 3 2 2" xfId="25001" xr:uid="{00000000-0005-0000-0000-0000B0610000}"/>
    <cellStyle name="Note 2 4 3 2 2 2" xfId="25002" xr:uid="{00000000-0005-0000-0000-0000B1610000}"/>
    <cellStyle name="Note 2 4 3 2 2 3" xfId="25003" xr:uid="{00000000-0005-0000-0000-0000B2610000}"/>
    <cellStyle name="Note 2 4 3 2 3" xfId="25004" xr:uid="{00000000-0005-0000-0000-0000B3610000}"/>
    <cellStyle name="Note 2 4 3 2 3 2" xfId="25005" xr:uid="{00000000-0005-0000-0000-0000B4610000}"/>
    <cellStyle name="Note 2 4 3 2 3 3" xfId="25006" xr:uid="{00000000-0005-0000-0000-0000B5610000}"/>
    <cellStyle name="Note 2 4 3 2 4" xfId="25007" xr:uid="{00000000-0005-0000-0000-0000B6610000}"/>
    <cellStyle name="Note 2 4 3 2 5" xfId="25008" xr:uid="{00000000-0005-0000-0000-0000B7610000}"/>
    <cellStyle name="Note 2 4 3 20" xfId="25009" xr:uid="{00000000-0005-0000-0000-0000B8610000}"/>
    <cellStyle name="Note 2 4 3 21" xfId="25010" xr:uid="{00000000-0005-0000-0000-0000B9610000}"/>
    <cellStyle name="Note 2 4 3 22" xfId="25011" xr:uid="{00000000-0005-0000-0000-0000BA610000}"/>
    <cellStyle name="Note 2 4 3 23" xfId="25012" xr:uid="{00000000-0005-0000-0000-0000BB610000}"/>
    <cellStyle name="Note 2 4 3 24" xfId="25013" xr:uid="{00000000-0005-0000-0000-0000BC610000}"/>
    <cellStyle name="Note 2 4 3 25" xfId="25014" xr:uid="{00000000-0005-0000-0000-0000BD610000}"/>
    <cellStyle name="Note 2 4 3 26" xfId="25015" xr:uid="{00000000-0005-0000-0000-0000BE610000}"/>
    <cellStyle name="Note 2 4 3 27" xfId="25016" xr:uid="{00000000-0005-0000-0000-0000BF610000}"/>
    <cellStyle name="Note 2 4 3 28" xfId="25017" xr:uid="{00000000-0005-0000-0000-0000C0610000}"/>
    <cellStyle name="Note 2 4 3 29" xfId="25018" xr:uid="{00000000-0005-0000-0000-0000C1610000}"/>
    <cellStyle name="Note 2 4 3 3" xfId="25019" xr:uid="{00000000-0005-0000-0000-0000C2610000}"/>
    <cellStyle name="Note 2 4 3 3 2" xfId="25020" xr:uid="{00000000-0005-0000-0000-0000C3610000}"/>
    <cellStyle name="Note 2 4 3 3 2 2" xfId="25021" xr:uid="{00000000-0005-0000-0000-0000C4610000}"/>
    <cellStyle name="Note 2 4 3 3 2 3" xfId="25022" xr:uid="{00000000-0005-0000-0000-0000C5610000}"/>
    <cellStyle name="Note 2 4 3 3 3" xfId="25023" xr:uid="{00000000-0005-0000-0000-0000C6610000}"/>
    <cellStyle name="Note 2 4 3 3 3 2" xfId="25024" xr:uid="{00000000-0005-0000-0000-0000C7610000}"/>
    <cellStyle name="Note 2 4 3 3 3 3" xfId="25025" xr:uid="{00000000-0005-0000-0000-0000C8610000}"/>
    <cellStyle name="Note 2 4 3 3 4" xfId="25026" xr:uid="{00000000-0005-0000-0000-0000C9610000}"/>
    <cellStyle name="Note 2 4 3 3 5" xfId="25027" xr:uid="{00000000-0005-0000-0000-0000CA610000}"/>
    <cellStyle name="Note 2 4 3 30" xfId="25028" xr:uid="{00000000-0005-0000-0000-0000CB610000}"/>
    <cellStyle name="Note 2 4 3 31" xfId="25029" xr:uid="{00000000-0005-0000-0000-0000CC610000}"/>
    <cellStyle name="Note 2 4 3 32" xfId="25030" xr:uid="{00000000-0005-0000-0000-0000CD610000}"/>
    <cellStyle name="Note 2 4 3 33" xfId="25031" xr:uid="{00000000-0005-0000-0000-0000CE610000}"/>
    <cellStyle name="Note 2 4 3 34" xfId="25032" xr:uid="{00000000-0005-0000-0000-0000CF610000}"/>
    <cellStyle name="Note 2 4 3 35" xfId="25033" xr:uid="{00000000-0005-0000-0000-0000D0610000}"/>
    <cellStyle name="Note 2 4 3 4" xfId="25034" xr:uid="{00000000-0005-0000-0000-0000D1610000}"/>
    <cellStyle name="Note 2 4 3 4 2" xfId="25035" xr:uid="{00000000-0005-0000-0000-0000D2610000}"/>
    <cellStyle name="Note 2 4 3 4 3" xfId="25036" xr:uid="{00000000-0005-0000-0000-0000D3610000}"/>
    <cellStyle name="Note 2 4 3 5" xfId="25037" xr:uid="{00000000-0005-0000-0000-0000D4610000}"/>
    <cellStyle name="Note 2 4 3 5 2" xfId="25038" xr:uid="{00000000-0005-0000-0000-0000D5610000}"/>
    <cellStyle name="Note 2 4 3 5 3" xfId="25039" xr:uid="{00000000-0005-0000-0000-0000D6610000}"/>
    <cellStyle name="Note 2 4 3 6" xfId="25040" xr:uid="{00000000-0005-0000-0000-0000D7610000}"/>
    <cellStyle name="Note 2 4 3 7" xfId="25041" xr:uid="{00000000-0005-0000-0000-0000D8610000}"/>
    <cellStyle name="Note 2 4 3 8" xfId="25042" xr:uid="{00000000-0005-0000-0000-0000D9610000}"/>
    <cellStyle name="Note 2 4 3 9" xfId="25043" xr:uid="{00000000-0005-0000-0000-0000DA610000}"/>
    <cellStyle name="Note 2 4 30" xfId="25044" xr:uid="{00000000-0005-0000-0000-0000DB610000}"/>
    <cellStyle name="Note 2 4 31" xfId="25045" xr:uid="{00000000-0005-0000-0000-0000DC610000}"/>
    <cellStyle name="Note 2 4 32" xfId="25046" xr:uid="{00000000-0005-0000-0000-0000DD610000}"/>
    <cellStyle name="Note 2 4 33" xfId="25047" xr:uid="{00000000-0005-0000-0000-0000DE610000}"/>
    <cellStyle name="Note 2 4 34" xfId="25048" xr:uid="{00000000-0005-0000-0000-0000DF610000}"/>
    <cellStyle name="Note 2 4 35" xfId="25049" xr:uid="{00000000-0005-0000-0000-0000E0610000}"/>
    <cellStyle name="Note 2 4 4" xfId="25050" xr:uid="{00000000-0005-0000-0000-0000E1610000}"/>
    <cellStyle name="Note 2 4 4 2" xfId="25051" xr:uid="{00000000-0005-0000-0000-0000E2610000}"/>
    <cellStyle name="Note 2 4 4 3" xfId="25052" xr:uid="{00000000-0005-0000-0000-0000E3610000}"/>
    <cellStyle name="Note 2 4 5" xfId="25053" xr:uid="{00000000-0005-0000-0000-0000E4610000}"/>
    <cellStyle name="Note 2 4 5 2" xfId="25054" xr:uid="{00000000-0005-0000-0000-0000E5610000}"/>
    <cellStyle name="Note 2 4 5 3" xfId="25055" xr:uid="{00000000-0005-0000-0000-0000E6610000}"/>
    <cellStyle name="Note 2 4 6" xfId="25056" xr:uid="{00000000-0005-0000-0000-0000E7610000}"/>
    <cellStyle name="Note 2 4 7" xfId="25057" xr:uid="{00000000-0005-0000-0000-0000E8610000}"/>
    <cellStyle name="Note 2 4 8" xfId="25058" xr:uid="{00000000-0005-0000-0000-0000E9610000}"/>
    <cellStyle name="Note 2 4 9" xfId="25059" xr:uid="{00000000-0005-0000-0000-0000EA610000}"/>
    <cellStyle name="Note 2 40" xfId="25060" xr:uid="{00000000-0005-0000-0000-0000EB610000}"/>
    <cellStyle name="Note 2 41" xfId="25061" xr:uid="{00000000-0005-0000-0000-0000EC610000}"/>
    <cellStyle name="Note 2 42" xfId="25062" xr:uid="{00000000-0005-0000-0000-0000ED610000}"/>
    <cellStyle name="Note 2 43" xfId="25063" xr:uid="{00000000-0005-0000-0000-0000EE610000}"/>
    <cellStyle name="Note 2 44" xfId="25064" xr:uid="{00000000-0005-0000-0000-0000EF610000}"/>
    <cellStyle name="Note 2 45" xfId="25065" xr:uid="{00000000-0005-0000-0000-0000F0610000}"/>
    <cellStyle name="Note 2 46" xfId="25066" xr:uid="{00000000-0005-0000-0000-0000F1610000}"/>
    <cellStyle name="Note 2 47" xfId="25067" xr:uid="{00000000-0005-0000-0000-0000F2610000}"/>
    <cellStyle name="Note 2 48" xfId="25068" xr:uid="{00000000-0005-0000-0000-0000F3610000}"/>
    <cellStyle name="Note 2 49" xfId="25069" xr:uid="{00000000-0005-0000-0000-0000F4610000}"/>
    <cellStyle name="Note 2 5" xfId="25070" xr:uid="{00000000-0005-0000-0000-0000F5610000}"/>
    <cellStyle name="Note 2 5 2" xfId="25071" xr:uid="{00000000-0005-0000-0000-0000F6610000}"/>
    <cellStyle name="Note 2 50" xfId="25072" xr:uid="{00000000-0005-0000-0000-0000F7610000}"/>
    <cellStyle name="Note 2 51" xfId="25073" xr:uid="{00000000-0005-0000-0000-0000F8610000}"/>
    <cellStyle name="Note 2 52" xfId="25074" xr:uid="{00000000-0005-0000-0000-0000F9610000}"/>
    <cellStyle name="Note 2 53" xfId="25075" xr:uid="{00000000-0005-0000-0000-0000FA610000}"/>
    <cellStyle name="Note 2 6" xfId="25076" xr:uid="{00000000-0005-0000-0000-0000FB610000}"/>
    <cellStyle name="Note 2 6 2" xfId="25077" xr:uid="{00000000-0005-0000-0000-0000FC610000}"/>
    <cellStyle name="Note 2 7" xfId="25078" xr:uid="{00000000-0005-0000-0000-0000FD610000}"/>
    <cellStyle name="Note 2 7 2" xfId="25079" xr:uid="{00000000-0005-0000-0000-0000FE610000}"/>
    <cellStyle name="Note 2 8" xfId="25080" xr:uid="{00000000-0005-0000-0000-0000FF610000}"/>
    <cellStyle name="Note 2 8 2" xfId="25081" xr:uid="{00000000-0005-0000-0000-000000620000}"/>
    <cellStyle name="Note 2 9" xfId="25082" xr:uid="{00000000-0005-0000-0000-000001620000}"/>
    <cellStyle name="Note 2 9 2" xfId="25083" xr:uid="{00000000-0005-0000-0000-000002620000}"/>
    <cellStyle name="Note 20" xfId="25084" xr:uid="{00000000-0005-0000-0000-000003620000}"/>
    <cellStyle name="Note 20 2" xfId="25085" xr:uid="{00000000-0005-0000-0000-000004620000}"/>
    <cellStyle name="Note 21" xfId="25086" xr:uid="{00000000-0005-0000-0000-000005620000}"/>
    <cellStyle name="Note 21 2" xfId="25087" xr:uid="{00000000-0005-0000-0000-000006620000}"/>
    <cellStyle name="Note 22" xfId="25088" xr:uid="{00000000-0005-0000-0000-000007620000}"/>
    <cellStyle name="Note 22 2" xfId="25089" xr:uid="{00000000-0005-0000-0000-000008620000}"/>
    <cellStyle name="Note 23" xfId="25090" xr:uid="{00000000-0005-0000-0000-000009620000}"/>
    <cellStyle name="Note 23 2" xfId="25091" xr:uid="{00000000-0005-0000-0000-00000A620000}"/>
    <cellStyle name="Note 24" xfId="25092" xr:uid="{00000000-0005-0000-0000-00000B620000}"/>
    <cellStyle name="Note 24 2" xfId="25093" xr:uid="{00000000-0005-0000-0000-00000C620000}"/>
    <cellStyle name="Note 25" xfId="25094" xr:uid="{00000000-0005-0000-0000-00000D620000}"/>
    <cellStyle name="Note 25 2" xfId="25095" xr:uid="{00000000-0005-0000-0000-00000E620000}"/>
    <cellStyle name="Note 26" xfId="25096" xr:uid="{00000000-0005-0000-0000-00000F620000}"/>
    <cellStyle name="Note 26 2" xfId="25097" xr:uid="{00000000-0005-0000-0000-000010620000}"/>
    <cellStyle name="Note 27" xfId="25098" xr:uid="{00000000-0005-0000-0000-000011620000}"/>
    <cellStyle name="Note 27 2" xfId="25099" xr:uid="{00000000-0005-0000-0000-000012620000}"/>
    <cellStyle name="Note 3" xfId="25100" xr:uid="{00000000-0005-0000-0000-000013620000}"/>
    <cellStyle name="Note 3 10" xfId="25101" xr:uid="{00000000-0005-0000-0000-000014620000}"/>
    <cellStyle name="Note 3 11" xfId="25102" xr:uid="{00000000-0005-0000-0000-000015620000}"/>
    <cellStyle name="Note 3 12" xfId="25103" xr:uid="{00000000-0005-0000-0000-000016620000}"/>
    <cellStyle name="Note 3 13" xfId="25104" xr:uid="{00000000-0005-0000-0000-000017620000}"/>
    <cellStyle name="Note 3 14" xfId="25105" xr:uid="{00000000-0005-0000-0000-000018620000}"/>
    <cellStyle name="Note 3 15" xfId="25106" xr:uid="{00000000-0005-0000-0000-000019620000}"/>
    <cellStyle name="Note 3 16" xfId="25107" xr:uid="{00000000-0005-0000-0000-00001A620000}"/>
    <cellStyle name="Note 3 17" xfId="25108" xr:uid="{00000000-0005-0000-0000-00001B620000}"/>
    <cellStyle name="Note 3 18" xfId="25109" xr:uid="{00000000-0005-0000-0000-00001C620000}"/>
    <cellStyle name="Note 3 19" xfId="25110" xr:uid="{00000000-0005-0000-0000-00001D620000}"/>
    <cellStyle name="Note 3 2" xfId="25111" xr:uid="{00000000-0005-0000-0000-00001E620000}"/>
    <cellStyle name="Note 3 2 10" xfId="25112" xr:uid="{00000000-0005-0000-0000-00001F620000}"/>
    <cellStyle name="Note 3 2 11" xfId="25113" xr:uid="{00000000-0005-0000-0000-000020620000}"/>
    <cellStyle name="Note 3 2 12" xfId="25114" xr:uid="{00000000-0005-0000-0000-000021620000}"/>
    <cellStyle name="Note 3 2 13" xfId="25115" xr:uid="{00000000-0005-0000-0000-000022620000}"/>
    <cellStyle name="Note 3 2 14" xfId="25116" xr:uid="{00000000-0005-0000-0000-000023620000}"/>
    <cellStyle name="Note 3 2 15" xfId="25117" xr:uid="{00000000-0005-0000-0000-000024620000}"/>
    <cellStyle name="Note 3 2 16" xfId="25118" xr:uid="{00000000-0005-0000-0000-000025620000}"/>
    <cellStyle name="Note 3 2 17" xfId="25119" xr:uid="{00000000-0005-0000-0000-000026620000}"/>
    <cellStyle name="Note 3 2 18" xfId="25120" xr:uid="{00000000-0005-0000-0000-000027620000}"/>
    <cellStyle name="Note 3 2 19" xfId="25121" xr:uid="{00000000-0005-0000-0000-000028620000}"/>
    <cellStyle name="Note 3 2 2" xfId="25122" xr:uid="{00000000-0005-0000-0000-000029620000}"/>
    <cellStyle name="Note 3 2 2 10" xfId="25123" xr:uid="{00000000-0005-0000-0000-00002A620000}"/>
    <cellStyle name="Note 3 2 2 11" xfId="25124" xr:uid="{00000000-0005-0000-0000-00002B620000}"/>
    <cellStyle name="Note 3 2 2 12" xfId="25125" xr:uid="{00000000-0005-0000-0000-00002C620000}"/>
    <cellStyle name="Note 3 2 2 13" xfId="25126" xr:uid="{00000000-0005-0000-0000-00002D620000}"/>
    <cellStyle name="Note 3 2 2 14" xfId="25127" xr:uid="{00000000-0005-0000-0000-00002E620000}"/>
    <cellStyle name="Note 3 2 2 15" xfId="25128" xr:uid="{00000000-0005-0000-0000-00002F620000}"/>
    <cellStyle name="Note 3 2 2 16" xfId="25129" xr:uid="{00000000-0005-0000-0000-000030620000}"/>
    <cellStyle name="Note 3 2 2 17" xfId="25130" xr:uid="{00000000-0005-0000-0000-000031620000}"/>
    <cellStyle name="Note 3 2 2 18" xfId="25131" xr:uid="{00000000-0005-0000-0000-000032620000}"/>
    <cellStyle name="Note 3 2 2 19" xfId="25132" xr:uid="{00000000-0005-0000-0000-000033620000}"/>
    <cellStyle name="Note 3 2 2 2" xfId="25133" xr:uid="{00000000-0005-0000-0000-000034620000}"/>
    <cellStyle name="Note 3 2 2 2 10" xfId="25134" xr:uid="{00000000-0005-0000-0000-000035620000}"/>
    <cellStyle name="Note 3 2 2 2 11" xfId="25135" xr:uid="{00000000-0005-0000-0000-000036620000}"/>
    <cellStyle name="Note 3 2 2 2 12" xfId="25136" xr:uid="{00000000-0005-0000-0000-000037620000}"/>
    <cellStyle name="Note 3 2 2 2 13" xfId="25137" xr:uid="{00000000-0005-0000-0000-000038620000}"/>
    <cellStyle name="Note 3 2 2 2 14" xfId="25138" xr:uid="{00000000-0005-0000-0000-000039620000}"/>
    <cellStyle name="Note 3 2 2 2 15" xfId="25139" xr:uid="{00000000-0005-0000-0000-00003A620000}"/>
    <cellStyle name="Note 3 2 2 2 16" xfId="25140" xr:uid="{00000000-0005-0000-0000-00003B620000}"/>
    <cellStyle name="Note 3 2 2 2 17" xfId="25141" xr:uid="{00000000-0005-0000-0000-00003C620000}"/>
    <cellStyle name="Note 3 2 2 2 18" xfId="25142" xr:uid="{00000000-0005-0000-0000-00003D620000}"/>
    <cellStyle name="Note 3 2 2 2 19" xfId="25143" xr:uid="{00000000-0005-0000-0000-00003E620000}"/>
    <cellStyle name="Note 3 2 2 2 2" xfId="25144" xr:uid="{00000000-0005-0000-0000-00003F620000}"/>
    <cellStyle name="Note 3 2 2 2 2 2" xfId="25145" xr:uid="{00000000-0005-0000-0000-000040620000}"/>
    <cellStyle name="Note 3 2 2 2 2 2 2" xfId="25146" xr:uid="{00000000-0005-0000-0000-000041620000}"/>
    <cellStyle name="Note 3 2 2 2 2 2 3" xfId="25147" xr:uid="{00000000-0005-0000-0000-000042620000}"/>
    <cellStyle name="Note 3 2 2 2 2 3" xfId="25148" xr:uid="{00000000-0005-0000-0000-000043620000}"/>
    <cellStyle name="Note 3 2 2 2 2 3 2" xfId="25149" xr:uid="{00000000-0005-0000-0000-000044620000}"/>
    <cellStyle name="Note 3 2 2 2 2 3 3" xfId="25150" xr:uid="{00000000-0005-0000-0000-000045620000}"/>
    <cellStyle name="Note 3 2 2 2 2 4" xfId="25151" xr:uid="{00000000-0005-0000-0000-000046620000}"/>
    <cellStyle name="Note 3 2 2 2 2 5" xfId="25152" xr:uid="{00000000-0005-0000-0000-000047620000}"/>
    <cellStyle name="Note 3 2 2 2 20" xfId="25153" xr:uid="{00000000-0005-0000-0000-000048620000}"/>
    <cellStyle name="Note 3 2 2 2 21" xfId="25154" xr:uid="{00000000-0005-0000-0000-000049620000}"/>
    <cellStyle name="Note 3 2 2 2 22" xfId="25155" xr:uid="{00000000-0005-0000-0000-00004A620000}"/>
    <cellStyle name="Note 3 2 2 2 23" xfId="25156" xr:uid="{00000000-0005-0000-0000-00004B620000}"/>
    <cellStyle name="Note 3 2 2 2 24" xfId="25157" xr:uid="{00000000-0005-0000-0000-00004C620000}"/>
    <cellStyle name="Note 3 2 2 2 25" xfId="25158" xr:uid="{00000000-0005-0000-0000-00004D620000}"/>
    <cellStyle name="Note 3 2 2 2 26" xfId="25159" xr:uid="{00000000-0005-0000-0000-00004E620000}"/>
    <cellStyle name="Note 3 2 2 2 27" xfId="25160" xr:uid="{00000000-0005-0000-0000-00004F620000}"/>
    <cellStyle name="Note 3 2 2 2 28" xfId="25161" xr:uid="{00000000-0005-0000-0000-000050620000}"/>
    <cellStyle name="Note 3 2 2 2 29" xfId="25162" xr:uid="{00000000-0005-0000-0000-000051620000}"/>
    <cellStyle name="Note 3 2 2 2 3" xfId="25163" xr:uid="{00000000-0005-0000-0000-000052620000}"/>
    <cellStyle name="Note 3 2 2 2 3 2" xfId="25164" xr:uid="{00000000-0005-0000-0000-000053620000}"/>
    <cellStyle name="Note 3 2 2 2 3 2 2" xfId="25165" xr:uid="{00000000-0005-0000-0000-000054620000}"/>
    <cellStyle name="Note 3 2 2 2 3 2 3" xfId="25166" xr:uid="{00000000-0005-0000-0000-000055620000}"/>
    <cellStyle name="Note 3 2 2 2 3 3" xfId="25167" xr:uid="{00000000-0005-0000-0000-000056620000}"/>
    <cellStyle name="Note 3 2 2 2 3 3 2" xfId="25168" xr:uid="{00000000-0005-0000-0000-000057620000}"/>
    <cellStyle name="Note 3 2 2 2 3 3 3" xfId="25169" xr:uid="{00000000-0005-0000-0000-000058620000}"/>
    <cellStyle name="Note 3 2 2 2 3 4" xfId="25170" xr:uid="{00000000-0005-0000-0000-000059620000}"/>
    <cellStyle name="Note 3 2 2 2 3 5" xfId="25171" xr:uid="{00000000-0005-0000-0000-00005A620000}"/>
    <cellStyle name="Note 3 2 2 2 30" xfId="25172" xr:uid="{00000000-0005-0000-0000-00005B620000}"/>
    <cellStyle name="Note 3 2 2 2 31" xfId="25173" xr:uid="{00000000-0005-0000-0000-00005C620000}"/>
    <cellStyle name="Note 3 2 2 2 32" xfId="25174" xr:uid="{00000000-0005-0000-0000-00005D620000}"/>
    <cellStyle name="Note 3 2 2 2 33" xfId="25175" xr:uid="{00000000-0005-0000-0000-00005E620000}"/>
    <cellStyle name="Note 3 2 2 2 34" xfId="25176" xr:uid="{00000000-0005-0000-0000-00005F620000}"/>
    <cellStyle name="Note 3 2 2 2 35" xfId="25177" xr:uid="{00000000-0005-0000-0000-000060620000}"/>
    <cellStyle name="Note 3 2 2 2 4" xfId="25178" xr:uid="{00000000-0005-0000-0000-000061620000}"/>
    <cellStyle name="Note 3 2 2 2 4 2" xfId="25179" xr:uid="{00000000-0005-0000-0000-000062620000}"/>
    <cellStyle name="Note 3 2 2 2 4 3" xfId="25180" xr:uid="{00000000-0005-0000-0000-000063620000}"/>
    <cellStyle name="Note 3 2 2 2 5" xfId="25181" xr:uid="{00000000-0005-0000-0000-000064620000}"/>
    <cellStyle name="Note 3 2 2 2 5 2" xfId="25182" xr:uid="{00000000-0005-0000-0000-000065620000}"/>
    <cellStyle name="Note 3 2 2 2 5 3" xfId="25183" xr:uid="{00000000-0005-0000-0000-000066620000}"/>
    <cellStyle name="Note 3 2 2 2 6" xfId="25184" xr:uid="{00000000-0005-0000-0000-000067620000}"/>
    <cellStyle name="Note 3 2 2 2 7" xfId="25185" xr:uid="{00000000-0005-0000-0000-000068620000}"/>
    <cellStyle name="Note 3 2 2 2 8" xfId="25186" xr:uid="{00000000-0005-0000-0000-000069620000}"/>
    <cellStyle name="Note 3 2 2 2 9" xfId="25187" xr:uid="{00000000-0005-0000-0000-00006A620000}"/>
    <cellStyle name="Note 3 2 2 20" xfId="25188" xr:uid="{00000000-0005-0000-0000-00006B620000}"/>
    <cellStyle name="Note 3 2 2 21" xfId="25189" xr:uid="{00000000-0005-0000-0000-00006C620000}"/>
    <cellStyle name="Note 3 2 2 22" xfId="25190" xr:uid="{00000000-0005-0000-0000-00006D620000}"/>
    <cellStyle name="Note 3 2 2 23" xfId="25191" xr:uid="{00000000-0005-0000-0000-00006E620000}"/>
    <cellStyle name="Note 3 2 2 24" xfId="25192" xr:uid="{00000000-0005-0000-0000-00006F620000}"/>
    <cellStyle name="Note 3 2 2 25" xfId="25193" xr:uid="{00000000-0005-0000-0000-000070620000}"/>
    <cellStyle name="Note 3 2 2 26" xfId="25194" xr:uid="{00000000-0005-0000-0000-000071620000}"/>
    <cellStyle name="Note 3 2 2 27" xfId="25195" xr:uid="{00000000-0005-0000-0000-000072620000}"/>
    <cellStyle name="Note 3 2 2 28" xfId="25196" xr:uid="{00000000-0005-0000-0000-000073620000}"/>
    <cellStyle name="Note 3 2 2 29" xfId="25197" xr:uid="{00000000-0005-0000-0000-000074620000}"/>
    <cellStyle name="Note 3 2 2 3" xfId="25198" xr:uid="{00000000-0005-0000-0000-000075620000}"/>
    <cellStyle name="Note 3 2 2 3 2" xfId="25199" xr:uid="{00000000-0005-0000-0000-000076620000}"/>
    <cellStyle name="Note 3 2 2 3 3" xfId="25200" xr:uid="{00000000-0005-0000-0000-000077620000}"/>
    <cellStyle name="Note 3 2 2 30" xfId="25201" xr:uid="{00000000-0005-0000-0000-000078620000}"/>
    <cellStyle name="Note 3 2 2 31" xfId="25202" xr:uid="{00000000-0005-0000-0000-000079620000}"/>
    <cellStyle name="Note 3 2 2 32" xfId="25203" xr:uid="{00000000-0005-0000-0000-00007A620000}"/>
    <cellStyle name="Note 3 2 2 33" xfId="25204" xr:uid="{00000000-0005-0000-0000-00007B620000}"/>
    <cellStyle name="Note 3 2 2 34" xfId="25205" xr:uid="{00000000-0005-0000-0000-00007C620000}"/>
    <cellStyle name="Note 3 2 2 4" xfId="25206" xr:uid="{00000000-0005-0000-0000-00007D620000}"/>
    <cellStyle name="Note 3 2 2 4 2" xfId="25207" xr:uid="{00000000-0005-0000-0000-00007E620000}"/>
    <cellStyle name="Note 3 2 2 4 3" xfId="25208" xr:uid="{00000000-0005-0000-0000-00007F620000}"/>
    <cellStyle name="Note 3 2 2 5" xfId="25209" xr:uid="{00000000-0005-0000-0000-000080620000}"/>
    <cellStyle name="Note 3 2 2 6" xfId="25210" xr:uid="{00000000-0005-0000-0000-000081620000}"/>
    <cellStyle name="Note 3 2 2 7" xfId="25211" xr:uid="{00000000-0005-0000-0000-000082620000}"/>
    <cellStyle name="Note 3 2 2 8" xfId="25212" xr:uid="{00000000-0005-0000-0000-000083620000}"/>
    <cellStyle name="Note 3 2 2 9" xfId="25213" xr:uid="{00000000-0005-0000-0000-000084620000}"/>
    <cellStyle name="Note 3 2 20" xfId="25214" xr:uid="{00000000-0005-0000-0000-000085620000}"/>
    <cellStyle name="Note 3 2 21" xfId="25215" xr:uid="{00000000-0005-0000-0000-000086620000}"/>
    <cellStyle name="Note 3 2 22" xfId="25216" xr:uid="{00000000-0005-0000-0000-000087620000}"/>
    <cellStyle name="Note 3 2 23" xfId="25217" xr:uid="{00000000-0005-0000-0000-000088620000}"/>
    <cellStyle name="Note 3 2 24" xfId="25218" xr:uid="{00000000-0005-0000-0000-000089620000}"/>
    <cellStyle name="Note 3 2 25" xfId="25219" xr:uid="{00000000-0005-0000-0000-00008A620000}"/>
    <cellStyle name="Note 3 2 26" xfId="25220" xr:uid="{00000000-0005-0000-0000-00008B620000}"/>
    <cellStyle name="Note 3 2 27" xfId="25221" xr:uid="{00000000-0005-0000-0000-00008C620000}"/>
    <cellStyle name="Note 3 2 28" xfId="25222" xr:uid="{00000000-0005-0000-0000-00008D620000}"/>
    <cellStyle name="Note 3 2 29" xfId="25223" xr:uid="{00000000-0005-0000-0000-00008E620000}"/>
    <cellStyle name="Note 3 2 3" xfId="25224" xr:uid="{00000000-0005-0000-0000-00008F620000}"/>
    <cellStyle name="Note 3 2 3 10" xfId="25225" xr:uid="{00000000-0005-0000-0000-000090620000}"/>
    <cellStyle name="Note 3 2 3 11" xfId="25226" xr:uid="{00000000-0005-0000-0000-000091620000}"/>
    <cellStyle name="Note 3 2 3 12" xfId="25227" xr:uid="{00000000-0005-0000-0000-000092620000}"/>
    <cellStyle name="Note 3 2 3 13" xfId="25228" xr:uid="{00000000-0005-0000-0000-000093620000}"/>
    <cellStyle name="Note 3 2 3 14" xfId="25229" xr:uid="{00000000-0005-0000-0000-000094620000}"/>
    <cellStyle name="Note 3 2 3 15" xfId="25230" xr:uid="{00000000-0005-0000-0000-000095620000}"/>
    <cellStyle name="Note 3 2 3 16" xfId="25231" xr:uid="{00000000-0005-0000-0000-000096620000}"/>
    <cellStyle name="Note 3 2 3 17" xfId="25232" xr:uid="{00000000-0005-0000-0000-000097620000}"/>
    <cellStyle name="Note 3 2 3 18" xfId="25233" xr:uid="{00000000-0005-0000-0000-000098620000}"/>
    <cellStyle name="Note 3 2 3 19" xfId="25234" xr:uid="{00000000-0005-0000-0000-000099620000}"/>
    <cellStyle name="Note 3 2 3 2" xfId="25235" xr:uid="{00000000-0005-0000-0000-00009A620000}"/>
    <cellStyle name="Note 3 2 3 2 2" xfId="25236" xr:uid="{00000000-0005-0000-0000-00009B620000}"/>
    <cellStyle name="Note 3 2 3 2 2 2" xfId="25237" xr:uid="{00000000-0005-0000-0000-00009C620000}"/>
    <cellStyle name="Note 3 2 3 2 2 3" xfId="25238" xr:uid="{00000000-0005-0000-0000-00009D620000}"/>
    <cellStyle name="Note 3 2 3 2 3" xfId="25239" xr:uid="{00000000-0005-0000-0000-00009E620000}"/>
    <cellStyle name="Note 3 2 3 2 3 2" xfId="25240" xr:uid="{00000000-0005-0000-0000-00009F620000}"/>
    <cellStyle name="Note 3 2 3 2 3 3" xfId="25241" xr:uid="{00000000-0005-0000-0000-0000A0620000}"/>
    <cellStyle name="Note 3 2 3 2 4" xfId="25242" xr:uid="{00000000-0005-0000-0000-0000A1620000}"/>
    <cellStyle name="Note 3 2 3 2 5" xfId="25243" xr:uid="{00000000-0005-0000-0000-0000A2620000}"/>
    <cellStyle name="Note 3 2 3 20" xfId="25244" xr:uid="{00000000-0005-0000-0000-0000A3620000}"/>
    <cellStyle name="Note 3 2 3 21" xfId="25245" xr:uid="{00000000-0005-0000-0000-0000A4620000}"/>
    <cellStyle name="Note 3 2 3 22" xfId="25246" xr:uid="{00000000-0005-0000-0000-0000A5620000}"/>
    <cellStyle name="Note 3 2 3 23" xfId="25247" xr:uid="{00000000-0005-0000-0000-0000A6620000}"/>
    <cellStyle name="Note 3 2 3 24" xfId="25248" xr:uid="{00000000-0005-0000-0000-0000A7620000}"/>
    <cellStyle name="Note 3 2 3 25" xfId="25249" xr:uid="{00000000-0005-0000-0000-0000A8620000}"/>
    <cellStyle name="Note 3 2 3 26" xfId="25250" xr:uid="{00000000-0005-0000-0000-0000A9620000}"/>
    <cellStyle name="Note 3 2 3 27" xfId="25251" xr:uid="{00000000-0005-0000-0000-0000AA620000}"/>
    <cellStyle name="Note 3 2 3 28" xfId="25252" xr:uid="{00000000-0005-0000-0000-0000AB620000}"/>
    <cellStyle name="Note 3 2 3 29" xfId="25253" xr:uid="{00000000-0005-0000-0000-0000AC620000}"/>
    <cellStyle name="Note 3 2 3 3" xfId="25254" xr:uid="{00000000-0005-0000-0000-0000AD620000}"/>
    <cellStyle name="Note 3 2 3 3 2" xfId="25255" xr:uid="{00000000-0005-0000-0000-0000AE620000}"/>
    <cellStyle name="Note 3 2 3 3 2 2" xfId="25256" xr:uid="{00000000-0005-0000-0000-0000AF620000}"/>
    <cellStyle name="Note 3 2 3 3 2 3" xfId="25257" xr:uid="{00000000-0005-0000-0000-0000B0620000}"/>
    <cellStyle name="Note 3 2 3 3 3" xfId="25258" xr:uid="{00000000-0005-0000-0000-0000B1620000}"/>
    <cellStyle name="Note 3 2 3 3 3 2" xfId="25259" xr:uid="{00000000-0005-0000-0000-0000B2620000}"/>
    <cellStyle name="Note 3 2 3 3 3 3" xfId="25260" xr:uid="{00000000-0005-0000-0000-0000B3620000}"/>
    <cellStyle name="Note 3 2 3 3 4" xfId="25261" xr:uid="{00000000-0005-0000-0000-0000B4620000}"/>
    <cellStyle name="Note 3 2 3 3 5" xfId="25262" xr:uid="{00000000-0005-0000-0000-0000B5620000}"/>
    <cellStyle name="Note 3 2 3 30" xfId="25263" xr:uid="{00000000-0005-0000-0000-0000B6620000}"/>
    <cellStyle name="Note 3 2 3 31" xfId="25264" xr:uid="{00000000-0005-0000-0000-0000B7620000}"/>
    <cellStyle name="Note 3 2 3 32" xfId="25265" xr:uid="{00000000-0005-0000-0000-0000B8620000}"/>
    <cellStyle name="Note 3 2 3 33" xfId="25266" xr:uid="{00000000-0005-0000-0000-0000B9620000}"/>
    <cellStyle name="Note 3 2 3 34" xfId="25267" xr:uid="{00000000-0005-0000-0000-0000BA620000}"/>
    <cellStyle name="Note 3 2 3 35" xfId="25268" xr:uid="{00000000-0005-0000-0000-0000BB620000}"/>
    <cellStyle name="Note 3 2 3 4" xfId="25269" xr:uid="{00000000-0005-0000-0000-0000BC620000}"/>
    <cellStyle name="Note 3 2 3 4 2" xfId="25270" xr:uid="{00000000-0005-0000-0000-0000BD620000}"/>
    <cellStyle name="Note 3 2 3 4 3" xfId="25271" xr:uid="{00000000-0005-0000-0000-0000BE620000}"/>
    <cellStyle name="Note 3 2 3 5" xfId="25272" xr:uid="{00000000-0005-0000-0000-0000BF620000}"/>
    <cellStyle name="Note 3 2 3 5 2" xfId="25273" xr:uid="{00000000-0005-0000-0000-0000C0620000}"/>
    <cellStyle name="Note 3 2 3 5 3" xfId="25274" xr:uid="{00000000-0005-0000-0000-0000C1620000}"/>
    <cellStyle name="Note 3 2 3 6" xfId="25275" xr:uid="{00000000-0005-0000-0000-0000C2620000}"/>
    <cellStyle name="Note 3 2 3 7" xfId="25276" xr:uid="{00000000-0005-0000-0000-0000C3620000}"/>
    <cellStyle name="Note 3 2 3 8" xfId="25277" xr:uid="{00000000-0005-0000-0000-0000C4620000}"/>
    <cellStyle name="Note 3 2 3 9" xfId="25278" xr:uid="{00000000-0005-0000-0000-0000C5620000}"/>
    <cellStyle name="Note 3 2 30" xfId="25279" xr:uid="{00000000-0005-0000-0000-0000C6620000}"/>
    <cellStyle name="Note 3 2 31" xfId="25280" xr:uid="{00000000-0005-0000-0000-0000C7620000}"/>
    <cellStyle name="Note 3 2 32" xfId="25281" xr:uid="{00000000-0005-0000-0000-0000C8620000}"/>
    <cellStyle name="Note 3 2 33" xfId="25282" xr:uid="{00000000-0005-0000-0000-0000C9620000}"/>
    <cellStyle name="Note 3 2 34" xfId="25283" xr:uid="{00000000-0005-0000-0000-0000CA620000}"/>
    <cellStyle name="Note 3 2 35" xfId="25284" xr:uid="{00000000-0005-0000-0000-0000CB620000}"/>
    <cellStyle name="Note 3 2 4" xfId="25285" xr:uid="{00000000-0005-0000-0000-0000CC620000}"/>
    <cellStyle name="Note 3 2 4 2" xfId="25286" xr:uid="{00000000-0005-0000-0000-0000CD620000}"/>
    <cellStyle name="Note 3 2 4 3" xfId="25287" xr:uid="{00000000-0005-0000-0000-0000CE620000}"/>
    <cellStyle name="Note 3 2 5" xfId="25288" xr:uid="{00000000-0005-0000-0000-0000CF620000}"/>
    <cellStyle name="Note 3 2 5 2" xfId="25289" xr:uid="{00000000-0005-0000-0000-0000D0620000}"/>
    <cellStyle name="Note 3 2 5 3" xfId="25290" xr:uid="{00000000-0005-0000-0000-0000D1620000}"/>
    <cellStyle name="Note 3 2 6" xfId="25291" xr:uid="{00000000-0005-0000-0000-0000D2620000}"/>
    <cellStyle name="Note 3 2 7" xfId="25292" xr:uid="{00000000-0005-0000-0000-0000D3620000}"/>
    <cellStyle name="Note 3 2 8" xfId="25293" xr:uid="{00000000-0005-0000-0000-0000D4620000}"/>
    <cellStyle name="Note 3 2 9" xfId="25294" xr:uid="{00000000-0005-0000-0000-0000D5620000}"/>
    <cellStyle name="Note 3 20" xfId="25295" xr:uid="{00000000-0005-0000-0000-0000D6620000}"/>
    <cellStyle name="Note 3 21" xfId="25296" xr:uid="{00000000-0005-0000-0000-0000D7620000}"/>
    <cellStyle name="Note 3 22" xfId="25297" xr:uid="{00000000-0005-0000-0000-0000D8620000}"/>
    <cellStyle name="Note 3 23" xfId="25298" xr:uid="{00000000-0005-0000-0000-0000D9620000}"/>
    <cellStyle name="Note 3 24" xfId="25299" xr:uid="{00000000-0005-0000-0000-0000DA620000}"/>
    <cellStyle name="Note 3 25" xfId="25300" xr:uid="{00000000-0005-0000-0000-0000DB620000}"/>
    <cellStyle name="Note 3 26" xfId="25301" xr:uid="{00000000-0005-0000-0000-0000DC620000}"/>
    <cellStyle name="Note 3 27" xfId="25302" xr:uid="{00000000-0005-0000-0000-0000DD620000}"/>
    <cellStyle name="Note 3 28" xfId="25303" xr:uid="{00000000-0005-0000-0000-0000DE620000}"/>
    <cellStyle name="Note 3 29" xfId="25304" xr:uid="{00000000-0005-0000-0000-0000DF620000}"/>
    <cellStyle name="Note 3 3" xfId="25305" xr:uid="{00000000-0005-0000-0000-0000E0620000}"/>
    <cellStyle name="Note 3 3 10" xfId="25306" xr:uid="{00000000-0005-0000-0000-0000E1620000}"/>
    <cellStyle name="Note 3 3 11" xfId="25307" xr:uid="{00000000-0005-0000-0000-0000E2620000}"/>
    <cellStyle name="Note 3 3 12" xfId="25308" xr:uid="{00000000-0005-0000-0000-0000E3620000}"/>
    <cellStyle name="Note 3 3 13" xfId="25309" xr:uid="{00000000-0005-0000-0000-0000E4620000}"/>
    <cellStyle name="Note 3 3 14" xfId="25310" xr:uid="{00000000-0005-0000-0000-0000E5620000}"/>
    <cellStyle name="Note 3 3 15" xfId="25311" xr:uid="{00000000-0005-0000-0000-0000E6620000}"/>
    <cellStyle name="Note 3 3 16" xfId="25312" xr:uid="{00000000-0005-0000-0000-0000E7620000}"/>
    <cellStyle name="Note 3 3 17" xfId="25313" xr:uid="{00000000-0005-0000-0000-0000E8620000}"/>
    <cellStyle name="Note 3 3 18" xfId="25314" xr:uid="{00000000-0005-0000-0000-0000E9620000}"/>
    <cellStyle name="Note 3 3 19" xfId="25315" xr:uid="{00000000-0005-0000-0000-0000EA620000}"/>
    <cellStyle name="Note 3 3 2" xfId="25316" xr:uid="{00000000-0005-0000-0000-0000EB620000}"/>
    <cellStyle name="Note 3 3 2 10" xfId="25317" xr:uid="{00000000-0005-0000-0000-0000EC620000}"/>
    <cellStyle name="Note 3 3 2 11" xfId="25318" xr:uid="{00000000-0005-0000-0000-0000ED620000}"/>
    <cellStyle name="Note 3 3 2 12" xfId="25319" xr:uid="{00000000-0005-0000-0000-0000EE620000}"/>
    <cellStyle name="Note 3 3 2 13" xfId="25320" xr:uid="{00000000-0005-0000-0000-0000EF620000}"/>
    <cellStyle name="Note 3 3 2 14" xfId="25321" xr:uid="{00000000-0005-0000-0000-0000F0620000}"/>
    <cellStyle name="Note 3 3 2 15" xfId="25322" xr:uid="{00000000-0005-0000-0000-0000F1620000}"/>
    <cellStyle name="Note 3 3 2 16" xfId="25323" xr:uid="{00000000-0005-0000-0000-0000F2620000}"/>
    <cellStyle name="Note 3 3 2 17" xfId="25324" xr:uid="{00000000-0005-0000-0000-0000F3620000}"/>
    <cellStyle name="Note 3 3 2 18" xfId="25325" xr:uid="{00000000-0005-0000-0000-0000F4620000}"/>
    <cellStyle name="Note 3 3 2 19" xfId="25326" xr:uid="{00000000-0005-0000-0000-0000F5620000}"/>
    <cellStyle name="Note 3 3 2 2" xfId="25327" xr:uid="{00000000-0005-0000-0000-0000F6620000}"/>
    <cellStyle name="Note 3 3 2 2 2" xfId="25328" xr:uid="{00000000-0005-0000-0000-0000F7620000}"/>
    <cellStyle name="Note 3 3 2 2 2 2" xfId="25329" xr:uid="{00000000-0005-0000-0000-0000F8620000}"/>
    <cellStyle name="Note 3 3 2 2 2 3" xfId="25330" xr:uid="{00000000-0005-0000-0000-0000F9620000}"/>
    <cellStyle name="Note 3 3 2 2 3" xfId="25331" xr:uid="{00000000-0005-0000-0000-0000FA620000}"/>
    <cellStyle name="Note 3 3 2 2 3 2" xfId="25332" xr:uid="{00000000-0005-0000-0000-0000FB620000}"/>
    <cellStyle name="Note 3 3 2 2 3 3" xfId="25333" xr:uid="{00000000-0005-0000-0000-0000FC620000}"/>
    <cellStyle name="Note 3 3 2 2 4" xfId="25334" xr:uid="{00000000-0005-0000-0000-0000FD620000}"/>
    <cellStyle name="Note 3 3 2 2 5" xfId="25335" xr:uid="{00000000-0005-0000-0000-0000FE620000}"/>
    <cellStyle name="Note 3 3 2 20" xfId="25336" xr:uid="{00000000-0005-0000-0000-0000FF620000}"/>
    <cellStyle name="Note 3 3 2 21" xfId="25337" xr:uid="{00000000-0005-0000-0000-000000630000}"/>
    <cellStyle name="Note 3 3 2 22" xfId="25338" xr:uid="{00000000-0005-0000-0000-000001630000}"/>
    <cellStyle name="Note 3 3 2 23" xfId="25339" xr:uid="{00000000-0005-0000-0000-000002630000}"/>
    <cellStyle name="Note 3 3 2 24" xfId="25340" xr:uid="{00000000-0005-0000-0000-000003630000}"/>
    <cellStyle name="Note 3 3 2 25" xfId="25341" xr:uid="{00000000-0005-0000-0000-000004630000}"/>
    <cellStyle name="Note 3 3 2 26" xfId="25342" xr:uid="{00000000-0005-0000-0000-000005630000}"/>
    <cellStyle name="Note 3 3 2 27" xfId="25343" xr:uid="{00000000-0005-0000-0000-000006630000}"/>
    <cellStyle name="Note 3 3 2 28" xfId="25344" xr:uid="{00000000-0005-0000-0000-000007630000}"/>
    <cellStyle name="Note 3 3 2 29" xfId="25345" xr:uid="{00000000-0005-0000-0000-000008630000}"/>
    <cellStyle name="Note 3 3 2 3" xfId="25346" xr:uid="{00000000-0005-0000-0000-000009630000}"/>
    <cellStyle name="Note 3 3 2 3 2" xfId="25347" xr:uid="{00000000-0005-0000-0000-00000A630000}"/>
    <cellStyle name="Note 3 3 2 3 2 2" xfId="25348" xr:uid="{00000000-0005-0000-0000-00000B630000}"/>
    <cellStyle name="Note 3 3 2 3 2 3" xfId="25349" xr:uid="{00000000-0005-0000-0000-00000C630000}"/>
    <cellStyle name="Note 3 3 2 3 3" xfId="25350" xr:uid="{00000000-0005-0000-0000-00000D630000}"/>
    <cellStyle name="Note 3 3 2 3 3 2" xfId="25351" xr:uid="{00000000-0005-0000-0000-00000E630000}"/>
    <cellStyle name="Note 3 3 2 3 3 3" xfId="25352" xr:uid="{00000000-0005-0000-0000-00000F630000}"/>
    <cellStyle name="Note 3 3 2 3 4" xfId="25353" xr:uid="{00000000-0005-0000-0000-000010630000}"/>
    <cellStyle name="Note 3 3 2 3 5" xfId="25354" xr:uid="{00000000-0005-0000-0000-000011630000}"/>
    <cellStyle name="Note 3 3 2 30" xfId="25355" xr:uid="{00000000-0005-0000-0000-000012630000}"/>
    <cellStyle name="Note 3 3 2 31" xfId="25356" xr:uid="{00000000-0005-0000-0000-000013630000}"/>
    <cellStyle name="Note 3 3 2 32" xfId="25357" xr:uid="{00000000-0005-0000-0000-000014630000}"/>
    <cellStyle name="Note 3 3 2 33" xfId="25358" xr:uid="{00000000-0005-0000-0000-000015630000}"/>
    <cellStyle name="Note 3 3 2 34" xfId="25359" xr:uid="{00000000-0005-0000-0000-000016630000}"/>
    <cellStyle name="Note 3 3 2 35" xfId="25360" xr:uid="{00000000-0005-0000-0000-000017630000}"/>
    <cellStyle name="Note 3 3 2 4" xfId="25361" xr:uid="{00000000-0005-0000-0000-000018630000}"/>
    <cellStyle name="Note 3 3 2 4 2" xfId="25362" xr:uid="{00000000-0005-0000-0000-000019630000}"/>
    <cellStyle name="Note 3 3 2 4 3" xfId="25363" xr:uid="{00000000-0005-0000-0000-00001A630000}"/>
    <cellStyle name="Note 3 3 2 5" xfId="25364" xr:uid="{00000000-0005-0000-0000-00001B630000}"/>
    <cellStyle name="Note 3 3 2 5 2" xfId="25365" xr:uid="{00000000-0005-0000-0000-00001C630000}"/>
    <cellStyle name="Note 3 3 2 5 3" xfId="25366" xr:uid="{00000000-0005-0000-0000-00001D630000}"/>
    <cellStyle name="Note 3 3 2 6" xfId="25367" xr:uid="{00000000-0005-0000-0000-00001E630000}"/>
    <cellStyle name="Note 3 3 2 7" xfId="25368" xr:uid="{00000000-0005-0000-0000-00001F630000}"/>
    <cellStyle name="Note 3 3 2 8" xfId="25369" xr:uid="{00000000-0005-0000-0000-000020630000}"/>
    <cellStyle name="Note 3 3 2 9" xfId="25370" xr:uid="{00000000-0005-0000-0000-000021630000}"/>
    <cellStyle name="Note 3 3 20" xfId="25371" xr:uid="{00000000-0005-0000-0000-000022630000}"/>
    <cellStyle name="Note 3 3 21" xfId="25372" xr:uid="{00000000-0005-0000-0000-000023630000}"/>
    <cellStyle name="Note 3 3 22" xfId="25373" xr:uid="{00000000-0005-0000-0000-000024630000}"/>
    <cellStyle name="Note 3 3 23" xfId="25374" xr:uid="{00000000-0005-0000-0000-000025630000}"/>
    <cellStyle name="Note 3 3 24" xfId="25375" xr:uid="{00000000-0005-0000-0000-000026630000}"/>
    <cellStyle name="Note 3 3 25" xfId="25376" xr:uid="{00000000-0005-0000-0000-000027630000}"/>
    <cellStyle name="Note 3 3 26" xfId="25377" xr:uid="{00000000-0005-0000-0000-000028630000}"/>
    <cellStyle name="Note 3 3 27" xfId="25378" xr:uid="{00000000-0005-0000-0000-000029630000}"/>
    <cellStyle name="Note 3 3 28" xfId="25379" xr:uid="{00000000-0005-0000-0000-00002A630000}"/>
    <cellStyle name="Note 3 3 29" xfId="25380" xr:uid="{00000000-0005-0000-0000-00002B630000}"/>
    <cellStyle name="Note 3 3 3" xfId="25381" xr:uid="{00000000-0005-0000-0000-00002C630000}"/>
    <cellStyle name="Note 3 3 3 2" xfId="25382" xr:uid="{00000000-0005-0000-0000-00002D630000}"/>
    <cellStyle name="Note 3 3 3 3" xfId="25383" xr:uid="{00000000-0005-0000-0000-00002E630000}"/>
    <cellStyle name="Note 3 3 30" xfId="25384" xr:uid="{00000000-0005-0000-0000-00002F630000}"/>
    <cellStyle name="Note 3 3 31" xfId="25385" xr:uid="{00000000-0005-0000-0000-000030630000}"/>
    <cellStyle name="Note 3 3 32" xfId="25386" xr:uid="{00000000-0005-0000-0000-000031630000}"/>
    <cellStyle name="Note 3 3 33" xfId="25387" xr:uid="{00000000-0005-0000-0000-000032630000}"/>
    <cellStyle name="Note 3 3 34" xfId="25388" xr:uid="{00000000-0005-0000-0000-000033630000}"/>
    <cellStyle name="Note 3 3 4" xfId="25389" xr:uid="{00000000-0005-0000-0000-000034630000}"/>
    <cellStyle name="Note 3 3 4 2" xfId="25390" xr:uid="{00000000-0005-0000-0000-000035630000}"/>
    <cellStyle name="Note 3 3 4 3" xfId="25391" xr:uid="{00000000-0005-0000-0000-000036630000}"/>
    <cellStyle name="Note 3 3 5" xfId="25392" xr:uid="{00000000-0005-0000-0000-000037630000}"/>
    <cellStyle name="Note 3 3 6" xfId="25393" xr:uid="{00000000-0005-0000-0000-000038630000}"/>
    <cellStyle name="Note 3 3 7" xfId="25394" xr:uid="{00000000-0005-0000-0000-000039630000}"/>
    <cellStyle name="Note 3 3 8" xfId="25395" xr:uid="{00000000-0005-0000-0000-00003A630000}"/>
    <cellStyle name="Note 3 3 9" xfId="25396" xr:uid="{00000000-0005-0000-0000-00003B630000}"/>
    <cellStyle name="Note 3 30" xfId="25397" xr:uid="{00000000-0005-0000-0000-00003C630000}"/>
    <cellStyle name="Note 3 31" xfId="25398" xr:uid="{00000000-0005-0000-0000-00003D630000}"/>
    <cellStyle name="Note 3 32" xfId="25399" xr:uid="{00000000-0005-0000-0000-00003E630000}"/>
    <cellStyle name="Note 3 33" xfId="25400" xr:uid="{00000000-0005-0000-0000-00003F630000}"/>
    <cellStyle name="Note 3 34" xfId="25401" xr:uid="{00000000-0005-0000-0000-000040630000}"/>
    <cellStyle name="Note 3 35" xfId="25402" xr:uid="{00000000-0005-0000-0000-000041630000}"/>
    <cellStyle name="Note 3 36" xfId="25403" xr:uid="{00000000-0005-0000-0000-000042630000}"/>
    <cellStyle name="Note 3 4" xfId="25404" xr:uid="{00000000-0005-0000-0000-000043630000}"/>
    <cellStyle name="Note 3 4 10" xfId="25405" xr:uid="{00000000-0005-0000-0000-000044630000}"/>
    <cellStyle name="Note 3 4 11" xfId="25406" xr:uid="{00000000-0005-0000-0000-000045630000}"/>
    <cellStyle name="Note 3 4 12" xfId="25407" xr:uid="{00000000-0005-0000-0000-000046630000}"/>
    <cellStyle name="Note 3 4 13" xfId="25408" xr:uid="{00000000-0005-0000-0000-000047630000}"/>
    <cellStyle name="Note 3 4 14" xfId="25409" xr:uid="{00000000-0005-0000-0000-000048630000}"/>
    <cellStyle name="Note 3 4 15" xfId="25410" xr:uid="{00000000-0005-0000-0000-000049630000}"/>
    <cellStyle name="Note 3 4 16" xfId="25411" xr:uid="{00000000-0005-0000-0000-00004A630000}"/>
    <cellStyle name="Note 3 4 17" xfId="25412" xr:uid="{00000000-0005-0000-0000-00004B630000}"/>
    <cellStyle name="Note 3 4 18" xfId="25413" xr:uid="{00000000-0005-0000-0000-00004C630000}"/>
    <cellStyle name="Note 3 4 19" xfId="25414" xr:uid="{00000000-0005-0000-0000-00004D630000}"/>
    <cellStyle name="Note 3 4 2" xfId="25415" xr:uid="{00000000-0005-0000-0000-00004E630000}"/>
    <cellStyle name="Note 3 4 2 2" xfId="25416" xr:uid="{00000000-0005-0000-0000-00004F630000}"/>
    <cellStyle name="Note 3 4 2 2 2" xfId="25417" xr:uid="{00000000-0005-0000-0000-000050630000}"/>
    <cellStyle name="Note 3 4 2 2 3" xfId="25418" xr:uid="{00000000-0005-0000-0000-000051630000}"/>
    <cellStyle name="Note 3 4 2 3" xfId="25419" xr:uid="{00000000-0005-0000-0000-000052630000}"/>
    <cellStyle name="Note 3 4 2 3 2" xfId="25420" xr:uid="{00000000-0005-0000-0000-000053630000}"/>
    <cellStyle name="Note 3 4 2 3 3" xfId="25421" xr:uid="{00000000-0005-0000-0000-000054630000}"/>
    <cellStyle name="Note 3 4 2 4" xfId="25422" xr:uid="{00000000-0005-0000-0000-000055630000}"/>
    <cellStyle name="Note 3 4 2 5" xfId="25423" xr:uid="{00000000-0005-0000-0000-000056630000}"/>
    <cellStyle name="Note 3 4 20" xfId="25424" xr:uid="{00000000-0005-0000-0000-000057630000}"/>
    <cellStyle name="Note 3 4 21" xfId="25425" xr:uid="{00000000-0005-0000-0000-000058630000}"/>
    <cellStyle name="Note 3 4 22" xfId="25426" xr:uid="{00000000-0005-0000-0000-000059630000}"/>
    <cellStyle name="Note 3 4 23" xfId="25427" xr:uid="{00000000-0005-0000-0000-00005A630000}"/>
    <cellStyle name="Note 3 4 24" xfId="25428" xr:uid="{00000000-0005-0000-0000-00005B630000}"/>
    <cellStyle name="Note 3 4 25" xfId="25429" xr:uid="{00000000-0005-0000-0000-00005C630000}"/>
    <cellStyle name="Note 3 4 26" xfId="25430" xr:uid="{00000000-0005-0000-0000-00005D630000}"/>
    <cellStyle name="Note 3 4 27" xfId="25431" xr:uid="{00000000-0005-0000-0000-00005E630000}"/>
    <cellStyle name="Note 3 4 28" xfId="25432" xr:uid="{00000000-0005-0000-0000-00005F630000}"/>
    <cellStyle name="Note 3 4 29" xfId="25433" xr:uid="{00000000-0005-0000-0000-000060630000}"/>
    <cellStyle name="Note 3 4 3" xfId="25434" xr:uid="{00000000-0005-0000-0000-000061630000}"/>
    <cellStyle name="Note 3 4 3 2" xfId="25435" xr:uid="{00000000-0005-0000-0000-000062630000}"/>
    <cellStyle name="Note 3 4 3 2 2" xfId="25436" xr:uid="{00000000-0005-0000-0000-000063630000}"/>
    <cellStyle name="Note 3 4 3 2 3" xfId="25437" xr:uid="{00000000-0005-0000-0000-000064630000}"/>
    <cellStyle name="Note 3 4 3 3" xfId="25438" xr:uid="{00000000-0005-0000-0000-000065630000}"/>
    <cellStyle name="Note 3 4 3 3 2" xfId="25439" xr:uid="{00000000-0005-0000-0000-000066630000}"/>
    <cellStyle name="Note 3 4 3 3 3" xfId="25440" xr:uid="{00000000-0005-0000-0000-000067630000}"/>
    <cellStyle name="Note 3 4 3 4" xfId="25441" xr:uid="{00000000-0005-0000-0000-000068630000}"/>
    <cellStyle name="Note 3 4 3 5" xfId="25442" xr:uid="{00000000-0005-0000-0000-000069630000}"/>
    <cellStyle name="Note 3 4 30" xfId="25443" xr:uid="{00000000-0005-0000-0000-00006A630000}"/>
    <cellStyle name="Note 3 4 31" xfId="25444" xr:uid="{00000000-0005-0000-0000-00006B630000}"/>
    <cellStyle name="Note 3 4 32" xfId="25445" xr:uid="{00000000-0005-0000-0000-00006C630000}"/>
    <cellStyle name="Note 3 4 33" xfId="25446" xr:uid="{00000000-0005-0000-0000-00006D630000}"/>
    <cellStyle name="Note 3 4 34" xfId="25447" xr:uid="{00000000-0005-0000-0000-00006E630000}"/>
    <cellStyle name="Note 3 4 35" xfId="25448" xr:uid="{00000000-0005-0000-0000-00006F630000}"/>
    <cellStyle name="Note 3 4 4" xfId="25449" xr:uid="{00000000-0005-0000-0000-000070630000}"/>
    <cellStyle name="Note 3 4 4 2" xfId="25450" xr:uid="{00000000-0005-0000-0000-000071630000}"/>
    <cellStyle name="Note 3 4 4 3" xfId="25451" xr:uid="{00000000-0005-0000-0000-000072630000}"/>
    <cellStyle name="Note 3 4 5" xfId="25452" xr:uid="{00000000-0005-0000-0000-000073630000}"/>
    <cellStyle name="Note 3 4 5 2" xfId="25453" xr:uid="{00000000-0005-0000-0000-000074630000}"/>
    <cellStyle name="Note 3 4 5 3" xfId="25454" xr:uid="{00000000-0005-0000-0000-000075630000}"/>
    <cellStyle name="Note 3 4 6" xfId="25455" xr:uid="{00000000-0005-0000-0000-000076630000}"/>
    <cellStyle name="Note 3 4 7" xfId="25456" xr:uid="{00000000-0005-0000-0000-000077630000}"/>
    <cellStyle name="Note 3 4 8" xfId="25457" xr:uid="{00000000-0005-0000-0000-000078630000}"/>
    <cellStyle name="Note 3 4 9" xfId="25458" xr:uid="{00000000-0005-0000-0000-000079630000}"/>
    <cellStyle name="Note 3 5" xfId="25459" xr:uid="{00000000-0005-0000-0000-00007A630000}"/>
    <cellStyle name="Note 3 5 2" xfId="25460" xr:uid="{00000000-0005-0000-0000-00007B630000}"/>
    <cellStyle name="Note 3 5 3" xfId="25461" xr:uid="{00000000-0005-0000-0000-00007C630000}"/>
    <cellStyle name="Note 3 6" xfId="25462" xr:uid="{00000000-0005-0000-0000-00007D630000}"/>
    <cellStyle name="Note 3 6 2" xfId="25463" xr:uid="{00000000-0005-0000-0000-00007E630000}"/>
    <cellStyle name="Note 3 6 3" xfId="25464" xr:uid="{00000000-0005-0000-0000-00007F630000}"/>
    <cellStyle name="Note 3 7" xfId="25465" xr:uid="{00000000-0005-0000-0000-000080630000}"/>
    <cellStyle name="Note 3 8" xfId="25466" xr:uid="{00000000-0005-0000-0000-000081630000}"/>
    <cellStyle name="Note 3 9" xfId="25467" xr:uid="{00000000-0005-0000-0000-000082630000}"/>
    <cellStyle name="Note 4" xfId="25468" xr:uid="{00000000-0005-0000-0000-000083630000}"/>
    <cellStyle name="Note 4 2" xfId="25469" xr:uid="{00000000-0005-0000-0000-000084630000}"/>
    <cellStyle name="Note 4 2 2" xfId="25470" xr:uid="{00000000-0005-0000-0000-000085630000}"/>
    <cellStyle name="Note 4 3" xfId="25471" xr:uid="{00000000-0005-0000-0000-000086630000}"/>
    <cellStyle name="Note 4 3 2" xfId="25472" xr:uid="{00000000-0005-0000-0000-000087630000}"/>
    <cellStyle name="Note 4 4" xfId="25473" xr:uid="{00000000-0005-0000-0000-000088630000}"/>
    <cellStyle name="Note 4 4 10" xfId="25474" xr:uid="{00000000-0005-0000-0000-000089630000}"/>
    <cellStyle name="Note 4 4 11" xfId="25475" xr:uid="{00000000-0005-0000-0000-00008A630000}"/>
    <cellStyle name="Note 4 4 12" xfId="25476" xr:uid="{00000000-0005-0000-0000-00008B630000}"/>
    <cellStyle name="Note 4 4 13" xfId="25477" xr:uid="{00000000-0005-0000-0000-00008C630000}"/>
    <cellStyle name="Note 4 4 14" xfId="25478" xr:uid="{00000000-0005-0000-0000-00008D630000}"/>
    <cellStyle name="Note 4 4 15" xfId="25479" xr:uid="{00000000-0005-0000-0000-00008E630000}"/>
    <cellStyle name="Note 4 4 16" xfId="25480" xr:uid="{00000000-0005-0000-0000-00008F630000}"/>
    <cellStyle name="Note 4 4 17" xfId="25481" xr:uid="{00000000-0005-0000-0000-000090630000}"/>
    <cellStyle name="Note 4 4 18" xfId="25482" xr:uid="{00000000-0005-0000-0000-000091630000}"/>
    <cellStyle name="Note 4 4 19" xfId="25483" xr:uid="{00000000-0005-0000-0000-000092630000}"/>
    <cellStyle name="Note 4 4 2" xfId="25484" xr:uid="{00000000-0005-0000-0000-000093630000}"/>
    <cellStyle name="Note 4 4 2 10" xfId="25485" xr:uid="{00000000-0005-0000-0000-000094630000}"/>
    <cellStyle name="Note 4 4 2 11" xfId="25486" xr:uid="{00000000-0005-0000-0000-000095630000}"/>
    <cellStyle name="Note 4 4 2 12" xfId="25487" xr:uid="{00000000-0005-0000-0000-000096630000}"/>
    <cellStyle name="Note 4 4 2 13" xfId="25488" xr:uid="{00000000-0005-0000-0000-000097630000}"/>
    <cellStyle name="Note 4 4 2 14" xfId="25489" xr:uid="{00000000-0005-0000-0000-000098630000}"/>
    <cellStyle name="Note 4 4 2 15" xfId="25490" xr:uid="{00000000-0005-0000-0000-000099630000}"/>
    <cellStyle name="Note 4 4 2 16" xfId="25491" xr:uid="{00000000-0005-0000-0000-00009A630000}"/>
    <cellStyle name="Note 4 4 2 17" xfId="25492" xr:uid="{00000000-0005-0000-0000-00009B630000}"/>
    <cellStyle name="Note 4 4 2 18" xfId="25493" xr:uid="{00000000-0005-0000-0000-00009C630000}"/>
    <cellStyle name="Note 4 4 2 19" xfId="25494" xr:uid="{00000000-0005-0000-0000-00009D630000}"/>
    <cellStyle name="Note 4 4 2 2" xfId="25495" xr:uid="{00000000-0005-0000-0000-00009E630000}"/>
    <cellStyle name="Note 4 4 2 2 2" xfId="25496" xr:uid="{00000000-0005-0000-0000-00009F630000}"/>
    <cellStyle name="Note 4 4 2 2 2 2" xfId="25497" xr:uid="{00000000-0005-0000-0000-0000A0630000}"/>
    <cellStyle name="Note 4 4 2 2 2 3" xfId="25498" xr:uid="{00000000-0005-0000-0000-0000A1630000}"/>
    <cellStyle name="Note 4 4 2 2 3" xfId="25499" xr:uid="{00000000-0005-0000-0000-0000A2630000}"/>
    <cellStyle name="Note 4 4 2 2 3 2" xfId="25500" xr:uid="{00000000-0005-0000-0000-0000A3630000}"/>
    <cellStyle name="Note 4 4 2 2 3 3" xfId="25501" xr:uid="{00000000-0005-0000-0000-0000A4630000}"/>
    <cellStyle name="Note 4 4 2 2 4" xfId="25502" xr:uid="{00000000-0005-0000-0000-0000A5630000}"/>
    <cellStyle name="Note 4 4 2 2 5" xfId="25503" xr:uid="{00000000-0005-0000-0000-0000A6630000}"/>
    <cellStyle name="Note 4 4 2 20" xfId="25504" xr:uid="{00000000-0005-0000-0000-0000A7630000}"/>
    <cellStyle name="Note 4 4 2 21" xfId="25505" xr:uid="{00000000-0005-0000-0000-0000A8630000}"/>
    <cellStyle name="Note 4 4 2 22" xfId="25506" xr:uid="{00000000-0005-0000-0000-0000A9630000}"/>
    <cellStyle name="Note 4 4 2 23" xfId="25507" xr:uid="{00000000-0005-0000-0000-0000AA630000}"/>
    <cellStyle name="Note 4 4 2 24" xfId="25508" xr:uid="{00000000-0005-0000-0000-0000AB630000}"/>
    <cellStyle name="Note 4 4 2 25" xfId="25509" xr:uid="{00000000-0005-0000-0000-0000AC630000}"/>
    <cellStyle name="Note 4 4 2 26" xfId="25510" xr:uid="{00000000-0005-0000-0000-0000AD630000}"/>
    <cellStyle name="Note 4 4 2 27" xfId="25511" xr:uid="{00000000-0005-0000-0000-0000AE630000}"/>
    <cellStyle name="Note 4 4 2 28" xfId="25512" xr:uid="{00000000-0005-0000-0000-0000AF630000}"/>
    <cellStyle name="Note 4 4 2 29" xfId="25513" xr:uid="{00000000-0005-0000-0000-0000B0630000}"/>
    <cellStyle name="Note 4 4 2 3" xfId="25514" xr:uid="{00000000-0005-0000-0000-0000B1630000}"/>
    <cellStyle name="Note 4 4 2 3 2" xfId="25515" xr:uid="{00000000-0005-0000-0000-0000B2630000}"/>
    <cellStyle name="Note 4 4 2 3 2 2" xfId="25516" xr:uid="{00000000-0005-0000-0000-0000B3630000}"/>
    <cellStyle name="Note 4 4 2 3 2 3" xfId="25517" xr:uid="{00000000-0005-0000-0000-0000B4630000}"/>
    <cellStyle name="Note 4 4 2 3 3" xfId="25518" xr:uid="{00000000-0005-0000-0000-0000B5630000}"/>
    <cellStyle name="Note 4 4 2 3 3 2" xfId="25519" xr:uid="{00000000-0005-0000-0000-0000B6630000}"/>
    <cellStyle name="Note 4 4 2 3 3 3" xfId="25520" xr:uid="{00000000-0005-0000-0000-0000B7630000}"/>
    <cellStyle name="Note 4 4 2 3 4" xfId="25521" xr:uid="{00000000-0005-0000-0000-0000B8630000}"/>
    <cellStyle name="Note 4 4 2 3 5" xfId="25522" xr:uid="{00000000-0005-0000-0000-0000B9630000}"/>
    <cellStyle name="Note 4 4 2 30" xfId="25523" xr:uid="{00000000-0005-0000-0000-0000BA630000}"/>
    <cellStyle name="Note 4 4 2 31" xfId="25524" xr:uid="{00000000-0005-0000-0000-0000BB630000}"/>
    <cellStyle name="Note 4 4 2 32" xfId="25525" xr:uid="{00000000-0005-0000-0000-0000BC630000}"/>
    <cellStyle name="Note 4 4 2 33" xfId="25526" xr:uid="{00000000-0005-0000-0000-0000BD630000}"/>
    <cellStyle name="Note 4 4 2 34" xfId="25527" xr:uid="{00000000-0005-0000-0000-0000BE630000}"/>
    <cellStyle name="Note 4 4 2 35" xfId="25528" xr:uid="{00000000-0005-0000-0000-0000BF630000}"/>
    <cellStyle name="Note 4 4 2 4" xfId="25529" xr:uid="{00000000-0005-0000-0000-0000C0630000}"/>
    <cellStyle name="Note 4 4 2 4 2" xfId="25530" xr:uid="{00000000-0005-0000-0000-0000C1630000}"/>
    <cellStyle name="Note 4 4 2 4 3" xfId="25531" xr:uid="{00000000-0005-0000-0000-0000C2630000}"/>
    <cellStyle name="Note 4 4 2 5" xfId="25532" xr:uid="{00000000-0005-0000-0000-0000C3630000}"/>
    <cellStyle name="Note 4 4 2 5 2" xfId="25533" xr:uid="{00000000-0005-0000-0000-0000C4630000}"/>
    <cellStyle name="Note 4 4 2 5 3" xfId="25534" xr:uid="{00000000-0005-0000-0000-0000C5630000}"/>
    <cellStyle name="Note 4 4 2 6" xfId="25535" xr:uid="{00000000-0005-0000-0000-0000C6630000}"/>
    <cellStyle name="Note 4 4 2 7" xfId="25536" xr:uid="{00000000-0005-0000-0000-0000C7630000}"/>
    <cellStyle name="Note 4 4 2 8" xfId="25537" xr:uid="{00000000-0005-0000-0000-0000C8630000}"/>
    <cellStyle name="Note 4 4 2 9" xfId="25538" xr:uid="{00000000-0005-0000-0000-0000C9630000}"/>
    <cellStyle name="Note 4 4 20" xfId="25539" xr:uid="{00000000-0005-0000-0000-0000CA630000}"/>
    <cellStyle name="Note 4 4 21" xfId="25540" xr:uid="{00000000-0005-0000-0000-0000CB630000}"/>
    <cellStyle name="Note 4 4 22" xfId="25541" xr:uid="{00000000-0005-0000-0000-0000CC630000}"/>
    <cellStyle name="Note 4 4 23" xfId="25542" xr:uid="{00000000-0005-0000-0000-0000CD630000}"/>
    <cellStyle name="Note 4 4 24" xfId="25543" xr:uid="{00000000-0005-0000-0000-0000CE630000}"/>
    <cellStyle name="Note 4 4 25" xfId="25544" xr:uid="{00000000-0005-0000-0000-0000CF630000}"/>
    <cellStyle name="Note 4 4 26" xfId="25545" xr:uid="{00000000-0005-0000-0000-0000D0630000}"/>
    <cellStyle name="Note 4 4 27" xfId="25546" xr:uid="{00000000-0005-0000-0000-0000D1630000}"/>
    <cellStyle name="Note 4 4 28" xfId="25547" xr:uid="{00000000-0005-0000-0000-0000D2630000}"/>
    <cellStyle name="Note 4 4 29" xfId="25548" xr:uid="{00000000-0005-0000-0000-0000D3630000}"/>
    <cellStyle name="Note 4 4 3" xfId="25549" xr:uid="{00000000-0005-0000-0000-0000D4630000}"/>
    <cellStyle name="Note 4 4 3 2" xfId="25550" xr:uid="{00000000-0005-0000-0000-0000D5630000}"/>
    <cellStyle name="Note 4 4 3 3" xfId="25551" xr:uid="{00000000-0005-0000-0000-0000D6630000}"/>
    <cellStyle name="Note 4 4 30" xfId="25552" xr:uid="{00000000-0005-0000-0000-0000D7630000}"/>
    <cellStyle name="Note 4 4 31" xfId="25553" xr:uid="{00000000-0005-0000-0000-0000D8630000}"/>
    <cellStyle name="Note 4 4 32" xfId="25554" xr:uid="{00000000-0005-0000-0000-0000D9630000}"/>
    <cellStyle name="Note 4 4 33" xfId="25555" xr:uid="{00000000-0005-0000-0000-0000DA630000}"/>
    <cellStyle name="Note 4 4 34" xfId="25556" xr:uid="{00000000-0005-0000-0000-0000DB630000}"/>
    <cellStyle name="Note 4 4 4" xfId="25557" xr:uid="{00000000-0005-0000-0000-0000DC630000}"/>
    <cellStyle name="Note 4 4 4 2" xfId="25558" xr:uid="{00000000-0005-0000-0000-0000DD630000}"/>
    <cellStyle name="Note 4 4 4 3" xfId="25559" xr:uid="{00000000-0005-0000-0000-0000DE630000}"/>
    <cellStyle name="Note 4 4 5" xfId="25560" xr:uid="{00000000-0005-0000-0000-0000DF630000}"/>
    <cellStyle name="Note 4 4 6" xfId="25561" xr:uid="{00000000-0005-0000-0000-0000E0630000}"/>
    <cellStyle name="Note 4 4 7" xfId="25562" xr:uid="{00000000-0005-0000-0000-0000E1630000}"/>
    <cellStyle name="Note 4 4 8" xfId="25563" xr:uid="{00000000-0005-0000-0000-0000E2630000}"/>
    <cellStyle name="Note 4 4 9" xfId="25564" xr:uid="{00000000-0005-0000-0000-0000E3630000}"/>
    <cellStyle name="Note 5" xfId="25565" xr:uid="{00000000-0005-0000-0000-0000E4630000}"/>
    <cellStyle name="Note 5 10" xfId="25566" xr:uid="{00000000-0005-0000-0000-0000E5630000}"/>
    <cellStyle name="Note 5 11" xfId="25567" xr:uid="{00000000-0005-0000-0000-0000E6630000}"/>
    <cellStyle name="Note 5 12" xfId="25568" xr:uid="{00000000-0005-0000-0000-0000E7630000}"/>
    <cellStyle name="Note 5 13" xfId="25569" xr:uid="{00000000-0005-0000-0000-0000E8630000}"/>
    <cellStyle name="Note 5 14" xfId="25570" xr:uid="{00000000-0005-0000-0000-0000E9630000}"/>
    <cellStyle name="Note 5 15" xfId="25571" xr:uid="{00000000-0005-0000-0000-0000EA630000}"/>
    <cellStyle name="Note 5 16" xfId="25572" xr:uid="{00000000-0005-0000-0000-0000EB630000}"/>
    <cellStyle name="Note 5 17" xfId="25573" xr:uid="{00000000-0005-0000-0000-0000EC630000}"/>
    <cellStyle name="Note 5 18" xfId="25574" xr:uid="{00000000-0005-0000-0000-0000ED630000}"/>
    <cellStyle name="Note 5 19" xfId="25575" xr:uid="{00000000-0005-0000-0000-0000EE630000}"/>
    <cellStyle name="Note 5 2" xfId="25576" xr:uid="{00000000-0005-0000-0000-0000EF630000}"/>
    <cellStyle name="Note 5 2 10" xfId="25577" xr:uid="{00000000-0005-0000-0000-0000F0630000}"/>
    <cellStyle name="Note 5 2 11" xfId="25578" xr:uid="{00000000-0005-0000-0000-0000F1630000}"/>
    <cellStyle name="Note 5 2 12" xfId="25579" xr:uid="{00000000-0005-0000-0000-0000F2630000}"/>
    <cellStyle name="Note 5 2 13" xfId="25580" xr:uid="{00000000-0005-0000-0000-0000F3630000}"/>
    <cellStyle name="Note 5 2 14" xfId="25581" xr:uid="{00000000-0005-0000-0000-0000F4630000}"/>
    <cellStyle name="Note 5 2 15" xfId="25582" xr:uid="{00000000-0005-0000-0000-0000F5630000}"/>
    <cellStyle name="Note 5 2 16" xfId="25583" xr:uid="{00000000-0005-0000-0000-0000F6630000}"/>
    <cellStyle name="Note 5 2 17" xfId="25584" xr:uid="{00000000-0005-0000-0000-0000F7630000}"/>
    <cellStyle name="Note 5 2 18" xfId="25585" xr:uid="{00000000-0005-0000-0000-0000F8630000}"/>
    <cellStyle name="Note 5 2 19" xfId="25586" xr:uid="{00000000-0005-0000-0000-0000F9630000}"/>
    <cellStyle name="Note 5 2 2" xfId="25587" xr:uid="{00000000-0005-0000-0000-0000FA630000}"/>
    <cellStyle name="Note 5 2 2 10" xfId="25588" xr:uid="{00000000-0005-0000-0000-0000FB630000}"/>
    <cellStyle name="Note 5 2 2 11" xfId="25589" xr:uid="{00000000-0005-0000-0000-0000FC630000}"/>
    <cellStyle name="Note 5 2 2 12" xfId="25590" xr:uid="{00000000-0005-0000-0000-0000FD630000}"/>
    <cellStyle name="Note 5 2 2 13" xfId="25591" xr:uid="{00000000-0005-0000-0000-0000FE630000}"/>
    <cellStyle name="Note 5 2 2 14" xfId="25592" xr:uid="{00000000-0005-0000-0000-0000FF630000}"/>
    <cellStyle name="Note 5 2 2 15" xfId="25593" xr:uid="{00000000-0005-0000-0000-000000640000}"/>
    <cellStyle name="Note 5 2 2 16" xfId="25594" xr:uid="{00000000-0005-0000-0000-000001640000}"/>
    <cellStyle name="Note 5 2 2 17" xfId="25595" xr:uid="{00000000-0005-0000-0000-000002640000}"/>
    <cellStyle name="Note 5 2 2 18" xfId="25596" xr:uid="{00000000-0005-0000-0000-000003640000}"/>
    <cellStyle name="Note 5 2 2 19" xfId="25597" xr:uid="{00000000-0005-0000-0000-000004640000}"/>
    <cellStyle name="Note 5 2 2 2" xfId="25598" xr:uid="{00000000-0005-0000-0000-000005640000}"/>
    <cellStyle name="Note 5 2 2 2 2" xfId="25599" xr:uid="{00000000-0005-0000-0000-000006640000}"/>
    <cellStyle name="Note 5 2 2 2 2 2" xfId="25600" xr:uid="{00000000-0005-0000-0000-000007640000}"/>
    <cellStyle name="Note 5 2 2 2 2 3" xfId="25601" xr:uid="{00000000-0005-0000-0000-000008640000}"/>
    <cellStyle name="Note 5 2 2 2 3" xfId="25602" xr:uid="{00000000-0005-0000-0000-000009640000}"/>
    <cellStyle name="Note 5 2 2 2 3 2" xfId="25603" xr:uid="{00000000-0005-0000-0000-00000A640000}"/>
    <cellStyle name="Note 5 2 2 2 3 3" xfId="25604" xr:uid="{00000000-0005-0000-0000-00000B640000}"/>
    <cellStyle name="Note 5 2 2 2 4" xfId="25605" xr:uid="{00000000-0005-0000-0000-00000C640000}"/>
    <cellStyle name="Note 5 2 2 2 5" xfId="25606" xr:uid="{00000000-0005-0000-0000-00000D640000}"/>
    <cellStyle name="Note 5 2 2 20" xfId="25607" xr:uid="{00000000-0005-0000-0000-00000E640000}"/>
    <cellStyle name="Note 5 2 2 21" xfId="25608" xr:uid="{00000000-0005-0000-0000-00000F640000}"/>
    <cellStyle name="Note 5 2 2 22" xfId="25609" xr:uid="{00000000-0005-0000-0000-000010640000}"/>
    <cellStyle name="Note 5 2 2 23" xfId="25610" xr:uid="{00000000-0005-0000-0000-000011640000}"/>
    <cellStyle name="Note 5 2 2 24" xfId="25611" xr:uid="{00000000-0005-0000-0000-000012640000}"/>
    <cellStyle name="Note 5 2 2 25" xfId="25612" xr:uid="{00000000-0005-0000-0000-000013640000}"/>
    <cellStyle name="Note 5 2 2 26" xfId="25613" xr:uid="{00000000-0005-0000-0000-000014640000}"/>
    <cellStyle name="Note 5 2 2 27" xfId="25614" xr:uid="{00000000-0005-0000-0000-000015640000}"/>
    <cellStyle name="Note 5 2 2 28" xfId="25615" xr:uid="{00000000-0005-0000-0000-000016640000}"/>
    <cellStyle name="Note 5 2 2 29" xfId="25616" xr:uid="{00000000-0005-0000-0000-000017640000}"/>
    <cellStyle name="Note 5 2 2 3" xfId="25617" xr:uid="{00000000-0005-0000-0000-000018640000}"/>
    <cellStyle name="Note 5 2 2 3 2" xfId="25618" xr:uid="{00000000-0005-0000-0000-000019640000}"/>
    <cellStyle name="Note 5 2 2 3 2 2" xfId="25619" xr:uid="{00000000-0005-0000-0000-00001A640000}"/>
    <cellStyle name="Note 5 2 2 3 2 3" xfId="25620" xr:uid="{00000000-0005-0000-0000-00001B640000}"/>
    <cellStyle name="Note 5 2 2 3 3" xfId="25621" xr:uid="{00000000-0005-0000-0000-00001C640000}"/>
    <cellStyle name="Note 5 2 2 3 3 2" xfId="25622" xr:uid="{00000000-0005-0000-0000-00001D640000}"/>
    <cellStyle name="Note 5 2 2 3 3 3" xfId="25623" xr:uid="{00000000-0005-0000-0000-00001E640000}"/>
    <cellStyle name="Note 5 2 2 3 4" xfId="25624" xr:uid="{00000000-0005-0000-0000-00001F640000}"/>
    <cellStyle name="Note 5 2 2 3 5" xfId="25625" xr:uid="{00000000-0005-0000-0000-000020640000}"/>
    <cellStyle name="Note 5 2 2 30" xfId="25626" xr:uid="{00000000-0005-0000-0000-000021640000}"/>
    <cellStyle name="Note 5 2 2 31" xfId="25627" xr:uid="{00000000-0005-0000-0000-000022640000}"/>
    <cellStyle name="Note 5 2 2 32" xfId="25628" xr:uid="{00000000-0005-0000-0000-000023640000}"/>
    <cellStyle name="Note 5 2 2 33" xfId="25629" xr:uid="{00000000-0005-0000-0000-000024640000}"/>
    <cellStyle name="Note 5 2 2 34" xfId="25630" xr:uid="{00000000-0005-0000-0000-000025640000}"/>
    <cellStyle name="Note 5 2 2 35" xfId="25631" xr:uid="{00000000-0005-0000-0000-000026640000}"/>
    <cellStyle name="Note 5 2 2 4" xfId="25632" xr:uid="{00000000-0005-0000-0000-000027640000}"/>
    <cellStyle name="Note 5 2 2 4 2" xfId="25633" xr:uid="{00000000-0005-0000-0000-000028640000}"/>
    <cellStyle name="Note 5 2 2 4 3" xfId="25634" xr:uid="{00000000-0005-0000-0000-000029640000}"/>
    <cellStyle name="Note 5 2 2 5" xfId="25635" xr:uid="{00000000-0005-0000-0000-00002A640000}"/>
    <cellStyle name="Note 5 2 2 5 2" xfId="25636" xr:uid="{00000000-0005-0000-0000-00002B640000}"/>
    <cellStyle name="Note 5 2 2 5 3" xfId="25637" xr:uid="{00000000-0005-0000-0000-00002C640000}"/>
    <cellStyle name="Note 5 2 2 6" xfId="25638" xr:uid="{00000000-0005-0000-0000-00002D640000}"/>
    <cellStyle name="Note 5 2 2 7" xfId="25639" xr:uid="{00000000-0005-0000-0000-00002E640000}"/>
    <cellStyle name="Note 5 2 2 8" xfId="25640" xr:uid="{00000000-0005-0000-0000-00002F640000}"/>
    <cellStyle name="Note 5 2 2 9" xfId="25641" xr:uid="{00000000-0005-0000-0000-000030640000}"/>
    <cellStyle name="Note 5 2 20" xfId="25642" xr:uid="{00000000-0005-0000-0000-000031640000}"/>
    <cellStyle name="Note 5 2 21" xfId="25643" xr:uid="{00000000-0005-0000-0000-000032640000}"/>
    <cellStyle name="Note 5 2 22" xfId="25644" xr:uid="{00000000-0005-0000-0000-000033640000}"/>
    <cellStyle name="Note 5 2 23" xfId="25645" xr:uid="{00000000-0005-0000-0000-000034640000}"/>
    <cellStyle name="Note 5 2 24" xfId="25646" xr:uid="{00000000-0005-0000-0000-000035640000}"/>
    <cellStyle name="Note 5 2 25" xfId="25647" xr:uid="{00000000-0005-0000-0000-000036640000}"/>
    <cellStyle name="Note 5 2 26" xfId="25648" xr:uid="{00000000-0005-0000-0000-000037640000}"/>
    <cellStyle name="Note 5 2 27" xfId="25649" xr:uid="{00000000-0005-0000-0000-000038640000}"/>
    <cellStyle name="Note 5 2 28" xfId="25650" xr:uid="{00000000-0005-0000-0000-000039640000}"/>
    <cellStyle name="Note 5 2 29" xfId="25651" xr:uid="{00000000-0005-0000-0000-00003A640000}"/>
    <cellStyle name="Note 5 2 3" xfId="25652" xr:uid="{00000000-0005-0000-0000-00003B640000}"/>
    <cellStyle name="Note 5 2 3 2" xfId="25653" xr:uid="{00000000-0005-0000-0000-00003C640000}"/>
    <cellStyle name="Note 5 2 3 3" xfId="25654" xr:uid="{00000000-0005-0000-0000-00003D640000}"/>
    <cellStyle name="Note 5 2 30" xfId="25655" xr:uid="{00000000-0005-0000-0000-00003E640000}"/>
    <cellStyle name="Note 5 2 31" xfId="25656" xr:uid="{00000000-0005-0000-0000-00003F640000}"/>
    <cellStyle name="Note 5 2 32" xfId="25657" xr:uid="{00000000-0005-0000-0000-000040640000}"/>
    <cellStyle name="Note 5 2 33" xfId="25658" xr:uid="{00000000-0005-0000-0000-000041640000}"/>
    <cellStyle name="Note 5 2 34" xfId="25659" xr:uid="{00000000-0005-0000-0000-000042640000}"/>
    <cellStyle name="Note 5 2 4" xfId="25660" xr:uid="{00000000-0005-0000-0000-000043640000}"/>
    <cellStyle name="Note 5 2 4 2" xfId="25661" xr:uid="{00000000-0005-0000-0000-000044640000}"/>
    <cellStyle name="Note 5 2 4 3" xfId="25662" xr:uid="{00000000-0005-0000-0000-000045640000}"/>
    <cellStyle name="Note 5 2 5" xfId="25663" xr:uid="{00000000-0005-0000-0000-000046640000}"/>
    <cellStyle name="Note 5 2 6" xfId="25664" xr:uid="{00000000-0005-0000-0000-000047640000}"/>
    <cellStyle name="Note 5 2 7" xfId="25665" xr:uid="{00000000-0005-0000-0000-000048640000}"/>
    <cellStyle name="Note 5 2 8" xfId="25666" xr:uid="{00000000-0005-0000-0000-000049640000}"/>
    <cellStyle name="Note 5 2 9" xfId="25667" xr:uid="{00000000-0005-0000-0000-00004A640000}"/>
    <cellStyle name="Note 5 20" xfId="25668" xr:uid="{00000000-0005-0000-0000-00004B640000}"/>
    <cellStyle name="Note 5 21" xfId="25669" xr:uid="{00000000-0005-0000-0000-00004C640000}"/>
    <cellStyle name="Note 5 22" xfId="25670" xr:uid="{00000000-0005-0000-0000-00004D640000}"/>
    <cellStyle name="Note 5 23" xfId="25671" xr:uid="{00000000-0005-0000-0000-00004E640000}"/>
    <cellStyle name="Note 5 24" xfId="25672" xr:uid="{00000000-0005-0000-0000-00004F640000}"/>
    <cellStyle name="Note 5 25" xfId="25673" xr:uid="{00000000-0005-0000-0000-000050640000}"/>
    <cellStyle name="Note 5 26" xfId="25674" xr:uid="{00000000-0005-0000-0000-000051640000}"/>
    <cellStyle name="Note 5 27" xfId="25675" xr:uid="{00000000-0005-0000-0000-000052640000}"/>
    <cellStyle name="Note 5 28" xfId="25676" xr:uid="{00000000-0005-0000-0000-000053640000}"/>
    <cellStyle name="Note 5 29" xfId="25677" xr:uid="{00000000-0005-0000-0000-000054640000}"/>
    <cellStyle name="Note 5 3" xfId="25678" xr:uid="{00000000-0005-0000-0000-000055640000}"/>
    <cellStyle name="Note 5 3 10" xfId="25679" xr:uid="{00000000-0005-0000-0000-000056640000}"/>
    <cellStyle name="Note 5 3 11" xfId="25680" xr:uid="{00000000-0005-0000-0000-000057640000}"/>
    <cellStyle name="Note 5 3 12" xfId="25681" xr:uid="{00000000-0005-0000-0000-000058640000}"/>
    <cellStyle name="Note 5 3 13" xfId="25682" xr:uid="{00000000-0005-0000-0000-000059640000}"/>
    <cellStyle name="Note 5 3 14" xfId="25683" xr:uid="{00000000-0005-0000-0000-00005A640000}"/>
    <cellStyle name="Note 5 3 15" xfId="25684" xr:uid="{00000000-0005-0000-0000-00005B640000}"/>
    <cellStyle name="Note 5 3 16" xfId="25685" xr:uid="{00000000-0005-0000-0000-00005C640000}"/>
    <cellStyle name="Note 5 3 17" xfId="25686" xr:uid="{00000000-0005-0000-0000-00005D640000}"/>
    <cellStyle name="Note 5 3 18" xfId="25687" xr:uid="{00000000-0005-0000-0000-00005E640000}"/>
    <cellStyle name="Note 5 3 19" xfId="25688" xr:uid="{00000000-0005-0000-0000-00005F640000}"/>
    <cellStyle name="Note 5 3 2" xfId="25689" xr:uid="{00000000-0005-0000-0000-000060640000}"/>
    <cellStyle name="Note 5 3 2 2" xfId="25690" xr:uid="{00000000-0005-0000-0000-000061640000}"/>
    <cellStyle name="Note 5 3 2 2 2" xfId="25691" xr:uid="{00000000-0005-0000-0000-000062640000}"/>
    <cellStyle name="Note 5 3 2 2 3" xfId="25692" xr:uid="{00000000-0005-0000-0000-000063640000}"/>
    <cellStyle name="Note 5 3 2 3" xfId="25693" xr:uid="{00000000-0005-0000-0000-000064640000}"/>
    <cellStyle name="Note 5 3 2 3 2" xfId="25694" xr:uid="{00000000-0005-0000-0000-000065640000}"/>
    <cellStyle name="Note 5 3 2 3 3" xfId="25695" xr:uid="{00000000-0005-0000-0000-000066640000}"/>
    <cellStyle name="Note 5 3 2 4" xfId="25696" xr:uid="{00000000-0005-0000-0000-000067640000}"/>
    <cellStyle name="Note 5 3 2 5" xfId="25697" xr:uid="{00000000-0005-0000-0000-000068640000}"/>
    <cellStyle name="Note 5 3 20" xfId="25698" xr:uid="{00000000-0005-0000-0000-000069640000}"/>
    <cellStyle name="Note 5 3 21" xfId="25699" xr:uid="{00000000-0005-0000-0000-00006A640000}"/>
    <cellStyle name="Note 5 3 22" xfId="25700" xr:uid="{00000000-0005-0000-0000-00006B640000}"/>
    <cellStyle name="Note 5 3 23" xfId="25701" xr:uid="{00000000-0005-0000-0000-00006C640000}"/>
    <cellStyle name="Note 5 3 24" xfId="25702" xr:uid="{00000000-0005-0000-0000-00006D640000}"/>
    <cellStyle name="Note 5 3 25" xfId="25703" xr:uid="{00000000-0005-0000-0000-00006E640000}"/>
    <cellStyle name="Note 5 3 26" xfId="25704" xr:uid="{00000000-0005-0000-0000-00006F640000}"/>
    <cellStyle name="Note 5 3 27" xfId="25705" xr:uid="{00000000-0005-0000-0000-000070640000}"/>
    <cellStyle name="Note 5 3 28" xfId="25706" xr:uid="{00000000-0005-0000-0000-000071640000}"/>
    <cellStyle name="Note 5 3 29" xfId="25707" xr:uid="{00000000-0005-0000-0000-000072640000}"/>
    <cellStyle name="Note 5 3 3" xfId="25708" xr:uid="{00000000-0005-0000-0000-000073640000}"/>
    <cellStyle name="Note 5 3 3 2" xfId="25709" xr:uid="{00000000-0005-0000-0000-000074640000}"/>
    <cellStyle name="Note 5 3 3 2 2" xfId="25710" xr:uid="{00000000-0005-0000-0000-000075640000}"/>
    <cellStyle name="Note 5 3 3 2 3" xfId="25711" xr:uid="{00000000-0005-0000-0000-000076640000}"/>
    <cellStyle name="Note 5 3 3 3" xfId="25712" xr:uid="{00000000-0005-0000-0000-000077640000}"/>
    <cellStyle name="Note 5 3 3 3 2" xfId="25713" xr:uid="{00000000-0005-0000-0000-000078640000}"/>
    <cellStyle name="Note 5 3 3 3 3" xfId="25714" xr:uid="{00000000-0005-0000-0000-000079640000}"/>
    <cellStyle name="Note 5 3 3 4" xfId="25715" xr:uid="{00000000-0005-0000-0000-00007A640000}"/>
    <cellStyle name="Note 5 3 3 5" xfId="25716" xr:uid="{00000000-0005-0000-0000-00007B640000}"/>
    <cellStyle name="Note 5 3 30" xfId="25717" xr:uid="{00000000-0005-0000-0000-00007C640000}"/>
    <cellStyle name="Note 5 3 31" xfId="25718" xr:uid="{00000000-0005-0000-0000-00007D640000}"/>
    <cellStyle name="Note 5 3 32" xfId="25719" xr:uid="{00000000-0005-0000-0000-00007E640000}"/>
    <cellStyle name="Note 5 3 33" xfId="25720" xr:uid="{00000000-0005-0000-0000-00007F640000}"/>
    <cellStyle name="Note 5 3 34" xfId="25721" xr:uid="{00000000-0005-0000-0000-000080640000}"/>
    <cellStyle name="Note 5 3 35" xfId="25722" xr:uid="{00000000-0005-0000-0000-000081640000}"/>
    <cellStyle name="Note 5 3 4" xfId="25723" xr:uid="{00000000-0005-0000-0000-000082640000}"/>
    <cellStyle name="Note 5 3 4 2" xfId="25724" xr:uid="{00000000-0005-0000-0000-000083640000}"/>
    <cellStyle name="Note 5 3 4 3" xfId="25725" xr:uid="{00000000-0005-0000-0000-000084640000}"/>
    <cellStyle name="Note 5 3 5" xfId="25726" xr:uid="{00000000-0005-0000-0000-000085640000}"/>
    <cellStyle name="Note 5 3 5 2" xfId="25727" xr:uid="{00000000-0005-0000-0000-000086640000}"/>
    <cellStyle name="Note 5 3 5 3" xfId="25728" xr:uid="{00000000-0005-0000-0000-000087640000}"/>
    <cellStyle name="Note 5 3 6" xfId="25729" xr:uid="{00000000-0005-0000-0000-000088640000}"/>
    <cellStyle name="Note 5 3 7" xfId="25730" xr:uid="{00000000-0005-0000-0000-000089640000}"/>
    <cellStyle name="Note 5 3 8" xfId="25731" xr:uid="{00000000-0005-0000-0000-00008A640000}"/>
    <cellStyle name="Note 5 3 9" xfId="25732" xr:uid="{00000000-0005-0000-0000-00008B640000}"/>
    <cellStyle name="Note 5 30" xfId="25733" xr:uid="{00000000-0005-0000-0000-00008C640000}"/>
    <cellStyle name="Note 5 31" xfId="25734" xr:uid="{00000000-0005-0000-0000-00008D640000}"/>
    <cellStyle name="Note 5 32" xfId="25735" xr:uid="{00000000-0005-0000-0000-00008E640000}"/>
    <cellStyle name="Note 5 33" xfId="25736" xr:uid="{00000000-0005-0000-0000-00008F640000}"/>
    <cellStyle name="Note 5 34" xfId="25737" xr:uid="{00000000-0005-0000-0000-000090640000}"/>
    <cellStyle name="Note 5 35" xfId="25738" xr:uid="{00000000-0005-0000-0000-000091640000}"/>
    <cellStyle name="Note 5 4" xfId="25739" xr:uid="{00000000-0005-0000-0000-000092640000}"/>
    <cellStyle name="Note 5 4 2" xfId="25740" xr:uid="{00000000-0005-0000-0000-000093640000}"/>
    <cellStyle name="Note 5 4 3" xfId="25741" xr:uid="{00000000-0005-0000-0000-000094640000}"/>
    <cellStyle name="Note 5 5" xfId="25742" xr:uid="{00000000-0005-0000-0000-000095640000}"/>
    <cellStyle name="Note 5 5 2" xfId="25743" xr:uid="{00000000-0005-0000-0000-000096640000}"/>
    <cellStyle name="Note 5 5 3" xfId="25744" xr:uid="{00000000-0005-0000-0000-000097640000}"/>
    <cellStyle name="Note 5 6" xfId="25745" xr:uid="{00000000-0005-0000-0000-000098640000}"/>
    <cellStyle name="Note 5 7" xfId="25746" xr:uid="{00000000-0005-0000-0000-000099640000}"/>
    <cellStyle name="Note 5 8" xfId="25747" xr:uid="{00000000-0005-0000-0000-00009A640000}"/>
    <cellStyle name="Note 5 9" xfId="25748" xr:uid="{00000000-0005-0000-0000-00009B640000}"/>
    <cellStyle name="Note 6" xfId="25749" xr:uid="{00000000-0005-0000-0000-00009C640000}"/>
    <cellStyle name="Note 6 10" xfId="25750" xr:uid="{00000000-0005-0000-0000-00009D640000}"/>
    <cellStyle name="Note 6 11" xfId="25751" xr:uid="{00000000-0005-0000-0000-00009E640000}"/>
    <cellStyle name="Note 6 12" xfId="25752" xr:uid="{00000000-0005-0000-0000-00009F640000}"/>
    <cellStyle name="Note 6 13" xfId="25753" xr:uid="{00000000-0005-0000-0000-0000A0640000}"/>
    <cellStyle name="Note 6 14" xfId="25754" xr:uid="{00000000-0005-0000-0000-0000A1640000}"/>
    <cellStyle name="Note 6 15" xfId="25755" xr:uid="{00000000-0005-0000-0000-0000A2640000}"/>
    <cellStyle name="Note 6 16" xfId="25756" xr:uid="{00000000-0005-0000-0000-0000A3640000}"/>
    <cellStyle name="Note 6 17" xfId="25757" xr:uid="{00000000-0005-0000-0000-0000A4640000}"/>
    <cellStyle name="Note 6 18" xfId="25758" xr:uid="{00000000-0005-0000-0000-0000A5640000}"/>
    <cellStyle name="Note 6 19" xfId="25759" xr:uid="{00000000-0005-0000-0000-0000A6640000}"/>
    <cellStyle name="Note 6 2" xfId="25760" xr:uid="{00000000-0005-0000-0000-0000A7640000}"/>
    <cellStyle name="Note 6 2 10" xfId="25761" xr:uid="{00000000-0005-0000-0000-0000A8640000}"/>
    <cellStyle name="Note 6 2 11" xfId="25762" xr:uid="{00000000-0005-0000-0000-0000A9640000}"/>
    <cellStyle name="Note 6 2 12" xfId="25763" xr:uid="{00000000-0005-0000-0000-0000AA640000}"/>
    <cellStyle name="Note 6 2 13" xfId="25764" xr:uid="{00000000-0005-0000-0000-0000AB640000}"/>
    <cellStyle name="Note 6 2 14" xfId="25765" xr:uid="{00000000-0005-0000-0000-0000AC640000}"/>
    <cellStyle name="Note 6 2 15" xfId="25766" xr:uid="{00000000-0005-0000-0000-0000AD640000}"/>
    <cellStyle name="Note 6 2 16" xfId="25767" xr:uid="{00000000-0005-0000-0000-0000AE640000}"/>
    <cellStyle name="Note 6 2 17" xfId="25768" xr:uid="{00000000-0005-0000-0000-0000AF640000}"/>
    <cellStyle name="Note 6 2 18" xfId="25769" xr:uid="{00000000-0005-0000-0000-0000B0640000}"/>
    <cellStyle name="Note 6 2 19" xfId="25770" xr:uid="{00000000-0005-0000-0000-0000B1640000}"/>
    <cellStyle name="Note 6 2 2" xfId="25771" xr:uid="{00000000-0005-0000-0000-0000B2640000}"/>
    <cellStyle name="Note 6 2 2 10" xfId="25772" xr:uid="{00000000-0005-0000-0000-0000B3640000}"/>
    <cellStyle name="Note 6 2 2 11" xfId="25773" xr:uid="{00000000-0005-0000-0000-0000B4640000}"/>
    <cellStyle name="Note 6 2 2 12" xfId="25774" xr:uid="{00000000-0005-0000-0000-0000B5640000}"/>
    <cellStyle name="Note 6 2 2 13" xfId="25775" xr:uid="{00000000-0005-0000-0000-0000B6640000}"/>
    <cellStyle name="Note 6 2 2 14" xfId="25776" xr:uid="{00000000-0005-0000-0000-0000B7640000}"/>
    <cellStyle name="Note 6 2 2 15" xfId="25777" xr:uid="{00000000-0005-0000-0000-0000B8640000}"/>
    <cellStyle name="Note 6 2 2 16" xfId="25778" xr:uid="{00000000-0005-0000-0000-0000B9640000}"/>
    <cellStyle name="Note 6 2 2 17" xfId="25779" xr:uid="{00000000-0005-0000-0000-0000BA640000}"/>
    <cellStyle name="Note 6 2 2 18" xfId="25780" xr:uid="{00000000-0005-0000-0000-0000BB640000}"/>
    <cellStyle name="Note 6 2 2 19" xfId="25781" xr:uid="{00000000-0005-0000-0000-0000BC640000}"/>
    <cellStyle name="Note 6 2 2 2" xfId="25782" xr:uid="{00000000-0005-0000-0000-0000BD640000}"/>
    <cellStyle name="Note 6 2 2 2 2" xfId="25783" xr:uid="{00000000-0005-0000-0000-0000BE640000}"/>
    <cellStyle name="Note 6 2 2 2 2 2" xfId="25784" xr:uid="{00000000-0005-0000-0000-0000BF640000}"/>
    <cellStyle name="Note 6 2 2 2 2 3" xfId="25785" xr:uid="{00000000-0005-0000-0000-0000C0640000}"/>
    <cellStyle name="Note 6 2 2 2 3" xfId="25786" xr:uid="{00000000-0005-0000-0000-0000C1640000}"/>
    <cellStyle name="Note 6 2 2 2 3 2" xfId="25787" xr:uid="{00000000-0005-0000-0000-0000C2640000}"/>
    <cellStyle name="Note 6 2 2 2 3 3" xfId="25788" xr:uid="{00000000-0005-0000-0000-0000C3640000}"/>
    <cellStyle name="Note 6 2 2 2 4" xfId="25789" xr:uid="{00000000-0005-0000-0000-0000C4640000}"/>
    <cellStyle name="Note 6 2 2 2 5" xfId="25790" xr:uid="{00000000-0005-0000-0000-0000C5640000}"/>
    <cellStyle name="Note 6 2 2 20" xfId="25791" xr:uid="{00000000-0005-0000-0000-0000C6640000}"/>
    <cellStyle name="Note 6 2 2 21" xfId="25792" xr:uid="{00000000-0005-0000-0000-0000C7640000}"/>
    <cellStyle name="Note 6 2 2 22" xfId="25793" xr:uid="{00000000-0005-0000-0000-0000C8640000}"/>
    <cellStyle name="Note 6 2 2 23" xfId="25794" xr:uid="{00000000-0005-0000-0000-0000C9640000}"/>
    <cellStyle name="Note 6 2 2 24" xfId="25795" xr:uid="{00000000-0005-0000-0000-0000CA640000}"/>
    <cellStyle name="Note 6 2 2 25" xfId="25796" xr:uid="{00000000-0005-0000-0000-0000CB640000}"/>
    <cellStyle name="Note 6 2 2 26" xfId="25797" xr:uid="{00000000-0005-0000-0000-0000CC640000}"/>
    <cellStyle name="Note 6 2 2 27" xfId="25798" xr:uid="{00000000-0005-0000-0000-0000CD640000}"/>
    <cellStyle name="Note 6 2 2 28" xfId="25799" xr:uid="{00000000-0005-0000-0000-0000CE640000}"/>
    <cellStyle name="Note 6 2 2 29" xfId="25800" xr:uid="{00000000-0005-0000-0000-0000CF640000}"/>
    <cellStyle name="Note 6 2 2 3" xfId="25801" xr:uid="{00000000-0005-0000-0000-0000D0640000}"/>
    <cellStyle name="Note 6 2 2 3 2" xfId="25802" xr:uid="{00000000-0005-0000-0000-0000D1640000}"/>
    <cellStyle name="Note 6 2 2 3 2 2" xfId="25803" xr:uid="{00000000-0005-0000-0000-0000D2640000}"/>
    <cellStyle name="Note 6 2 2 3 2 3" xfId="25804" xr:uid="{00000000-0005-0000-0000-0000D3640000}"/>
    <cellStyle name="Note 6 2 2 3 3" xfId="25805" xr:uid="{00000000-0005-0000-0000-0000D4640000}"/>
    <cellStyle name="Note 6 2 2 3 3 2" xfId="25806" xr:uid="{00000000-0005-0000-0000-0000D5640000}"/>
    <cellStyle name="Note 6 2 2 3 3 3" xfId="25807" xr:uid="{00000000-0005-0000-0000-0000D6640000}"/>
    <cellStyle name="Note 6 2 2 3 4" xfId="25808" xr:uid="{00000000-0005-0000-0000-0000D7640000}"/>
    <cellStyle name="Note 6 2 2 3 5" xfId="25809" xr:uid="{00000000-0005-0000-0000-0000D8640000}"/>
    <cellStyle name="Note 6 2 2 30" xfId="25810" xr:uid="{00000000-0005-0000-0000-0000D9640000}"/>
    <cellStyle name="Note 6 2 2 31" xfId="25811" xr:uid="{00000000-0005-0000-0000-0000DA640000}"/>
    <cellStyle name="Note 6 2 2 32" xfId="25812" xr:uid="{00000000-0005-0000-0000-0000DB640000}"/>
    <cellStyle name="Note 6 2 2 33" xfId="25813" xr:uid="{00000000-0005-0000-0000-0000DC640000}"/>
    <cellStyle name="Note 6 2 2 34" xfId="25814" xr:uid="{00000000-0005-0000-0000-0000DD640000}"/>
    <cellStyle name="Note 6 2 2 35" xfId="25815" xr:uid="{00000000-0005-0000-0000-0000DE640000}"/>
    <cellStyle name="Note 6 2 2 4" xfId="25816" xr:uid="{00000000-0005-0000-0000-0000DF640000}"/>
    <cellStyle name="Note 6 2 2 4 2" xfId="25817" xr:uid="{00000000-0005-0000-0000-0000E0640000}"/>
    <cellStyle name="Note 6 2 2 4 3" xfId="25818" xr:uid="{00000000-0005-0000-0000-0000E1640000}"/>
    <cellStyle name="Note 6 2 2 5" xfId="25819" xr:uid="{00000000-0005-0000-0000-0000E2640000}"/>
    <cellStyle name="Note 6 2 2 5 2" xfId="25820" xr:uid="{00000000-0005-0000-0000-0000E3640000}"/>
    <cellStyle name="Note 6 2 2 5 3" xfId="25821" xr:uid="{00000000-0005-0000-0000-0000E4640000}"/>
    <cellStyle name="Note 6 2 2 6" xfId="25822" xr:uid="{00000000-0005-0000-0000-0000E5640000}"/>
    <cellStyle name="Note 6 2 2 7" xfId="25823" xr:uid="{00000000-0005-0000-0000-0000E6640000}"/>
    <cellStyle name="Note 6 2 2 8" xfId="25824" xr:uid="{00000000-0005-0000-0000-0000E7640000}"/>
    <cellStyle name="Note 6 2 2 9" xfId="25825" xr:uid="{00000000-0005-0000-0000-0000E8640000}"/>
    <cellStyle name="Note 6 2 20" xfId="25826" xr:uid="{00000000-0005-0000-0000-0000E9640000}"/>
    <cellStyle name="Note 6 2 21" xfId="25827" xr:uid="{00000000-0005-0000-0000-0000EA640000}"/>
    <cellStyle name="Note 6 2 22" xfId="25828" xr:uid="{00000000-0005-0000-0000-0000EB640000}"/>
    <cellStyle name="Note 6 2 23" xfId="25829" xr:uid="{00000000-0005-0000-0000-0000EC640000}"/>
    <cellStyle name="Note 6 2 24" xfId="25830" xr:uid="{00000000-0005-0000-0000-0000ED640000}"/>
    <cellStyle name="Note 6 2 25" xfId="25831" xr:uid="{00000000-0005-0000-0000-0000EE640000}"/>
    <cellStyle name="Note 6 2 26" xfId="25832" xr:uid="{00000000-0005-0000-0000-0000EF640000}"/>
    <cellStyle name="Note 6 2 27" xfId="25833" xr:uid="{00000000-0005-0000-0000-0000F0640000}"/>
    <cellStyle name="Note 6 2 28" xfId="25834" xr:uid="{00000000-0005-0000-0000-0000F1640000}"/>
    <cellStyle name="Note 6 2 29" xfId="25835" xr:uid="{00000000-0005-0000-0000-0000F2640000}"/>
    <cellStyle name="Note 6 2 3" xfId="25836" xr:uid="{00000000-0005-0000-0000-0000F3640000}"/>
    <cellStyle name="Note 6 2 3 2" xfId="25837" xr:uid="{00000000-0005-0000-0000-0000F4640000}"/>
    <cellStyle name="Note 6 2 3 3" xfId="25838" xr:uid="{00000000-0005-0000-0000-0000F5640000}"/>
    <cellStyle name="Note 6 2 30" xfId="25839" xr:uid="{00000000-0005-0000-0000-0000F6640000}"/>
    <cellStyle name="Note 6 2 31" xfId="25840" xr:uid="{00000000-0005-0000-0000-0000F7640000}"/>
    <cellStyle name="Note 6 2 32" xfId="25841" xr:uid="{00000000-0005-0000-0000-0000F8640000}"/>
    <cellStyle name="Note 6 2 33" xfId="25842" xr:uid="{00000000-0005-0000-0000-0000F9640000}"/>
    <cellStyle name="Note 6 2 34" xfId="25843" xr:uid="{00000000-0005-0000-0000-0000FA640000}"/>
    <cellStyle name="Note 6 2 4" xfId="25844" xr:uid="{00000000-0005-0000-0000-0000FB640000}"/>
    <cellStyle name="Note 6 2 4 2" xfId="25845" xr:uid="{00000000-0005-0000-0000-0000FC640000}"/>
    <cellStyle name="Note 6 2 4 3" xfId="25846" xr:uid="{00000000-0005-0000-0000-0000FD640000}"/>
    <cellStyle name="Note 6 2 5" xfId="25847" xr:uid="{00000000-0005-0000-0000-0000FE640000}"/>
    <cellStyle name="Note 6 2 6" xfId="25848" xr:uid="{00000000-0005-0000-0000-0000FF640000}"/>
    <cellStyle name="Note 6 2 7" xfId="25849" xr:uid="{00000000-0005-0000-0000-000000650000}"/>
    <cellStyle name="Note 6 2 8" xfId="25850" xr:uid="{00000000-0005-0000-0000-000001650000}"/>
    <cellStyle name="Note 6 2 9" xfId="25851" xr:uid="{00000000-0005-0000-0000-000002650000}"/>
    <cellStyle name="Note 6 20" xfId="25852" xr:uid="{00000000-0005-0000-0000-000003650000}"/>
    <cellStyle name="Note 6 21" xfId="25853" xr:uid="{00000000-0005-0000-0000-000004650000}"/>
    <cellStyle name="Note 6 22" xfId="25854" xr:uid="{00000000-0005-0000-0000-000005650000}"/>
    <cellStyle name="Note 6 23" xfId="25855" xr:uid="{00000000-0005-0000-0000-000006650000}"/>
    <cellStyle name="Note 6 24" xfId="25856" xr:uid="{00000000-0005-0000-0000-000007650000}"/>
    <cellStyle name="Note 6 25" xfId="25857" xr:uid="{00000000-0005-0000-0000-000008650000}"/>
    <cellStyle name="Note 6 26" xfId="25858" xr:uid="{00000000-0005-0000-0000-000009650000}"/>
    <cellStyle name="Note 6 27" xfId="25859" xr:uid="{00000000-0005-0000-0000-00000A650000}"/>
    <cellStyle name="Note 6 28" xfId="25860" xr:uid="{00000000-0005-0000-0000-00000B650000}"/>
    <cellStyle name="Note 6 29" xfId="25861" xr:uid="{00000000-0005-0000-0000-00000C650000}"/>
    <cellStyle name="Note 6 3" xfId="25862" xr:uid="{00000000-0005-0000-0000-00000D650000}"/>
    <cellStyle name="Note 6 3 10" xfId="25863" xr:uid="{00000000-0005-0000-0000-00000E650000}"/>
    <cellStyle name="Note 6 3 11" xfId="25864" xr:uid="{00000000-0005-0000-0000-00000F650000}"/>
    <cellStyle name="Note 6 3 12" xfId="25865" xr:uid="{00000000-0005-0000-0000-000010650000}"/>
    <cellStyle name="Note 6 3 13" xfId="25866" xr:uid="{00000000-0005-0000-0000-000011650000}"/>
    <cellStyle name="Note 6 3 14" xfId="25867" xr:uid="{00000000-0005-0000-0000-000012650000}"/>
    <cellStyle name="Note 6 3 15" xfId="25868" xr:uid="{00000000-0005-0000-0000-000013650000}"/>
    <cellStyle name="Note 6 3 16" xfId="25869" xr:uid="{00000000-0005-0000-0000-000014650000}"/>
    <cellStyle name="Note 6 3 17" xfId="25870" xr:uid="{00000000-0005-0000-0000-000015650000}"/>
    <cellStyle name="Note 6 3 18" xfId="25871" xr:uid="{00000000-0005-0000-0000-000016650000}"/>
    <cellStyle name="Note 6 3 19" xfId="25872" xr:uid="{00000000-0005-0000-0000-000017650000}"/>
    <cellStyle name="Note 6 3 2" xfId="25873" xr:uid="{00000000-0005-0000-0000-000018650000}"/>
    <cellStyle name="Note 6 3 2 2" xfId="25874" xr:uid="{00000000-0005-0000-0000-000019650000}"/>
    <cellStyle name="Note 6 3 2 2 2" xfId="25875" xr:uid="{00000000-0005-0000-0000-00001A650000}"/>
    <cellStyle name="Note 6 3 2 2 3" xfId="25876" xr:uid="{00000000-0005-0000-0000-00001B650000}"/>
    <cellStyle name="Note 6 3 2 3" xfId="25877" xr:uid="{00000000-0005-0000-0000-00001C650000}"/>
    <cellStyle name="Note 6 3 2 3 2" xfId="25878" xr:uid="{00000000-0005-0000-0000-00001D650000}"/>
    <cellStyle name="Note 6 3 2 3 3" xfId="25879" xr:uid="{00000000-0005-0000-0000-00001E650000}"/>
    <cellStyle name="Note 6 3 2 4" xfId="25880" xr:uid="{00000000-0005-0000-0000-00001F650000}"/>
    <cellStyle name="Note 6 3 2 5" xfId="25881" xr:uid="{00000000-0005-0000-0000-000020650000}"/>
    <cellStyle name="Note 6 3 20" xfId="25882" xr:uid="{00000000-0005-0000-0000-000021650000}"/>
    <cellStyle name="Note 6 3 21" xfId="25883" xr:uid="{00000000-0005-0000-0000-000022650000}"/>
    <cellStyle name="Note 6 3 22" xfId="25884" xr:uid="{00000000-0005-0000-0000-000023650000}"/>
    <cellStyle name="Note 6 3 23" xfId="25885" xr:uid="{00000000-0005-0000-0000-000024650000}"/>
    <cellStyle name="Note 6 3 24" xfId="25886" xr:uid="{00000000-0005-0000-0000-000025650000}"/>
    <cellStyle name="Note 6 3 25" xfId="25887" xr:uid="{00000000-0005-0000-0000-000026650000}"/>
    <cellStyle name="Note 6 3 26" xfId="25888" xr:uid="{00000000-0005-0000-0000-000027650000}"/>
    <cellStyle name="Note 6 3 27" xfId="25889" xr:uid="{00000000-0005-0000-0000-000028650000}"/>
    <cellStyle name="Note 6 3 28" xfId="25890" xr:uid="{00000000-0005-0000-0000-000029650000}"/>
    <cellStyle name="Note 6 3 29" xfId="25891" xr:uid="{00000000-0005-0000-0000-00002A650000}"/>
    <cellStyle name="Note 6 3 3" xfId="25892" xr:uid="{00000000-0005-0000-0000-00002B650000}"/>
    <cellStyle name="Note 6 3 3 2" xfId="25893" xr:uid="{00000000-0005-0000-0000-00002C650000}"/>
    <cellStyle name="Note 6 3 3 2 2" xfId="25894" xr:uid="{00000000-0005-0000-0000-00002D650000}"/>
    <cellStyle name="Note 6 3 3 2 3" xfId="25895" xr:uid="{00000000-0005-0000-0000-00002E650000}"/>
    <cellStyle name="Note 6 3 3 3" xfId="25896" xr:uid="{00000000-0005-0000-0000-00002F650000}"/>
    <cellStyle name="Note 6 3 3 3 2" xfId="25897" xr:uid="{00000000-0005-0000-0000-000030650000}"/>
    <cellStyle name="Note 6 3 3 3 3" xfId="25898" xr:uid="{00000000-0005-0000-0000-000031650000}"/>
    <cellStyle name="Note 6 3 3 4" xfId="25899" xr:uid="{00000000-0005-0000-0000-000032650000}"/>
    <cellStyle name="Note 6 3 3 5" xfId="25900" xr:uid="{00000000-0005-0000-0000-000033650000}"/>
    <cellStyle name="Note 6 3 30" xfId="25901" xr:uid="{00000000-0005-0000-0000-000034650000}"/>
    <cellStyle name="Note 6 3 31" xfId="25902" xr:uid="{00000000-0005-0000-0000-000035650000}"/>
    <cellStyle name="Note 6 3 32" xfId="25903" xr:uid="{00000000-0005-0000-0000-000036650000}"/>
    <cellStyle name="Note 6 3 33" xfId="25904" xr:uid="{00000000-0005-0000-0000-000037650000}"/>
    <cellStyle name="Note 6 3 34" xfId="25905" xr:uid="{00000000-0005-0000-0000-000038650000}"/>
    <cellStyle name="Note 6 3 35" xfId="25906" xr:uid="{00000000-0005-0000-0000-000039650000}"/>
    <cellStyle name="Note 6 3 4" xfId="25907" xr:uid="{00000000-0005-0000-0000-00003A650000}"/>
    <cellStyle name="Note 6 3 4 2" xfId="25908" xr:uid="{00000000-0005-0000-0000-00003B650000}"/>
    <cellStyle name="Note 6 3 4 3" xfId="25909" xr:uid="{00000000-0005-0000-0000-00003C650000}"/>
    <cellStyle name="Note 6 3 5" xfId="25910" xr:uid="{00000000-0005-0000-0000-00003D650000}"/>
    <cellStyle name="Note 6 3 5 2" xfId="25911" xr:uid="{00000000-0005-0000-0000-00003E650000}"/>
    <cellStyle name="Note 6 3 5 3" xfId="25912" xr:uid="{00000000-0005-0000-0000-00003F650000}"/>
    <cellStyle name="Note 6 3 6" xfId="25913" xr:uid="{00000000-0005-0000-0000-000040650000}"/>
    <cellStyle name="Note 6 3 7" xfId="25914" xr:uid="{00000000-0005-0000-0000-000041650000}"/>
    <cellStyle name="Note 6 3 8" xfId="25915" xr:uid="{00000000-0005-0000-0000-000042650000}"/>
    <cellStyle name="Note 6 3 9" xfId="25916" xr:uid="{00000000-0005-0000-0000-000043650000}"/>
    <cellStyle name="Note 6 30" xfId="25917" xr:uid="{00000000-0005-0000-0000-000044650000}"/>
    <cellStyle name="Note 6 31" xfId="25918" xr:uid="{00000000-0005-0000-0000-000045650000}"/>
    <cellStyle name="Note 6 32" xfId="25919" xr:uid="{00000000-0005-0000-0000-000046650000}"/>
    <cellStyle name="Note 6 33" xfId="25920" xr:uid="{00000000-0005-0000-0000-000047650000}"/>
    <cellStyle name="Note 6 34" xfId="25921" xr:uid="{00000000-0005-0000-0000-000048650000}"/>
    <cellStyle name="Note 6 35" xfId="25922" xr:uid="{00000000-0005-0000-0000-000049650000}"/>
    <cellStyle name="Note 6 4" xfId="25923" xr:uid="{00000000-0005-0000-0000-00004A650000}"/>
    <cellStyle name="Note 6 4 2" xfId="25924" xr:uid="{00000000-0005-0000-0000-00004B650000}"/>
    <cellStyle name="Note 6 4 3" xfId="25925" xr:uid="{00000000-0005-0000-0000-00004C650000}"/>
    <cellStyle name="Note 6 5" xfId="25926" xr:uid="{00000000-0005-0000-0000-00004D650000}"/>
    <cellStyle name="Note 6 5 2" xfId="25927" xr:uid="{00000000-0005-0000-0000-00004E650000}"/>
    <cellStyle name="Note 6 5 3" xfId="25928" xr:uid="{00000000-0005-0000-0000-00004F650000}"/>
    <cellStyle name="Note 6 6" xfId="25929" xr:uid="{00000000-0005-0000-0000-000050650000}"/>
    <cellStyle name="Note 6 7" xfId="25930" xr:uid="{00000000-0005-0000-0000-000051650000}"/>
    <cellStyle name="Note 6 8" xfId="25931" xr:uid="{00000000-0005-0000-0000-000052650000}"/>
    <cellStyle name="Note 6 9" xfId="25932" xr:uid="{00000000-0005-0000-0000-000053650000}"/>
    <cellStyle name="Note 7" xfId="25933" xr:uid="{00000000-0005-0000-0000-000054650000}"/>
    <cellStyle name="Note 7 2" xfId="25934" xr:uid="{00000000-0005-0000-0000-000055650000}"/>
    <cellStyle name="Note 8" xfId="25935" xr:uid="{00000000-0005-0000-0000-000056650000}"/>
    <cellStyle name="Note 8 2" xfId="25936" xr:uid="{00000000-0005-0000-0000-000057650000}"/>
    <cellStyle name="Note 9" xfId="25937" xr:uid="{00000000-0005-0000-0000-000058650000}"/>
    <cellStyle name="Note 9 2" xfId="25938" xr:uid="{00000000-0005-0000-0000-000059650000}"/>
    <cellStyle name="Notes_single" xfId="25939" xr:uid="{00000000-0005-0000-0000-00005A650000}"/>
    <cellStyle name="NPPESalesPct" xfId="25940" xr:uid="{00000000-0005-0000-0000-00005B650000}"/>
    <cellStyle name="Number" xfId="25941" xr:uid="{00000000-0005-0000-0000-00005C650000}"/>
    <cellStyle name="Number (2dp)" xfId="25942" xr:uid="{00000000-0005-0000-0000-00005D650000}"/>
    <cellStyle name="Number_finance" xfId="25943" xr:uid="{00000000-0005-0000-0000-00005E650000}"/>
    <cellStyle name="NWI%S" xfId="25944" xr:uid="{00000000-0005-0000-0000-00005F650000}"/>
    <cellStyle name="Œ…‹æØ‚è [0.00]_Region Orders (2)" xfId="25945" xr:uid="{00000000-0005-0000-0000-000060650000}"/>
    <cellStyle name="Œ…‹æØ‚è_Region Orders (2)" xfId="25946" xr:uid="{00000000-0005-0000-0000-000061650000}"/>
    <cellStyle name="Ongeldige configuratie" xfId="25947" xr:uid="{00000000-0005-0000-0000-000062650000}"/>
    <cellStyle name="Orizzontale" xfId="25948" xr:uid="{00000000-0005-0000-0000-000063650000}"/>
    <cellStyle name="Orizzontale 10" xfId="25949" xr:uid="{00000000-0005-0000-0000-000064650000}"/>
    <cellStyle name="Orizzontale 11" xfId="25950" xr:uid="{00000000-0005-0000-0000-000065650000}"/>
    <cellStyle name="Orizzontale 12" xfId="25951" xr:uid="{00000000-0005-0000-0000-000066650000}"/>
    <cellStyle name="Orizzontale 13" xfId="25952" xr:uid="{00000000-0005-0000-0000-000067650000}"/>
    <cellStyle name="Orizzontale 14" xfId="25953" xr:uid="{00000000-0005-0000-0000-000068650000}"/>
    <cellStyle name="Orizzontale 15" xfId="25954" xr:uid="{00000000-0005-0000-0000-000069650000}"/>
    <cellStyle name="Orizzontale 16" xfId="25955" xr:uid="{00000000-0005-0000-0000-00006A650000}"/>
    <cellStyle name="Orizzontale 17" xfId="25956" xr:uid="{00000000-0005-0000-0000-00006B650000}"/>
    <cellStyle name="Orizzontale 18" xfId="25957" xr:uid="{00000000-0005-0000-0000-00006C650000}"/>
    <cellStyle name="Orizzontale 19" xfId="25958" xr:uid="{00000000-0005-0000-0000-00006D650000}"/>
    <cellStyle name="Orizzontale 2" xfId="25959" xr:uid="{00000000-0005-0000-0000-00006E650000}"/>
    <cellStyle name="Orizzontale 2 10" xfId="25960" xr:uid="{00000000-0005-0000-0000-00006F650000}"/>
    <cellStyle name="Orizzontale 2 11" xfId="25961" xr:uid="{00000000-0005-0000-0000-000070650000}"/>
    <cellStyle name="Orizzontale 2 12" xfId="25962" xr:uid="{00000000-0005-0000-0000-000071650000}"/>
    <cellStyle name="Orizzontale 2 13" xfId="25963" xr:uid="{00000000-0005-0000-0000-000072650000}"/>
    <cellStyle name="Orizzontale 2 14" xfId="25964" xr:uid="{00000000-0005-0000-0000-000073650000}"/>
    <cellStyle name="Orizzontale 2 15" xfId="25965" xr:uid="{00000000-0005-0000-0000-000074650000}"/>
    <cellStyle name="Orizzontale 2 16" xfId="25966" xr:uid="{00000000-0005-0000-0000-000075650000}"/>
    <cellStyle name="Orizzontale 2 17" xfId="25967" xr:uid="{00000000-0005-0000-0000-000076650000}"/>
    <cellStyle name="Orizzontale 2 18" xfId="25968" xr:uid="{00000000-0005-0000-0000-000077650000}"/>
    <cellStyle name="Orizzontale 2 19" xfId="25969" xr:uid="{00000000-0005-0000-0000-000078650000}"/>
    <cellStyle name="Orizzontale 2 2" xfId="25970" xr:uid="{00000000-0005-0000-0000-000079650000}"/>
    <cellStyle name="Orizzontale 2 2 2" xfId="25971" xr:uid="{00000000-0005-0000-0000-00007A650000}"/>
    <cellStyle name="Orizzontale 2 2 3" xfId="25972" xr:uid="{00000000-0005-0000-0000-00007B650000}"/>
    <cellStyle name="Orizzontale 2 20" xfId="25973" xr:uid="{00000000-0005-0000-0000-00007C650000}"/>
    <cellStyle name="Orizzontale 2 21" xfId="25974" xr:uid="{00000000-0005-0000-0000-00007D650000}"/>
    <cellStyle name="Orizzontale 2 22" xfId="25975" xr:uid="{00000000-0005-0000-0000-00007E650000}"/>
    <cellStyle name="Orizzontale 2 23" xfId="25976" xr:uid="{00000000-0005-0000-0000-00007F650000}"/>
    <cellStyle name="Orizzontale 2 24" xfId="25977" xr:uid="{00000000-0005-0000-0000-000080650000}"/>
    <cellStyle name="Orizzontale 2 25" xfId="25978" xr:uid="{00000000-0005-0000-0000-000081650000}"/>
    <cellStyle name="Orizzontale 2 26" xfId="25979" xr:uid="{00000000-0005-0000-0000-000082650000}"/>
    <cellStyle name="Orizzontale 2 27" xfId="25980" xr:uid="{00000000-0005-0000-0000-000083650000}"/>
    <cellStyle name="Orizzontale 2 28" xfId="25981" xr:uid="{00000000-0005-0000-0000-000084650000}"/>
    <cellStyle name="Orizzontale 2 29" xfId="25982" xr:uid="{00000000-0005-0000-0000-000085650000}"/>
    <cellStyle name="Orizzontale 2 3" xfId="25983" xr:uid="{00000000-0005-0000-0000-000086650000}"/>
    <cellStyle name="Orizzontale 2 30" xfId="25984" xr:uid="{00000000-0005-0000-0000-000087650000}"/>
    <cellStyle name="Orizzontale 2 31" xfId="25985" xr:uid="{00000000-0005-0000-0000-000088650000}"/>
    <cellStyle name="Orizzontale 2 32" xfId="25986" xr:uid="{00000000-0005-0000-0000-000089650000}"/>
    <cellStyle name="Orizzontale 2 33" xfId="25987" xr:uid="{00000000-0005-0000-0000-00008A650000}"/>
    <cellStyle name="Orizzontale 2 34" xfId="25988" xr:uid="{00000000-0005-0000-0000-00008B650000}"/>
    <cellStyle name="Orizzontale 2 35" xfId="25989" xr:uid="{00000000-0005-0000-0000-00008C650000}"/>
    <cellStyle name="Orizzontale 2 36" xfId="25990" xr:uid="{00000000-0005-0000-0000-00008D650000}"/>
    <cellStyle name="Orizzontale 2 4" xfId="25991" xr:uid="{00000000-0005-0000-0000-00008E650000}"/>
    <cellStyle name="Orizzontale 2 5" xfId="25992" xr:uid="{00000000-0005-0000-0000-00008F650000}"/>
    <cellStyle name="Orizzontale 2 6" xfId="25993" xr:uid="{00000000-0005-0000-0000-000090650000}"/>
    <cellStyle name="Orizzontale 2 7" xfId="25994" xr:uid="{00000000-0005-0000-0000-000091650000}"/>
    <cellStyle name="Orizzontale 2 8" xfId="25995" xr:uid="{00000000-0005-0000-0000-000092650000}"/>
    <cellStyle name="Orizzontale 2 9" xfId="25996" xr:uid="{00000000-0005-0000-0000-000093650000}"/>
    <cellStyle name="Orizzontale 20" xfId="25997" xr:uid="{00000000-0005-0000-0000-000094650000}"/>
    <cellStyle name="Orizzontale 21" xfId="25998" xr:uid="{00000000-0005-0000-0000-000095650000}"/>
    <cellStyle name="Orizzontale 22" xfId="25999" xr:uid="{00000000-0005-0000-0000-000096650000}"/>
    <cellStyle name="Orizzontale 23" xfId="26000" xr:uid="{00000000-0005-0000-0000-000097650000}"/>
    <cellStyle name="Orizzontale 24" xfId="26001" xr:uid="{00000000-0005-0000-0000-000098650000}"/>
    <cellStyle name="Orizzontale 25" xfId="26002" xr:uid="{00000000-0005-0000-0000-000099650000}"/>
    <cellStyle name="Orizzontale 26" xfId="26003" xr:uid="{00000000-0005-0000-0000-00009A650000}"/>
    <cellStyle name="Orizzontale 27" xfId="26004" xr:uid="{00000000-0005-0000-0000-00009B650000}"/>
    <cellStyle name="Orizzontale 28" xfId="26005" xr:uid="{00000000-0005-0000-0000-00009C650000}"/>
    <cellStyle name="Orizzontale 29" xfId="26006" xr:uid="{00000000-0005-0000-0000-00009D650000}"/>
    <cellStyle name="Orizzontale 3" xfId="26007" xr:uid="{00000000-0005-0000-0000-00009E650000}"/>
    <cellStyle name="Orizzontale 3 2" xfId="26008" xr:uid="{00000000-0005-0000-0000-00009F650000}"/>
    <cellStyle name="Orizzontale 3 2 2" xfId="26009" xr:uid="{00000000-0005-0000-0000-0000A0650000}"/>
    <cellStyle name="Orizzontale 3 2 3" xfId="26010" xr:uid="{00000000-0005-0000-0000-0000A1650000}"/>
    <cellStyle name="Orizzontale 3 3" xfId="26011" xr:uid="{00000000-0005-0000-0000-0000A2650000}"/>
    <cellStyle name="Orizzontale 3 3 2" xfId="26012" xr:uid="{00000000-0005-0000-0000-0000A3650000}"/>
    <cellStyle name="Orizzontale 3 3 3" xfId="26013" xr:uid="{00000000-0005-0000-0000-0000A4650000}"/>
    <cellStyle name="Orizzontale 3 4" xfId="26014" xr:uid="{00000000-0005-0000-0000-0000A5650000}"/>
    <cellStyle name="Orizzontale 3 5" xfId="26015" xr:uid="{00000000-0005-0000-0000-0000A6650000}"/>
    <cellStyle name="Orizzontale 30" xfId="26016" xr:uid="{00000000-0005-0000-0000-0000A7650000}"/>
    <cellStyle name="Orizzontale 31" xfId="26017" xr:uid="{00000000-0005-0000-0000-0000A8650000}"/>
    <cellStyle name="Orizzontale 32" xfId="26018" xr:uid="{00000000-0005-0000-0000-0000A9650000}"/>
    <cellStyle name="Orizzontale 33" xfId="26019" xr:uid="{00000000-0005-0000-0000-0000AA650000}"/>
    <cellStyle name="Orizzontale 34" xfId="26020" xr:uid="{00000000-0005-0000-0000-0000AB650000}"/>
    <cellStyle name="Orizzontale 35" xfId="26021" xr:uid="{00000000-0005-0000-0000-0000AC650000}"/>
    <cellStyle name="Orizzontale 36" xfId="26022" xr:uid="{00000000-0005-0000-0000-0000AD650000}"/>
    <cellStyle name="Orizzontale 4" xfId="26023" xr:uid="{00000000-0005-0000-0000-0000AE650000}"/>
    <cellStyle name="Orizzontale 4 2" xfId="26024" xr:uid="{00000000-0005-0000-0000-0000AF650000}"/>
    <cellStyle name="Orizzontale 4 2 2" xfId="26025" xr:uid="{00000000-0005-0000-0000-0000B0650000}"/>
    <cellStyle name="Orizzontale 4 2 3" xfId="26026" xr:uid="{00000000-0005-0000-0000-0000B1650000}"/>
    <cellStyle name="Orizzontale 4 3" xfId="26027" xr:uid="{00000000-0005-0000-0000-0000B2650000}"/>
    <cellStyle name="Orizzontale 4 3 2" xfId="26028" xr:uid="{00000000-0005-0000-0000-0000B3650000}"/>
    <cellStyle name="Orizzontale 4 3 3" xfId="26029" xr:uid="{00000000-0005-0000-0000-0000B4650000}"/>
    <cellStyle name="Orizzontale 4 4" xfId="26030" xr:uid="{00000000-0005-0000-0000-0000B5650000}"/>
    <cellStyle name="Orizzontale 4 5" xfId="26031" xr:uid="{00000000-0005-0000-0000-0000B6650000}"/>
    <cellStyle name="Orizzontale 5" xfId="26032" xr:uid="{00000000-0005-0000-0000-0000B7650000}"/>
    <cellStyle name="Orizzontale 5 2" xfId="26033" xr:uid="{00000000-0005-0000-0000-0000B8650000}"/>
    <cellStyle name="Orizzontale 5 3" xfId="26034" xr:uid="{00000000-0005-0000-0000-0000B9650000}"/>
    <cellStyle name="Orizzontale 6" xfId="26035" xr:uid="{00000000-0005-0000-0000-0000BA650000}"/>
    <cellStyle name="Orizzontale 7" xfId="26036" xr:uid="{00000000-0005-0000-0000-0000BB650000}"/>
    <cellStyle name="Orizzontale 8" xfId="26037" xr:uid="{00000000-0005-0000-0000-0000BC650000}"/>
    <cellStyle name="Orizzontale 9" xfId="26038" xr:uid="{00000000-0005-0000-0000-0000BD650000}"/>
    <cellStyle name="Output 10" xfId="26039" xr:uid="{00000000-0005-0000-0000-0000BE650000}"/>
    <cellStyle name="Output 10 2" xfId="26040" xr:uid="{00000000-0005-0000-0000-0000BF650000}"/>
    <cellStyle name="Output 11" xfId="26041" xr:uid="{00000000-0005-0000-0000-0000C0650000}"/>
    <cellStyle name="Output 11 2" xfId="26042" xr:uid="{00000000-0005-0000-0000-0000C1650000}"/>
    <cellStyle name="Output 12" xfId="26043" xr:uid="{00000000-0005-0000-0000-0000C2650000}"/>
    <cellStyle name="Output 12 2" xfId="26044" xr:uid="{00000000-0005-0000-0000-0000C3650000}"/>
    <cellStyle name="Output 13" xfId="26045" xr:uid="{00000000-0005-0000-0000-0000C4650000}"/>
    <cellStyle name="Output 13 2" xfId="26046" xr:uid="{00000000-0005-0000-0000-0000C5650000}"/>
    <cellStyle name="Output 14" xfId="26047" xr:uid="{00000000-0005-0000-0000-0000C6650000}"/>
    <cellStyle name="Output 14 2" xfId="26048" xr:uid="{00000000-0005-0000-0000-0000C7650000}"/>
    <cellStyle name="Output 15" xfId="26049" xr:uid="{00000000-0005-0000-0000-0000C8650000}"/>
    <cellStyle name="Output 15 2" xfId="26050" xr:uid="{00000000-0005-0000-0000-0000C9650000}"/>
    <cellStyle name="Output 16" xfId="26051" xr:uid="{00000000-0005-0000-0000-0000CA650000}"/>
    <cellStyle name="Output 16 2" xfId="26052" xr:uid="{00000000-0005-0000-0000-0000CB650000}"/>
    <cellStyle name="Output 17" xfId="26053" xr:uid="{00000000-0005-0000-0000-0000CC650000}"/>
    <cellStyle name="Output 17 2" xfId="26054" xr:uid="{00000000-0005-0000-0000-0000CD650000}"/>
    <cellStyle name="Output 18" xfId="26055" xr:uid="{00000000-0005-0000-0000-0000CE650000}"/>
    <cellStyle name="Output 18 2" xfId="26056" xr:uid="{00000000-0005-0000-0000-0000CF650000}"/>
    <cellStyle name="Output 19" xfId="26057" xr:uid="{00000000-0005-0000-0000-0000D0650000}"/>
    <cellStyle name="Output 19 2" xfId="26058" xr:uid="{00000000-0005-0000-0000-0000D1650000}"/>
    <cellStyle name="Output 2" xfId="26059" xr:uid="{00000000-0005-0000-0000-0000D2650000}"/>
    <cellStyle name="Output 2 10" xfId="26060" xr:uid="{00000000-0005-0000-0000-0000D3650000}"/>
    <cellStyle name="Output 2 10 2" xfId="26061" xr:uid="{00000000-0005-0000-0000-0000D4650000}"/>
    <cellStyle name="Output 2 11" xfId="26062" xr:uid="{00000000-0005-0000-0000-0000D5650000}"/>
    <cellStyle name="Output 2 11 2" xfId="26063" xr:uid="{00000000-0005-0000-0000-0000D6650000}"/>
    <cellStyle name="Output 2 12" xfId="26064" xr:uid="{00000000-0005-0000-0000-0000D7650000}"/>
    <cellStyle name="Output 2 12 2" xfId="26065" xr:uid="{00000000-0005-0000-0000-0000D8650000}"/>
    <cellStyle name="Output 2 13" xfId="26066" xr:uid="{00000000-0005-0000-0000-0000D9650000}"/>
    <cellStyle name="Output 2 13 2" xfId="26067" xr:uid="{00000000-0005-0000-0000-0000DA650000}"/>
    <cellStyle name="Output 2 14" xfId="26068" xr:uid="{00000000-0005-0000-0000-0000DB650000}"/>
    <cellStyle name="Output 2 14 2" xfId="26069" xr:uid="{00000000-0005-0000-0000-0000DC650000}"/>
    <cellStyle name="Output 2 15" xfId="26070" xr:uid="{00000000-0005-0000-0000-0000DD650000}"/>
    <cellStyle name="Output 2 15 2" xfId="26071" xr:uid="{00000000-0005-0000-0000-0000DE650000}"/>
    <cellStyle name="Output 2 16" xfId="26072" xr:uid="{00000000-0005-0000-0000-0000DF650000}"/>
    <cellStyle name="Output 2 16 2" xfId="26073" xr:uid="{00000000-0005-0000-0000-0000E0650000}"/>
    <cellStyle name="Output 2 17" xfId="26074" xr:uid="{00000000-0005-0000-0000-0000E1650000}"/>
    <cellStyle name="Output 2 17 2" xfId="26075" xr:uid="{00000000-0005-0000-0000-0000E2650000}"/>
    <cellStyle name="Output 2 18" xfId="26076" xr:uid="{00000000-0005-0000-0000-0000E3650000}"/>
    <cellStyle name="Output 2 18 2" xfId="26077" xr:uid="{00000000-0005-0000-0000-0000E4650000}"/>
    <cellStyle name="Output 2 19" xfId="26078" xr:uid="{00000000-0005-0000-0000-0000E5650000}"/>
    <cellStyle name="Output 2 19 2" xfId="26079" xr:uid="{00000000-0005-0000-0000-0000E6650000}"/>
    <cellStyle name="Output 2 2" xfId="26080" xr:uid="{00000000-0005-0000-0000-0000E7650000}"/>
    <cellStyle name="Output 2 2 10" xfId="26081" xr:uid="{00000000-0005-0000-0000-0000E8650000}"/>
    <cellStyle name="Output 2 2 11" xfId="26082" xr:uid="{00000000-0005-0000-0000-0000E9650000}"/>
    <cellStyle name="Output 2 2 12" xfId="26083" xr:uid="{00000000-0005-0000-0000-0000EA650000}"/>
    <cellStyle name="Output 2 2 13" xfId="26084" xr:uid="{00000000-0005-0000-0000-0000EB650000}"/>
    <cellStyle name="Output 2 2 14" xfId="26085" xr:uid="{00000000-0005-0000-0000-0000EC650000}"/>
    <cellStyle name="Output 2 2 15" xfId="26086" xr:uid="{00000000-0005-0000-0000-0000ED650000}"/>
    <cellStyle name="Output 2 2 16" xfId="26087" xr:uid="{00000000-0005-0000-0000-0000EE650000}"/>
    <cellStyle name="Output 2 2 17" xfId="26088" xr:uid="{00000000-0005-0000-0000-0000EF650000}"/>
    <cellStyle name="Output 2 2 18" xfId="26089" xr:uid="{00000000-0005-0000-0000-0000F0650000}"/>
    <cellStyle name="Output 2 2 19" xfId="26090" xr:uid="{00000000-0005-0000-0000-0000F1650000}"/>
    <cellStyle name="Output 2 2 2" xfId="26091" xr:uid="{00000000-0005-0000-0000-0000F2650000}"/>
    <cellStyle name="Output 2 2 2 2" xfId="26092" xr:uid="{00000000-0005-0000-0000-0000F3650000}"/>
    <cellStyle name="Output 2 2 20" xfId="26093" xr:uid="{00000000-0005-0000-0000-0000F4650000}"/>
    <cellStyle name="Output 2 2 21" xfId="26094" xr:uid="{00000000-0005-0000-0000-0000F5650000}"/>
    <cellStyle name="Output 2 2 22" xfId="26095" xr:uid="{00000000-0005-0000-0000-0000F6650000}"/>
    <cellStyle name="Output 2 2 3" xfId="26096" xr:uid="{00000000-0005-0000-0000-0000F7650000}"/>
    <cellStyle name="Output 2 2 3 10" xfId="26097" xr:uid="{00000000-0005-0000-0000-0000F8650000}"/>
    <cellStyle name="Output 2 2 3 11" xfId="26098" xr:uid="{00000000-0005-0000-0000-0000F9650000}"/>
    <cellStyle name="Output 2 2 3 12" xfId="26099" xr:uid="{00000000-0005-0000-0000-0000FA650000}"/>
    <cellStyle name="Output 2 2 3 13" xfId="26100" xr:uid="{00000000-0005-0000-0000-0000FB650000}"/>
    <cellStyle name="Output 2 2 3 14" xfId="26101" xr:uid="{00000000-0005-0000-0000-0000FC650000}"/>
    <cellStyle name="Output 2 2 3 15" xfId="26102" xr:uid="{00000000-0005-0000-0000-0000FD650000}"/>
    <cellStyle name="Output 2 2 3 16" xfId="26103" xr:uid="{00000000-0005-0000-0000-0000FE650000}"/>
    <cellStyle name="Output 2 2 3 17" xfId="26104" xr:uid="{00000000-0005-0000-0000-0000FF650000}"/>
    <cellStyle name="Output 2 2 3 18" xfId="26105" xr:uid="{00000000-0005-0000-0000-000000660000}"/>
    <cellStyle name="Output 2 2 3 19" xfId="26106" xr:uid="{00000000-0005-0000-0000-000001660000}"/>
    <cellStyle name="Output 2 2 3 2" xfId="26107" xr:uid="{00000000-0005-0000-0000-000002660000}"/>
    <cellStyle name="Output 2 2 3 2 10" xfId="26108" xr:uid="{00000000-0005-0000-0000-000003660000}"/>
    <cellStyle name="Output 2 2 3 2 11" xfId="26109" xr:uid="{00000000-0005-0000-0000-000004660000}"/>
    <cellStyle name="Output 2 2 3 2 12" xfId="26110" xr:uid="{00000000-0005-0000-0000-000005660000}"/>
    <cellStyle name="Output 2 2 3 2 13" xfId="26111" xr:uid="{00000000-0005-0000-0000-000006660000}"/>
    <cellStyle name="Output 2 2 3 2 14" xfId="26112" xr:uid="{00000000-0005-0000-0000-000007660000}"/>
    <cellStyle name="Output 2 2 3 2 15" xfId="26113" xr:uid="{00000000-0005-0000-0000-000008660000}"/>
    <cellStyle name="Output 2 2 3 2 16" xfId="26114" xr:uid="{00000000-0005-0000-0000-000009660000}"/>
    <cellStyle name="Output 2 2 3 2 17" xfId="26115" xr:uid="{00000000-0005-0000-0000-00000A660000}"/>
    <cellStyle name="Output 2 2 3 2 18" xfId="26116" xr:uid="{00000000-0005-0000-0000-00000B660000}"/>
    <cellStyle name="Output 2 2 3 2 19" xfId="26117" xr:uid="{00000000-0005-0000-0000-00000C660000}"/>
    <cellStyle name="Output 2 2 3 2 2" xfId="26118" xr:uid="{00000000-0005-0000-0000-00000D660000}"/>
    <cellStyle name="Output 2 2 3 2 20" xfId="26119" xr:uid="{00000000-0005-0000-0000-00000E660000}"/>
    <cellStyle name="Output 2 2 3 2 21" xfId="26120" xr:uid="{00000000-0005-0000-0000-00000F660000}"/>
    <cellStyle name="Output 2 2 3 2 22" xfId="26121" xr:uid="{00000000-0005-0000-0000-000010660000}"/>
    <cellStyle name="Output 2 2 3 2 23" xfId="26122" xr:uid="{00000000-0005-0000-0000-000011660000}"/>
    <cellStyle name="Output 2 2 3 2 24" xfId="26123" xr:uid="{00000000-0005-0000-0000-000012660000}"/>
    <cellStyle name="Output 2 2 3 2 25" xfId="26124" xr:uid="{00000000-0005-0000-0000-000013660000}"/>
    <cellStyle name="Output 2 2 3 2 26" xfId="26125" xr:uid="{00000000-0005-0000-0000-000014660000}"/>
    <cellStyle name="Output 2 2 3 2 27" xfId="26126" xr:uid="{00000000-0005-0000-0000-000015660000}"/>
    <cellStyle name="Output 2 2 3 2 28" xfId="26127" xr:uid="{00000000-0005-0000-0000-000016660000}"/>
    <cellStyle name="Output 2 2 3 2 29" xfId="26128" xr:uid="{00000000-0005-0000-0000-000017660000}"/>
    <cellStyle name="Output 2 2 3 2 3" xfId="26129" xr:uid="{00000000-0005-0000-0000-000018660000}"/>
    <cellStyle name="Output 2 2 3 2 30" xfId="26130" xr:uid="{00000000-0005-0000-0000-000019660000}"/>
    <cellStyle name="Output 2 2 3 2 31" xfId="26131" xr:uid="{00000000-0005-0000-0000-00001A660000}"/>
    <cellStyle name="Output 2 2 3 2 32" xfId="26132" xr:uid="{00000000-0005-0000-0000-00001B660000}"/>
    <cellStyle name="Output 2 2 3 2 33" xfId="26133" xr:uid="{00000000-0005-0000-0000-00001C660000}"/>
    <cellStyle name="Output 2 2 3 2 34" xfId="26134" xr:uid="{00000000-0005-0000-0000-00001D660000}"/>
    <cellStyle name="Output 2 2 3 2 4" xfId="26135" xr:uid="{00000000-0005-0000-0000-00001E660000}"/>
    <cellStyle name="Output 2 2 3 2 5" xfId="26136" xr:uid="{00000000-0005-0000-0000-00001F660000}"/>
    <cellStyle name="Output 2 2 3 2 6" xfId="26137" xr:uid="{00000000-0005-0000-0000-000020660000}"/>
    <cellStyle name="Output 2 2 3 2 7" xfId="26138" xr:uid="{00000000-0005-0000-0000-000021660000}"/>
    <cellStyle name="Output 2 2 3 2 8" xfId="26139" xr:uid="{00000000-0005-0000-0000-000022660000}"/>
    <cellStyle name="Output 2 2 3 2 9" xfId="26140" xr:uid="{00000000-0005-0000-0000-000023660000}"/>
    <cellStyle name="Output 2 2 3 20" xfId="26141" xr:uid="{00000000-0005-0000-0000-000024660000}"/>
    <cellStyle name="Output 2 2 3 3" xfId="26142" xr:uid="{00000000-0005-0000-0000-000025660000}"/>
    <cellStyle name="Output 2 2 3 3 2" xfId="26143" xr:uid="{00000000-0005-0000-0000-000026660000}"/>
    <cellStyle name="Output 2 2 3 3 3" xfId="26144" xr:uid="{00000000-0005-0000-0000-000027660000}"/>
    <cellStyle name="Output 2 2 3 4" xfId="26145" xr:uid="{00000000-0005-0000-0000-000028660000}"/>
    <cellStyle name="Output 2 2 3 5" xfId="26146" xr:uid="{00000000-0005-0000-0000-000029660000}"/>
    <cellStyle name="Output 2 2 3 6" xfId="26147" xr:uid="{00000000-0005-0000-0000-00002A660000}"/>
    <cellStyle name="Output 2 2 3 7" xfId="26148" xr:uid="{00000000-0005-0000-0000-00002B660000}"/>
    <cellStyle name="Output 2 2 3 8" xfId="26149" xr:uid="{00000000-0005-0000-0000-00002C660000}"/>
    <cellStyle name="Output 2 2 3 9" xfId="26150" xr:uid="{00000000-0005-0000-0000-00002D660000}"/>
    <cellStyle name="Output 2 2 4" xfId="26151" xr:uid="{00000000-0005-0000-0000-00002E660000}"/>
    <cellStyle name="Output 2 2 4 10" xfId="26152" xr:uid="{00000000-0005-0000-0000-00002F660000}"/>
    <cellStyle name="Output 2 2 4 11" xfId="26153" xr:uid="{00000000-0005-0000-0000-000030660000}"/>
    <cellStyle name="Output 2 2 4 12" xfId="26154" xr:uid="{00000000-0005-0000-0000-000031660000}"/>
    <cellStyle name="Output 2 2 4 13" xfId="26155" xr:uid="{00000000-0005-0000-0000-000032660000}"/>
    <cellStyle name="Output 2 2 4 14" xfId="26156" xr:uid="{00000000-0005-0000-0000-000033660000}"/>
    <cellStyle name="Output 2 2 4 15" xfId="26157" xr:uid="{00000000-0005-0000-0000-000034660000}"/>
    <cellStyle name="Output 2 2 4 16" xfId="26158" xr:uid="{00000000-0005-0000-0000-000035660000}"/>
    <cellStyle name="Output 2 2 4 17" xfId="26159" xr:uid="{00000000-0005-0000-0000-000036660000}"/>
    <cellStyle name="Output 2 2 4 18" xfId="26160" xr:uid="{00000000-0005-0000-0000-000037660000}"/>
    <cellStyle name="Output 2 2 4 19" xfId="26161" xr:uid="{00000000-0005-0000-0000-000038660000}"/>
    <cellStyle name="Output 2 2 4 2" xfId="26162" xr:uid="{00000000-0005-0000-0000-000039660000}"/>
    <cellStyle name="Output 2 2 4 20" xfId="26163" xr:uid="{00000000-0005-0000-0000-00003A660000}"/>
    <cellStyle name="Output 2 2 4 21" xfId="26164" xr:uid="{00000000-0005-0000-0000-00003B660000}"/>
    <cellStyle name="Output 2 2 4 22" xfId="26165" xr:uid="{00000000-0005-0000-0000-00003C660000}"/>
    <cellStyle name="Output 2 2 4 23" xfId="26166" xr:uid="{00000000-0005-0000-0000-00003D660000}"/>
    <cellStyle name="Output 2 2 4 24" xfId="26167" xr:uid="{00000000-0005-0000-0000-00003E660000}"/>
    <cellStyle name="Output 2 2 4 25" xfId="26168" xr:uid="{00000000-0005-0000-0000-00003F660000}"/>
    <cellStyle name="Output 2 2 4 26" xfId="26169" xr:uid="{00000000-0005-0000-0000-000040660000}"/>
    <cellStyle name="Output 2 2 4 27" xfId="26170" xr:uid="{00000000-0005-0000-0000-000041660000}"/>
    <cellStyle name="Output 2 2 4 28" xfId="26171" xr:uid="{00000000-0005-0000-0000-000042660000}"/>
    <cellStyle name="Output 2 2 4 29" xfId="26172" xr:uid="{00000000-0005-0000-0000-000043660000}"/>
    <cellStyle name="Output 2 2 4 3" xfId="26173" xr:uid="{00000000-0005-0000-0000-000044660000}"/>
    <cellStyle name="Output 2 2 4 30" xfId="26174" xr:uid="{00000000-0005-0000-0000-000045660000}"/>
    <cellStyle name="Output 2 2 4 31" xfId="26175" xr:uid="{00000000-0005-0000-0000-000046660000}"/>
    <cellStyle name="Output 2 2 4 32" xfId="26176" xr:uid="{00000000-0005-0000-0000-000047660000}"/>
    <cellStyle name="Output 2 2 4 33" xfId="26177" xr:uid="{00000000-0005-0000-0000-000048660000}"/>
    <cellStyle name="Output 2 2 4 34" xfId="26178" xr:uid="{00000000-0005-0000-0000-000049660000}"/>
    <cellStyle name="Output 2 2 4 4" xfId="26179" xr:uid="{00000000-0005-0000-0000-00004A660000}"/>
    <cellStyle name="Output 2 2 4 5" xfId="26180" xr:uid="{00000000-0005-0000-0000-00004B660000}"/>
    <cellStyle name="Output 2 2 4 6" xfId="26181" xr:uid="{00000000-0005-0000-0000-00004C660000}"/>
    <cellStyle name="Output 2 2 4 7" xfId="26182" xr:uid="{00000000-0005-0000-0000-00004D660000}"/>
    <cellStyle name="Output 2 2 4 8" xfId="26183" xr:uid="{00000000-0005-0000-0000-00004E660000}"/>
    <cellStyle name="Output 2 2 4 9" xfId="26184" xr:uid="{00000000-0005-0000-0000-00004F660000}"/>
    <cellStyle name="Output 2 2 5" xfId="26185" xr:uid="{00000000-0005-0000-0000-000050660000}"/>
    <cellStyle name="Output 2 2 5 2" xfId="26186" xr:uid="{00000000-0005-0000-0000-000051660000}"/>
    <cellStyle name="Output 2 2 5 3" xfId="26187" xr:uid="{00000000-0005-0000-0000-000052660000}"/>
    <cellStyle name="Output 2 2 6" xfId="26188" xr:uid="{00000000-0005-0000-0000-000053660000}"/>
    <cellStyle name="Output 2 2 7" xfId="26189" xr:uid="{00000000-0005-0000-0000-000054660000}"/>
    <cellStyle name="Output 2 2 8" xfId="26190" xr:uid="{00000000-0005-0000-0000-000055660000}"/>
    <cellStyle name="Output 2 2 9" xfId="26191" xr:uid="{00000000-0005-0000-0000-000056660000}"/>
    <cellStyle name="Output 2 20" xfId="26192" xr:uid="{00000000-0005-0000-0000-000057660000}"/>
    <cellStyle name="Output 2 20 10" xfId="26193" xr:uid="{00000000-0005-0000-0000-000058660000}"/>
    <cellStyle name="Output 2 20 11" xfId="26194" xr:uid="{00000000-0005-0000-0000-000059660000}"/>
    <cellStyle name="Output 2 20 12" xfId="26195" xr:uid="{00000000-0005-0000-0000-00005A660000}"/>
    <cellStyle name="Output 2 20 13" xfId="26196" xr:uid="{00000000-0005-0000-0000-00005B660000}"/>
    <cellStyle name="Output 2 20 14" xfId="26197" xr:uid="{00000000-0005-0000-0000-00005C660000}"/>
    <cellStyle name="Output 2 20 15" xfId="26198" xr:uid="{00000000-0005-0000-0000-00005D660000}"/>
    <cellStyle name="Output 2 20 16" xfId="26199" xr:uid="{00000000-0005-0000-0000-00005E660000}"/>
    <cellStyle name="Output 2 20 17" xfId="26200" xr:uid="{00000000-0005-0000-0000-00005F660000}"/>
    <cellStyle name="Output 2 20 18" xfId="26201" xr:uid="{00000000-0005-0000-0000-000060660000}"/>
    <cellStyle name="Output 2 20 19" xfId="26202" xr:uid="{00000000-0005-0000-0000-000061660000}"/>
    <cellStyle name="Output 2 20 2" xfId="26203" xr:uid="{00000000-0005-0000-0000-000062660000}"/>
    <cellStyle name="Output 2 20 2 10" xfId="26204" xr:uid="{00000000-0005-0000-0000-000063660000}"/>
    <cellStyle name="Output 2 20 2 11" xfId="26205" xr:uid="{00000000-0005-0000-0000-000064660000}"/>
    <cellStyle name="Output 2 20 2 12" xfId="26206" xr:uid="{00000000-0005-0000-0000-000065660000}"/>
    <cellStyle name="Output 2 20 2 13" xfId="26207" xr:uid="{00000000-0005-0000-0000-000066660000}"/>
    <cellStyle name="Output 2 20 2 14" xfId="26208" xr:uid="{00000000-0005-0000-0000-000067660000}"/>
    <cellStyle name="Output 2 20 2 15" xfId="26209" xr:uid="{00000000-0005-0000-0000-000068660000}"/>
    <cellStyle name="Output 2 20 2 16" xfId="26210" xr:uid="{00000000-0005-0000-0000-000069660000}"/>
    <cellStyle name="Output 2 20 2 17" xfId="26211" xr:uid="{00000000-0005-0000-0000-00006A660000}"/>
    <cellStyle name="Output 2 20 2 18" xfId="26212" xr:uid="{00000000-0005-0000-0000-00006B660000}"/>
    <cellStyle name="Output 2 20 2 19" xfId="26213" xr:uid="{00000000-0005-0000-0000-00006C660000}"/>
    <cellStyle name="Output 2 20 2 2" xfId="26214" xr:uid="{00000000-0005-0000-0000-00006D660000}"/>
    <cellStyle name="Output 2 20 2 20" xfId="26215" xr:uid="{00000000-0005-0000-0000-00006E660000}"/>
    <cellStyle name="Output 2 20 2 21" xfId="26216" xr:uid="{00000000-0005-0000-0000-00006F660000}"/>
    <cellStyle name="Output 2 20 2 22" xfId="26217" xr:uid="{00000000-0005-0000-0000-000070660000}"/>
    <cellStyle name="Output 2 20 2 23" xfId="26218" xr:uid="{00000000-0005-0000-0000-000071660000}"/>
    <cellStyle name="Output 2 20 2 24" xfId="26219" xr:uid="{00000000-0005-0000-0000-000072660000}"/>
    <cellStyle name="Output 2 20 2 25" xfId="26220" xr:uid="{00000000-0005-0000-0000-000073660000}"/>
    <cellStyle name="Output 2 20 2 26" xfId="26221" xr:uid="{00000000-0005-0000-0000-000074660000}"/>
    <cellStyle name="Output 2 20 2 27" xfId="26222" xr:uid="{00000000-0005-0000-0000-000075660000}"/>
    <cellStyle name="Output 2 20 2 28" xfId="26223" xr:uid="{00000000-0005-0000-0000-000076660000}"/>
    <cellStyle name="Output 2 20 2 29" xfId="26224" xr:uid="{00000000-0005-0000-0000-000077660000}"/>
    <cellStyle name="Output 2 20 2 3" xfId="26225" xr:uid="{00000000-0005-0000-0000-000078660000}"/>
    <cellStyle name="Output 2 20 2 30" xfId="26226" xr:uid="{00000000-0005-0000-0000-000079660000}"/>
    <cellStyle name="Output 2 20 2 31" xfId="26227" xr:uid="{00000000-0005-0000-0000-00007A660000}"/>
    <cellStyle name="Output 2 20 2 32" xfId="26228" xr:uid="{00000000-0005-0000-0000-00007B660000}"/>
    <cellStyle name="Output 2 20 2 33" xfId="26229" xr:uid="{00000000-0005-0000-0000-00007C660000}"/>
    <cellStyle name="Output 2 20 2 34" xfId="26230" xr:uid="{00000000-0005-0000-0000-00007D660000}"/>
    <cellStyle name="Output 2 20 2 4" xfId="26231" xr:uid="{00000000-0005-0000-0000-00007E660000}"/>
    <cellStyle name="Output 2 20 2 5" xfId="26232" xr:uid="{00000000-0005-0000-0000-00007F660000}"/>
    <cellStyle name="Output 2 20 2 6" xfId="26233" xr:uid="{00000000-0005-0000-0000-000080660000}"/>
    <cellStyle name="Output 2 20 2 7" xfId="26234" xr:uid="{00000000-0005-0000-0000-000081660000}"/>
    <cellStyle name="Output 2 20 2 8" xfId="26235" xr:uid="{00000000-0005-0000-0000-000082660000}"/>
    <cellStyle name="Output 2 20 2 9" xfId="26236" xr:uid="{00000000-0005-0000-0000-000083660000}"/>
    <cellStyle name="Output 2 20 20" xfId="26237" xr:uid="{00000000-0005-0000-0000-000084660000}"/>
    <cellStyle name="Output 2 20 3" xfId="26238" xr:uid="{00000000-0005-0000-0000-000085660000}"/>
    <cellStyle name="Output 2 20 3 2" xfId="26239" xr:uid="{00000000-0005-0000-0000-000086660000}"/>
    <cellStyle name="Output 2 20 3 3" xfId="26240" xr:uid="{00000000-0005-0000-0000-000087660000}"/>
    <cellStyle name="Output 2 20 4" xfId="26241" xr:uid="{00000000-0005-0000-0000-000088660000}"/>
    <cellStyle name="Output 2 20 5" xfId="26242" xr:uid="{00000000-0005-0000-0000-000089660000}"/>
    <cellStyle name="Output 2 20 6" xfId="26243" xr:uid="{00000000-0005-0000-0000-00008A660000}"/>
    <cellStyle name="Output 2 20 7" xfId="26244" xr:uid="{00000000-0005-0000-0000-00008B660000}"/>
    <cellStyle name="Output 2 20 8" xfId="26245" xr:uid="{00000000-0005-0000-0000-00008C660000}"/>
    <cellStyle name="Output 2 20 9" xfId="26246" xr:uid="{00000000-0005-0000-0000-00008D660000}"/>
    <cellStyle name="Output 2 21" xfId="26247" xr:uid="{00000000-0005-0000-0000-00008E660000}"/>
    <cellStyle name="Output 2 21 10" xfId="26248" xr:uid="{00000000-0005-0000-0000-00008F660000}"/>
    <cellStyle name="Output 2 21 11" xfId="26249" xr:uid="{00000000-0005-0000-0000-000090660000}"/>
    <cellStyle name="Output 2 21 12" xfId="26250" xr:uid="{00000000-0005-0000-0000-000091660000}"/>
    <cellStyle name="Output 2 21 13" xfId="26251" xr:uid="{00000000-0005-0000-0000-000092660000}"/>
    <cellStyle name="Output 2 21 14" xfId="26252" xr:uid="{00000000-0005-0000-0000-000093660000}"/>
    <cellStyle name="Output 2 21 15" xfId="26253" xr:uid="{00000000-0005-0000-0000-000094660000}"/>
    <cellStyle name="Output 2 21 16" xfId="26254" xr:uid="{00000000-0005-0000-0000-000095660000}"/>
    <cellStyle name="Output 2 21 17" xfId="26255" xr:uid="{00000000-0005-0000-0000-000096660000}"/>
    <cellStyle name="Output 2 21 18" xfId="26256" xr:uid="{00000000-0005-0000-0000-000097660000}"/>
    <cellStyle name="Output 2 21 19" xfId="26257" xr:uid="{00000000-0005-0000-0000-000098660000}"/>
    <cellStyle name="Output 2 21 2" xfId="26258" xr:uid="{00000000-0005-0000-0000-000099660000}"/>
    <cellStyle name="Output 2 21 20" xfId="26259" xr:uid="{00000000-0005-0000-0000-00009A660000}"/>
    <cellStyle name="Output 2 21 21" xfId="26260" xr:uid="{00000000-0005-0000-0000-00009B660000}"/>
    <cellStyle name="Output 2 21 22" xfId="26261" xr:uid="{00000000-0005-0000-0000-00009C660000}"/>
    <cellStyle name="Output 2 21 23" xfId="26262" xr:uid="{00000000-0005-0000-0000-00009D660000}"/>
    <cellStyle name="Output 2 21 24" xfId="26263" xr:uid="{00000000-0005-0000-0000-00009E660000}"/>
    <cellStyle name="Output 2 21 25" xfId="26264" xr:uid="{00000000-0005-0000-0000-00009F660000}"/>
    <cellStyle name="Output 2 21 26" xfId="26265" xr:uid="{00000000-0005-0000-0000-0000A0660000}"/>
    <cellStyle name="Output 2 21 27" xfId="26266" xr:uid="{00000000-0005-0000-0000-0000A1660000}"/>
    <cellStyle name="Output 2 21 28" xfId="26267" xr:uid="{00000000-0005-0000-0000-0000A2660000}"/>
    <cellStyle name="Output 2 21 29" xfId="26268" xr:uid="{00000000-0005-0000-0000-0000A3660000}"/>
    <cellStyle name="Output 2 21 3" xfId="26269" xr:uid="{00000000-0005-0000-0000-0000A4660000}"/>
    <cellStyle name="Output 2 21 30" xfId="26270" xr:uid="{00000000-0005-0000-0000-0000A5660000}"/>
    <cellStyle name="Output 2 21 31" xfId="26271" xr:uid="{00000000-0005-0000-0000-0000A6660000}"/>
    <cellStyle name="Output 2 21 32" xfId="26272" xr:uid="{00000000-0005-0000-0000-0000A7660000}"/>
    <cellStyle name="Output 2 21 33" xfId="26273" xr:uid="{00000000-0005-0000-0000-0000A8660000}"/>
    <cellStyle name="Output 2 21 34" xfId="26274" xr:uid="{00000000-0005-0000-0000-0000A9660000}"/>
    <cellStyle name="Output 2 21 4" xfId="26275" xr:uid="{00000000-0005-0000-0000-0000AA660000}"/>
    <cellStyle name="Output 2 21 5" xfId="26276" xr:uid="{00000000-0005-0000-0000-0000AB660000}"/>
    <cellStyle name="Output 2 21 6" xfId="26277" xr:uid="{00000000-0005-0000-0000-0000AC660000}"/>
    <cellStyle name="Output 2 21 7" xfId="26278" xr:uid="{00000000-0005-0000-0000-0000AD660000}"/>
    <cellStyle name="Output 2 21 8" xfId="26279" xr:uid="{00000000-0005-0000-0000-0000AE660000}"/>
    <cellStyle name="Output 2 21 9" xfId="26280" xr:uid="{00000000-0005-0000-0000-0000AF660000}"/>
    <cellStyle name="Output 2 22" xfId="26281" xr:uid="{00000000-0005-0000-0000-0000B0660000}"/>
    <cellStyle name="Output 2 22 2" xfId="26282" xr:uid="{00000000-0005-0000-0000-0000B1660000}"/>
    <cellStyle name="Output 2 22 3" xfId="26283" xr:uid="{00000000-0005-0000-0000-0000B2660000}"/>
    <cellStyle name="Output 2 23" xfId="26284" xr:uid="{00000000-0005-0000-0000-0000B3660000}"/>
    <cellStyle name="Output 2 24" xfId="26285" xr:uid="{00000000-0005-0000-0000-0000B4660000}"/>
    <cellStyle name="Output 2 25" xfId="26286" xr:uid="{00000000-0005-0000-0000-0000B5660000}"/>
    <cellStyle name="Output 2 26" xfId="26287" xr:uid="{00000000-0005-0000-0000-0000B6660000}"/>
    <cellStyle name="Output 2 27" xfId="26288" xr:uid="{00000000-0005-0000-0000-0000B7660000}"/>
    <cellStyle name="Output 2 28" xfId="26289" xr:uid="{00000000-0005-0000-0000-0000B8660000}"/>
    <cellStyle name="Output 2 29" xfId="26290" xr:uid="{00000000-0005-0000-0000-0000B9660000}"/>
    <cellStyle name="Output 2 3" xfId="26291" xr:uid="{00000000-0005-0000-0000-0000BA660000}"/>
    <cellStyle name="Output 2 3 10" xfId="26292" xr:uid="{00000000-0005-0000-0000-0000BB660000}"/>
    <cellStyle name="Output 2 3 11" xfId="26293" xr:uid="{00000000-0005-0000-0000-0000BC660000}"/>
    <cellStyle name="Output 2 3 12" xfId="26294" xr:uid="{00000000-0005-0000-0000-0000BD660000}"/>
    <cellStyle name="Output 2 3 13" xfId="26295" xr:uid="{00000000-0005-0000-0000-0000BE660000}"/>
    <cellStyle name="Output 2 3 14" xfId="26296" xr:uid="{00000000-0005-0000-0000-0000BF660000}"/>
    <cellStyle name="Output 2 3 15" xfId="26297" xr:uid="{00000000-0005-0000-0000-0000C0660000}"/>
    <cellStyle name="Output 2 3 16" xfId="26298" xr:uid="{00000000-0005-0000-0000-0000C1660000}"/>
    <cellStyle name="Output 2 3 17" xfId="26299" xr:uid="{00000000-0005-0000-0000-0000C2660000}"/>
    <cellStyle name="Output 2 3 18" xfId="26300" xr:uid="{00000000-0005-0000-0000-0000C3660000}"/>
    <cellStyle name="Output 2 3 19" xfId="26301" xr:uid="{00000000-0005-0000-0000-0000C4660000}"/>
    <cellStyle name="Output 2 3 2" xfId="26302" xr:uid="{00000000-0005-0000-0000-0000C5660000}"/>
    <cellStyle name="Output 2 3 2 10" xfId="26303" xr:uid="{00000000-0005-0000-0000-0000C6660000}"/>
    <cellStyle name="Output 2 3 2 11" xfId="26304" xr:uid="{00000000-0005-0000-0000-0000C7660000}"/>
    <cellStyle name="Output 2 3 2 12" xfId="26305" xr:uid="{00000000-0005-0000-0000-0000C8660000}"/>
    <cellStyle name="Output 2 3 2 13" xfId="26306" xr:uid="{00000000-0005-0000-0000-0000C9660000}"/>
    <cellStyle name="Output 2 3 2 14" xfId="26307" xr:uid="{00000000-0005-0000-0000-0000CA660000}"/>
    <cellStyle name="Output 2 3 2 15" xfId="26308" xr:uid="{00000000-0005-0000-0000-0000CB660000}"/>
    <cellStyle name="Output 2 3 2 16" xfId="26309" xr:uid="{00000000-0005-0000-0000-0000CC660000}"/>
    <cellStyle name="Output 2 3 2 17" xfId="26310" xr:uid="{00000000-0005-0000-0000-0000CD660000}"/>
    <cellStyle name="Output 2 3 2 18" xfId="26311" xr:uid="{00000000-0005-0000-0000-0000CE660000}"/>
    <cellStyle name="Output 2 3 2 19" xfId="26312" xr:uid="{00000000-0005-0000-0000-0000CF660000}"/>
    <cellStyle name="Output 2 3 2 2" xfId="26313" xr:uid="{00000000-0005-0000-0000-0000D0660000}"/>
    <cellStyle name="Output 2 3 2 2 10" xfId="26314" xr:uid="{00000000-0005-0000-0000-0000D1660000}"/>
    <cellStyle name="Output 2 3 2 2 11" xfId="26315" xr:uid="{00000000-0005-0000-0000-0000D2660000}"/>
    <cellStyle name="Output 2 3 2 2 12" xfId="26316" xr:uid="{00000000-0005-0000-0000-0000D3660000}"/>
    <cellStyle name="Output 2 3 2 2 13" xfId="26317" xr:uid="{00000000-0005-0000-0000-0000D4660000}"/>
    <cellStyle name="Output 2 3 2 2 14" xfId="26318" xr:uid="{00000000-0005-0000-0000-0000D5660000}"/>
    <cellStyle name="Output 2 3 2 2 15" xfId="26319" xr:uid="{00000000-0005-0000-0000-0000D6660000}"/>
    <cellStyle name="Output 2 3 2 2 16" xfId="26320" xr:uid="{00000000-0005-0000-0000-0000D7660000}"/>
    <cellStyle name="Output 2 3 2 2 17" xfId="26321" xr:uid="{00000000-0005-0000-0000-0000D8660000}"/>
    <cellStyle name="Output 2 3 2 2 18" xfId="26322" xr:uid="{00000000-0005-0000-0000-0000D9660000}"/>
    <cellStyle name="Output 2 3 2 2 19" xfId="26323" xr:uid="{00000000-0005-0000-0000-0000DA660000}"/>
    <cellStyle name="Output 2 3 2 2 2" xfId="26324" xr:uid="{00000000-0005-0000-0000-0000DB660000}"/>
    <cellStyle name="Output 2 3 2 2 20" xfId="26325" xr:uid="{00000000-0005-0000-0000-0000DC660000}"/>
    <cellStyle name="Output 2 3 2 2 21" xfId="26326" xr:uid="{00000000-0005-0000-0000-0000DD660000}"/>
    <cellStyle name="Output 2 3 2 2 22" xfId="26327" xr:uid="{00000000-0005-0000-0000-0000DE660000}"/>
    <cellStyle name="Output 2 3 2 2 23" xfId="26328" xr:uid="{00000000-0005-0000-0000-0000DF660000}"/>
    <cellStyle name="Output 2 3 2 2 24" xfId="26329" xr:uid="{00000000-0005-0000-0000-0000E0660000}"/>
    <cellStyle name="Output 2 3 2 2 25" xfId="26330" xr:uid="{00000000-0005-0000-0000-0000E1660000}"/>
    <cellStyle name="Output 2 3 2 2 26" xfId="26331" xr:uid="{00000000-0005-0000-0000-0000E2660000}"/>
    <cellStyle name="Output 2 3 2 2 27" xfId="26332" xr:uid="{00000000-0005-0000-0000-0000E3660000}"/>
    <cellStyle name="Output 2 3 2 2 28" xfId="26333" xr:uid="{00000000-0005-0000-0000-0000E4660000}"/>
    <cellStyle name="Output 2 3 2 2 29" xfId="26334" xr:uid="{00000000-0005-0000-0000-0000E5660000}"/>
    <cellStyle name="Output 2 3 2 2 3" xfId="26335" xr:uid="{00000000-0005-0000-0000-0000E6660000}"/>
    <cellStyle name="Output 2 3 2 2 30" xfId="26336" xr:uid="{00000000-0005-0000-0000-0000E7660000}"/>
    <cellStyle name="Output 2 3 2 2 31" xfId="26337" xr:uid="{00000000-0005-0000-0000-0000E8660000}"/>
    <cellStyle name="Output 2 3 2 2 32" xfId="26338" xr:uid="{00000000-0005-0000-0000-0000E9660000}"/>
    <cellStyle name="Output 2 3 2 2 33" xfId="26339" xr:uid="{00000000-0005-0000-0000-0000EA660000}"/>
    <cellStyle name="Output 2 3 2 2 34" xfId="26340" xr:uid="{00000000-0005-0000-0000-0000EB660000}"/>
    <cellStyle name="Output 2 3 2 2 4" xfId="26341" xr:uid="{00000000-0005-0000-0000-0000EC660000}"/>
    <cellStyle name="Output 2 3 2 2 5" xfId="26342" xr:uid="{00000000-0005-0000-0000-0000ED660000}"/>
    <cellStyle name="Output 2 3 2 2 6" xfId="26343" xr:uid="{00000000-0005-0000-0000-0000EE660000}"/>
    <cellStyle name="Output 2 3 2 2 7" xfId="26344" xr:uid="{00000000-0005-0000-0000-0000EF660000}"/>
    <cellStyle name="Output 2 3 2 2 8" xfId="26345" xr:uid="{00000000-0005-0000-0000-0000F0660000}"/>
    <cellStyle name="Output 2 3 2 2 9" xfId="26346" xr:uid="{00000000-0005-0000-0000-0000F1660000}"/>
    <cellStyle name="Output 2 3 2 20" xfId="26347" xr:uid="{00000000-0005-0000-0000-0000F2660000}"/>
    <cellStyle name="Output 2 3 2 3" xfId="26348" xr:uid="{00000000-0005-0000-0000-0000F3660000}"/>
    <cellStyle name="Output 2 3 2 3 2" xfId="26349" xr:uid="{00000000-0005-0000-0000-0000F4660000}"/>
    <cellStyle name="Output 2 3 2 3 3" xfId="26350" xr:uid="{00000000-0005-0000-0000-0000F5660000}"/>
    <cellStyle name="Output 2 3 2 4" xfId="26351" xr:uid="{00000000-0005-0000-0000-0000F6660000}"/>
    <cellStyle name="Output 2 3 2 5" xfId="26352" xr:uid="{00000000-0005-0000-0000-0000F7660000}"/>
    <cellStyle name="Output 2 3 2 6" xfId="26353" xr:uid="{00000000-0005-0000-0000-0000F8660000}"/>
    <cellStyle name="Output 2 3 2 7" xfId="26354" xr:uid="{00000000-0005-0000-0000-0000F9660000}"/>
    <cellStyle name="Output 2 3 2 8" xfId="26355" xr:uid="{00000000-0005-0000-0000-0000FA660000}"/>
    <cellStyle name="Output 2 3 2 9" xfId="26356" xr:uid="{00000000-0005-0000-0000-0000FB660000}"/>
    <cellStyle name="Output 2 3 20" xfId="26357" xr:uid="{00000000-0005-0000-0000-0000FC660000}"/>
    <cellStyle name="Output 2 3 21" xfId="26358" xr:uid="{00000000-0005-0000-0000-0000FD660000}"/>
    <cellStyle name="Output 2 3 3" xfId="26359" xr:uid="{00000000-0005-0000-0000-0000FE660000}"/>
    <cellStyle name="Output 2 3 3 10" xfId="26360" xr:uid="{00000000-0005-0000-0000-0000FF660000}"/>
    <cellStyle name="Output 2 3 3 11" xfId="26361" xr:uid="{00000000-0005-0000-0000-000000670000}"/>
    <cellStyle name="Output 2 3 3 12" xfId="26362" xr:uid="{00000000-0005-0000-0000-000001670000}"/>
    <cellStyle name="Output 2 3 3 13" xfId="26363" xr:uid="{00000000-0005-0000-0000-000002670000}"/>
    <cellStyle name="Output 2 3 3 14" xfId="26364" xr:uid="{00000000-0005-0000-0000-000003670000}"/>
    <cellStyle name="Output 2 3 3 15" xfId="26365" xr:uid="{00000000-0005-0000-0000-000004670000}"/>
    <cellStyle name="Output 2 3 3 16" xfId="26366" xr:uid="{00000000-0005-0000-0000-000005670000}"/>
    <cellStyle name="Output 2 3 3 17" xfId="26367" xr:uid="{00000000-0005-0000-0000-000006670000}"/>
    <cellStyle name="Output 2 3 3 18" xfId="26368" xr:uid="{00000000-0005-0000-0000-000007670000}"/>
    <cellStyle name="Output 2 3 3 19" xfId="26369" xr:uid="{00000000-0005-0000-0000-000008670000}"/>
    <cellStyle name="Output 2 3 3 2" xfId="26370" xr:uid="{00000000-0005-0000-0000-000009670000}"/>
    <cellStyle name="Output 2 3 3 20" xfId="26371" xr:uid="{00000000-0005-0000-0000-00000A670000}"/>
    <cellStyle name="Output 2 3 3 21" xfId="26372" xr:uid="{00000000-0005-0000-0000-00000B670000}"/>
    <cellStyle name="Output 2 3 3 22" xfId="26373" xr:uid="{00000000-0005-0000-0000-00000C670000}"/>
    <cellStyle name="Output 2 3 3 23" xfId="26374" xr:uid="{00000000-0005-0000-0000-00000D670000}"/>
    <cellStyle name="Output 2 3 3 24" xfId="26375" xr:uid="{00000000-0005-0000-0000-00000E670000}"/>
    <cellStyle name="Output 2 3 3 25" xfId="26376" xr:uid="{00000000-0005-0000-0000-00000F670000}"/>
    <cellStyle name="Output 2 3 3 26" xfId="26377" xr:uid="{00000000-0005-0000-0000-000010670000}"/>
    <cellStyle name="Output 2 3 3 27" xfId="26378" xr:uid="{00000000-0005-0000-0000-000011670000}"/>
    <cellStyle name="Output 2 3 3 28" xfId="26379" xr:uid="{00000000-0005-0000-0000-000012670000}"/>
    <cellStyle name="Output 2 3 3 29" xfId="26380" xr:uid="{00000000-0005-0000-0000-000013670000}"/>
    <cellStyle name="Output 2 3 3 3" xfId="26381" xr:uid="{00000000-0005-0000-0000-000014670000}"/>
    <cellStyle name="Output 2 3 3 30" xfId="26382" xr:uid="{00000000-0005-0000-0000-000015670000}"/>
    <cellStyle name="Output 2 3 3 31" xfId="26383" xr:uid="{00000000-0005-0000-0000-000016670000}"/>
    <cellStyle name="Output 2 3 3 32" xfId="26384" xr:uid="{00000000-0005-0000-0000-000017670000}"/>
    <cellStyle name="Output 2 3 3 33" xfId="26385" xr:uid="{00000000-0005-0000-0000-000018670000}"/>
    <cellStyle name="Output 2 3 3 34" xfId="26386" xr:uid="{00000000-0005-0000-0000-000019670000}"/>
    <cellStyle name="Output 2 3 3 4" xfId="26387" xr:uid="{00000000-0005-0000-0000-00001A670000}"/>
    <cellStyle name="Output 2 3 3 5" xfId="26388" xr:uid="{00000000-0005-0000-0000-00001B670000}"/>
    <cellStyle name="Output 2 3 3 6" xfId="26389" xr:uid="{00000000-0005-0000-0000-00001C670000}"/>
    <cellStyle name="Output 2 3 3 7" xfId="26390" xr:uid="{00000000-0005-0000-0000-00001D670000}"/>
    <cellStyle name="Output 2 3 3 8" xfId="26391" xr:uid="{00000000-0005-0000-0000-00001E670000}"/>
    <cellStyle name="Output 2 3 3 9" xfId="26392" xr:uid="{00000000-0005-0000-0000-00001F670000}"/>
    <cellStyle name="Output 2 3 4" xfId="26393" xr:uid="{00000000-0005-0000-0000-000020670000}"/>
    <cellStyle name="Output 2 3 4 2" xfId="26394" xr:uid="{00000000-0005-0000-0000-000021670000}"/>
    <cellStyle name="Output 2 3 4 3" xfId="26395" xr:uid="{00000000-0005-0000-0000-000022670000}"/>
    <cellStyle name="Output 2 3 5" xfId="26396" xr:uid="{00000000-0005-0000-0000-000023670000}"/>
    <cellStyle name="Output 2 3 6" xfId="26397" xr:uid="{00000000-0005-0000-0000-000024670000}"/>
    <cellStyle name="Output 2 3 7" xfId="26398" xr:uid="{00000000-0005-0000-0000-000025670000}"/>
    <cellStyle name="Output 2 3 8" xfId="26399" xr:uid="{00000000-0005-0000-0000-000026670000}"/>
    <cellStyle name="Output 2 3 9" xfId="26400" xr:uid="{00000000-0005-0000-0000-000027670000}"/>
    <cellStyle name="Output 2 30" xfId="26401" xr:uid="{00000000-0005-0000-0000-000028670000}"/>
    <cellStyle name="Output 2 31" xfId="26402" xr:uid="{00000000-0005-0000-0000-000029670000}"/>
    <cellStyle name="Output 2 32" xfId="26403" xr:uid="{00000000-0005-0000-0000-00002A670000}"/>
    <cellStyle name="Output 2 33" xfId="26404" xr:uid="{00000000-0005-0000-0000-00002B670000}"/>
    <cellStyle name="Output 2 34" xfId="26405" xr:uid="{00000000-0005-0000-0000-00002C670000}"/>
    <cellStyle name="Output 2 35" xfId="26406" xr:uid="{00000000-0005-0000-0000-00002D670000}"/>
    <cellStyle name="Output 2 36" xfId="26407" xr:uid="{00000000-0005-0000-0000-00002E670000}"/>
    <cellStyle name="Output 2 37" xfId="26408" xr:uid="{00000000-0005-0000-0000-00002F670000}"/>
    <cellStyle name="Output 2 38" xfId="26409" xr:uid="{00000000-0005-0000-0000-000030670000}"/>
    <cellStyle name="Output 2 39" xfId="26410" xr:uid="{00000000-0005-0000-0000-000031670000}"/>
    <cellStyle name="Output 2 4" xfId="26411" xr:uid="{00000000-0005-0000-0000-000032670000}"/>
    <cellStyle name="Output 2 4 10" xfId="26412" xr:uid="{00000000-0005-0000-0000-000033670000}"/>
    <cellStyle name="Output 2 4 11" xfId="26413" xr:uid="{00000000-0005-0000-0000-000034670000}"/>
    <cellStyle name="Output 2 4 12" xfId="26414" xr:uid="{00000000-0005-0000-0000-000035670000}"/>
    <cellStyle name="Output 2 4 13" xfId="26415" xr:uid="{00000000-0005-0000-0000-000036670000}"/>
    <cellStyle name="Output 2 4 14" xfId="26416" xr:uid="{00000000-0005-0000-0000-000037670000}"/>
    <cellStyle name="Output 2 4 15" xfId="26417" xr:uid="{00000000-0005-0000-0000-000038670000}"/>
    <cellStyle name="Output 2 4 16" xfId="26418" xr:uid="{00000000-0005-0000-0000-000039670000}"/>
    <cellStyle name="Output 2 4 17" xfId="26419" xr:uid="{00000000-0005-0000-0000-00003A670000}"/>
    <cellStyle name="Output 2 4 18" xfId="26420" xr:uid="{00000000-0005-0000-0000-00003B670000}"/>
    <cellStyle name="Output 2 4 19" xfId="26421" xr:uid="{00000000-0005-0000-0000-00003C670000}"/>
    <cellStyle name="Output 2 4 2" xfId="26422" xr:uid="{00000000-0005-0000-0000-00003D670000}"/>
    <cellStyle name="Output 2 4 2 10" xfId="26423" xr:uid="{00000000-0005-0000-0000-00003E670000}"/>
    <cellStyle name="Output 2 4 2 11" xfId="26424" xr:uid="{00000000-0005-0000-0000-00003F670000}"/>
    <cellStyle name="Output 2 4 2 12" xfId="26425" xr:uid="{00000000-0005-0000-0000-000040670000}"/>
    <cellStyle name="Output 2 4 2 13" xfId="26426" xr:uid="{00000000-0005-0000-0000-000041670000}"/>
    <cellStyle name="Output 2 4 2 14" xfId="26427" xr:uid="{00000000-0005-0000-0000-000042670000}"/>
    <cellStyle name="Output 2 4 2 15" xfId="26428" xr:uid="{00000000-0005-0000-0000-000043670000}"/>
    <cellStyle name="Output 2 4 2 16" xfId="26429" xr:uid="{00000000-0005-0000-0000-000044670000}"/>
    <cellStyle name="Output 2 4 2 17" xfId="26430" xr:uid="{00000000-0005-0000-0000-000045670000}"/>
    <cellStyle name="Output 2 4 2 18" xfId="26431" xr:uid="{00000000-0005-0000-0000-000046670000}"/>
    <cellStyle name="Output 2 4 2 19" xfId="26432" xr:uid="{00000000-0005-0000-0000-000047670000}"/>
    <cellStyle name="Output 2 4 2 2" xfId="26433" xr:uid="{00000000-0005-0000-0000-000048670000}"/>
    <cellStyle name="Output 2 4 2 2 10" xfId="26434" xr:uid="{00000000-0005-0000-0000-000049670000}"/>
    <cellStyle name="Output 2 4 2 2 11" xfId="26435" xr:uid="{00000000-0005-0000-0000-00004A670000}"/>
    <cellStyle name="Output 2 4 2 2 12" xfId="26436" xr:uid="{00000000-0005-0000-0000-00004B670000}"/>
    <cellStyle name="Output 2 4 2 2 13" xfId="26437" xr:uid="{00000000-0005-0000-0000-00004C670000}"/>
    <cellStyle name="Output 2 4 2 2 14" xfId="26438" xr:uid="{00000000-0005-0000-0000-00004D670000}"/>
    <cellStyle name="Output 2 4 2 2 15" xfId="26439" xr:uid="{00000000-0005-0000-0000-00004E670000}"/>
    <cellStyle name="Output 2 4 2 2 16" xfId="26440" xr:uid="{00000000-0005-0000-0000-00004F670000}"/>
    <cellStyle name="Output 2 4 2 2 17" xfId="26441" xr:uid="{00000000-0005-0000-0000-000050670000}"/>
    <cellStyle name="Output 2 4 2 2 18" xfId="26442" xr:uid="{00000000-0005-0000-0000-000051670000}"/>
    <cellStyle name="Output 2 4 2 2 19" xfId="26443" xr:uid="{00000000-0005-0000-0000-000052670000}"/>
    <cellStyle name="Output 2 4 2 2 2" xfId="26444" xr:uid="{00000000-0005-0000-0000-000053670000}"/>
    <cellStyle name="Output 2 4 2 2 20" xfId="26445" xr:uid="{00000000-0005-0000-0000-000054670000}"/>
    <cellStyle name="Output 2 4 2 2 21" xfId="26446" xr:uid="{00000000-0005-0000-0000-000055670000}"/>
    <cellStyle name="Output 2 4 2 2 22" xfId="26447" xr:uid="{00000000-0005-0000-0000-000056670000}"/>
    <cellStyle name="Output 2 4 2 2 23" xfId="26448" xr:uid="{00000000-0005-0000-0000-000057670000}"/>
    <cellStyle name="Output 2 4 2 2 24" xfId="26449" xr:uid="{00000000-0005-0000-0000-000058670000}"/>
    <cellStyle name="Output 2 4 2 2 25" xfId="26450" xr:uid="{00000000-0005-0000-0000-000059670000}"/>
    <cellStyle name="Output 2 4 2 2 26" xfId="26451" xr:uid="{00000000-0005-0000-0000-00005A670000}"/>
    <cellStyle name="Output 2 4 2 2 27" xfId="26452" xr:uid="{00000000-0005-0000-0000-00005B670000}"/>
    <cellStyle name="Output 2 4 2 2 28" xfId="26453" xr:uid="{00000000-0005-0000-0000-00005C670000}"/>
    <cellStyle name="Output 2 4 2 2 29" xfId="26454" xr:uid="{00000000-0005-0000-0000-00005D670000}"/>
    <cellStyle name="Output 2 4 2 2 3" xfId="26455" xr:uid="{00000000-0005-0000-0000-00005E670000}"/>
    <cellStyle name="Output 2 4 2 2 30" xfId="26456" xr:uid="{00000000-0005-0000-0000-00005F670000}"/>
    <cellStyle name="Output 2 4 2 2 31" xfId="26457" xr:uid="{00000000-0005-0000-0000-000060670000}"/>
    <cellStyle name="Output 2 4 2 2 32" xfId="26458" xr:uid="{00000000-0005-0000-0000-000061670000}"/>
    <cellStyle name="Output 2 4 2 2 33" xfId="26459" xr:uid="{00000000-0005-0000-0000-000062670000}"/>
    <cellStyle name="Output 2 4 2 2 34" xfId="26460" xr:uid="{00000000-0005-0000-0000-000063670000}"/>
    <cellStyle name="Output 2 4 2 2 4" xfId="26461" xr:uid="{00000000-0005-0000-0000-000064670000}"/>
    <cellStyle name="Output 2 4 2 2 5" xfId="26462" xr:uid="{00000000-0005-0000-0000-000065670000}"/>
    <cellStyle name="Output 2 4 2 2 6" xfId="26463" xr:uid="{00000000-0005-0000-0000-000066670000}"/>
    <cellStyle name="Output 2 4 2 2 7" xfId="26464" xr:uid="{00000000-0005-0000-0000-000067670000}"/>
    <cellStyle name="Output 2 4 2 2 8" xfId="26465" xr:uid="{00000000-0005-0000-0000-000068670000}"/>
    <cellStyle name="Output 2 4 2 2 9" xfId="26466" xr:uid="{00000000-0005-0000-0000-000069670000}"/>
    <cellStyle name="Output 2 4 2 20" xfId="26467" xr:uid="{00000000-0005-0000-0000-00006A670000}"/>
    <cellStyle name="Output 2 4 2 3" xfId="26468" xr:uid="{00000000-0005-0000-0000-00006B670000}"/>
    <cellStyle name="Output 2 4 2 3 2" xfId="26469" xr:uid="{00000000-0005-0000-0000-00006C670000}"/>
    <cellStyle name="Output 2 4 2 3 3" xfId="26470" xr:uid="{00000000-0005-0000-0000-00006D670000}"/>
    <cellStyle name="Output 2 4 2 4" xfId="26471" xr:uid="{00000000-0005-0000-0000-00006E670000}"/>
    <cellStyle name="Output 2 4 2 5" xfId="26472" xr:uid="{00000000-0005-0000-0000-00006F670000}"/>
    <cellStyle name="Output 2 4 2 6" xfId="26473" xr:uid="{00000000-0005-0000-0000-000070670000}"/>
    <cellStyle name="Output 2 4 2 7" xfId="26474" xr:uid="{00000000-0005-0000-0000-000071670000}"/>
    <cellStyle name="Output 2 4 2 8" xfId="26475" xr:uid="{00000000-0005-0000-0000-000072670000}"/>
    <cellStyle name="Output 2 4 2 9" xfId="26476" xr:uid="{00000000-0005-0000-0000-000073670000}"/>
    <cellStyle name="Output 2 4 20" xfId="26477" xr:uid="{00000000-0005-0000-0000-000074670000}"/>
    <cellStyle name="Output 2 4 21" xfId="26478" xr:uid="{00000000-0005-0000-0000-000075670000}"/>
    <cellStyle name="Output 2 4 3" xfId="26479" xr:uid="{00000000-0005-0000-0000-000076670000}"/>
    <cellStyle name="Output 2 4 3 10" xfId="26480" xr:uid="{00000000-0005-0000-0000-000077670000}"/>
    <cellStyle name="Output 2 4 3 11" xfId="26481" xr:uid="{00000000-0005-0000-0000-000078670000}"/>
    <cellStyle name="Output 2 4 3 12" xfId="26482" xr:uid="{00000000-0005-0000-0000-000079670000}"/>
    <cellStyle name="Output 2 4 3 13" xfId="26483" xr:uid="{00000000-0005-0000-0000-00007A670000}"/>
    <cellStyle name="Output 2 4 3 14" xfId="26484" xr:uid="{00000000-0005-0000-0000-00007B670000}"/>
    <cellStyle name="Output 2 4 3 15" xfId="26485" xr:uid="{00000000-0005-0000-0000-00007C670000}"/>
    <cellStyle name="Output 2 4 3 16" xfId="26486" xr:uid="{00000000-0005-0000-0000-00007D670000}"/>
    <cellStyle name="Output 2 4 3 17" xfId="26487" xr:uid="{00000000-0005-0000-0000-00007E670000}"/>
    <cellStyle name="Output 2 4 3 18" xfId="26488" xr:uid="{00000000-0005-0000-0000-00007F670000}"/>
    <cellStyle name="Output 2 4 3 19" xfId="26489" xr:uid="{00000000-0005-0000-0000-000080670000}"/>
    <cellStyle name="Output 2 4 3 2" xfId="26490" xr:uid="{00000000-0005-0000-0000-000081670000}"/>
    <cellStyle name="Output 2 4 3 20" xfId="26491" xr:uid="{00000000-0005-0000-0000-000082670000}"/>
    <cellStyle name="Output 2 4 3 21" xfId="26492" xr:uid="{00000000-0005-0000-0000-000083670000}"/>
    <cellStyle name="Output 2 4 3 22" xfId="26493" xr:uid="{00000000-0005-0000-0000-000084670000}"/>
    <cellStyle name="Output 2 4 3 23" xfId="26494" xr:uid="{00000000-0005-0000-0000-000085670000}"/>
    <cellStyle name="Output 2 4 3 24" xfId="26495" xr:uid="{00000000-0005-0000-0000-000086670000}"/>
    <cellStyle name="Output 2 4 3 25" xfId="26496" xr:uid="{00000000-0005-0000-0000-000087670000}"/>
    <cellStyle name="Output 2 4 3 26" xfId="26497" xr:uid="{00000000-0005-0000-0000-000088670000}"/>
    <cellStyle name="Output 2 4 3 27" xfId="26498" xr:uid="{00000000-0005-0000-0000-000089670000}"/>
    <cellStyle name="Output 2 4 3 28" xfId="26499" xr:uid="{00000000-0005-0000-0000-00008A670000}"/>
    <cellStyle name="Output 2 4 3 29" xfId="26500" xr:uid="{00000000-0005-0000-0000-00008B670000}"/>
    <cellStyle name="Output 2 4 3 3" xfId="26501" xr:uid="{00000000-0005-0000-0000-00008C670000}"/>
    <cellStyle name="Output 2 4 3 30" xfId="26502" xr:uid="{00000000-0005-0000-0000-00008D670000}"/>
    <cellStyle name="Output 2 4 3 31" xfId="26503" xr:uid="{00000000-0005-0000-0000-00008E670000}"/>
    <cellStyle name="Output 2 4 3 32" xfId="26504" xr:uid="{00000000-0005-0000-0000-00008F670000}"/>
    <cellStyle name="Output 2 4 3 33" xfId="26505" xr:uid="{00000000-0005-0000-0000-000090670000}"/>
    <cellStyle name="Output 2 4 3 34" xfId="26506" xr:uid="{00000000-0005-0000-0000-000091670000}"/>
    <cellStyle name="Output 2 4 3 4" xfId="26507" xr:uid="{00000000-0005-0000-0000-000092670000}"/>
    <cellStyle name="Output 2 4 3 5" xfId="26508" xr:uid="{00000000-0005-0000-0000-000093670000}"/>
    <cellStyle name="Output 2 4 3 6" xfId="26509" xr:uid="{00000000-0005-0000-0000-000094670000}"/>
    <cellStyle name="Output 2 4 3 7" xfId="26510" xr:uid="{00000000-0005-0000-0000-000095670000}"/>
    <cellStyle name="Output 2 4 3 8" xfId="26511" xr:uid="{00000000-0005-0000-0000-000096670000}"/>
    <cellStyle name="Output 2 4 3 9" xfId="26512" xr:uid="{00000000-0005-0000-0000-000097670000}"/>
    <cellStyle name="Output 2 4 4" xfId="26513" xr:uid="{00000000-0005-0000-0000-000098670000}"/>
    <cellStyle name="Output 2 4 4 2" xfId="26514" xr:uid="{00000000-0005-0000-0000-000099670000}"/>
    <cellStyle name="Output 2 4 4 3" xfId="26515" xr:uid="{00000000-0005-0000-0000-00009A670000}"/>
    <cellStyle name="Output 2 4 5" xfId="26516" xr:uid="{00000000-0005-0000-0000-00009B670000}"/>
    <cellStyle name="Output 2 4 6" xfId="26517" xr:uid="{00000000-0005-0000-0000-00009C670000}"/>
    <cellStyle name="Output 2 4 7" xfId="26518" xr:uid="{00000000-0005-0000-0000-00009D670000}"/>
    <cellStyle name="Output 2 4 8" xfId="26519" xr:uid="{00000000-0005-0000-0000-00009E670000}"/>
    <cellStyle name="Output 2 4 9" xfId="26520" xr:uid="{00000000-0005-0000-0000-00009F670000}"/>
    <cellStyle name="Output 2 5" xfId="26521" xr:uid="{00000000-0005-0000-0000-0000A0670000}"/>
    <cellStyle name="Output 2 5 2" xfId="26522" xr:uid="{00000000-0005-0000-0000-0000A1670000}"/>
    <cellStyle name="Output 2 6" xfId="26523" xr:uid="{00000000-0005-0000-0000-0000A2670000}"/>
    <cellStyle name="Output 2 6 2" xfId="26524" xr:uid="{00000000-0005-0000-0000-0000A3670000}"/>
    <cellStyle name="Output 2 7" xfId="26525" xr:uid="{00000000-0005-0000-0000-0000A4670000}"/>
    <cellStyle name="Output 2 7 2" xfId="26526" xr:uid="{00000000-0005-0000-0000-0000A5670000}"/>
    <cellStyle name="Output 2 8" xfId="26527" xr:uid="{00000000-0005-0000-0000-0000A6670000}"/>
    <cellStyle name="Output 2 8 2" xfId="26528" xr:uid="{00000000-0005-0000-0000-0000A7670000}"/>
    <cellStyle name="Output 2 9" xfId="26529" xr:uid="{00000000-0005-0000-0000-0000A8670000}"/>
    <cellStyle name="Output 2 9 2" xfId="26530" xr:uid="{00000000-0005-0000-0000-0000A9670000}"/>
    <cellStyle name="Output 20" xfId="26531" xr:uid="{00000000-0005-0000-0000-0000AA670000}"/>
    <cellStyle name="Output 20 2" xfId="26532" xr:uid="{00000000-0005-0000-0000-0000AB670000}"/>
    <cellStyle name="Output 21" xfId="26533" xr:uid="{00000000-0005-0000-0000-0000AC670000}"/>
    <cellStyle name="Output 21 2" xfId="26534" xr:uid="{00000000-0005-0000-0000-0000AD670000}"/>
    <cellStyle name="Output 22" xfId="26535" xr:uid="{00000000-0005-0000-0000-0000AE670000}"/>
    <cellStyle name="Output 22 2" xfId="26536" xr:uid="{00000000-0005-0000-0000-0000AF670000}"/>
    <cellStyle name="Output 23" xfId="26537" xr:uid="{00000000-0005-0000-0000-0000B0670000}"/>
    <cellStyle name="Output 23 2" xfId="26538" xr:uid="{00000000-0005-0000-0000-0000B1670000}"/>
    <cellStyle name="Output 24" xfId="26539" xr:uid="{00000000-0005-0000-0000-0000B2670000}"/>
    <cellStyle name="Output 24 2" xfId="26540" xr:uid="{00000000-0005-0000-0000-0000B3670000}"/>
    <cellStyle name="Output 25" xfId="26541" xr:uid="{00000000-0005-0000-0000-0000B4670000}"/>
    <cellStyle name="Output 25 2" xfId="26542" xr:uid="{00000000-0005-0000-0000-0000B5670000}"/>
    <cellStyle name="Output 26" xfId="26543" xr:uid="{00000000-0005-0000-0000-0000B6670000}"/>
    <cellStyle name="Output 26 2" xfId="26544" xr:uid="{00000000-0005-0000-0000-0000B7670000}"/>
    <cellStyle name="Output 27" xfId="26545" xr:uid="{00000000-0005-0000-0000-0000B8670000}"/>
    <cellStyle name="Output 27 2" xfId="26546" xr:uid="{00000000-0005-0000-0000-0000B9670000}"/>
    <cellStyle name="Output 3" xfId="26547" xr:uid="{00000000-0005-0000-0000-0000BA670000}"/>
    <cellStyle name="Output 3 10" xfId="26548" xr:uid="{00000000-0005-0000-0000-0000BB670000}"/>
    <cellStyle name="Output 3 11" xfId="26549" xr:uid="{00000000-0005-0000-0000-0000BC670000}"/>
    <cellStyle name="Output 3 12" xfId="26550" xr:uid="{00000000-0005-0000-0000-0000BD670000}"/>
    <cellStyle name="Output 3 13" xfId="26551" xr:uid="{00000000-0005-0000-0000-0000BE670000}"/>
    <cellStyle name="Output 3 14" xfId="26552" xr:uid="{00000000-0005-0000-0000-0000BF670000}"/>
    <cellStyle name="Output 3 15" xfId="26553" xr:uid="{00000000-0005-0000-0000-0000C0670000}"/>
    <cellStyle name="Output 3 16" xfId="26554" xr:uid="{00000000-0005-0000-0000-0000C1670000}"/>
    <cellStyle name="Output 3 17" xfId="26555" xr:uid="{00000000-0005-0000-0000-0000C2670000}"/>
    <cellStyle name="Output 3 18" xfId="26556" xr:uid="{00000000-0005-0000-0000-0000C3670000}"/>
    <cellStyle name="Output 3 19" xfId="26557" xr:uid="{00000000-0005-0000-0000-0000C4670000}"/>
    <cellStyle name="Output 3 2" xfId="26558" xr:uid="{00000000-0005-0000-0000-0000C5670000}"/>
    <cellStyle name="Output 3 2 10" xfId="26559" xr:uid="{00000000-0005-0000-0000-0000C6670000}"/>
    <cellStyle name="Output 3 2 11" xfId="26560" xr:uid="{00000000-0005-0000-0000-0000C7670000}"/>
    <cellStyle name="Output 3 2 12" xfId="26561" xr:uid="{00000000-0005-0000-0000-0000C8670000}"/>
    <cellStyle name="Output 3 2 13" xfId="26562" xr:uid="{00000000-0005-0000-0000-0000C9670000}"/>
    <cellStyle name="Output 3 2 14" xfId="26563" xr:uid="{00000000-0005-0000-0000-0000CA670000}"/>
    <cellStyle name="Output 3 2 15" xfId="26564" xr:uid="{00000000-0005-0000-0000-0000CB670000}"/>
    <cellStyle name="Output 3 2 16" xfId="26565" xr:uid="{00000000-0005-0000-0000-0000CC670000}"/>
    <cellStyle name="Output 3 2 17" xfId="26566" xr:uid="{00000000-0005-0000-0000-0000CD670000}"/>
    <cellStyle name="Output 3 2 18" xfId="26567" xr:uid="{00000000-0005-0000-0000-0000CE670000}"/>
    <cellStyle name="Output 3 2 19" xfId="26568" xr:uid="{00000000-0005-0000-0000-0000CF670000}"/>
    <cellStyle name="Output 3 2 2" xfId="26569" xr:uid="{00000000-0005-0000-0000-0000D0670000}"/>
    <cellStyle name="Output 3 2 2 10" xfId="26570" xr:uid="{00000000-0005-0000-0000-0000D1670000}"/>
    <cellStyle name="Output 3 2 2 11" xfId="26571" xr:uid="{00000000-0005-0000-0000-0000D2670000}"/>
    <cellStyle name="Output 3 2 2 12" xfId="26572" xr:uid="{00000000-0005-0000-0000-0000D3670000}"/>
    <cellStyle name="Output 3 2 2 13" xfId="26573" xr:uid="{00000000-0005-0000-0000-0000D4670000}"/>
    <cellStyle name="Output 3 2 2 14" xfId="26574" xr:uid="{00000000-0005-0000-0000-0000D5670000}"/>
    <cellStyle name="Output 3 2 2 15" xfId="26575" xr:uid="{00000000-0005-0000-0000-0000D6670000}"/>
    <cellStyle name="Output 3 2 2 16" xfId="26576" xr:uid="{00000000-0005-0000-0000-0000D7670000}"/>
    <cellStyle name="Output 3 2 2 17" xfId="26577" xr:uid="{00000000-0005-0000-0000-0000D8670000}"/>
    <cellStyle name="Output 3 2 2 18" xfId="26578" xr:uid="{00000000-0005-0000-0000-0000D9670000}"/>
    <cellStyle name="Output 3 2 2 19" xfId="26579" xr:uid="{00000000-0005-0000-0000-0000DA670000}"/>
    <cellStyle name="Output 3 2 2 2" xfId="26580" xr:uid="{00000000-0005-0000-0000-0000DB670000}"/>
    <cellStyle name="Output 3 2 2 2 10" xfId="26581" xr:uid="{00000000-0005-0000-0000-0000DC670000}"/>
    <cellStyle name="Output 3 2 2 2 11" xfId="26582" xr:uid="{00000000-0005-0000-0000-0000DD670000}"/>
    <cellStyle name="Output 3 2 2 2 12" xfId="26583" xr:uid="{00000000-0005-0000-0000-0000DE670000}"/>
    <cellStyle name="Output 3 2 2 2 13" xfId="26584" xr:uid="{00000000-0005-0000-0000-0000DF670000}"/>
    <cellStyle name="Output 3 2 2 2 14" xfId="26585" xr:uid="{00000000-0005-0000-0000-0000E0670000}"/>
    <cellStyle name="Output 3 2 2 2 15" xfId="26586" xr:uid="{00000000-0005-0000-0000-0000E1670000}"/>
    <cellStyle name="Output 3 2 2 2 16" xfId="26587" xr:uid="{00000000-0005-0000-0000-0000E2670000}"/>
    <cellStyle name="Output 3 2 2 2 17" xfId="26588" xr:uid="{00000000-0005-0000-0000-0000E3670000}"/>
    <cellStyle name="Output 3 2 2 2 18" xfId="26589" xr:uid="{00000000-0005-0000-0000-0000E4670000}"/>
    <cellStyle name="Output 3 2 2 2 19" xfId="26590" xr:uid="{00000000-0005-0000-0000-0000E5670000}"/>
    <cellStyle name="Output 3 2 2 2 2" xfId="26591" xr:uid="{00000000-0005-0000-0000-0000E6670000}"/>
    <cellStyle name="Output 3 2 2 2 20" xfId="26592" xr:uid="{00000000-0005-0000-0000-0000E7670000}"/>
    <cellStyle name="Output 3 2 2 2 21" xfId="26593" xr:uid="{00000000-0005-0000-0000-0000E8670000}"/>
    <cellStyle name="Output 3 2 2 2 22" xfId="26594" xr:uid="{00000000-0005-0000-0000-0000E9670000}"/>
    <cellStyle name="Output 3 2 2 2 23" xfId="26595" xr:uid="{00000000-0005-0000-0000-0000EA670000}"/>
    <cellStyle name="Output 3 2 2 2 24" xfId="26596" xr:uid="{00000000-0005-0000-0000-0000EB670000}"/>
    <cellStyle name="Output 3 2 2 2 25" xfId="26597" xr:uid="{00000000-0005-0000-0000-0000EC670000}"/>
    <cellStyle name="Output 3 2 2 2 26" xfId="26598" xr:uid="{00000000-0005-0000-0000-0000ED670000}"/>
    <cellStyle name="Output 3 2 2 2 27" xfId="26599" xr:uid="{00000000-0005-0000-0000-0000EE670000}"/>
    <cellStyle name="Output 3 2 2 2 28" xfId="26600" xr:uid="{00000000-0005-0000-0000-0000EF670000}"/>
    <cellStyle name="Output 3 2 2 2 29" xfId="26601" xr:uid="{00000000-0005-0000-0000-0000F0670000}"/>
    <cellStyle name="Output 3 2 2 2 3" xfId="26602" xr:uid="{00000000-0005-0000-0000-0000F1670000}"/>
    <cellStyle name="Output 3 2 2 2 30" xfId="26603" xr:uid="{00000000-0005-0000-0000-0000F2670000}"/>
    <cellStyle name="Output 3 2 2 2 31" xfId="26604" xr:uid="{00000000-0005-0000-0000-0000F3670000}"/>
    <cellStyle name="Output 3 2 2 2 32" xfId="26605" xr:uid="{00000000-0005-0000-0000-0000F4670000}"/>
    <cellStyle name="Output 3 2 2 2 33" xfId="26606" xr:uid="{00000000-0005-0000-0000-0000F5670000}"/>
    <cellStyle name="Output 3 2 2 2 34" xfId="26607" xr:uid="{00000000-0005-0000-0000-0000F6670000}"/>
    <cellStyle name="Output 3 2 2 2 4" xfId="26608" xr:uid="{00000000-0005-0000-0000-0000F7670000}"/>
    <cellStyle name="Output 3 2 2 2 5" xfId="26609" xr:uid="{00000000-0005-0000-0000-0000F8670000}"/>
    <cellStyle name="Output 3 2 2 2 6" xfId="26610" xr:uid="{00000000-0005-0000-0000-0000F9670000}"/>
    <cellStyle name="Output 3 2 2 2 7" xfId="26611" xr:uid="{00000000-0005-0000-0000-0000FA670000}"/>
    <cellStyle name="Output 3 2 2 2 8" xfId="26612" xr:uid="{00000000-0005-0000-0000-0000FB670000}"/>
    <cellStyle name="Output 3 2 2 2 9" xfId="26613" xr:uid="{00000000-0005-0000-0000-0000FC670000}"/>
    <cellStyle name="Output 3 2 2 20" xfId="26614" xr:uid="{00000000-0005-0000-0000-0000FD670000}"/>
    <cellStyle name="Output 3 2 2 3" xfId="26615" xr:uid="{00000000-0005-0000-0000-0000FE670000}"/>
    <cellStyle name="Output 3 2 2 3 2" xfId="26616" xr:uid="{00000000-0005-0000-0000-0000FF670000}"/>
    <cellStyle name="Output 3 2 2 3 3" xfId="26617" xr:uid="{00000000-0005-0000-0000-000000680000}"/>
    <cellStyle name="Output 3 2 2 4" xfId="26618" xr:uid="{00000000-0005-0000-0000-000001680000}"/>
    <cellStyle name="Output 3 2 2 5" xfId="26619" xr:uid="{00000000-0005-0000-0000-000002680000}"/>
    <cellStyle name="Output 3 2 2 6" xfId="26620" xr:uid="{00000000-0005-0000-0000-000003680000}"/>
    <cellStyle name="Output 3 2 2 7" xfId="26621" xr:uid="{00000000-0005-0000-0000-000004680000}"/>
    <cellStyle name="Output 3 2 2 8" xfId="26622" xr:uid="{00000000-0005-0000-0000-000005680000}"/>
    <cellStyle name="Output 3 2 2 9" xfId="26623" xr:uid="{00000000-0005-0000-0000-000006680000}"/>
    <cellStyle name="Output 3 2 20" xfId="26624" xr:uid="{00000000-0005-0000-0000-000007680000}"/>
    <cellStyle name="Output 3 2 21" xfId="26625" xr:uid="{00000000-0005-0000-0000-000008680000}"/>
    <cellStyle name="Output 3 2 3" xfId="26626" xr:uid="{00000000-0005-0000-0000-000009680000}"/>
    <cellStyle name="Output 3 2 3 10" xfId="26627" xr:uid="{00000000-0005-0000-0000-00000A680000}"/>
    <cellStyle name="Output 3 2 3 11" xfId="26628" xr:uid="{00000000-0005-0000-0000-00000B680000}"/>
    <cellStyle name="Output 3 2 3 12" xfId="26629" xr:uid="{00000000-0005-0000-0000-00000C680000}"/>
    <cellStyle name="Output 3 2 3 13" xfId="26630" xr:uid="{00000000-0005-0000-0000-00000D680000}"/>
    <cellStyle name="Output 3 2 3 14" xfId="26631" xr:uid="{00000000-0005-0000-0000-00000E680000}"/>
    <cellStyle name="Output 3 2 3 15" xfId="26632" xr:uid="{00000000-0005-0000-0000-00000F680000}"/>
    <cellStyle name="Output 3 2 3 16" xfId="26633" xr:uid="{00000000-0005-0000-0000-000010680000}"/>
    <cellStyle name="Output 3 2 3 17" xfId="26634" xr:uid="{00000000-0005-0000-0000-000011680000}"/>
    <cellStyle name="Output 3 2 3 18" xfId="26635" xr:uid="{00000000-0005-0000-0000-000012680000}"/>
    <cellStyle name="Output 3 2 3 19" xfId="26636" xr:uid="{00000000-0005-0000-0000-000013680000}"/>
    <cellStyle name="Output 3 2 3 2" xfId="26637" xr:uid="{00000000-0005-0000-0000-000014680000}"/>
    <cellStyle name="Output 3 2 3 20" xfId="26638" xr:uid="{00000000-0005-0000-0000-000015680000}"/>
    <cellStyle name="Output 3 2 3 21" xfId="26639" xr:uid="{00000000-0005-0000-0000-000016680000}"/>
    <cellStyle name="Output 3 2 3 22" xfId="26640" xr:uid="{00000000-0005-0000-0000-000017680000}"/>
    <cellStyle name="Output 3 2 3 23" xfId="26641" xr:uid="{00000000-0005-0000-0000-000018680000}"/>
    <cellStyle name="Output 3 2 3 24" xfId="26642" xr:uid="{00000000-0005-0000-0000-000019680000}"/>
    <cellStyle name="Output 3 2 3 25" xfId="26643" xr:uid="{00000000-0005-0000-0000-00001A680000}"/>
    <cellStyle name="Output 3 2 3 26" xfId="26644" xr:uid="{00000000-0005-0000-0000-00001B680000}"/>
    <cellStyle name="Output 3 2 3 27" xfId="26645" xr:uid="{00000000-0005-0000-0000-00001C680000}"/>
    <cellStyle name="Output 3 2 3 28" xfId="26646" xr:uid="{00000000-0005-0000-0000-00001D680000}"/>
    <cellStyle name="Output 3 2 3 29" xfId="26647" xr:uid="{00000000-0005-0000-0000-00001E680000}"/>
    <cellStyle name="Output 3 2 3 3" xfId="26648" xr:uid="{00000000-0005-0000-0000-00001F680000}"/>
    <cellStyle name="Output 3 2 3 30" xfId="26649" xr:uid="{00000000-0005-0000-0000-000020680000}"/>
    <cellStyle name="Output 3 2 3 31" xfId="26650" xr:uid="{00000000-0005-0000-0000-000021680000}"/>
    <cellStyle name="Output 3 2 3 32" xfId="26651" xr:uid="{00000000-0005-0000-0000-000022680000}"/>
    <cellStyle name="Output 3 2 3 33" xfId="26652" xr:uid="{00000000-0005-0000-0000-000023680000}"/>
    <cellStyle name="Output 3 2 3 34" xfId="26653" xr:uid="{00000000-0005-0000-0000-000024680000}"/>
    <cellStyle name="Output 3 2 3 4" xfId="26654" xr:uid="{00000000-0005-0000-0000-000025680000}"/>
    <cellStyle name="Output 3 2 3 5" xfId="26655" xr:uid="{00000000-0005-0000-0000-000026680000}"/>
    <cellStyle name="Output 3 2 3 6" xfId="26656" xr:uid="{00000000-0005-0000-0000-000027680000}"/>
    <cellStyle name="Output 3 2 3 7" xfId="26657" xr:uid="{00000000-0005-0000-0000-000028680000}"/>
    <cellStyle name="Output 3 2 3 8" xfId="26658" xr:uid="{00000000-0005-0000-0000-000029680000}"/>
    <cellStyle name="Output 3 2 3 9" xfId="26659" xr:uid="{00000000-0005-0000-0000-00002A680000}"/>
    <cellStyle name="Output 3 2 4" xfId="26660" xr:uid="{00000000-0005-0000-0000-00002B680000}"/>
    <cellStyle name="Output 3 2 4 2" xfId="26661" xr:uid="{00000000-0005-0000-0000-00002C680000}"/>
    <cellStyle name="Output 3 2 4 3" xfId="26662" xr:uid="{00000000-0005-0000-0000-00002D680000}"/>
    <cellStyle name="Output 3 2 5" xfId="26663" xr:uid="{00000000-0005-0000-0000-00002E680000}"/>
    <cellStyle name="Output 3 2 6" xfId="26664" xr:uid="{00000000-0005-0000-0000-00002F680000}"/>
    <cellStyle name="Output 3 2 7" xfId="26665" xr:uid="{00000000-0005-0000-0000-000030680000}"/>
    <cellStyle name="Output 3 2 8" xfId="26666" xr:uid="{00000000-0005-0000-0000-000031680000}"/>
    <cellStyle name="Output 3 2 9" xfId="26667" xr:uid="{00000000-0005-0000-0000-000032680000}"/>
    <cellStyle name="Output 3 20" xfId="26668" xr:uid="{00000000-0005-0000-0000-000033680000}"/>
    <cellStyle name="Output 3 21" xfId="26669" xr:uid="{00000000-0005-0000-0000-000034680000}"/>
    <cellStyle name="Output 3 22" xfId="26670" xr:uid="{00000000-0005-0000-0000-000035680000}"/>
    <cellStyle name="Output 3 3" xfId="26671" xr:uid="{00000000-0005-0000-0000-000036680000}"/>
    <cellStyle name="Output 3 3 10" xfId="26672" xr:uid="{00000000-0005-0000-0000-000037680000}"/>
    <cellStyle name="Output 3 3 11" xfId="26673" xr:uid="{00000000-0005-0000-0000-000038680000}"/>
    <cellStyle name="Output 3 3 12" xfId="26674" xr:uid="{00000000-0005-0000-0000-000039680000}"/>
    <cellStyle name="Output 3 3 13" xfId="26675" xr:uid="{00000000-0005-0000-0000-00003A680000}"/>
    <cellStyle name="Output 3 3 14" xfId="26676" xr:uid="{00000000-0005-0000-0000-00003B680000}"/>
    <cellStyle name="Output 3 3 15" xfId="26677" xr:uid="{00000000-0005-0000-0000-00003C680000}"/>
    <cellStyle name="Output 3 3 16" xfId="26678" xr:uid="{00000000-0005-0000-0000-00003D680000}"/>
    <cellStyle name="Output 3 3 17" xfId="26679" xr:uid="{00000000-0005-0000-0000-00003E680000}"/>
    <cellStyle name="Output 3 3 18" xfId="26680" xr:uid="{00000000-0005-0000-0000-00003F680000}"/>
    <cellStyle name="Output 3 3 19" xfId="26681" xr:uid="{00000000-0005-0000-0000-000040680000}"/>
    <cellStyle name="Output 3 3 2" xfId="26682" xr:uid="{00000000-0005-0000-0000-000041680000}"/>
    <cellStyle name="Output 3 3 2 10" xfId="26683" xr:uid="{00000000-0005-0000-0000-000042680000}"/>
    <cellStyle name="Output 3 3 2 11" xfId="26684" xr:uid="{00000000-0005-0000-0000-000043680000}"/>
    <cellStyle name="Output 3 3 2 12" xfId="26685" xr:uid="{00000000-0005-0000-0000-000044680000}"/>
    <cellStyle name="Output 3 3 2 13" xfId="26686" xr:uid="{00000000-0005-0000-0000-000045680000}"/>
    <cellStyle name="Output 3 3 2 14" xfId="26687" xr:uid="{00000000-0005-0000-0000-000046680000}"/>
    <cellStyle name="Output 3 3 2 15" xfId="26688" xr:uid="{00000000-0005-0000-0000-000047680000}"/>
    <cellStyle name="Output 3 3 2 16" xfId="26689" xr:uid="{00000000-0005-0000-0000-000048680000}"/>
    <cellStyle name="Output 3 3 2 17" xfId="26690" xr:uid="{00000000-0005-0000-0000-000049680000}"/>
    <cellStyle name="Output 3 3 2 18" xfId="26691" xr:uid="{00000000-0005-0000-0000-00004A680000}"/>
    <cellStyle name="Output 3 3 2 19" xfId="26692" xr:uid="{00000000-0005-0000-0000-00004B680000}"/>
    <cellStyle name="Output 3 3 2 2" xfId="26693" xr:uid="{00000000-0005-0000-0000-00004C680000}"/>
    <cellStyle name="Output 3 3 2 20" xfId="26694" xr:uid="{00000000-0005-0000-0000-00004D680000}"/>
    <cellStyle name="Output 3 3 2 21" xfId="26695" xr:uid="{00000000-0005-0000-0000-00004E680000}"/>
    <cellStyle name="Output 3 3 2 22" xfId="26696" xr:uid="{00000000-0005-0000-0000-00004F680000}"/>
    <cellStyle name="Output 3 3 2 23" xfId="26697" xr:uid="{00000000-0005-0000-0000-000050680000}"/>
    <cellStyle name="Output 3 3 2 24" xfId="26698" xr:uid="{00000000-0005-0000-0000-000051680000}"/>
    <cellStyle name="Output 3 3 2 25" xfId="26699" xr:uid="{00000000-0005-0000-0000-000052680000}"/>
    <cellStyle name="Output 3 3 2 26" xfId="26700" xr:uid="{00000000-0005-0000-0000-000053680000}"/>
    <cellStyle name="Output 3 3 2 27" xfId="26701" xr:uid="{00000000-0005-0000-0000-000054680000}"/>
    <cellStyle name="Output 3 3 2 28" xfId="26702" xr:uid="{00000000-0005-0000-0000-000055680000}"/>
    <cellStyle name="Output 3 3 2 29" xfId="26703" xr:uid="{00000000-0005-0000-0000-000056680000}"/>
    <cellStyle name="Output 3 3 2 3" xfId="26704" xr:uid="{00000000-0005-0000-0000-000057680000}"/>
    <cellStyle name="Output 3 3 2 30" xfId="26705" xr:uid="{00000000-0005-0000-0000-000058680000}"/>
    <cellStyle name="Output 3 3 2 31" xfId="26706" xr:uid="{00000000-0005-0000-0000-000059680000}"/>
    <cellStyle name="Output 3 3 2 32" xfId="26707" xr:uid="{00000000-0005-0000-0000-00005A680000}"/>
    <cellStyle name="Output 3 3 2 33" xfId="26708" xr:uid="{00000000-0005-0000-0000-00005B680000}"/>
    <cellStyle name="Output 3 3 2 34" xfId="26709" xr:uid="{00000000-0005-0000-0000-00005C680000}"/>
    <cellStyle name="Output 3 3 2 4" xfId="26710" xr:uid="{00000000-0005-0000-0000-00005D680000}"/>
    <cellStyle name="Output 3 3 2 5" xfId="26711" xr:uid="{00000000-0005-0000-0000-00005E680000}"/>
    <cellStyle name="Output 3 3 2 6" xfId="26712" xr:uid="{00000000-0005-0000-0000-00005F680000}"/>
    <cellStyle name="Output 3 3 2 7" xfId="26713" xr:uid="{00000000-0005-0000-0000-000060680000}"/>
    <cellStyle name="Output 3 3 2 8" xfId="26714" xr:uid="{00000000-0005-0000-0000-000061680000}"/>
    <cellStyle name="Output 3 3 2 9" xfId="26715" xr:uid="{00000000-0005-0000-0000-000062680000}"/>
    <cellStyle name="Output 3 3 20" xfId="26716" xr:uid="{00000000-0005-0000-0000-000063680000}"/>
    <cellStyle name="Output 3 3 3" xfId="26717" xr:uid="{00000000-0005-0000-0000-000064680000}"/>
    <cellStyle name="Output 3 3 3 2" xfId="26718" xr:uid="{00000000-0005-0000-0000-000065680000}"/>
    <cellStyle name="Output 3 3 3 3" xfId="26719" xr:uid="{00000000-0005-0000-0000-000066680000}"/>
    <cellStyle name="Output 3 3 4" xfId="26720" xr:uid="{00000000-0005-0000-0000-000067680000}"/>
    <cellStyle name="Output 3 3 5" xfId="26721" xr:uid="{00000000-0005-0000-0000-000068680000}"/>
    <cellStyle name="Output 3 3 6" xfId="26722" xr:uid="{00000000-0005-0000-0000-000069680000}"/>
    <cellStyle name="Output 3 3 7" xfId="26723" xr:uid="{00000000-0005-0000-0000-00006A680000}"/>
    <cellStyle name="Output 3 3 8" xfId="26724" xr:uid="{00000000-0005-0000-0000-00006B680000}"/>
    <cellStyle name="Output 3 3 9" xfId="26725" xr:uid="{00000000-0005-0000-0000-00006C680000}"/>
    <cellStyle name="Output 3 4" xfId="26726" xr:uid="{00000000-0005-0000-0000-00006D680000}"/>
    <cellStyle name="Output 3 4 10" xfId="26727" xr:uid="{00000000-0005-0000-0000-00006E680000}"/>
    <cellStyle name="Output 3 4 11" xfId="26728" xr:uid="{00000000-0005-0000-0000-00006F680000}"/>
    <cellStyle name="Output 3 4 12" xfId="26729" xr:uid="{00000000-0005-0000-0000-000070680000}"/>
    <cellStyle name="Output 3 4 13" xfId="26730" xr:uid="{00000000-0005-0000-0000-000071680000}"/>
    <cellStyle name="Output 3 4 14" xfId="26731" xr:uid="{00000000-0005-0000-0000-000072680000}"/>
    <cellStyle name="Output 3 4 15" xfId="26732" xr:uid="{00000000-0005-0000-0000-000073680000}"/>
    <cellStyle name="Output 3 4 16" xfId="26733" xr:uid="{00000000-0005-0000-0000-000074680000}"/>
    <cellStyle name="Output 3 4 17" xfId="26734" xr:uid="{00000000-0005-0000-0000-000075680000}"/>
    <cellStyle name="Output 3 4 18" xfId="26735" xr:uid="{00000000-0005-0000-0000-000076680000}"/>
    <cellStyle name="Output 3 4 19" xfId="26736" xr:uid="{00000000-0005-0000-0000-000077680000}"/>
    <cellStyle name="Output 3 4 2" xfId="26737" xr:uid="{00000000-0005-0000-0000-000078680000}"/>
    <cellStyle name="Output 3 4 20" xfId="26738" xr:uid="{00000000-0005-0000-0000-000079680000}"/>
    <cellStyle name="Output 3 4 21" xfId="26739" xr:uid="{00000000-0005-0000-0000-00007A680000}"/>
    <cellStyle name="Output 3 4 22" xfId="26740" xr:uid="{00000000-0005-0000-0000-00007B680000}"/>
    <cellStyle name="Output 3 4 23" xfId="26741" xr:uid="{00000000-0005-0000-0000-00007C680000}"/>
    <cellStyle name="Output 3 4 24" xfId="26742" xr:uid="{00000000-0005-0000-0000-00007D680000}"/>
    <cellStyle name="Output 3 4 25" xfId="26743" xr:uid="{00000000-0005-0000-0000-00007E680000}"/>
    <cellStyle name="Output 3 4 26" xfId="26744" xr:uid="{00000000-0005-0000-0000-00007F680000}"/>
    <cellStyle name="Output 3 4 27" xfId="26745" xr:uid="{00000000-0005-0000-0000-000080680000}"/>
    <cellStyle name="Output 3 4 28" xfId="26746" xr:uid="{00000000-0005-0000-0000-000081680000}"/>
    <cellStyle name="Output 3 4 29" xfId="26747" xr:uid="{00000000-0005-0000-0000-000082680000}"/>
    <cellStyle name="Output 3 4 3" xfId="26748" xr:uid="{00000000-0005-0000-0000-000083680000}"/>
    <cellStyle name="Output 3 4 30" xfId="26749" xr:uid="{00000000-0005-0000-0000-000084680000}"/>
    <cellStyle name="Output 3 4 31" xfId="26750" xr:uid="{00000000-0005-0000-0000-000085680000}"/>
    <cellStyle name="Output 3 4 32" xfId="26751" xr:uid="{00000000-0005-0000-0000-000086680000}"/>
    <cellStyle name="Output 3 4 33" xfId="26752" xr:uid="{00000000-0005-0000-0000-000087680000}"/>
    <cellStyle name="Output 3 4 34" xfId="26753" xr:uid="{00000000-0005-0000-0000-000088680000}"/>
    <cellStyle name="Output 3 4 4" xfId="26754" xr:uid="{00000000-0005-0000-0000-000089680000}"/>
    <cellStyle name="Output 3 4 5" xfId="26755" xr:uid="{00000000-0005-0000-0000-00008A680000}"/>
    <cellStyle name="Output 3 4 6" xfId="26756" xr:uid="{00000000-0005-0000-0000-00008B680000}"/>
    <cellStyle name="Output 3 4 7" xfId="26757" xr:uid="{00000000-0005-0000-0000-00008C680000}"/>
    <cellStyle name="Output 3 4 8" xfId="26758" xr:uid="{00000000-0005-0000-0000-00008D680000}"/>
    <cellStyle name="Output 3 4 9" xfId="26759" xr:uid="{00000000-0005-0000-0000-00008E680000}"/>
    <cellStyle name="Output 3 5" xfId="26760" xr:uid="{00000000-0005-0000-0000-00008F680000}"/>
    <cellStyle name="Output 3 5 2" xfId="26761" xr:uid="{00000000-0005-0000-0000-000090680000}"/>
    <cellStyle name="Output 3 5 3" xfId="26762" xr:uid="{00000000-0005-0000-0000-000091680000}"/>
    <cellStyle name="Output 3 6" xfId="26763" xr:uid="{00000000-0005-0000-0000-000092680000}"/>
    <cellStyle name="Output 3 7" xfId="26764" xr:uid="{00000000-0005-0000-0000-000093680000}"/>
    <cellStyle name="Output 3 8" xfId="26765" xr:uid="{00000000-0005-0000-0000-000094680000}"/>
    <cellStyle name="Output 3 9" xfId="26766" xr:uid="{00000000-0005-0000-0000-000095680000}"/>
    <cellStyle name="Output 4" xfId="26767" xr:uid="{00000000-0005-0000-0000-000096680000}"/>
    <cellStyle name="Output 4 2" xfId="26768" xr:uid="{00000000-0005-0000-0000-000097680000}"/>
    <cellStyle name="Output 4 2 2" xfId="26769" xr:uid="{00000000-0005-0000-0000-000098680000}"/>
    <cellStyle name="Output 4 3" xfId="26770" xr:uid="{00000000-0005-0000-0000-000099680000}"/>
    <cellStyle name="Output 4 3 10" xfId="26771" xr:uid="{00000000-0005-0000-0000-00009A680000}"/>
    <cellStyle name="Output 4 3 11" xfId="26772" xr:uid="{00000000-0005-0000-0000-00009B680000}"/>
    <cellStyle name="Output 4 3 12" xfId="26773" xr:uid="{00000000-0005-0000-0000-00009C680000}"/>
    <cellStyle name="Output 4 3 13" xfId="26774" xr:uid="{00000000-0005-0000-0000-00009D680000}"/>
    <cellStyle name="Output 4 3 14" xfId="26775" xr:uid="{00000000-0005-0000-0000-00009E680000}"/>
    <cellStyle name="Output 4 3 15" xfId="26776" xr:uid="{00000000-0005-0000-0000-00009F680000}"/>
    <cellStyle name="Output 4 3 16" xfId="26777" xr:uid="{00000000-0005-0000-0000-0000A0680000}"/>
    <cellStyle name="Output 4 3 17" xfId="26778" xr:uid="{00000000-0005-0000-0000-0000A1680000}"/>
    <cellStyle name="Output 4 3 18" xfId="26779" xr:uid="{00000000-0005-0000-0000-0000A2680000}"/>
    <cellStyle name="Output 4 3 19" xfId="26780" xr:uid="{00000000-0005-0000-0000-0000A3680000}"/>
    <cellStyle name="Output 4 3 2" xfId="26781" xr:uid="{00000000-0005-0000-0000-0000A4680000}"/>
    <cellStyle name="Output 4 3 2 10" xfId="26782" xr:uid="{00000000-0005-0000-0000-0000A5680000}"/>
    <cellStyle name="Output 4 3 2 11" xfId="26783" xr:uid="{00000000-0005-0000-0000-0000A6680000}"/>
    <cellStyle name="Output 4 3 2 12" xfId="26784" xr:uid="{00000000-0005-0000-0000-0000A7680000}"/>
    <cellStyle name="Output 4 3 2 13" xfId="26785" xr:uid="{00000000-0005-0000-0000-0000A8680000}"/>
    <cellStyle name="Output 4 3 2 14" xfId="26786" xr:uid="{00000000-0005-0000-0000-0000A9680000}"/>
    <cellStyle name="Output 4 3 2 15" xfId="26787" xr:uid="{00000000-0005-0000-0000-0000AA680000}"/>
    <cellStyle name="Output 4 3 2 16" xfId="26788" xr:uid="{00000000-0005-0000-0000-0000AB680000}"/>
    <cellStyle name="Output 4 3 2 17" xfId="26789" xr:uid="{00000000-0005-0000-0000-0000AC680000}"/>
    <cellStyle name="Output 4 3 2 18" xfId="26790" xr:uid="{00000000-0005-0000-0000-0000AD680000}"/>
    <cellStyle name="Output 4 3 2 19" xfId="26791" xr:uid="{00000000-0005-0000-0000-0000AE680000}"/>
    <cellStyle name="Output 4 3 2 2" xfId="26792" xr:uid="{00000000-0005-0000-0000-0000AF680000}"/>
    <cellStyle name="Output 4 3 2 20" xfId="26793" xr:uid="{00000000-0005-0000-0000-0000B0680000}"/>
    <cellStyle name="Output 4 3 2 21" xfId="26794" xr:uid="{00000000-0005-0000-0000-0000B1680000}"/>
    <cellStyle name="Output 4 3 2 22" xfId="26795" xr:uid="{00000000-0005-0000-0000-0000B2680000}"/>
    <cellStyle name="Output 4 3 2 23" xfId="26796" xr:uid="{00000000-0005-0000-0000-0000B3680000}"/>
    <cellStyle name="Output 4 3 2 24" xfId="26797" xr:uid="{00000000-0005-0000-0000-0000B4680000}"/>
    <cellStyle name="Output 4 3 2 25" xfId="26798" xr:uid="{00000000-0005-0000-0000-0000B5680000}"/>
    <cellStyle name="Output 4 3 2 26" xfId="26799" xr:uid="{00000000-0005-0000-0000-0000B6680000}"/>
    <cellStyle name="Output 4 3 2 27" xfId="26800" xr:uid="{00000000-0005-0000-0000-0000B7680000}"/>
    <cellStyle name="Output 4 3 2 28" xfId="26801" xr:uid="{00000000-0005-0000-0000-0000B8680000}"/>
    <cellStyle name="Output 4 3 2 29" xfId="26802" xr:uid="{00000000-0005-0000-0000-0000B9680000}"/>
    <cellStyle name="Output 4 3 2 3" xfId="26803" xr:uid="{00000000-0005-0000-0000-0000BA680000}"/>
    <cellStyle name="Output 4 3 2 30" xfId="26804" xr:uid="{00000000-0005-0000-0000-0000BB680000}"/>
    <cellStyle name="Output 4 3 2 31" xfId="26805" xr:uid="{00000000-0005-0000-0000-0000BC680000}"/>
    <cellStyle name="Output 4 3 2 32" xfId="26806" xr:uid="{00000000-0005-0000-0000-0000BD680000}"/>
    <cellStyle name="Output 4 3 2 33" xfId="26807" xr:uid="{00000000-0005-0000-0000-0000BE680000}"/>
    <cellStyle name="Output 4 3 2 34" xfId="26808" xr:uid="{00000000-0005-0000-0000-0000BF680000}"/>
    <cellStyle name="Output 4 3 2 4" xfId="26809" xr:uid="{00000000-0005-0000-0000-0000C0680000}"/>
    <cellStyle name="Output 4 3 2 5" xfId="26810" xr:uid="{00000000-0005-0000-0000-0000C1680000}"/>
    <cellStyle name="Output 4 3 2 6" xfId="26811" xr:uid="{00000000-0005-0000-0000-0000C2680000}"/>
    <cellStyle name="Output 4 3 2 7" xfId="26812" xr:uid="{00000000-0005-0000-0000-0000C3680000}"/>
    <cellStyle name="Output 4 3 2 8" xfId="26813" xr:uid="{00000000-0005-0000-0000-0000C4680000}"/>
    <cellStyle name="Output 4 3 2 9" xfId="26814" xr:uid="{00000000-0005-0000-0000-0000C5680000}"/>
    <cellStyle name="Output 4 3 20" xfId="26815" xr:uid="{00000000-0005-0000-0000-0000C6680000}"/>
    <cellStyle name="Output 4 3 3" xfId="26816" xr:uid="{00000000-0005-0000-0000-0000C7680000}"/>
    <cellStyle name="Output 4 3 3 2" xfId="26817" xr:uid="{00000000-0005-0000-0000-0000C8680000}"/>
    <cellStyle name="Output 4 3 3 3" xfId="26818" xr:uid="{00000000-0005-0000-0000-0000C9680000}"/>
    <cellStyle name="Output 4 3 4" xfId="26819" xr:uid="{00000000-0005-0000-0000-0000CA680000}"/>
    <cellStyle name="Output 4 3 5" xfId="26820" xr:uid="{00000000-0005-0000-0000-0000CB680000}"/>
    <cellStyle name="Output 4 3 6" xfId="26821" xr:uid="{00000000-0005-0000-0000-0000CC680000}"/>
    <cellStyle name="Output 4 3 7" xfId="26822" xr:uid="{00000000-0005-0000-0000-0000CD680000}"/>
    <cellStyle name="Output 4 3 8" xfId="26823" xr:uid="{00000000-0005-0000-0000-0000CE680000}"/>
    <cellStyle name="Output 4 3 9" xfId="26824" xr:uid="{00000000-0005-0000-0000-0000CF680000}"/>
    <cellStyle name="Output 5" xfId="26825" xr:uid="{00000000-0005-0000-0000-0000D0680000}"/>
    <cellStyle name="Output 5 10" xfId="26826" xr:uid="{00000000-0005-0000-0000-0000D1680000}"/>
    <cellStyle name="Output 5 11" xfId="26827" xr:uid="{00000000-0005-0000-0000-0000D2680000}"/>
    <cellStyle name="Output 5 12" xfId="26828" xr:uid="{00000000-0005-0000-0000-0000D3680000}"/>
    <cellStyle name="Output 5 13" xfId="26829" xr:uid="{00000000-0005-0000-0000-0000D4680000}"/>
    <cellStyle name="Output 5 14" xfId="26830" xr:uid="{00000000-0005-0000-0000-0000D5680000}"/>
    <cellStyle name="Output 5 15" xfId="26831" xr:uid="{00000000-0005-0000-0000-0000D6680000}"/>
    <cellStyle name="Output 5 16" xfId="26832" xr:uid="{00000000-0005-0000-0000-0000D7680000}"/>
    <cellStyle name="Output 5 17" xfId="26833" xr:uid="{00000000-0005-0000-0000-0000D8680000}"/>
    <cellStyle name="Output 5 18" xfId="26834" xr:uid="{00000000-0005-0000-0000-0000D9680000}"/>
    <cellStyle name="Output 5 19" xfId="26835" xr:uid="{00000000-0005-0000-0000-0000DA680000}"/>
    <cellStyle name="Output 5 2" xfId="26836" xr:uid="{00000000-0005-0000-0000-0000DB680000}"/>
    <cellStyle name="Output 5 2 10" xfId="26837" xr:uid="{00000000-0005-0000-0000-0000DC680000}"/>
    <cellStyle name="Output 5 2 11" xfId="26838" xr:uid="{00000000-0005-0000-0000-0000DD680000}"/>
    <cellStyle name="Output 5 2 12" xfId="26839" xr:uid="{00000000-0005-0000-0000-0000DE680000}"/>
    <cellStyle name="Output 5 2 13" xfId="26840" xr:uid="{00000000-0005-0000-0000-0000DF680000}"/>
    <cellStyle name="Output 5 2 14" xfId="26841" xr:uid="{00000000-0005-0000-0000-0000E0680000}"/>
    <cellStyle name="Output 5 2 15" xfId="26842" xr:uid="{00000000-0005-0000-0000-0000E1680000}"/>
    <cellStyle name="Output 5 2 16" xfId="26843" xr:uid="{00000000-0005-0000-0000-0000E2680000}"/>
    <cellStyle name="Output 5 2 17" xfId="26844" xr:uid="{00000000-0005-0000-0000-0000E3680000}"/>
    <cellStyle name="Output 5 2 18" xfId="26845" xr:uid="{00000000-0005-0000-0000-0000E4680000}"/>
    <cellStyle name="Output 5 2 19" xfId="26846" xr:uid="{00000000-0005-0000-0000-0000E5680000}"/>
    <cellStyle name="Output 5 2 2" xfId="26847" xr:uid="{00000000-0005-0000-0000-0000E6680000}"/>
    <cellStyle name="Output 5 2 2 10" xfId="26848" xr:uid="{00000000-0005-0000-0000-0000E7680000}"/>
    <cellStyle name="Output 5 2 2 11" xfId="26849" xr:uid="{00000000-0005-0000-0000-0000E8680000}"/>
    <cellStyle name="Output 5 2 2 12" xfId="26850" xr:uid="{00000000-0005-0000-0000-0000E9680000}"/>
    <cellStyle name="Output 5 2 2 13" xfId="26851" xr:uid="{00000000-0005-0000-0000-0000EA680000}"/>
    <cellStyle name="Output 5 2 2 14" xfId="26852" xr:uid="{00000000-0005-0000-0000-0000EB680000}"/>
    <cellStyle name="Output 5 2 2 15" xfId="26853" xr:uid="{00000000-0005-0000-0000-0000EC680000}"/>
    <cellStyle name="Output 5 2 2 16" xfId="26854" xr:uid="{00000000-0005-0000-0000-0000ED680000}"/>
    <cellStyle name="Output 5 2 2 17" xfId="26855" xr:uid="{00000000-0005-0000-0000-0000EE680000}"/>
    <cellStyle name="Output 5 2 2 18" xfId="26856" xr:uid="{00000000-0005-0000-0000-0000EF680000}"/>
    <cellStyle name="Output 5 2 2 19" xfId="26857" xr:uid="{00000000-0005-0000-0000-0000F0680000}"/>
    <cellStyle name="Output 5 2 2 2" xfId="26858" xr:uid="{00000000-0005-0000-0000-0000F1680000}"/>
    <cellStyle name="Output 5 2 2 20" xfId="26859" xr:uid="{00000000-0005-0000-0000-0000F2680000}"/>
    <cellStyle name="Output 5 2 2 21" xfId="26860" xr:uid="{00000000-0005-0000-0000-0000F3680000}"/>
    <cellStyle name="Output 5 2 2 22" xfId="26861" xr:uid="{00000000-0005-0000-0000-0000F4680000}"/>
    <cellStyle name="Output 5 2 2 23" xfId="26862" xr:uid="{00000000-0005-0000-0000-0000F5680000}"/>
    <cellStyle name="Output 5 2 2 24" xfId="26863" xr:uid="{00000000-0005-0000-0000-0000F6680000}"/>
    <cellStyle name="Output 5 2 2 25" xfId="26864" xr:uid="{00000000-0005-0000-0000-0000F7680000}"/>
    <cellStyle name="Output 5 2 2 26" xfId="26865" xr:uid="{00000000-0005-0000-0000-0000F8680000}"/>
    <cellStyle name="Output 5 2 2 27" xfId="26866" xr:uid="{00000000-0005-0000-0000-0000F9680000}"/>
    <cellStyle name="Output 5 2 2 28" xfId="26867" xr:uid="{00000000-0005-0000-0000-0000FA680000}"/>
    <cellStyle name="Output 5 2 2 29" xfId="26868" xr:uid="{00000000-0005-0000-0000-0000FB680000}"/>
    <cellStyle name="Output 5 2 2 3" xfId="26869" xr:uid="{00000000-0005-0000-0000-0000FC680000}"/>
    <cellStyle name="Output 5 2 2 30" xfId="26870" xr:uid="{00000000-0005-0000-0000-0000FD680000}"/>
    <cellStyle name="Output 5 2 2 31" xfId="26871" xr:uid="{00000000-0005-0000-0000-0000FE680000}"/>
    <cellStyle name="Output 5 2 2 32" xfId="26872" xr:uid="{00000000-0005-0000-0000-0000FF680000}"/>
    <cellStyle name="Output 5 2 2 33" xfId="26873" xr:uid="{00000000-0005-0000-0000-000000690000}"/>
    <cellStyle name="Output 5 2 2 34" xfId="26874" xr:uid="{00000000-0005-0000-0000-000001690000}"/>
    <cellStyle name="Output 5 2 2 4" xfId="26875" xr:uid="{00000000-0005-0000-0000-000002690000}"/>
    <cellStyle name="Output 5 2 2 5" xfId="26876" xr:uid="{00000000-0005-0000-0000-000003690000}"/>
    <cellStyle name="Output 5 2 2 6" xfId="26877" xr:uid="{00000000-0005-0000-0000-000004690000}"/>
    <cellStyle name="Output 5 2 2 7" xfId="26878" xr:uid="{00000000-0005-0000-0000-000005690000}"/>
    <cellStyle name="Output 5 2 2 8" xfId="26879" xr:uid="{00000000-0005-0000-0000-000006690000}"/>
    <cellStyle name="Output 5 2 2 9" xfId="26880" xr:uid="{00000000-0005-0000-0000-000007690000}"/>
    <cellStyle name="Output 5 2 20" xfId="26881" xr:uid="{00000000-0005-0000-0000-000008690000}"/>
    <cellStyle name="Output 5 2 3" xfId="26882" xr:uid="{00000000-0005-0000-0000-000009690000}"/>
    <cellStyle name="Output 5 2 3 2" xfId="26883" xr:uid="{00000000-0005-0000-0000-00000A690000}"/>
    <cellStyle name="Output 5 2 3 3" xfId="26884" xr:uid="{00000000-0005-0000-0000-00000B690000}"/>
    <cellStyle name="Output 5 2 4" xfId="26885" xr:uid="{00000000-0005-0000-0000-00000C690000}"/>
    <cellStyle name="Output 5 2 5" xfId="26886" xr:uid="{00000000-0005-0000-0000-00000D690000}"/>
    <cellStyle name="Output 5 2 6" xfId="26887" xr:uid="{00000000-0005-0000-0000-00000E690000}"/>
    <cellStyle name="Output 5 2 7" xfId="26888" xr:uid="{00000000-0005-0000-0000-00000F690000}"/>
    <cellStyle name="Output 5 2 8" xfId="26889" xr:uid="{00000000-0005-0000-0000-000010690000}"/>
    <cellStyle name="Output 5 2 9" xfId="26890" xr:uid="{00000000-0005-0000-0000-000011690000}"/>
    <cellStyle name="Output 5 20" xfId="26891" xr:uid="{00000000-0005-0000-0000-000012690000}"/>
    <cellStyle name="Output 5 21" xfId="26892" xr:uid="{00000000-0005-0000-0000-000013690000}"/>
    <cellStyle name="Output 5 3" xfId="26893" xr:uid="{00000000-0005-0000-0000-000014690000}"/>
    <cellStyle name="Output 5 3 10" xfId="26894" xr:uid="{00000000-0005-0000-0000-000015690000}"/>
    <cellStyle name="Output 5 3 11" xfId="26895" xr:uid="{00000000-0005-0000-0000-000016690000}"/>
    <cellStyle name="Output 5 3 12" xfId="26896" xr:uid="{00000000-0005-0000-0000-000017690000}"/>
    <cellStyle name="Output 5 3 13" xfId="26897" xr:uid="{00000000-0005-0000-0000-000018690000}"/>
    <cellStyle name="Output 5 3 14" xfId="26898" xr:uid="{00000000-0005-0000-0000-000019690000}"/>
    <cellStyle name="Output 5 3 15" xfId="26899" xr:uid="{00000000-0005-0000-0000-00001A690000}"/>
    <cellStyle name="Output 5 3 16" xfId="26900" xr:uid="{00000000-0005-0000-0000-00001B690000}"/>
    <cellStyle name="Output 5 3 17" xfId="26901" xr:uid="{00000000-0005-0000-0000-00001C690000}"/>
    <cellStyle name="Output 5 3 18" xfId="26902" xr:uid="{00000000-0005-0000-0000-00001D690000}"/>
    <cellStyle name="Output 5 3 19" xfId="26903" xr:uid="{00000000-0005-0000-0000-00001E690000}"/>
    <cellStyle name="Output 5 3 2" xfId="26904" xr:uid="{00000000-0005-0000-0000-00001F690000}"/>
    <cellStyle name="Output 5 3 20" xfId="26905" xr:uid="{00000000-0005-0000-0000-000020690000}"/>
    <cellStyle name="Output 5 3 21" xfId="26906" xr:uid="{00000000-0005-0000-0000-000021690000}"/>
    <cellStyle name="Output 5 3 22" xfId="26907" xr:uid="{00000000-0005-0000-0000-000022690000}"/>
    <cellStyle name="Output 5 3 23" xfId="26908" xr:uid="{00000000-0005-0000-0000-000023690000}"/>
    <cellStyle name="Output 5 3 24" xfId="26909" xr:uid="{00000000-0005-0000-0000-000024690000}"/>
    <cellStyle name="Output 5 3 25" xfId="26910" xr:uid="{00000000-0005-0000-0000-000025690000}"/>
    <cellStyle name="Output 5 3 26" xfId="26911" xr:uid="{00000000-0005-0000-0000-000026690000}"/>
    <cellStyle name="Output 5 3 27" xfId="26912" xr:uid="{00000000-0005-0000-0000-000027690000}"/>
    <cellStyle name="Output 5 3 28" xfId="26913" xr:uid="{00000000-0005-0000-0000-000028690000}"/>
    <cellStyle name="Output 5 3 29" xfId="26914" xr:uid="{00000000-0005-0000-0000-000029690000}"/>
    <cellStyle name="Output 5 3 3" xfId="26915" xr:uid="{00000000-0005-0000-0000-00002A690000}"/>
    <cellStyle name="Output 5 3 30" xfId="26916" xr:uid="{00000000-0005-0000-0000-00002B690000}"/>
    <cellStyle name="Output 5 3 31" xfId="26917" xr:uid="{00000000-0005-0000-0000-00002C690000}"/>
    <cellStyle name="Output 5 3 32" xfId="26918" xr:uid="{00000000-0005-0000-0000-00002D690000}"/>
    <cellStyle name="Output 5 3 33" xfId="26919" xr:uid="{00000000-0005-0000-0000-00002E690000}"/>
    <cellStyle name="Output 5 3 34" xfId="26920" xr:uid="{00000000-0005-0000-0000-00002F690000}"/>
    <cellStyle name="Output 5 3 4" xfId="26921" xr:uid="{00000000-0005-0000-0000-000030690000}"/>
    <cellStyle name="Output 5 3 5" xfId="26922" xr:uid="{00000000-0005-0000-0000-000031690000}"/>
    <cellStyle name="Output 5 3 6" xfId="26923" xr:uid="{00000000-0005-0000-0000-000032690000}"/>
    <cellStyle name="Output 5 3 7" xfId="26924" xr:uid="{00000000-0005-0000-0000-000033690000}"/>
    <cellStyle name="Output 5 3 8" xfId="26925" xr:uid="{00000000-0005-0000-0000-000034690000}"/>
    <cellStyle name="Output 5 3 9" xfId="26926" xr:uid="{00000000-0005-0000-0000-000035690000}"/>
    <cellStyle name="Output 5 4" xfId="26927" xr:uid="{00000000-0005-0000-0000-000036690000}"/>
    <cellStyle name="Output 5 4 2" xfId="26928" xr:uid="{00000000-0005-0000-0000-000037690000}"/>
    <cellStyle name="Output 5 4 3" xfId="26929" xr:uid="{00000000-0005-0000-0000-000038690000}"/>
    <cellStyle name="Output 5 5" xfId="26930" xr:uid="{00000000-0005-0000-0000-000039690000}"/>
    <cellStyle name="Output 5 6" xfId="26931" xr:uid="{00000000-0005-0000-0000-00003A690000}"/>
    <cellStyle name="Output 5 7" xfId="26932" xr:uid="{00000000-0005-0000-0000-00003B690000}"/>
    <cellStyle name="Output 5 8" xfId="26933" xr:uid="{00000000-0005-0000-0000-00003C690000}"/>
    <cellStyle name="Output 5 9" xfId="26934" xr:uid="{00000000-0005-0000-0000-00003D690000}"/>
    <cellStyle name="Output 6" xfId="26935" xr:uid="{00000000-0005-0000-0000-00003E690000}"/>
    <cellStyle name="Output 6 10" xfId="26936" xr:uid="{00000000-0005-0000-0000-00003F690000}"/>
    <cellStyle name="Output 6 11" xfId="26937" xr:uid="{00000000-0005-0000-0000-000040690000}"/>
    <cellStyle name="Output 6 12" xfId="26938" xr:uid="{00000000-0005-0000-0000-000041690000}"/>
    <cellStyle name="Output 6 13" xfId="26939" xr:uid="{00000000-0005-0000-0000-000042690000}"/>
    <cellStyle name="Output 6 14" xfId="26940" xr:uid="{00000000-0005-0000-0000-000043690000}"/>
    <cellStyle name="Output 6 15" xfId="26941" xr:uid="{00000000-0005-0000-0000-000044690000}"/>
    <cellStyle name="Output 6 16" xfId="26942" xr:uid="{00000000-0005-0000-0000-000045690000}"/>
    <cellStyle name="Output 6 17" xfId="26943" xr:uid="{00000000-0005-0000-0000-000046690000}"/>
    <cellStyle name="Output 6 18" xfId="26944" xr:uid="{00000000-0005-0000-0000-000047690000}"/>
    <cellStyle name="Output 6 19" xfId="26945" xr:uid="{00000000-0005-0000-0000-000048690000}"/>
    <cellStyle name="Output 6 2" xfId="26946" xr:uid="{00000000-0005-0000-0000-000049690000}"/>
    <cellStyle name="Output 6 2 10" xfId="26947" xr:uid="{00000000-0005-0000-0000-00004A690000}"/>
    <cellStyle name="Output 6 2 11" xfId="26948" xr:uid="{00000000-0005-0000-0000-00004B690000}"/>
    <cellStyle name="Output 6 2 12" xfId="26949" xr:uid="{00000000-0005-0000-0000-00004C690000}"/>
    <cellStyle name="Output 6 2 13" xfId="26950" xr:uid="{00000000-0005-0000-0000-00004D690000}"/>
    <cellStyle name="Output 6 2 14" xfId="26951" xr:uid="{00000000-0005-0000-0000-00004E690000}"/>
    <cellStyle name="Output 6 2 15" xfId="26952" xr:uid="{00000000-0005-0000-0000-00004F690000}"/>
    <cellStyle name="Output 6 2 16" xfId="26953" xr:uid="{00000000-0005-0000-0000-000050690000}"/>
    <cellStyle name="Output 6 2 17" xfId="26954" xr:uid="{00000000-0005-0000-0000-000051690000}"/>
    <cellStyle name="Output 6 2 18" xfId="26955" xr:uid="{00000000-0005-0000-0000-000052690000}"/>
    <cellStyle name="Output 6 2 19" xfId="26956" xr:uid="{00000000-0005-0000-0000-000053690000}"/>
    <cellStyle name="Output 6 2 2" xfId="26957" xr:uid="{00000000-0005-0000-0000-000054690000}"/>
    <cellStyle name="Output 6 2 2 10" xfId="26958" xr:uid="{00000000-0005-0000-0000-000055690000}"/>
    <cellStyle name="Output 6 2 2 11" xfId="26959" xr:uid="{00000000-0005-0000-0000-000056690000}"/>
    <cellStyle name="Output 6 2 2 12" xfId="26960" xr:uid="{00000000-0005-0000-0000-000057690000}"/>
    <cellStyle name="Output 6 2 2 13" xfId="26961" xr:uid="{00000000-0005-0000-0000-000058690000}"/>
    <cellStyle name="Output 6 2 2 14" xfId="26962" xr:uid="{00000000-0005-0000-0000-000059690000}"/>
    <cellStyle name="Output 6 2 2 15" xfId="26963" xr:uid="{00000000-0005-0000-0000-00005A690000}"/>
    <cellStyle name="Output 6 2 2 16" xfId="26964" xr:uid="{00000000-0005-0000-0000-00005B690000}"/>
    <cellStyle name="Output 6 2 2 17" xfId="26965" xr:uid="{00000000-0005-0000-0000-00005C690000}"/>
    <cellStyle name="Output 6 2 2 18" xfId="26966" xr:uid="{00000000-0005-0000-0000-00005D690000}"/>
    <cellStyle name="Output 6 2 2 19" xfId="26967" xr:uid="{00000000-0005-0000-0000-00005E690000}"/>
    <cellStyle name="Output 6 2 2 2" xfId="26968" xr:uid="{00000000-0005-0000-0000-00005F690000}"/>
    <cellStyle name="Output 6 2 2 20" xfId="26969" xr:uid="{00000000-0005-0000-0000-000060690000}"/>
    <cellStyle name="Output 6 2 2 21" xfId="26970" xr:uid="{00000000-0005-0000-0000-000061690000}"/>
    <cellStyle name="Output 6 2 2 22" xfId="26971" xr:uid="{00000000-0005-0000-0000-000062690000}"/>
    <cellStyle name="Output 6 2 2 23" xfId="26972" xr:uid="{00000000-0005-0000-0000-000063690000}"/>
    <cellStyle name="Output 6 2 2 24" xfId="26973" xr:uid="{00000000-0005-0000-0000-000064690000}"/>
    <cellStyle name="Output 6 2 2 25" xfId="26974" xr:uid="{00000000-0005-0000-0000-000065690000}"/>
    <cellStyle name="Output 6 2 2 26" xfId="26975" xr:uid="{00000000-0005-0000-0000-000066690000}"/>
    <cellStyle name="Output 6 2 2 27" xfId="26976" xr:uid="{00000000-0005-0000-0000-000067690000}"/>
    <cellStyle name="Output 6 2 2 28" xfId="26977" xr:uid="{00000000-0005-0000-0000-000068690000}"/>
    <cellStyle name="Output 6 2 2 29" xfId="26978" xr:uid="{00000000-0005-0000-0000-000069690000}"/>
    <cellStyle name="Output 6 2 2 3" xfId="26979" xr:uid="{00000000-0005-0000-0000-00006A690000}"/>
    <cellStyle name="Output 6 2 2 30" xfId="26980" xr:uid="{00000000-0005-0000-0000-00006B690000}"/>
    <cellStyle name="Output 6 2 2 31" xfId="26981" xr:uid="{00000000-0005-0000-0000-00006C690000}"/>
    <cellStyle name="Output 6 2 2 32" xfId="26982" xr:uid="{00000000-0005-0000-0000-00006D690000}"/>
    <cellStyle name="Output 6 2 2 33" xfId="26983" xr:uid="{00000000-0005-0000-0000-00006E690000}"/>
    <cellStyle name="Output 6 2 2 34" xfId="26984" xr:uid="{00000000-0005-0000-0000-00006F690000}"/>
    <cellStyle name="Output 6 2 2 4" xfId="26985" xr:uid="{00000000-0005-0000-0000-000070690000}"/>
    <cellStyle name="Output 6 2 2 5" xfId="26986" xr:uid="{00000000-0005-0000-0000-000071690000}"/>
    <cellStyle name="Output 6 2 2 6" xfId="26987" xr:uid="{00000000-0005-0000-0000-000072690000}"/>
    <cellStyle name="Output 6 2 2 7" xfId="26988" xr:uid="{00000000-0005-0000-0000-000073690000}"/>
    <cellStyle name="Output 6 2 2 8" xfId="26989" xr:uid="{00000000-0005-0000-0000-000074690000}"/>
    <cellStyle name="Output 6 2 2 9" xfId="26990" xr:uid="{00000000-0005-0000-0000-000075690000}"/>
    <cellStyle name="Output 6 2 20" xfId="26991" xr:uid="{00000000-0005-0000-0000-000076690000}"/>
    <cellStyle name="Output 6 2 3" xfId="26992" xr:uid="{00000000-0005-0000-0000-000077690000}"/>
    <cellStyle name="Output 6 2 3 2" xfId="26993" xr:uid="{00000000-0005-0000-0000-000078690000}"/>
    <cellStyle name="Output 6 2 3 3" xfId="26994" xr:uid="{00000000-0005-0000-0000-000079690000}"/>
    <cellStyle name="Output 6 2 4" xfId="26995" xr:uid="{00000000-0005-0000-0000-00007A690000}"/>
    <cellStyle name="Output 6 2 5" xfId="26996" xr:uid="{00000000-0005-0000-0000-00007B690000}"/>
    <cellStyle name="Output 6 2 6" xfId="26997" xr:uid="{00000000-0005-0000-0000-00007C690000}"/>
    <cellStyle name="Output 6 2 7" xfId="26998" xr:uid="{00000000-0005-0000-0000-00007D690000}"/>
    <cellStyle name="Output 6 2 8" xfId="26999" xr:uid="{00000000-0005-0000-0000-00007E690000}"/>
    <cellStyle name="Output 6 2 9" xfId="27000" xr:uid="{00000000-0005-0000-0000-00007F690000}"/>
    <cellStyle name="Output 6 20" xfId="27001" xr:uid="{00000000-0005-0000-0000-000080690000}"/>
    <cellStyle name="Output 6 21" xfId="27002" xr:uid="{00000000-0005-0000-0000-000081690000}"/>
    <cellStyle name="Output 6 3" xfId="27003" xr:uid="{00000000-0005-0000-0000-000082690000}"/>
    <cellStyle name="Output 6 3 10" xfId="27004" xr:uid="{00000000-0005-0000-0000-000083690000}"/>
    <cellStyle name="Output 6 3 11" xfId="27005" xr:uid="{00000000-0005-0000-0000-000084690000}"/>
    <cellStyle name="Output 6 3 12" xfId="27006" xr:uid="{00000000-0005-0000-0000-000085690000}"/>
    <cellStyle name="Output 6 3 13" xfId="27007" xr:uid="{00000000-0005-0000-0000-000086690000}"/>
    <cellStyle name="Output 6 3 14" xfId="27008" xr:uid="{00000000-0005-0000-0000-000087690000}"/>
    <cellStyle name="Output 6 3 15" xfId="27009" xr:uid="{00000000-0005-0000-0000-000088690000}"/>
    <cellStyle name="Output 6 3 16" xfId="27010" xr:uid="{00000000-0005-0000-0000-000089690000}"/>
    <cellStyle name="Output 6 3 17" xfId="27011" xr:uid="{00000000-0005-0000-0000-00008A690000}"/>
    <cellStyle name="Output 6 3 18" xfId="27012" xr:uid="{00000000-0005-0000-0000-00008B690000}"/>
    <cellStyle name="Output 6 3 19" xfId="27013" xr:uid="{00000000-0005-0000-0000-00008C690000}"/>
    <cellStyle name="Output 6 3 2" xfId="27014" xr:uid="{00000000-0005-0000-0000-00008D690000}"/>
    <cellStyle name="Output 6 3 20" xfId="27015" xr:uid="{00000000-0005-0000-0000-00008E690000}"/>
    <cellStyle name="Output 6 3 21" xfId="27016" xr:uid="{00000000-0005-0000-0000-00008F690000}"/>
    <cellStyle name="Output 6 3 22" xfId="27017" xr:uid="{00000000-0005-0000-0000-000090690000}"/>
    <cellStyle name="Output 6 3 23" xfId="27018" xr:uid="{00000000-0005-0000-0000-000091690000}"/>
    <cellStyle name="Output 6 3 24" xfId="27019" xr:uid="{00000000-0005-0000-0000-000092690000}"/>
    <cellStyle name="Output 6 3 25" xfId="27020" xr:uid="{00000000-0005-0000-0000-000093690000}"/>
    <cellStyle name="Output 6 3 26" xfId="27021" xr:uid="{00000000-0005-0000-0000-000094690000}"/>
    <cellStyle name="Output 6 3 27" xfId="27022" xr:uid="{00000000-0005-0000-0000-000095690000}"/>
    <cellStyle name="Output 6 3 28" xfId="27023" xr:uid="{00000000-0005-0000-0000-000096690000}"/>
    <cellStyle name="Output 6 3 29" xfId="27024" xr:uid="{00000000-0005-0000-0000-000097690000}"/>
    <cellStyle name="Output 6 3 3" xfId="27025" xr:uid="{00000000-0005-0000-0000-000098690000}"/>
    <cellStyle name="Output 6 3 30" xfId="27026" xr:uid="{00000000-0005-0000-0000-000099690000}"/>
    <cellStyle name="Output 6 3 31" xfId="27027" xr:uid="{00000000-0005-0000-0000-00009A690000}"/>
    <cellStyle name="Output 6 3 32" xfId="27028" xr:uid="{00000000-0005-0000-0000-00009B690000}"/>
    <cellStyle name="Output 6 3 33" xfId="27029" xr:uid="{00000000-0005-0000-0000-00009C690000}"/>
    <cellStyle name="Output 6 3 34" xfId="27030" xr:uid="{00000000-0005-0000-0000-00009D690000}"/>
    <cellStyle name="Output 6 3 4" xfId="27031" xr:uid="{00000000-0005-0000-0000-00009E690000}"/>
    <cellStyle name="Output 6 3 5" xfId="27032" xr:uid="{00000000-0005-0000-0000-00009F690000}"/>
    <cellStyle name="Output 6 3 6" xfId="27033" xr:uid="{00000000-0005-0000-0000-0000A0690000}"/>
    <cellStyle name="Output 6 3 7" xfId="27034" xr:uid="{00000000-0005-0000-0000-0000A1690000}"/>
    <cellStyle name="Output 6 3 8" xfId="27035" xr:uid="{00000000-0005-0000-0000-0000A2690000}"/>
    <cellStyle name="Output 6 3 9" xfId="27036" xr:uid="{00000000-0005-0000-0000-0000A3690000}"/>
    <cellStyle name="Output 6 4" xfId="27037" xr:uid="{00000000-0005-0000-0000-0000A4690000}"/>
    <cellStyle name="Output 6 4 2" xfId="27038" xr:uid="{00000000-0005-0000-0000-0000A5690000}"/>
    <cellStyle name="Output 6 4 3" xfId="27039" xr:uid="{00000000-0005-0000-0000-0000A6690000}"/>
    <cellStyle name="Output 6 5" xfId="27040" xr:uid="{00000000-0005-0000-0000-0000A7690000}"/>
    <cellStyle name="Output 6 6" xfId="27041" xr:uid="{00000000-0005-0000-0000-0000A8690000}"/>
    <cellStyle name="Output 6 7" xfId="27042" xr:uid="{00000000-0005-0000-0000-0000A9690000}"/>
    <cellStyle name="Output 6 8" xfId="27043" xr:uid="{00000000-0005-0000-0000-0000AA690000}"/>
    <cellStyle name="Output 6 9" xfId="27044" xr:uid="{00000000-0005-0000-0000-0000AB690000}"/>
    <cellStyle name="Output 7" xfId="27045" xr:uid="{00000000-0005-0000-0000-0000AC690000}"/>
    <cellStyle name="Output 7 2" xfId="27046" xr:uid="{00000000-0005-0000-0000-0000AD690000}"/>
    <cellStyle name="Output 8" xfId="27047" xr:uid="{00000000-0005-0000-0000-0000AE690000}"/>
    <cellStyle name="Output 8 2" xfId="27048" xr:uid="{00000000-0005-0000-0000-0000AF690000}"/>
    <cellStyle name="Output 9" xfId="27049" xr:uid="{00000000-0005-0000-0000-0000B0690000}"/>
    <cellStyle name="Output 9 2" xfId="27050" xr:uid="{00000000-0005-0000-0000-0000B1690000}"/>
    <cellStyle name="Output Amounts" xfId="27051" xr:uid="{00000000-0005-0000-0000-0000B2690000}"/>
    <cellStyle name="Output Column Headings" xfId="27052" xr:uid="{00000000-0005-0000-0000-0000B3690000}"/>
    <cellStyle name="Output Line Items" xfId="27053" xr:uid="{00000000-0005-0000-0000-0000B4690000}"/>
    <cellStyle name="Output Report Heading" xfId="27054" xr:uid="{00000000-0005-0000-0000-0000B5690000}"/>
    <cellStyle name="Output Report Title" xfId="27055" xr:uid="{00000000-0005-0000-0000-0000B6690000}"/>
    <cellStyle name="OverHead" xfId="27056" xr:uid="{00000000-0005-0000-0000-0000B7690000}"/>
    <cellStyle name="OverHead 10" xfId="27057" xr:uid="{00000000-0005-0000-0000-0000B8690000}"/>
    <cellStyle name="OverHead 11" xfId="27058" xr:uid="{00000000-0005-0000-0000-0000B9690000}"/>
    <cellStyle name="OverHead 12" xfId="27059" xr:uid="{00000000-0005-0000-0000-0000BA690000}"/>
    <cellStyle name="OverHead 13" xfId="27060" xr:uid="{00000000-0005-0000-0000-0000BB690000}"/>
    <cellStyle name="OverHead 14" xfId="27061" xr:uid="{00000000-0005-0000-0000-0000BC690000}"/>
    <cellStyle name="OverHead 15" xfId="27062" xr:uid="{00000000-0005-0000-0000-0000BD690000}"/>
    <cellStyle name="OverHead 16" xfId="27063" xr:uid="{00000000-0005-0000-0000-0000BE690000}"/>
    <cellStyle name="OverHead 17" xfId="27064" xr:uid="{00000000-0005-0000-0000-0000BF690000}"/>
    <cellStyle name="OverHead 18" xfId="27065" xr:uid="{00000000-0005-0000-0000-0000C0690000}"/>
    <cellStyle name="OverHead 19" xfId="27066" xr:uid="{00000000-0005-0000-0000-0000C1690000}"/>
    <cellStyle name="OverHead 2" xfId="27067" xr:uid="{00000000-0005-0000-0000-0000C2690000}"/>
    <cellStyle name="OverHead 2 10" xfId="27068" xr:uid="{00000000-0005-0000-0000-0000C3690000}"/>
    <cellStyle name="OverHead 2 11" xfId="27069" xr:uid="{00000000-0005-0000-0000-0000C4690000}"/>
    <cellStyle name="OverHead 2 12" xfId="27070" xr:uid="{00000000-0005-0000-0000-0000C5690000}"/>
    <cellStyle name="OverHead 2 13" xfId="27071" xr:uid="{00000000-0005-0000-0000-0000C6690000}"/>
    <cellStyle name="OverHead 2 14" xfId="27072" xr:uid="{00000000-0005-0000-0000-0000C7690000}"/>
    <cellStyle name="OverHead 2 15" xfId="27073" xr:uid="{00000000-0005-0000-0000-0000C8690000}"/>
    <cellStyle name="OverHead 2 16" xfId="27074" xr:uid="{00000000-0005-0000-0000-0000C9690000}"/>
    <cellStyle name="OverHead 2 17" xfId="27075" xr:uid="{00000000-0005-0000-0000-0000CA690000}"/>
    <cellStyle name="OverHead 2 18" xfId="27076" xr:uid="{00000000-0005-0000-0000-0000CB690000}"/>
    <cellStyle name="OverHead 2 19" xfId="27077" xr:uid="{00000000-0005-0000-0000-0000CC690000}"/>
    <cellStyle name="OverHead 2 2" xfId="27078" xr:uid="{00000000-0005-0000-0000-0000CD690000}"/>
    <cellStyle name="OverHead 2 2 2" xfId="27079" xr:uid="{00000000-0005-0000-0000-0000CE690000}"/>
    <cellStyle name="OverHead 2 2 3" xfId="27080" xr:uid="{00000000-0005-0000-0000-0000CF690000}"/>
    <cellStyle name="OverHead 2 20" xfId="27081" xr:uid="{00000000-0005-0000-0000-0000D0690000}"/>
    <cellStyle name="OverHead 2 21" xfId="27082" xr:uid="{00000000-0005-0000-0000-0000D1690000}"/>
    <cellStyle name="OverHead 2 22" xfId="27083" xr:uid="{00000000-0005-0000-0000-0000D2690000}"/>
    <cellStyle name="OverHead 2 23" xfId="27084" xr:uid="{00000000-0005-0000-0000-0000D3690000}"/>
    <cellStyle name="OverHead 2 24" xfId="27085" xr:uid="{00000000-0005-0000-0000-0000D4690000}"/>
    <cellStyle name="OverHead 2 25" xfId="27086" xr:uid="{00000000-0005-0000-0000-0000D5690000}"/>
    <cellStyle name="OverHead 2 26" xfId="27087" xr:uid="{00000000-0005-0000-0000-0000D6690000}"/>
    <cellStyle name="OverHead 2 27" xfId="27088" xr:uid="{00000000-0005-0000-0000-0000D7690000}"/>
    <cellStyle name="OverHead 2 28" xfId="27089" xr:uid="{00000000-0005-0000-0000-0000D8690000}"/>
    <cellStyle name="OverHead 2 29" xfId="27090" xr:uid="{00000000-0005-0000-0000-0000D9690000}"/>
    <cellStyle name="OverHead 2 3" xfId="27091" xr:uid="{00000000-0005-0000-0000-0000DA690000}"/>
    <cellStyle name="OverHead 2 30" xfId="27092" xr:uid="{00000000-0005-0000-0000-0000DB690000}"/>
    <cellStyle name="OverHead 2 31" xfId="27093" xr:uid="{00000000-0005-0000-0000-0000DC690000}"/>
    <cellStyle name="OverHead 2 32" xfId="27094" xr:uid="{00000000-0005-0000-0000-0000DD690000}"/>
    <cellStyle name="OverHead 2 33" xfId="27095" xr:uid="{00000000-0005-0000-0000-0000DE690000}"/>
    <cellStyle name="OverHead 2 34" xfId="27096" xr:uid="{00000000-0005-0000-0000-0000DF690000}"/>
    <cellStyle name="OverHead 2 35" xfId="27097" xr:uid="{00000000-0005-0000-0000-0000E0690000}"/>
    <cellStyle name="OverHead 2 36" xfId="27098" xr:uid="{00000000-0005-0000-0000-0000E1690000}"/>
    <cellStyle name="OverHead 2 4" xfId="27099" xr:uid="{00000000-0005-0000-0000-0000E2690000}"/>
    <cellStyle name="OverHead 2 5" xfId="27100" xr:uid="{00000000-0005-0000-0000-0000E3690000}"/>
    <cellStyle name="OverHead 2 6" xfId="27101" xr:uid="{00000000-0005-0000-0000-0000E4690000}"/>
    <cellStyle name="OverHead 2 7" xfId="27102" xr:uid="{00000000-0005-0000-0000-0000E5690000}"/>
    <cellStyle name="OverHead 2 8" xfId="27103" xr:uid="{00000000-0005-0000-0000-0000E6690000}"/>
    <cellStyle name="OverHead 2 9" xfId="27104" xr:uid="{00000000-0005-0000-0000-0000E7690000}"/>
    <cellStyle name="OverHead 20" xfId="27105" xr:uid="{00000000-0005-0000-0000-0000E8690000}"/>
    <cellStyle name="OverHead 21" xfId="27106" xr:uid="{00000000-0005-0000-0000-0000E9690000}"/>
    <cellStyle name="OverHead 22" xfId="27107" xr:uid="{00000000-0005-0000-0000-0000EA690000}"/>
    <cellStyle name="OverHead 23" xfId="27108" xr:uid="{00000000-0005-0000-0000-0000EB690000}"/>
    <cellStyle name="OverHead 24" xfId="27109" xr:uid="{00000000-0005-0000-0000-0000EC690000}"/>
    <cellStyle name="OverHead 25" xfId="27110" xr:uid="{00000000-0005-0000-0000-0000ED690000}"/>
    <cellStyle name="OverHead 26" xfId="27111" xr:uid="{00000000-0005-0000-0000-0000EE690000}"/>
    <cellStyle name="OverHead 27" xfId="27112" xr:uid="{00000000-0005-0000-0000-0000EF690000}"/>
    <cellStyle name="OverHead 28" xfId="27113" xr:uid="{00000000-0005-0000-0000-0000F0690000}"/>
    <cellStyle name="OverHead 29" xfId="27114" xr:uid="{00000000-0005-0000-0000-0000F1690000}"/>
    <cellStyle name="OverHead 3" xfId="27115" xr:uid="{00000000-0005-0000-0000-0000F2690000}"/>
    <cellStyle name="OverHead 3 2" xfId="27116" xr:uid="{00000000-0005-0000-0000-0000F3690000}"/>
    <cellStyle name="OverHead 3 2 2" xfId="27117" xr:uid="{00000000-0005-0000-0000-0000F4690000}"/>
    <cellStyle name="OverHead 3 2 3" xfId="27118" xr:uid="{00000000-0005-0000-0000-0000F5690000}"/>
    <cellStyle name="OverHead 3 3" xfId="27119" xr:uid="{00000000-0005-0000-0000-0000F6690000}"/>
    <cellStyle name="OverHead 3 3 2" xfId="27120" xr:uid="{00000000-0005-0000-0000-0000F7690000}"/>
    <cellStyle name="OverHead 3 3 3" xfId="27121" xr:uid="{00000000-0005-0000-0000-0000F8690000}"/>
    <cellStyle name="OverHead 3 4" xfId="27122" xr:uid="{00000000-0005-0000-0000-0000F9690000}"/>
    <cellStyle name="OverHead 3 5" xfId="27123" xr:uid="{00000000-0005-0000-0000-0000FA690000}"/>
    <cellStyle name="OverHead 30" xfId="27124" xr:uid="{00000000-0005-0000-0000-0000FB690000}"/>
    <cellStyle name="OverHead 31" xfId="27125" xr:uid="{00000000-0005-0000-0000-0000FC690000}"/>
    <cellStyle name="OverHead 32" xfId="27126" xr:uid="{00000000-0005-0000-0000-0000FD690000}"/>
    <cellStyle name="OverHead 33" xfId="27127" xr:uid="{00000000-0005-0000-0000-0000FE690000}"/>
    <cellStyle name="OverHead 34" xfId="27128" xr:uid="{00000000-0005-0000-0000-0000FF690000}"/>
    <cellStyle name="OverHead 35" xfId="27129" xr:uid="{00000000-0005-0000-0000-0000006A0000}"/>
    <cellStyle name="OverHead 36" xfId="27130" xr:uid="{00000000-0005-0000-0000-0000016A0000}"/>
    <cellStyle name="OverHead 4" xfId="27131" xr:uid="{00000000-0005-0000-0000-0000026A0000}"/>
    <cellStyle name="OverHead 4 2" xfId="27132" xr:uid="{00000000-0005-0000-0000-0000036A0000}"/>
    <cellStyle name="OverHead 4 2 2" xfId="27133" xr:uid="{00000000-0005-0000-0000-0000046A0000}"/>
    <cellStyle name="OverHead 4 2 3" xfId="27134" xr:uid="{00000000-0005-0000-0000-0000056A0000}"/>
    <cellStyle name="OverHead 4 3" xfId="27135" xr:uid="{00000000-0005-0000-0000-0000066A0000}"/>
    <cellStyle name="OverHead 4 3 2" xfId="27136" xr:uid="{00000000-0005-0000-0000-0000076A0000}"/>
    <cellStyle name="OverHead 4 3 3" xfId="27137" xr:uid="{00000000-0005-0000-0000-0000086A0000}"/>
    <cellStyle name="OverHead 4 4" xfId="27138" xr:uid="{00000000-0005-0000-0000-0000096A0000}"/>
    <cellStyle name="OverHead 4 5" xfId="27139" xr:uid="{00000000-0005-0000-0000-00000A6A0000}"/>
    <cellStyle name="OverHead 5" xfId="27140" xr:uid="{00000000-0005-0000-0000-00000B6A0000}"/>
    <cellStyle name="OverHead 5 2" xfId="27141" xr:uid="{00000000-0005-0000-0000-00000C6A0000}"/>
    <cellStyle name="OverHead 5 3" xfId="27142" xr:uid="{00000000-0005-0000-0000-00000D6A0000}"/>
    <cellStyle name="OverHead 6" xfId="27143" xr:uid="{00000000-0005-0000-0000-00000E6A0000}"/>
    <cellStyle name="OverHead 7" xfId="27144" xr:uid="{00000000-0005-0000-0000-00000F6A0000}"/>
    <cellStyle name="OverHead 8" xfId="27145" xr:uid="{00000000-0005-0000-0000-0000106A0000}"/>
    <cellStyle name="OverHead 9" xfId="27146" xr:uid="{00000000-0005-0000-0000-0000116A0000}"/>
    <cellStyle name="Overskrift" xfId="27147" xr:uid="{00000000-0005-0000-0000-0000126A0000}"/>
    <cellStyle name="pc1" xfId="27148" xr:uid="{00000000-0005-0000-0000-0000136A0000}"/>
    <cellStyle name="per.style" xfId="27149" xr:uid="{00000000-0005-0000-0000-0000146A0000}"/>
    <cellStyle name="Percen - Style2" xfId="27150" xr:uid="{00000000-0005-0000-0000-0000156A0000}"/>
    <cellStyle name="Percent [0]" xfId="27151" xr:uid="{00000000-0005-0000-0000-0000166A0000}"/>
    <cellStyle name="Percent [0] 2" xfId="27152" xr:uid="{00000000-0005-0000-0000-0000176A0000}"/>
    <cellStyle name="Percent [0] 3" xfId="27153" xr:uid="{00000000-0005-0000-0000-0000186A0000}"/>
    <cellStyle name="Percent [00]" xfId="27154" xr:uid="{00000000-0005-0000-0000-0000196A0000}"/>
    <cellStyle name="Percent [00] 2" xfId="27155" xr:uid="{00000000-0005-0000-0000-00001A6A0000}"/>
    <cellStyle name="Percent [00] 3" xfId="27156" xr:uid="{00000000-0005-0000-0000-00001B6A0000}"/>
    <cellStyle name="Percent [1]" xfId="27157" xr:uid="{00000000-0005-0000-0000-00001C6A0000}"/>
    <cellStyle name="Percent [2]" xfId="27158" xr:uid="{00000000-0005-0000-0000-00001D6A0000}"/>
    <cellStyle name="Percent [2] 2" xfId="27159" xr:uid="{00000000-0005-0000-0000-00001E6A0000}"/>
    <cellStyle name="Percent [2] 2 2" xfId="27160" xr:uid="{00000000-0005-0000-0000-00001F6A0000}"/>
    <cellStyle name="Percent [2] 3" xfId="27161" xr:uid="{00000000-0005-0000-0000-0000206A0000}"/>
    <cellStyle name="Percent [2] 3 2" xfId="27162" xr:uid="{00000000-0005-0000-0000-0000216A0000}"/>
    <cellStyle name="Percent 10" xfId="27163" xr:uid="{00000000-0005-0000-0000-0000226A0000}"/>
    <cellStyle name="Percent 11" xfId="27164" xr:uid="{00000000-0005-0000-0000-0000236A0000}"/>
    <cellStyle name="Percent 2" xfId="27165" xr:uid="{00000000-0005-0000-0000-0000246A0000}"/>
    <cellStyle name="Percent 2 10" xfId="27166" xr:uid="{00000000-0005-0000-0000-0000256A0000}"/>
    <cellStyle name="Percent 2 11" xfId="27167" xr:uid="{00000000-0005-0000-0000-0000266A0000}"/>
    <cellStyle name="Percent 2 12" xfId="27168" xr:uid="{00000000-0005-0000-0000-0000276A0000}"/>
    <cellStyle name="Percent 2 13" xfId="27169" xr:uid="{00000000-0005-0000-0000-0000286A0000}"/>
    <cellStyle name="Percent 2 14" xfId="27170" xr:uid="{00000000-0005-0000-0000-0000296A0000}"/>
    <cellStyle name="Percent 2 15" xfId="27171" xr:uid="{00000000-0005-0000-0000-00002A6A0000}"/>
    <cellStyle name="Percent 2 16" xfId="27172" xr:uid="{00000000-0005-0000-0000-00002B6A0000}"/>
    <cellStyle name="Percent 2 17" xfId="27173" xr:uid="{00000000-0005-0000-0000-00002C6A0000}"/>
    <cellStyle name="Percent 2 18" xfId="27174" xr:uid="{00000000-0005-0000-0000-00002D6A0000}"/>
    <cellStyle name="Percent 2 19" xfId="27175" xr:uid="{00000000-0005-0000-0000-00002E6A0000}"/>
    <cellStyle name="Percent 2 2" xfId="27176" xr:uid="{00000000-0005-0000-0000-00002F6A0000}"/>
    <cellStyle name="Percent 2 2 2" xfId="27177" xr:uid="{00000000-0005-0000-0000-0000306A0000}"/>
    <cellStyle name="Percent 2 2 3" xfId="27178" xr:uid="{00000000-0005-0000-0000-0000316A0000}"/>
    <cellStyle name="Percent 2 2 4" xfId="27179" xr:uid="{00000000-0005-0000-0000-0000326A0000}"/>
    <cellStyle name="Percent 2 2 5" xfId="27180" xr:uid="{00000000-0005-0000-0000-0000336A0000}"/>
    <cellStyle name="Percent 2 2 6" xfId="27181" xr:uid="{00000000-0005-0000-0000-0000346A0000}"/>
    <cellStyle name="Percent 2 20" xfId="27182" xr:uid="{00000000-0005-0000-0000-0000356A0000}"/>
    <cellStyle name="Percent 2 3" xfId="27183" xr:uid="{00000000-0005-0000-0000-0000366A0000}"/>
    <cellStyle name="Percent 2 4" xfId="27184" xr:uid="{00000000-0005-0000-0000-0000376A0000}"/>
    <cellStyle name="Percent 2 5" xfId="27185" xr:uid="{00000000-0005-0000-0000-0000386A0000}"/>
    <cellStyle name="Percent 2 6" xfId="27186" xr:uid="{00000000-0005-0000-0000-0000396A0000}"/>
    <cellStyle name="Percent 2 7" xfId="27187" xr:uid="{00000000-0005-0000-0000-00003A6A0000}"/>
    <cellStyle name="Percent 2 8" xfId="27188" xr:uid="{00000000-0005-0000-0000-00003B6A0000}"/>
    <cellStyle name="Percent 2 9" xfId="27189" xr:uid="{00000000-0005-0000-0000-00003C6A0000}"/>
    <cellStyle name="Percent 3" xfId="27190" xr:uid="{00000000-0005-0000-0000-00003D6A0000}"/>
    <cellStyle name="Percent 3 2" xfId="27191" xr:uid="{00000000-0005-0000-0000-00003E6A0000}"/>
    <cellStyle name="Percent 3 2 2" xfId="27192" xr:uid="{00000000-0005-0000-0000-00003F6A0000}"/>
    <cellStyle name="Percent 3 2 2 2" xfId="27193" xr:uid="{00000000-0005-0000-0000-0000406A0000}"/>
    <cellStyle name="Percent 3 2 2 2 2" xfId="27194" xr:uid="{00000000-0005-0000-0000-0000416A0000}"/>
    <cellStyle name="Percent 3 2 2 2 2 2" xfId="27195" xr:uid="{00000000-0005-0000-0000-0000426A0000}"/>
    <cellStyle name="Percent 3 2 2 2 3" xfId="27196" xr:uid="{00000000-0005-0000-0000-0000436A0000}"/>
    <cellStyle name="Percent 3 2 2 3" xfId="27197" xr:uid="{00000000-0005-0000-0000-0000446A0000}"/>
    <cellStyle name="Percent 3 2 2 3 2" xfId="27198" xr:uid="{00000000-0005-0000-0000-0000456A0000}"/>
    <cellStyle name="Percent 3 2 2 4" xfId="27199" xr:uid="{00000000-0005-0000-0000-0000466A0000}"/>
    <cellStyle name="Percent 3 2 3" xfId="27200" xr:uid="{00000000-0005-0000-0000-0000476A0000}"/>
    <cellStyle name="Percent 3 2 3 2" xfId="27201" xr:uid="{00000000-0005-0000-0000-0000486A0000}"/>
    <cellStyle name="Percent 3 2 3 2 2" xfId="27202" xr:uid="{00000000-0005-0000-0000-0000496A0000}"/>
    <cellStyle name="Percent 3 2 3 3" xfId="27203" xr:uid="{00000000-0005-0000-0000-00004A6A0000}"/>
    <cellStyle name="Percent 3 2 4" xfId="27204" xr:uid="{00000000-0005-0000-0000-00004B6A0000}"/>
    <cellStyle name="Percent 3 2 4 2" xfId="27205" xr:uid="{00000000-0005-0000-0000-00004C6A0000}"/>
    <cellStyle name="Percent 3 2 5" xfId="27206" xr:uid="{00000000-0005-0000-0000-00004D6A0000}"/>
    <cellStyle name="Percent 3 3" xfId="27207" xr:uid="{00000000-0005-0000-0000-00004E6A0000}"/>
    <cellStyle name="Percent 3 3 2" xfId="27208" xr:uid="{00000000-0005-0000-0000-00004F6A0000}"/>
    <cellStyle name="Percent 3 3 2 2" xfId="27209" xr:uid="{00000000-0005-0000-0000-0000506A0000}"/>
    <cellStyle name="Percent 3 3 2 2 2" xfId="27210" xr:uid="{00000000-0005-0000-0000-0000516A0000}"/>
    <cellStyle name="Percent 3 3 2 3" xfId="27211" xr:uid="{00000000-0005-0000-0000-0000526A0000}"/>
    <cellStyle name="Percent 3 3 3" xfId="27212" xr:uid="{00000000-0005-0000-0000-0000536A0000}"/>
    <cellStyle name="Percent 3 3 3 2" xfId="27213" xr:uid="{00000000-0005-0000-0000-0000546A0000}"/>
    <cellStyle name="Percent 3 3 4" xfId="27214" xr:uid="{00000000-0005-0000-0000-0000556A0000}"/>
    <cellStyle name="Percent 3 4" xfId="27215" xr:uid="{00000000-0005-0000-0000-0000566A0000}"/>
    <cellStyle name="Percent 3 4 2" xfId="27216" xr:uid="{00000000-0005-0000-0000-0000576A0000}"/>
    <cellStyle name="Percent 3 4 2 2" xfId="27217" xr:uid="{00000000-0005-0000-0000-0000586A0000}"/>
    <cellStyle name="Percent 3 4 3" xfId="27218" xr:uid="{00000000-0005-0000-0000-0000596A0000}"/>
    <cellStyle name="Percent 3 5" xfId="27219" xr:uid="{00000000-0005-0000-0000-00005A6A0000}"/>
    <cellStyle name="Percent 3 5 2" xfId="27220" xr:uid="{00000000-0005-0000-0000-00005B6A0000}"/>
    <cellStyle name="Percent 3 6" xfId="27221" xr:uid="{00000000-0005-0000-0000-00005C6A0000}"/>
    <cellStyle name="Percent 4" xfId="27222" xr:uid="{00000000-0005-0000-0000-00005D6A0000}"/>
    <cellStyle name="Percent 4 2" xfId="27223" xr:uid="{00000000-0005-0000-0000-00005E6A0000}"/>
    <cellStyle name="Percent 4 3" xfId="27224" xr:uid="{00000000-0005-0000-0000-00005F6A0000}"/>
    <cellStyle name="Percent 4 3 2" xfId="27225" xr:uid="{00000000-0005-0000-0000-0000606A0000}"/>
    <cellStyle name="Percent 5" xfId="27226" xr:uid="{00000000-0005-0000-0000-0000616A0000}"/>
    <cellStyle name="Percent 5 2" xfId="27227" xr:uid="{00000000-0005-0000-0000-0000626A0000}"/>
    <cellStyle name="Percent 5 3" xfId="27228" xr:uid="{00000000-0005-0000-0000-0000636A0000}"/>
    <cellStyle name="Percent 6" xfId="27229" xr:uid="{00000000-0005-0000-0000-0000646A0000}"/>
    <cellStyle name="Percent 6 2" xfId="27230" xr:uid="{00000000-0005-0000-0000-0000656A0000}"/>
    <cellStyle name="Percent 7" xfId="27231" xr:uid="{00000000-0005-0000-0000-0000666A0000}"/>
    <cellStyle name="Percent 7 2" xfId="27232" xr:uid="{00000000-0005-0000-0000-0000676A0000}"/>
    <cellStyle name="Percent 8" xfId="27233" xr:uid="{00000000-0005-0000-0000-0000686A0000}"/>
    <cellStyle name="Percent 8 2" xfId="27234" xr:uid="{00000000-0005-0000-0000-0000696A0000}"/>
    <cellStyle name="Percent 9" xfId="27235" xr:uid="{00000000-0005-0000-0000-00006A6A0000}"/>
    <cellStyle name="PERCENTAGE" xfId="27236" xr:uid="{00000000-0005-0000-0000-00006B6A0000}"/>
    <cellStyle name="Percentage (2dp)" xfId="27237" xr:uid="{00000000-0005-0000-0000-00006C6A0000}"/>
    <cellStyle name="PERCENTAGE 10" xfId="27238" xr:uid="{00000000-0005-0000-0000-00006D6A0000}"/>
    <cellStyle name="PERCENTAGE 11" xfId="27239" xr:uid="{00000000-0005-0000-0000-00006E6A0000}"/>
    <cellStyle name="PERCENTAGE 12" xfId="27240" xr:uid="{00000000-0005-0000-0000-00006F6A0000}"/>
    <cellStyle name="PERCENTAGE 13" xfId="27241" xr:uid="{00000000-0005-0000-0000-0000706A0000}"/>
    <cellStyle name="PERCENTAGE 14" xfId="27242" xr:uid="{00000000-0005-0000-0000-0000716A0000}"/>
    <cellStyle name="PERCENTAGE 15" xfId="27243" xr:uid="{00000000-0005-0000-0000-0000726A0000}"/>
    <cellStyle name="PERCENTAGE 16" xfId="27244" xr:uid="{00000000-0005-0000-0000-0000736A0000}"/>
    <cellStyle name="PERCENTAGE 17" xfId="27245" xr:uid="{00000000-0005-0000-0000-0000746A0000}"/>
    <cellStyle name="PERCENTAGE 18" xfId="27246" xr:uid="{00000000-0005-0000-0000-0000756A0000}"/>
    <cellStyle name="PERCENTAGE 19" xfId="27247" xr:uid="{00000000-0005-0000-0000-0000766A0000}"/>
    <cellStyle name="PERCENTAGE 2" xfId="27248" xr:uid="{00000000-0005-0000-0000-0000776A0000}"/>
    <cellStyle name="PERCENTAGE 20" xfId="27249" xr:uid="{00000000-0005-0000-0000-0000786A0000}"/>
    <cellStyle name="PERCENTAGE 21" xfId="27250" xr:uid="{00000000-0005-0000-0000-0000796A0000}"/>
    <cellStyle name="PERCENTAGE 22" xfId="27251" xr:uid="{00000000-0005-0000-0000-00007A6A0000}"/>
    <cellStyle name="PERCENTAGE 23" xfId="27252" xr:uid="{00000000-0005-0000-0000-00007B6A0000}"/>
    <cellStyle name="PERCENTAGE 24" xfId="27253" xr:uid="{00000000-0005-0000-0000-00007C6A0000}"/>
    <cellStyle name="PERCENTAGE 25" xfId="27254" xr:uid="{00000000-0005-0000-0000-00007D6A0000}"/>
    <cellStyle name="PERCENTAGE 26" xfId="27255" xr:uid="{00000000-0005-0000-0000-00007E6A0000}"/>
    <cellStyle name="PERCENTAGE 27" xfId="27256" xr:uid="{00000000-0005-0000-0000-00007F6A0000}"/>
    <cellStyle name="PERCENTAGE 28" xfId="27257" xr:uid="{00000000-0005-0000-0000-0000806A0000}"/>
    <cellStyle name="PERCENTAGE 29" xfId="27258" xr:uid="{00000000-0005-0000-0000-0000816A0000}"/>
    <cellStyle name="PERCENTAGE 3" xfId="27259" xr:uid="{00000000-0005-0000-0000-0000826A0000}"/>
    <cellStyle name="PERCENTAGE 30" xfId="27260" xr:uid="{00000000-0005-0000-0000-0000836A0000}"/>
    <cellStyle name="PERCENTAGE 31" xfId="27261" xr:uid="{00000000-0005-0000-0000-0000846A0000}"/>
    <cellStyle name="PERCENTAGE 32" xfId="27262" xr:uid="{00000000-0005-0000-0000-0000856A0000}"/>
    <cellStyle name="PERCENTAGE 33" xfId="27263" xr:uid="{00000000-0005-0000-0000-0000866A0000}"/>
    <cellStyle name="PERCENTAGE 34" xfId="27264" xr:uid="{00000000-0005-0000-0000-0000876A0000}"/>
    <cellStyle name="PERCENTAGE 35" xfId="27265" xr:uid="{00000000-0005-0000-0000-0000886A0000}"/>
    <cellStyle name="PERCENTAGE 36" xfId="27266" xr:uid="{00000000-0005-0000-0000-0000896A0000}"/>
    <cellStyle name="PERCENTAGE 37" xfId="27267" xr:uid="{00000000-0005-0000-0000-00008A6A0000}"/>
    <cellStyle name="PERCENTAGE 38" xfId="27268" xr:uid="{00000000-0005-0000-0000-00008B6A0000}"/>
    <cellStyle name="PERCENTAGE 39" xfId="27269" xr:uid="{00000000-0005-0000-0000-00008C6A0000}"/>
    <cellStyle name="PERCENTAGE 4" xfId="27270" xr:uid="{00000000-0005-0000-0000-00008D6A0000}"/>
    <cellStyle name="PERCENTAGE 40" xfId="27271" xr:uid="{00000000-0005-0000-0000-00008E6A0000}"/>
    <cellStyle name="PERCENTAGE 41" xfId="27272" xr:uid="{00000000-0005-0000-0000-00008F6A0000}"/>
    <cellStyle name="PERCENTAGE 42" xfId="27273" xr:uid="{00000000-0005-0000-0000-0000906A0000}"/>
    <cellStyle name="PERCENTAGE 5" xfId="27274" xr:uid="{00000000-0005-0000-0000-0000916A0000}"/>
    <cellStyle name="PERCENTAGE 6" xfId="27275" xr:uid="{00000000-0005-0000-0000-0000926A0000}"/>
    <cellStyle name="PERCENTAGE 7" xfId="27276" xr:uid="{00000000-0005-0000-0000-0000936A0000}"/>
    <cellStyle name="PERCENTAGE 8" xfId="27277" xr:uid="{00000000-0005-0000-0000-0000946A0000}"/>
    <cellStyle name="PERCENTAGE 9" xfId="27278" xr:uid="{00000000-0005-0000-0000-0000956A0000}"/>
    <cellStyle name="Percentage_MobileV12" xfId="27279" xr:uid="{00000000-0005-0000-0000-0000966A0000}"/>
    <cellStyle name="PercentSales" xfId="27280" xr:uid="{00000000-0005-0000-0000-0000976A0000}"/>
    <cellStyle name="Porcentaje" xfId="27281" xr:uid="{00000000-0005-0000-0000-0000986A0000}"/>
    <cellStyle name="Porcentaje 2" xfId="27282" xr:uid="{00000000-0005-0000-0000-0000996A0000}"/>
    <cellStyle name="Porcentaje 2 2" xfId="27283" xr:uid="{00000000-0005-0000-0000-00009A6A0000}"/>
    <cellStyle name="Porcentaje 3" xfId="27284" xr:uid="{00000000-0005-0000-0000-00009B6A0000}"/>
    <cellStyle name="Porcentaje 3 2" xfId="27285" xr:uid="{00000000-0005-0000-0000-00009C6A0000}"/>
    <cellStyle name="Porcentaje 4" xfId="27286" xr:uid="{00000000-0005-0000-0000-00009D6A0000}"/>
    <cellStyle name="pourcent" xfId="27287" xr:uid="{00000000-0005-0000-0000-00009E6A0000}"/>
    <cellStyle name="Pourcentage_pldt" xfId="27288" xr:uid="{00000000-0005-0000-0000-00009F6A0000}"/>
    <cellStyle name="Prefilled" xfId="27289" xr:uid="{00000000-0005-0000-0000-0000A06A0000}"/>
    <cellStyle name="Prefilled 10" xfId="27290" xr:uid="{00000000-0005-0000-0000-0000A16A0000}"/>
    <cellStyle name="Prefilled 11" xfId="27291" xr:uid="{00000000-0005-0000-0000-0000A26A0000}"/>
    <cellStyle name="Prefilled 12" xfId="27292" xr:uid="{00000000-0005-0000-0000-0000A36A0000}"/>
    <cellStyle name="Prefilled 13" xfId="27293" xr:uid="{00000000-0005-0000-0000-0000A46A0000}"/>
    <cellStyle name="Prefilled 14" xfId="27294" xr:uid="{00000000-0005-0000-0000-0000A56A0000}"/>
    <cellStyle name="Prefilled 15" xfId="27295" xr:uid="{00000000-0005-0000-0000-0000A66A0000}"/>
    <cellStyle name="Prefilled 16" xfId="27296" xr:uid="{00000000-0005-0000-0000-0000A76A0000}"/>
    <cellStyle name="Prefilled 17" xfId="27297" xr:uid="{00000000-0005-0000-0000-0000A86A0000}"/>
    <cellStyle name="Prefilled 18" xfId="27298" xr:uid="{00000000-0005-0000-0000-0000A96A0000}"/>
    <cellStyle name="Prefilled 19" xfId="27299" xr:uid="{00000000-0005-0000-0000-0000AA6A0000}"/>
    <cellStyle name="Prefilled 2" xfId="27300" xr:uid="{00000000-0005-0000-0000-0000AB6A0000}"/>
    <cellStyle name="Prefilled 2 10" xfId="27301" xr:uid="{00000000-0005-0000-0000-0000AC6A0000}"/>
    <cellStyle name="Prefilled 2 11" xfId="27302" xr:uid="{00000000-0005-0000-0000-0000AD6A0000}"/>
    <cellStyle name="Prefilled 2 12" xfId="27303" xr:uid="{00000000-0005-0000-0000-0000AE6A0000}"/>
    <cellStyle name="Prefilled 2 13" xfId="27304" xr:uid="{00000000-0005-0000-0000-0000AF6A0000}"/>
    <cellStyle name="Prefilled 2 14" xfId="27305" xr:uid="{00000000-0005-0000-0000-0000B06A0000}"/>
    <cellStyle name="Prefilled 2 15" xfId="27306" xr:uid="{00000000-0005-0000-0000-0000B16A0000}"/>
    <cellStyle name="Prefilled 2 16" xfId="27307" xr:uid="{00000000-0005-0000-0000-0000B26A0000}"/>
    <cellStyle name="Prefilled 2 17" xfId="27308" xr:uid="{00000000-0005-0000-0000-0000B36A0000}"/>
    <cellStyle name="Prefilled 2 18" xfId="27309" xr:uid="{00000000-0005-0000-0000-0000B46A0000}"/>
    <cellStyle name="Prefilled 2 19" xfId="27310" xr:uid="{00000000-0005-0000-0000-0000B56A0000}"/>
    <cellStyle name="Prefilled 2 2" xfId="27311" xr:uid="{00000000-0005-0000-0000-0000B66A0000}"/>
    <cellStyle name="Prefilled 2 2 10" xfId="27312" xr:uid="{00000000-0005-0000-0000-0000B76A0000}"/>
    <cellStyle name="Prefilled 2 2 11" xfId="27313" xr:uid="{00000000-0005-0000-0000-0000B86A0000}"/>
    <cellStyle name="Prefilled 2 2 12" xfId="27314" xr:uid="{00000000-0005-0000-0000-0000B96A0000}"/>
    <cellStyle name="Prefilled 2 2 13" xfId="27315" xr:uid="{00000000-0005-0000-0000-0000BA6A0000}"/>
    <cellStyle name="Prefilled 2 2 14" xfId="27316" xr:uid="{00000000-0005-0000-0000-0000BB6A0000}"/>
    <cellStyle name="Prefilled 2 2 15" xfId="27317" xr:uid="{00000000-0005-0000-0000-0000BC6A0000}"/>
    <cellStyle name="Prefilled 2 2 16" xfId="27318" xr:uid="{00000000-0005-0000-0000-0000BD6A0000}"/>
    <cellStyle name="Prefilled 2 2 17" xfId="27319" xr:uid="{00000000-0005-0000-0000-0000BE6A0000}"/>
    <cellStyle name="Prefilled 2 2 18" xfId="27320" xr:uid="{00000000-0005-0000-0000-0000BF6A0000}"/>
    <cellStyle name="Prefilled 2 2 19" xfId="27321" xr:uid="{00000000-0005-0000-0000-0000C06A0000}"/>
    <cellStyle name="Prefilled 2 2 2" xfId="27322" xr:uid="{00000000-0005-0000-0000-0000C16A0000}"/>
    <cellStyle name="Prefilled 2 2 2 10" xfId="27323" xr:uid="{00000000-0005-0000-0000-0000C26A0000}"/>
    <cellStyle name="Prefilled 2 2 2 11" xfId="27324" xr:uid="{00000000-0005-0000-0000-0000C36A0000}"/>
    <cellStyle name="Prefilled 2 2 2 12" xfId="27325" xr:uid="{00000000-0005-0000-0000-0000C46A0000}"/>
    <cellStyle name="Prefilled 2 2 2 13" xfId="27326" xr:uid="{00000000-0005-0000-0000-0000C56A0000}"/>
    <cellStyle name="Prefilled 2 2 2 14" xfId="27327" xr:uid="{00000000-0005-0000-0000-0000C66A0000}"/>
    <cellStyle name="Prefilled 2 2 2 15" xfId="27328" xr:uid="{00000000-0005-0000-0000-0000C76A0000}"/>
    <cellStyle name="Prefilled 2 2 2 16" xfId="27329" xr:uid="{00000000-0005-0000-0000-0000C86A0000}"/>
    <cellStyle name="Prefilled 2 2 2 17" xfId="27330" xr:uid="{00000000-0005-0000-0000-0000C96A0000}"/>
    <cellStyle name="Prefilled 2 2 2 18" xfId="27331" xr:uid="{00000000-0005-0000-0000-0000CA6A0000}"/>
    <cellStyle name="Prefilled 2 2 2 19" xfId="27332" xr:uid="{00000000-0005-0000-0000-0000CB6A0000}"/>
    <cellStyle name="Prefilled 2 2 2 2" xfId="27333" xr:uid="{00000000-0005-0000-0000-0000CC6A0000}"/>
    <cellStyle name="Prefilled 2 2 2 2 2" xfId="27334" xr:uid="{00000000-0005-0000-0000-0000CD6A0000}"/>
    <cellStyle name="Prefilled 2 2 2 2 3" xfId="27335" xr:uid="{00000000-0005-0000-0000-0000CE6A0000}"/>
    <cellStyle name="Prefilled 2 2 2 20" xfId="27336" xr:uid="{00000000-0005-0000-0000-0000CF6A0000}"/>
    <cellStyle name="Prefilled 2 2 2 21" xfId="27337" xr:uid="{00000000-0005-0000-0000-0000D06A0000}"/>
    <cellStyle name="Prefilled 2 2 2 22" xfId="27338" xr:uid="{00000000-0005-0000-0000-0000D16A0000}"/>
    <cellStyle name="Prefilled 2 2 2 23" xfId="27339" xr:uid="{00000000-0005-0000-0000-0000D26A0000}"/>
    <cellStyle name="Prefilled 2 2 2 24" xfId="27340" xr:uid="{00000000-0005-0000-0000-0000D36A0000}"/>
    <cellStyle name="Prefilled 2 2 2 25" xfId="27341" xr:uid="{00000000-0005-0000-0000-0000D46A0000}"/>
    <cellStyle name="Prefilled 2 2 2 26" xfId="27342" xr:uid="{00000000-0005-0000-0000-0000D56A0000}"/>
    <cellStyle name="Prefilled 2 2 2 27" xfId="27343" xr:uid="{00000000-0005-0000-0000-0000D66A0000}"/>
    <cellStyle name="Prefilled 2 2 2 28" xfId="27344" xr:uid="{00000000-0005-0000-0000-0000D76A0000}"/>
    <cellStyle name="Prefilled 2 2 2 29" xfId="27345" xr:uid="{00000000-0005-0000-0000-0000D86A0000}"/>
    <cellStyle name="Prefilled 2 2 2 3" xfId="27346" xr:uid="{00000000-0005-0000-0000-0000D96A0000}"/>
    <cellStyle name="Prefilled 2 2 2 30" xfId="27347" xr:uid="{00000000-0005-0000-0000-0000DA6A0000}"/>
    <cellStyle name="Prefilled 2 2 2 31" xfId="27348" xr:uid="{00000000-0005-0000-0000-0000DB6A0000}"/>
    <cellStyle name="Prefilled 2 2 2 32" xfId="27349" xr:uid="{00000000-0005-0000-0000-0000DC6A0000}"/>
    <cellStyle name="Prefilled 2 2 2 33" xfId="27350" xr:uid="{00000000-0005-0000-0000-0000DD6A0000}"/>
    <cellStyle name="Prefilled 2 2 2 34" xfId="27351" xr:uid="{00000000-0005-0000-0000-0000DE6A0000}"/>
    <cellStyle name="Prefilled 2 2 2 35" xfId="27352" xr:uid="{00000000-0005-0000-0000-0000DF6A0000}"/>
    <cellStyle name="Prefilled 2 2 2 36" xfId="27353" xr:uid="{00000000-0005-0000-0000-0000E06A0000}"/>
    <cellStyle name="Prefilled 2 2 2 4" xfId="27354" xr:uid="{00000000-0005-0000-0000-0000E16A0000}"/>
    <cellStyle name="Prefilled 2 2 2 5" xfId="27355" xr:uid="{00000000-0005-0000-0000-0000E26A0000}"/>
    <cellStyle name="Prefilled 2 2 2 6" xfId="27356" xr:uid="{00000000-0005-0000-0000-0000E36A0000}"/>
    <cellStyle name="Prefilled 2 2 2 7" xfId="27357" xr:uid="{00000000-0005-0000-0000-0000E46A0000}"/>
    <cellStyle name="Prefilled 2 2 2 8" xfId="27358" xr:uid="{00000000-0005-0000-0000-0000E56A0000}"/>
    <cellStyle name="Prefilled 2 2 2 9" xfId="27359" xr:uid="{00000000-0005-0000-0000-0000E66A0000}"/>
    <cellStyle name="Prefilled 2 2 20" xfId="27360" xr:uid="{00000000-0005-0000-0000-0000E76A0000}"/>
    <cellStyle name="Prefilled 2 2 21" xfId="27361" xr:uid="{00000000-0005-0000-0000-0000E86A0000}"/>
    <cellStyle name="Prefilled 2 2 22" xfId="27362" xr:uid="{00000000-0005-0000-0000-0000E96A0000}"/>
    <cellStyle name="Prefilled 2 2 23" xfId="27363" xr:uid="{00000000-0005-0000-0000-0000EA6A0000}"/>
    <cellStyle name="Prefilled 2 2 24" xfId="27364" xr:uid="{00000000-0005-0000-0000-0000EB6A0000}"/>
    <cellStyle name="Prefilled 2 2 25" xfId="27365" xr:uid="{00000000-0005-0000-0000-0000EC6A0000}"/>
    <cellStyle name="Prefilled 2 2 26" xfId="27366" xr:uid="{00000000-0005-0000-0000-0000ED6A0000}"/>
    <cellStyle name="Prefilled 2 2 27" xfId="27367" xr:uid="{00000000-0005-0000-0000-0000EE6A0000}"/>
    <cellStyle name="Prefilled 2 2 28" xfId="27368" xr:uid="{00000000-0005-0000-0000-0000EF6A0000}"/>
    <cellStyle name="Prefilled 2 2 29" xfId="27369" xr:uid="{00000000-0005-0000-0000-0000F06A0000}"/>
    <cellStyle name="Prefilled 2 2 3" xfId="27370" xr:uid="{00000000-0005-0000-0000-0000F16A0000}"/>
    <cellStyle name="Prefilled 2 2 3 2" xfId="27371" xr:uid="{00000000-0005-0000-0000-0000F26A0000}"/>
    <cellStyle name="Prefilled 2 2 3 2 2" xfId="27372" xr:uid="{00000000-0005-0000-0000-0000F36A0000}"/>
    <cellStyle name="Prefilled 2 2 3 2 3" xfId="27373" xr:uid="{00000000-0005-0000-0000-0000F46A0000}"/>
    <cellStyle name="Prefilled 2 2 3 3" xfId="27374" xr:uid="{00000000-0005-0000-0000-0000F56A0000}"/>
    <cellStyle name="Prefilled 2 2 3 3 2" xfId="27375" xr:uid="{00000000-0005-0000-0000-0000F66A0000}"/>
    <cellStyle name="Prefilled 2 2 3 3 3" xfId="27376" xr:uid="{00000000-0005-0000-0000-0000F76A0000}"/>
    <cellStyle name="Prefilled 2 2 3 4" xfId="27377" xr:uid="{00000000-0005-0000-0000-0000F86A0000}"/>
    <cellStyle name="Prefilled 2 2 3 5" xfId="27378" xr:uid="{00000000-0005-0000-0000-0000F96A0000}"/>
    <cellStyle name="Prefilled 2 2 30" xfId="27379" xr:uid="{00000000-0005-0000-0000-0000FA6A0000}"/>
    <cellStyle name="Prefilled 2 2 31" xfId="27380" xr:uid="{00000000-0005-0000-0000-0000FB6A0000}"/>
    <cellStyle name="Prefilled 2 2 32" xfId="27381" xr:uid="{00000000-0005-0000-0000-0000FC6A0000}"/>
    <cellStyle name="Prefilled 2 2 33" xfId="27382" xr:uid="{00000000-0005-0000-0000-0000FD6A0000}"/>
    <cellStyle name="Prefilled 2 2 34" xfId="27383" xr:uid="{00000000-0005-0000-0000-0000FE6A0000}"/>
    <cellStyle name="Prefilled 2 2 35" xfId="27384" xr:uid="{00000000-0005-0000-0000-0000FF6A0000}"/>
    <cellStyle name="Prefilled 2 2 36" xfId="27385" xr:uid="{00000000-0005-0000-0000-0000006B0000}"/>
    <cellStyle name="Prefilled 2 2 4" xfId="27386" xr:uid="{00000000-0005-0000-0000-0000016B0000}"/>
    <cellStyle name="Prefilled 2 2 4 2" xfId="27387" xr:uid="{00000000-0005-0000-0000-0000026B0000}"/>
    <cellStyle name="Prefilled 2 2 4 2 2" xfId="27388" xr:uid="{00000000-0005-0000-0000-0000036B0000}"/>
    <cellStyle name="Prefilled 2 2 4 2 3" xfId="27389" xr:uid="{00000000-0005-0000-0000-0000046B0000}"/>
    <cellStyle name="Prefilled 2 2 4 3" xfId="27390" xr:uid="{00000000-0005-0000-0000-0000056B0000}"/>
    <cellStyle name="Prefilled 2 2 4 3 2" xfId="27391" xr:uid="{00000000-0005-0000-0000-0000066B0000}"/>
    <cellStyle name="Prefilled 2 2 4 3 3" xfId="27392" xr:uid="{00000000-0005-0000-0000-0000076B0000}"/>
    <cellStyle name="Prefilled 2 2 4 4" xfId="27393" xr:uid="{00000000-0005-0000-0000-0000086B0000}"/>
    <cellStyle name="Prefilled 2 2 4 5" xfId="27394" xr:uid="{00000000-0005-0000-0000-0000096B0000}"/>
    <cellStyle name="Prefilled 2 2 5" xfId="27395" xr:uid="{00000000-0005-0000-0000-00000A6B0000}"/>
    <cellStyle name="Prefilled 2 2 5 2" xfId="27396" xr:uid="{00000000-0005-0000-0000-00000B6B0000}"/>
    <cellStyle name="Prefilled 2 2 5 3" xfId="27397" xr:uid="{00000000-0005-0000-0000-00000C6B0000}"/>
    <cellStyle name="Prefilled 2 2 6" xfId="27398" xr:uid="{00000000-0005-0000-0000-00000D6B0000}"/>
    <cellStyle name="Prefilled 2 2 7" xfId="27399" xr:uid="{00000000-0005-0000-0000-00000E6B0000}"/>
    <cellStyle name="Prefilled 2 2 8" xfId="27400" xr:uid="{00000000-0005-0000-0000-00000F6B0000}"/>
    <cellStyle name="Prefilled 2 2 9" xfId="27401" xr:uid="{00000000-0005-0000-0000-0000106B0000}"/>
    <cellStyle name="Prefilled 2 20" xfId="27402" xr:uid="{00000000-0005-0000-0000-0000116B0000}"/>
    <cellStyle name="Prefilled 2 21" xfId="27403" xr:uid="{00000000-0005-0000-0000-0000126B0000}"/>
    <cellStyle name="Prefilled 2 22" xfId="27404" xr:uid="{00000000-0005-0000-0000-0000136B0000}"/>
    <cellStyle name="Prefilled 2 23" xfId="27405" xr:uid="{00000000-0005-0000-0000-0000146B0000}"/>
    <cellStyle name="Prefilled 2 24" xfId="27406" xr:uid="{00000000-0005-0000-0000-0000156B0000}"/>
    <cellStyle name="Prefilled 2 25" xfId="27407" xr:uid="{00000000-0005-0000-0000-0000166B0000}"/>
    <cellStyle name="Prefilled 2 26" xfId="27408" xr:uid="{00000000-0005-0000-0000-0000176B0000}"/>
    <cellStyle name="Prefilled 2 27" xfId="27409" xr:uid="{00000000-0005-0000-0000-0000186B0000}"/>
    <cellStyle name="Prefilled 2 28" xfId="27410" xr:uid="{00000000-0005-0000-0000-0000196B0000}"/>
    <cellStyle name="Prefilled 2 29" xfId="27411" xr:uid="{00000000-0005-0000-0000-00001A6B0000}"/>
    <cellStyle name="Prefilled 2 3" xfId="27412" xr:uid="{00000000-0005-0000-0000-00001B6B0000}"/>
    <cellStyle name="Prefilled 2 3 10" xfId="27413" xr:uid="{00000000-0005-0000-0000-00001C6B0000}"/>
    <cellStyle name="Prefilled 2 3 11" xfId="27414" xr:uid="{00000000-0005-0000-0000-00001D6B0000}"/>
    <cellStyle name="Prefilled 2 3 12" xfId="27415" xr:uid="{00000000-0005-0000-0000-00001E6B0000}"/>
    <cellStyle name="Prefilled 2 3 13" xfId="27416" xr:uid="{00000000-0005-0000-0000-00001F6B0000}"/>
    <cellStyle name="Prefilled 2 3 14" xfId="27417" xr:uid="{00000000-0005-0000-0000-0000206B0000}"/>
    <cellStyle name="Prefilled 2 3 15" xfId="27418" xr:uid="{00000000-0005-0000-0000-0000216B0000}"/>
    <cellStyle name="Prefilled 2 3 16" xfId="27419" xr:uid="{00000000-0005-0000-0000-0000226B0000}"/>
    <cellStyle name="Prefilled 2 3 17" xfId="27420" xr:uid="{00000000-0005-0000-0000-0000236B0000}"/>
    <cellStyle name="Prefilled 2 3 18" xfId="27421" xr:uid="{00000000-0005-0000-0000-0000246B0000}"/>
    <cellStyle name="Prefilled 2 3 19" xfId="27422" xr:uid="{00000000-0005-0000-0000-0000256B0000}"/>
    <cellStyle name="Prefilled 2 3 2" xfId="27423" xr:uid="{00000000-0005-0000-0000-0000266B0000}"/>
    <cellStyle name="Prefilled 2 3 2 2" xfId="27424" xr:uid="{00000000-0005-0000-0000-0000276B0000}"/>
    <cellStyle name="Prefilled 2 3 2 3" xfId="27425" xr:uid="{00000000-0005-0000-0000-0000286B0000}"/>
    <cellStyle name="Prefilled 2 3 20" xfId="27426" xr:uid="{00000000-0005-0000-0000-0000296B0000}"/>
    <cellStyle name="Prefilled 2 3 21" xfId="27427" xr:uid="{00000000-0005-0000-0000-00002A6B0000}"/>
    <cellStyle name="Prefilled 2 3 22" xfId="27428" xr:uid="{00000000-0005-0000-0000-00002B6B0000}"/>
    <cellStyle name="Prefilled 2 3 23" xfId="27429" xr:uid="{00000000-0005-0000-0000-00002C6B0000}"/>
    <cellStyle name="Prefilled 2 3 24" xfId="27430" xr:uid="{00000000-0005-0000-0000-00002D6B0000}"/>
    <cellStyle name="Prefilled 2 3 25" xfId="27431" xr:uid="{00000000-0005-0000-0000-00002E6B0000}"/>
    <cellStyle name="Prefilled 2 3 26" xfId="27432" xr:uid="{00000000-0005-0000-0000-00002F6B0000}"/>
    <cellStyle name="Prefilled 2 3 27" xfId="27433" xr:uid="{00000000-0005-0000-0000-0000306B0000}"/>
    <cellStyle name="Prefilled 2 3 28" xfId="27434" xr:uid="{00000000-0005-0000-0000-0000316B0000}"/>
    <cellStyle name="Prefilled 2 3 29" xfId="27435" xr:uid="{00000000-0005-0000-0000-0000326B0000}"/>
    <cellStyle name="Prefilled 2 3 3" xfId="27436" xr:uid="{00000000-0005-0000-0000-0000336B0000}"/>
    <cellStyle name="Prefilled 2 3 30" xfId="27437" xr:uid="{00000000-0005-0000-0000-0000346B0000}"/>
    <cellStyle name="Prefilled 2 3 31" xfId="27438" xr:uid="{00000000-0005-0000-0000-0000356B0000}"/>
    <cellStyle name="Prefilled 2 3 32" xfId="27439" xr:uid="{00000000-0005-0000-0000-0000366B0000}"/>
    <cellStyle name="Prefilled 2 3 33" xfId="27440" xr:uid="{00000000-0005-0000-0000-0000376B0000}"/>
    <cellStyle name="Prefilled 2 3 34" xfId="27441" xr:uid="{00000000-0005-0000-0000-0000386B0000}"/>
    <cellStyle name="Prefilled 2 3 35" xfId="27442" xr:uid="{00000000-0005-0000-0000-0000396B0000}"/>
    <cellStyle name="Prefilled 2 3 36" xfId="27443" xr:uid="{00000000-0005-0000-0000-00003A6B0000}"/>
    <cellStyle name="Prefilled 2 3 4" xfId="27444" xr:uid="{00000000-0005-0000-0000-00003B6B0000}"/>
    <cellStyle name="Prefilled 2 3 5" xfId="27445" xr:uid="{00000000-0005-0000-0000-00003C6B0000}"/>
    <cellStyle name="Prefilled 2 3 6" xfId="27446" xr:uid="{00000000-0005-0000-0000-00003D6B0000}"/>
    <cellStyle name="Prefilled 2 3 7" xfId="27447" xr:uid="{00000000-0005-0000-0000-00003E6B0000}"/>
    <cellStyle name="Prefilled 2 3 8" xfId="27448" xr:uid="{00000000-0005-0000-0000-00003F6B0000}"/>
    <cellStyle name="Prefilled 2 3 9" xfId="27449" xr:uid="{00000000-0005-0000-0000-0000406B0000}"/>
    <cellStyle name="Prefilled 2 30" xfId="27450" xr:uid="{00000000-0005-0000-0000-0000416B0000}"/>
    <cellStyle name="Prefilled 2 31" xfId="27451" xr:uid="{00000000-0005-0000-0000-0000426B0000}"/>
    <cellStyle name="Prefilled 2 32" xfId="27452" xr:uid="{00000000-0005-0000-0000-0000436B0000}"/>
    <cellStyle name="Prefilled 2 33" xfId="27453" xr:uid="{00000000-0005-0000-0000-0000446B0000}"/>
    <cellStyle name="Prefilled 2 34" xfId="27454" xr:uid="{00000000-0005-0000-0000-0000456B0000}"/>
    <cellStyle name="Prefilled 2 35" xfId="27455" xr:uid="{00000000-0005-0000-0000-0000466B0000}"/>
    <cellStyle name="Prefilled 2 36" xfId="27456" xr:uid="{00000000-0005-0000-0000-0000476B0000}"/>
    <cellStyle name="Prefilled 2 37" xfId="27457" xr:uid="{00000000-0005-0000-0000-0000486B0000}"/>
    <cellStyle name="Prefilled 2 4" xfId="27458" xr:uid="{00000000-0005-0000-0000-0000496B0000}"/>
    <cellStyle name="Prefilled 2 4 2" xfId="27459" xr:uid="{00000000-0005-0000-0000-00004A6B0000}"/>
    <cellStyle name="Prefilled 2 4 2 2" xfId="27460" xr:uid="{00000000-0005-0000-0000-00004B6B0000}"/>
    <cellStyle name="Prefilled 2 4 2 3" xfId="27461" xr:uid="{00000000-0005-0000-0000-00004C6B0000}"/>
    <cellStyle name="Prefilled 2 4 3" xfId="27462" xr:uid="{00000000-0005-0000-0000-00004D6B0000}"/>
    <cellStyle name="Prefilled 2 4 3 2" xfId="27463" xr:uid="{00000000-0005-0000-0000-00004E6B0000}"/>
    <cellStyle name="Prefilled 2 4 3 3" xfId="27464" xr:uid="{00000000-0005-0000-0000-00004F6B0000}"/>
    <cellStyle name="Prefilled 2 4 4" xfId="27465" xr:uid="{00000000-0005-0000-0000-0000506B0000}"/>
    <cellStyle name="Prefilled 2 4 5" xfId="27466" xr:uid="{00000000-0005-0000-0000-0000516B0000}"/>
    <cellStyle name="Prefilled 2 5" xfId="27467" xr:uid="{00000000-0005-0000-0000-0000526B0000}"/>
    <cellStyle name="Prefilled 2 5 2" xfId="27468" xr:uid="{00000000-0005-0000-0000-0000536B0000}"/>
    <cellStyle name="Prefilled 2 5 2 2" xfId="27469" xr:uid="{00000000-0005-0000-0000-0000546B0000}"/>
    <cellStyle name="Prefilled 2 5 2 3" xfId="27470" xr:uid="{00000000-0005-0000-0000-0000556B0000}"/>
    <cellStyle name="Prefilled 2 5 3" xfId="27471" xr:uid="{00000000-0005-0000-0000-0000566B0000}"/>
    <cellStyle name="Prefilled 2 5 3 2" xfId="27472" xr:uid="{00000000-0005-0000-0000-0000576B0000}"/>
    <cellStyle name="Prefilled 2 5 3 3" xfId="27473" xr:uid="{00000000-0005-0000-0000-0000586B0000}"/>
    <cellStyle name="Prefilled 2 5 4" xfId="27474" xr:uid="{00000000-0005-0000-0000-0000596B0000}"/>
    <cellStyle name="Prefilled 2 5 5" xfId="27475" xr:uid="{00000000-0005-0000-0000-00005A6B0000}"/>
    <cellStyle name="Prefilled 2 6" xfId="27476" xr:uid="{00000000-0005-0000-0000-00005B6B0000}"/>
    <cellStyle name="Prefilled 2 6 2" xfId="27477" xr:uid="{00000000-0005-0000-0000-00005C6B0000}"/>
    <cellStyle name="Prefilled 2 6 3" xfId="27478" xr:uid="{00000000-0005-0000-0000-00005D6B0000}"/>
    <cellStyle name="Prefilled 2 7" xfId="27479" xr:uid="{00000000-0005-0000-0000-00005E6B0000}"/>
    <cellStyle name="Prefilled 2 8" xfId="27480" xr:uid="{00000000-0005-0000-0000-00005F6B0000}"/>
    <cellStyle name="Prefilled 2 9" xfId="27481" xr:uid="{00000000-0005-0000-0000-0000606B0000}"/>
    <cellStyle name="Prefilled 20" xfId="27482" xr:uid="{00000000-0005-0000-0000-0000616B0000}"/>
    <cellStyle name="Prefilled 21" xfId="27483" xr:uid="{00000000-0005-0000-0000-0000626B0000}"/>
    <cellStyle name="Prefilled 22" xfId="27484" xr:uid="{00000000-0005-0000-0000-0000636B0000}"/>
    <cellStyle name="Prefilled 23" xfId="27485" xr:uid="{00000000-0005-0000-0000-0000646B0000}"/>
    <cellStyle name="Prefilled 24" xfId="27486" xr:uid="{00000000-0005-0000-0000-0000656B0000}"/>
    <cellStyle name="Prefilled 25" xfId="27487" xr:uid="{00000000-0005-0000-0000-0000666B0000}"/>
    <cellStyle name="Prefilled 26" xfId="27488" xr:uid="{00000000-0005-0000-0000-0000676B0000}"/>
    <cellStyle name="Prefilled 27" xfId="27489" xr:uid="{00000000-0005-0000-0000-0000686B0000}"/>
    <cellStyle name="Prefilled 28" xfId="27490" xr:uid="{00000000-0005-0000-0000-0000696B0000}"/>
    <cellStyle name="Prefilled 29" xfId="27491" xr:uid="{00000000-0005-0000-0000-00006A6B0000}"/>
    <cellStyle name="Prefilled 3" xfId="27492" xr:uid="{00000000-0005-0000-0000-00006B6B0000}"/>
    <cellStyle name="Prefilled 3 10" xfId="27493" xr:uid="{00000000-0005-0000-0000-00006C6B0000}"/>
    <cellStyle name="Prefilled 3 11" xfId="27494" xr:uid="{00000000-0005-0000-0000-00006D6B0000}"/>
    <cellStyle name="Prefilled 3 12" xfId="27495" xr:uid="{00000000-0005-0000-0000-00006E6B0000}"/>
    <cellStyle name="Prefilled 3 13" xfId="27496" xr:uid="{00000000-0005-0000-0000-00006F6B0000}"/>
    <cellStyle name="Prefilled 3 14" xfId="27497" xr:uid="{00000000-0005-0000-0000-0000706B0000}"/>
    <cellStyle name="Prefilled 3 15" xfId="27498" xr:uid="{00000000-0005-0000-0000-0000716B0000}"/>
    <cellStyle name="Prefilled 3 16" xfId="27499" xr:uid="{00000000-0005-0000-0000-0000726B0000}"/>
    <cellStyle name="Prefilled 3 17" xfId="27500" xr:uid="{00000000-0005-0000-0000-0000736B0000}"/>
    <cellStyle name="Prefilled 3 18" xfId="27501" xr:uid="{00000000-0005-0000-0000-0000746B0000}"/>
    <cellStyle name="Prefilled 3 19" xfId="27502" xr:uid="{00000000-0005-0000-0000-0000756B0000}"/>
    <cellStyle name="Prefilled 3 2" xfId="27503" xr:uid="{00000000-0005-0000-0000-0000766B0000}"/>
    <cellStyle name="Prefilled 3 2 10" xfId="27504" xr:uid="{00000000-0005-0000-0000-0000776B0000}"/>
    <cellStyle name="Prefilled 3 2 11" xfId="27505" xr:uid="{00000000-0005-0000-0000-0000786B0000}"/>
    <cellStyle name="Prefilled 3 2 12" xfId="27506" xr:uid="{00000000-0005-0000-0000-0000796B0000}"/>
    <cellStyle name="Prefilled 3 2 13" xfId="27507" xr:uid="{00000000-0005-0000-0000-00007A6B0000}"/>
    <cellStyle name="Prefilled 3 2 14" xfId="27508" xr:uid="{00000000-0005-0000-0000-00007B6B0000}"/>
    <cellStyle name="Prefilled 3 2 15" xfId="27509" xr:uid="{00000000-0005-0000-0000-00007C6B0000}"/>
    <cellStyle name="Prefilled 3 2 16" xfId="27510" xr:uid="{00000000-0005-0000-0000-00007D6B0000}"/>
    <cellStyle name="Prefilled 3 2 17" xfId="27511" xr:uid="{00000000-0005-0000-0000-00007E6B0000}"/>
    <cellStyle name="Prefilled 3 2 18" xfId="27512" xr:uid="{00000000-0005-0000-0000-00007F6B0000}"/>
    <cellStyle name="Prefilled 3 2 19" xfId="27513" xr:uid="{00000000-0005-0000-0000-0000806B0000}"/>
    <cellStyle name="Prefilled 3 2 2" xfId="27514" xr:uid="{00000000-0005-0000-0000-0000816B0000}"/>
    <cellStyle name="Prefilled 3 2 2 2" xfId="27515" xr:uid="{00000000-0005-0000-0000-0000826B0000}"/>
    <cellStyle name="Prefilled 3 2 2 3" xfId="27516" xr:uid="{00000000-0005-0000-0000-0000836B0000}"/>
    <cellStyle name="Prefilled 3 2 20" xfId="27517" xr:uid="{00000000-0005-0000-0000-0000846B0000}"/>
    <cellStyle name="Prefilled 3 2 21" xfId="27518" xr:uid="{00000000-0005-0000-0000-0000856B0000}"/>
    <cellStyle name="Prefilled 3 2 22" xfId="27519" xr:uid="{00000000-0005-0000-0000-0000866B0000}"/>
    <cellStyle name="Prefilled 3 2 23" xfId="27520" xr:uid="{00000000-0005-0000-0000-0000876B0000}"/>
    <cellStyle name="Prefilled 3 2 24" xfId="27521" xr:uid="{00000000-0005-0000-0000-0000886B0000}"/>
    <cellStyle name="Prefilled 3 2 25" xfId="27522" xr:uid="{00000000-0005-0000-0000-0000896B0000}"/>
    <cellStyle name="Prefilled 3 2 26" xfId="27523" xr:uid="{00000000-0005-0000-0000-00008A6B0000}"/>
    <cellStyle name="Prefilled 3 2 27" xfId="27524" xr:uid="{00000000-0005-0000-0000-00008B6B0000}"/>
    <cellStyle name="Prefilled 3 2 28" xfId="27525" xr:uid="{00000000-0005-0000-0000-00008C6B0000}"/>
    <cellStyle name="Prefilled 3 2 29" xfId="27526" xr:uid="{00000000-0005-0000-0000-00008D6B0000}"/>
    <cellStyle name="Prefilled 3 2 3" xfId="27527" xr:uid="{00000000-0005-0000-0000-00008E6B0000}"/>
    <cellStyle name="Prefilled 3 2 30" xfId="27528" xr:uid="{00000000-0005-0000-0000-00008F6B0000}"/>
    <cellStyle name="Prefilled 3 2 31" xfId="27529" xr:uid="{00000000-0005-0000-0000-0000906B0000}"/>
    <cellStyle name="Prefilled 3 2 32" xfId="27530" xr:uid="{00000000-0005-0000-0000-0000916B0000}"/>
    <cellStyle name="Prefilled 3 2 33" xfId="27531" xr:uid="{00000000-0005-0000-0000-0000926B0000}"/>
    <cellStyle name="Prefilled 3 2 34" xfId="27532" xr:uid="{00000000-0005-0000-0000-0000936B0000}"/>
    <cellStyle name="Prefilled 3 2 35" xfId="27533" xr:uid="{00000000-0005-0000-0000-0000946B0000}"/>
    <cellStyle name="Prefilled 3 2 36" xfId="27534" xr:uid="{00000000-0005-0000-0000-0000956B0000}"/>
    <cellStyle name="Prefilled 3 2 4" xfId="27535" xr:uid="{00000000-0005-0000-0000-0000966B0000}"/>
    <cellStyle name="Prefilled 3 2 5" xfId="27536" xr:uid="{00000000-0005-0000-0000-0000976B0000}"/>
    <cellStyle name="Prefilled 3 2 6" xfId="27537" xr:uid="{00000000-0005-0000-0000-0000986B0000}"/>
    <cellStyle name="Prefilled 3 2 7" xfId="27538" xr:uid="{00000000-0005-0000-0000-0000996B0000}"/>
    <cellStyle name="Prefilled 3 2 8" xfId="27539" xr:uid="{00000000-0005-0000-0000-00009A6B0000}"/>
    <cellStyle name="Prefilled 3 2 9" xfId="27540" xr:uid="{00000000-0005-0000-0000-00009B6B0000}"/>
    <cellStyle name="Prefilled 3 20" xfId="27541" xr:uid="{00000000-0005-0000-0000-00009C6B0000}"/>
    <cellStyle name="Prefilled 3 21" xfId="27542" xr:uid="{00000000-0005-0000-0000-00009D6B0000}"/>
    <cellStyle name="Prefilled 3 22" xfId="27543" xr:uid="{00000000-0005-0000-0000-00009E6B0000}"/>
    <cellStyle name="Prefilled 3 23" xfId="27544" xr:uid="{00000000-0005-0000-0000-00009F6B0000}"/>
    <cellStyle name="Prefilled 3 24" xfId="27545" xr:uid="{00000000-0005-0000-0000-0000A06B0000}"/>
    <cellStyle name="Prefilled 3 25" xfId="27546" xr:uid="{00000000-0005-0000-0000-0000A16B0000}"/>
    <cellStyle name="Prefilled 3 26" xfId="27547" xr:uid="{00000000-0005-0000-0000-0000A26B0000}"/>
    <cellStyle name="Prefilled 3 27" xfId="27548" xr:uid="{00000000-0005-0000-0000-0000A36B0000}"/>
    <cellStyle name="Prefilled 3 28" xfId="27549" xr:uid="{00000000-0005-0000-0000-0000A46B0000}"/>
    <cellStyle name="Prefilled 3 29" xfId="27550" xr:uid="{00000000-0005-0000-0000-0000A56B0000}"/>
    <cellStyle name="Prefilled 3 3" xfId="27551" xr:uid="{00000000-0005-0000-0000-0000A66B0000}"/>
    <cellStyle name="Prefilled 3 3 2" xfId="27552" xr:uid="{00000000-0005-0000-0000-0000A76B0000}"/>
    <cellStyle name="Prefilled 3 3 2 2" xfId="27553" xr:uid="{00000000-0005-0000-0000-0000A86B0000}"/>
    <cellStyle name="Prefilled 3 3 2 3" xfId="27554" xr:uid="{00000000-0005-0000-0000-0000A96B0000}"/>
    <cellStyle name="Prefilled 3 3 3" xfId="27555" xr:uid="{00000000-0005-0000-0000-0000AA6B0000}"/>
    <cellStyle name="Prefilled 3 3 3 2" xfId="27556" xr:uid="{00000000-0005-0000-0000-0000AB6B0000}"/>
    <cellStyle name="Prefilled 3 3 3 3" xfId="27557" xr:uid="{00000000-0005-0000-0000-0000AC6B0000}"/>
    <cellStyle name="Prefilled 3 3 4" xfId="27558" xr:uid="{00000000-0005-0000-0000-0000AD6B0000}"/>
    <cellStyle name="Prefilled 3 3 5" xfId="27559" xr:uid="{00000000-0005-0000-0000-0000AE6B0000}"/>
    <cellStyle name="Prefilled 3 30" xfId="27560" xr:uid="{00000000-0005-0000-0000-0000AF6B0000}"/>
    <cellStyle name="Prefilled 3 31" xfId="27561" xr:uid="{00000000-0005-0000-0000-0000B06B0000}"/>
    <cellStyle name="Prefilled 3 32" xfId="27562" xr:uid="{00000000-0005-0000-0000-0000B16B0000}"/>
    <cellStyle name="Prefilled 3 33" xfId="27563" xr:uid="{00000000-0005-0000-0000-0000B26B0000}"/>
    <cellStyle name="Prefilled 3 34" xfId="27564" xr:uid="{00000000-0005-0000-0000-0000B36B0000}"/>
    <cellStyle name="Prefilled 3 35" xfId="27565" xr:uid="{00000000-0005-0000-0000-0000B46B0000}"/>
    <cellStyle name="Prefilled 3 36" xfId="27566" xr:uid="{00000000-0005-0000-0000-0000B56B0000}"/>
    <cellStyle name="Prefilled 3 4" xfId="27567" xr:uid="{00000000-0005-0000-0000-0000B66B0000}"/>
    <cellStyle name="Prefilled 3 4 2" xfId="27568" xr:uid="{00000000-0005-0000-0000-0000B76B0000}"/>
    <cellStyle name="Prefilled 3 4 2 2" xfId="27569" xr:uid="{00000000-0005-0000-0000-0000B86B0000}"/>
    <cellStyle name="Prefilled 3 4 2 3" xfId="27570" xr:uid="{00000000-0005-0000-0000-0000B96B0000}"/>
    <cellStyle name="Prefilled 3 4 3" xfId="27571" xr:uid="{00000000-0005-0000-0000-0000BA6B0000}"/>
    <cellStyle name="Prefilled 3 4 3 2" xfId="27572" xr:uid="{00000000-0005-0000-0000-0000BB6B0000}"/>
    <cellStyle name="Prefilled 3 4 3 3" xfId="27573" xr:uid="{00000000-0005-0000-0000-0000BC6B0000}"/>
    <cellStyle name="Prefilled 3 4 4" xfId="27574" xr:uid="{00000000-0005-0000-0000-0000BD6B0000}"/>
    <cellStyle name="Prefilled 3 4 5" xfId="27575" xr:uid="{00000000-0005-0000-0000-0000BE6B0000}"/>
    <cellStyle name="Prefilled 3 5" xfId="27576" xr:uid="{00000000-0005-0000-0000-0000BF6B0000}"/>
    <cellStyle name="Prefilled 3 5 2" xfId="27577" xr:uid="{00000000-0005-0000-0000-0000C06B0000}"/>
    <cellStyle name="Prefilled 3 5 3" xfId="27578" xr:uid="{00000000-0005-0000-0000-0000C16B0000}"/>
    <cellStyle name="Prefilled 3 6" xfId="27579" xr:uid="{00000000-0005-0000-0000-0000C26B0000}"/>
    <cellStyle name="Prefilled 3 7" xfId="27580" xr:uid="{00000000-0005-0000-0000-0000C36B0000}"/>
    <cellStyle name="Prefilled 3 8" xfId="27581" xr:uid="{00000000-0005-0000-0000-0000C46B0000}"/>
    <cellStyle name="Prefilled 3 9" xfId="27582" xr:uid="{00000000-0005-0000-0000-0000C56B0000}"/>
    <cellStyle name="Prefilled 30" xfId="27583" xr:uid="{00000000-0005-0000-0000-0000C66B0000}"/>
    <cellStyle name="Prefilled 31" xfId="27584" xr:uid="{00000000-0005-0000-0000-0000C76B0000}"/>
    <cellStyle name="Prefilled 32" xfId="27585" xr:uid="{00000000-0005-0000-0000-0000C86B0000}"/>
    <cellStyle name="Prefilled 33" xfId="27586" xr:uid="{00000000-0005-0000-0000-0000C96B0000}"/>
    <cellStyle name="Prefilled 34" xfId="27587" xr:uid="{00000000-0005-0000-0000-0000CA6B0000}"/>
    <cellStyle name="Prefilled 35" xfId="27588" xr:uid="{00000000-0005-0000-0000-0000CB6B0000}"/>
    <cellStyle name="Prefilled 36" xfId="27589" xr:uid="{00000000-0005-0000-0000-0000CC6B0000}"/>
    <cellStyle name="Prefilled 37" xfId="27590" xr:uid="{00000000-0005-0000-0000-0000CD6B0000}"/>
    <cellStyle name="Prefilled 38" xfId="27591" xr:uid="{00000000-0005-0000-0000-0000CE6B0000}"/>
    <cellStyle name="Prefilled 4" xfId="27592" xr:uid="{00000000-0005-0000-0000-0000CF6B0000}"/>
    <cellStyle name="Prefilled 4 10" xfId="27593" xr:uid="{00000000-0005-0000-0000-0000D06B0000}"/>
    <cellStyle name="Prefilled 4 11" xfId="27594" xr:uid="{00000000-0005-0000-0000-0000D16B0000}"/>
    <cellStyle name="Prefilled 4 12" xfId="27595" xr:uid="{00000000-0005-0000-0000-0000D26B0000}"/>
    <cellStyle name="Prefilled 4 13" xfId="27596" xr:uid="{00000000-0005-0000-0000-0000D36B0000}"/>
    <cellStyle name="Prefilled 4 14" xfId="27597" xr:uid="{00000000-0005-0000-0000-0000D46B0000}"/>
    <cellStyle name="Prefilled 4 15" xfId="27598" xr:uid="{00000000-0005-0000-0000-0000D56B0000}"/>
    <cellStyle name="Prefilled 4 16" xfId="27599" xr:uid="{00000000-0005-0000-0000-0000D66B0000}"/>
    <cellStyle name="Prefilled 4 17" xfId="27600" xr:uid="{00000000-0005-0000-0000-0000D76B0000}"/>
    <cellStyle name="Prefilled 4 18" xfId="27601" xr:uid="{00000000-0005-0000-0000-0000D86B0000}"/>
    <cellStyle name="Prefilled 4 19" xfId="27602" xr:uid="{00000000-0005-0000-0000-0000D96B0000}"/>
    <cellStyle name="Prefilled 4 2" xfId="27603" xr:uid="{00000000-0005-0000-0000-0000DA6B0000}"/>
    <cellStyle name="Prefilled 4 2 2" xfId="27604" xr:uid="{00000000-0005-0000-0000-0000DB6B0000}"/>
    <cellStyle name="Prefilled 4 2 3" xfId="27605" xr:uid="{00000000-0005-0000-0000-0000DC6B0000}"/>
    <cellStyle name="Prefilled 4 20" xfId="27606" xr:uid="{00000000-0005-0000-0000-0000DD6B0000}"/>
    <cellStyle name="Prefilled 4 21" xfId="27607" xr:uid="{00000000-0005-0000-0000-0000DE6B0000}"/>
    <cellStyle name="Prefilled 4 22" xfId="27608" xr:uid="{00000000-0005-0000-0000-0000DF6B0000}"/>
    <cellStyle name="Prefilled 4 23" xfId="27609" xr:uid="{00000000-0005-0000-0000-0000E06B0000}"/>
    <cellStyle name="Prefilled 4 24" xfId="27610" xr:uid="{00000000-0005-0000-0000-0000E16B0000}"/>
    <cellStyle name="Prefilled 4 25" xfId="27611" xr:uid="{00000000-0005-0000-0000-0000E26B0000}"/>
    <cellStyle name="Prefilled 4 26" xfId="27612" xr:uid="{00000000-0005-0000-0000-0000E36B0000}"/>
    <cellStyle name="Prefilled 4 27" xfId="27613" xr:uid="{00000000-0005-0000-0000-0000E46B0000}"/>
    <cellStyle name="Prefilled 4 28" xfId="27614" xr:uid="{00000000-0005-0000-0000-0000E56B0000}"/>
    <cellStyle name="Prefilled 4 29" xfId="27615" xr:uid="{00000000-0005-0000-0000-0000E66B0000}"/>
    <cellStyle name="Prefilled 4 3" xfId="27616" xr:uid="{00000000-0005-0000-0000-0000E76B0000}"/>
    <cellStyle name="Prefilled 4 30" xfId="27617" xr:uid="{00000000-0005-0000-0000-0000E86B0000}"/>
    <cellStyle name="Prefilled 4 31" xfId="27618" xr:uid="{00000000-0005-0000-0000-0000E96B0000}"/>
    <cellStyle name="Prefilled 4 32" xfId="27619" xr:uid="{00000000-0005-0000-0000-0000EA6B0000}"/>
    <cellStyle name="Prefilled 4 33" xfId="27620" xr:uid="{00000000-0005-0000-0000-0000EB6B0000}"/>
    <cellStyle name="Prefilled 4 34" xfId="27621" xr:uid="{00000000-0005-0000-0000-0000EC6B0000}"/>
    <cellStyle name="Prefilled 4 35" xfId="27622" xr:uid="{00000000-0005-0000-0000-0000ED6B0000}"/>
    <cellStyle name="Prefilled 4 36" xfId="27623" xr:uid="{00000000-0005-0000-0000-0000EE6B0000}"/>
    <cellStyle name="Prefilled 4 4" xfId="27624" xr:uid="{00000000-0005-0000-0000-0000EF6B0000}"/>
    <cellStyle name="Prefilled 4 5" xfId="27625" xr:uid="{00000000-0005-0000-0000-0000F06B0000}"/>
    <cellStyle name="Prefilled 4 6" xfId="27626" xr:uid="{00000000-0005-0000-0000-0000F16B0000}"/>
    <cellStyle name="Prefilled 4 7" xfId="27627" xr:uid="{00000000-0005-0000-0000-0000F26B0000}"/>
    <cellStyle name="Prefilled 4 8" xfId="27628" xr:uid="{00000000-0005-0000-0000-0000F36B0000}"/>
    <cellStyle name="Prefilled 4 9" xfId="27629" xr:uid="{00000000-0005-0000-0000-0000F46B0000}"/>
    <cellStyle name="Prefilled 5" xfId="27630" xr:uid="{00000000-0005-0000-0000-0000F56B0000}"/>
    <cellStyle name="Prefilled 5 2" xfId="27631" xr:uid="{00000000-0005-0000-0000-0000F66B0000}"/>
    <cellStyle name="Prefilled 5 2 2" xfId="27632" xr:uid="{00000000-0005-0000-0000-0000F76B0000}"/>
    <cellStyle name="Prefilled 5 2 3" xfId="27633" xr:uid="{00000000-0005-0000-0000-0000F86B0000}"/>
    <cellStyle name="Prefilled 5 3" xfId="27634" xr:uid="{00000000-0005-0000-0000-0000F96B0000}"/>
    <cellStyle name="Prefilled 5 3 2" xfId="27635" xr:uid="{00000000-0005-0000-0000-0000FA6B0000}"/>
    <cellStyle name="Prefilled 5 3 3" xfId="27636" xr:uid="{00000000-0005-0000-0000-0000FB6B0000}"/>
    <cellStyle name="Prefilled 5 4" xfId="27637" xr:uid="{00000000-0005-0000-0000-0000FC6B0000}"/>
    <cellStyle name="Prefilled 5 5" xfId="27638" xr:uid="{00000000-0005-0000-0000-0000FD6B0000}"/>
    <cellStyle name="Prefilled 6" xfId="27639" xr:uid="{00000000-0005-0000-0000-0000FE6B0000}"/>
    <cellStyle name="Prefilled 6 2" xfId="27640" xr:uid="{00000000-0005-0000-0000-0000FF6B0000}"/>
    <cellStyle name="Prefilled 6 2 2" xfId="27641" xr:uid="{00000000-0005-0000-0000-0000006C0000}"/>
    <cellStyle name="Prefilled 6 2 3" xfId="27642" xr:uid="{00000000-0005-0000-0000-0000016C0000}"/>
    <cellStyle name="Prefilled 6 3" xfId="27643" xr:uid="{00000000-0005-0000-0000-0000026C0000}"/>
    <cellStyle name="Prefilled 6 3 2" xfId="27644" xr:uid="{00000000-0005-0000-0000-0000036C0000}"/>
    <cellStyle name="Prefilled 6 3 3" xfId="27645" xr:uid="{00000000-0005-0000-0000-0000046C0000}"/>
    <cellStyle name="Prefilled 6 4" xfId="27646" xr:uid="{00000000-0005-0000-0000-0000056C0000}"/>
    <cellStyle name="Prefilled 6 5" xfId="27647" xr:uid="{00000000-0005-0000-0000-0000066C0000}"/>
    <cellStyle name="Prefilled 7" xfId="27648" xr:uid="{00000000-0005-0000-0000-0000076C0000}"/>
    <cellStyle name="Prefilled 7 2" xfId="27649" xr:uid="{00000000-0005-0000-0000-0000086C0000}"/>
    <cellStyle name="Prefilled 7 3" xfId="27650" xr:uid="{00000000-0005-0000-0000-0000096C0000}"/>
    <cellStyle name="Prefilled 8" xfId="27651" xr:uid="{00000000-0005-0000-0000-00000A6C0000}"/>
    <cellStyle name="Prefilled 9" xfId="27652" xr:uid="{00000000-0005-0000-0000-00000B6C0000}"/>
    <cellStyle name="PrePop Currency (0)" xfId="27653" xr:uid="{00000000-0005-0000-0000-00000C6C0000}"/>
    <cellStyle name="PrePop Currency (0) 2" xfId="27654" xr:uid="{00000000-0005-0000-0000-00000D6C0000}"/>
    <cellStyle name="PrePop Currency (0) 2 2" xfId="27655" xr:uid="{00000000-0005-0000-0000-00000E6C0000}"/>
    <cellStyle name="PrePop Currency (0) 3" xfId="27656" xr:uid="{00000000-0005-0000-0000-00000F6C0000}"/>
    <cellStyle name="PrePop Currency (2)" xfId="27657" xr:uid="{00000000-0005-0000-0000-0000106C0000}"/>
    <cellStyle name="PrePop Units (0)" xfId="27658" xr:uid="{00000000-0005-0000-0000-0000116C0000}"/>
    <cellStyle name="PrePop Units (0) 2" xfId="27659" xr:uid="{00000000-0005-0000-0000-0000126C0000}"/>
    <cellStyle name="PrePop Units (0) 2 2" xfId="27660" xr:uid="{00000000-0005-0000-0000-0000136C0000}"/>
    <cellStyle name="PrePop Units (0) 3" xfId="27661" xr:uid="{00000000-0005-0000-0000-0000146C0000}"/>
    <cellStyle name="PrePop Units (1)" xfId="27662" xr:uid="{00000000-0005-0000-0000-0000156C0000}"/>
    <cellStyle name="PrePop Units (1) 2" xfId="27663" xr:uid="{00000000-0005-0000-0000-0000166C0000}"/>
    <cellStyle name="PrePop Units (1) 3" xfId="27664" xr:uid="{00000000-0005-0000-0000-0000176C0000}"/>
    <cellStyle name="PrePop Units (2)" xfId="27665" xr:uid="{00000000-0005-0000-0000-0000186C0000}"/>
    <cellStyle name="Price" xfId="27666" xr:uid="{00000000-0005-0000-0000-0000196C0000}"/>
    <cellStyle name="Problem Var" xfId="27667" xr:uid="{00000000-0005-0000-0000-00001A6C0000}"/>
    <cellStyle name="Prosent_Oversikt" xfId="27668" xr:uid="{00000000-0005-0000-0000-00001B6C0000}"/>
    <cellStyle name="Protected" xfId="27669" xr:uid="{00000000-0005-0000-0000-00001C6C0000}"/>
    <cellStyle name="Qté calculées" xfId="27670" xr:uid="{00000000-0005-0000-0000-00001D6C0000}"/>
    <cellStyle name="Qté calculées 10" xfId="27671" xr:uid="{00000000-0005-0000-0000-00001E6C0000}"/>
    <cellStyle name="Qté calculées 11" xfId="27672" xr:uid="{00000000-0005-0000-0000-00001F6C0000}"/>
    <cellStyle name="Qté calculées 12" xfId="27673" xr:uid="{00000000-0005-0000-0000-0000206C0000}"/>
    <cellStyle name="Qté calculées 13" xfId="27674" xr:uid="{00000000-0005-0000-0000-0000216C0000}"/>
    <cellStyle name="Qté calculées 14" xfId="27675" xr:uid="{00000000-0005-0000-0000-0000226C0000}"/>
    <cellStyle name="Qté calculées 15" xfId="27676" xr:uid="{00000000-0005-0000-0000-0000236C0000}"/>
    <cellStyle name="Qté calculées 16" xfId="27677" xr:uid="{00000000-0005-0000-0000-0000246C0000}"/>
    <cellStyle name="Qté calculées 17" xfId="27678" xr:uid="{00000000-0005-0000-0000-0000256C0000}"/>
    <cellStyle name="Qté calculées 18" xfId="27679" xr:uid="{00000000-0005-0000-0000-0000266C0000}"/>
    <cellStyle name="Qté calculées 19" xfId="27680" xr:uid="{00000000-0005-0000-0000-0000276C0000}"/>
    <cellStyle name="Qté calculées 2" xfId="27681" xr:uid="{00000000-0005-0000-0000-0000286C0000}"/>
    <cellStyle name="Qté calculées 2 10" xfId="27682" xr:uid="{00000000-0005-0000-0000-0000296C0000}"/>
    <cellStyle name="Qté calculées 2 11" xfId="27683" xr:uid="{00000000-0005-0000-0000-00002A6C0000}"/>
    <cellStyle name="Qté calculées 2 12" xfId="27684" xr:uid="{00000000-0005-0000-0000-00002B6C0000}"/>
    <cellStyle name="Qté calculées 2 13" xfId="27685" xr:uid="{00000000-0005-0000-0000-00002C6C0000}"/>
    <cellStyle name="Qté calculées 2 14" xfId="27686" xr:uid="{00000000-0005-0000-0000-00002D6C0000}"/>
    <cellStyle name="Qté calculées 2 15" xfId="27687" xr:uid="{00000000-0005-0000-0000-00002E6C0000}"/>
    <cellStyle name="Qté calculées 2 16" xfId="27688" xr:uid="{00000000-0005-0000-0000-00002F6C0000}"/>
    <cellStyle name="Qté calculées 2 17" xfId="27689" xr:uid="{00000000-0005-0000-0000-0000306C0000}"/>
    <cellStyle name="Qté calculées 2 18" xfId="27690" xr:uid="{00000000-0005-0000-0000-0000316C0000}"/>
    <cellStyle name="Qté calculées 2 19" xfId="27691" xr:uid="{00000000-0005-0000-0000-0000326C0000}"/>
    <cellStyle name="Qté calculées 2 2" xfId="27692" xr:uid="{00000000-0005-0000-0000-0000336C0000}"/>
    <cellStyle name="Qté calculées 2 2 10" xfId="27693" xr:uid="{00000000-0005-0000-0000-0000346C0000}"/>
    <cellStyle name="Qté calculées 2 2 11" xfId="27694" xr:uid="{00000000-0005-0000-0000-0000356C0000}"/>
    <cellStyle name="Qté calculées 2 2 12" xfId="27695" xr:uid="{00000000-0005-0000-0000-0000366C0000}"/>
    <cellStyle name="Qté calculées 2 2 13" xfId="27696" xr:uid="{00000000-0005-0000-0000-0000376C0000}"/>
    <cellStyle name="Qté calculées 2 2 14" xfId="27697" xr:uid="{00000000-0005-0000-0000-0000386C0000}"/>
    <cellStyle name="Qté calculées 2 2 15" xfId="27698" xr:uid="{00000000-0005-0000-0000-0000396C0000}"/>
    <cellStyle name="Qté calculées 2 2 16" xfId="27699" xr:uid="{00000000-0005-0000-0000-00003A6C0000}"/>
    <cellStyle name="Qté calculées 2 2 17" xfId="27700" xr:uid="{00000000-0005-0000-0000-00003B6C0000}"/>
    <cellStyle name="Qté calculées 2 2 18" xfId="27701" xr:uid="{00000000-0005-0000-0000-00003C6C0000}"/>
    <cellStyle name="Qté calculées 2 2 19" xfId="27702" xr:uid="{00000000-0005-0000-0000-00003D6C0000}"/>
    <cellStyle name="Qté calculées 2 2 2" xfId="27703" xr:uid="{00000000-0005-0000-0000-00003E6C0000}"/>
    <cellStyle name="Qté calculées 2 2 2 10" xfId="27704" xr:uid="{00000000-0005-0000-0000-00003F6C0000}"/>
    <cellStyle name="Qté calculées 2 2 2 11" xfId="27705" xr:uid="{00000000-0005-0000-0000-0000406C0000}"/>
    <cellStyle name="Qté calculées 2 2 2 12" xfId="27706" xr:uid="{00000000-0005-0000-0000-0000416C0000}"/>
    <cellStyle name="Qté calculées 2 2 2 13" xfId="27707" xr:uid="{00000000-0005-0000-0000-0000426C0000}"/>
    <cellStyle name="Qté calculées 2 2 2 14" xfId="27708" xr:uid="{00000000-0005-0000-0000-0000436C0000}"/>
    <cellStyle name="Qté calculées 2 2 2 15" xfId="27709" xr:uid="{00000000-0005-0000-0000-0000446C0000}"/>
    <cellStyle name="Qté calculées 2 2 2 16" xfId="27710" xr:uid="{00000000-0005-0000-0000-0000456C0000}"/>
    <cellStyle name="Qté calculées 2 2 2 17" xfId="27711" xr:uid="{00000000-0005-0000-0000-0000466C0000}"/>
    <cellStyle name="Qté calculées 2 2 2 18" xfId="27712" xr:uid="{00000000-0005-0000-0000-0000476C0000}"/>
    <cellStyle name="Qté calculées 2 2 2 19" xfId="27713" xr:uid="{00000000-0005-0000-0000-0000486C0000}"/>
    <cellStyle name="Qté calculées 2 2 2 2" xfId="27714" xr:uid="{00000000-0005-0000-0000-0000496C0000}"/>
    <cellStyle name="Qté calculées 2 2 2 2 2" xfId="27715" xr:uid="{00000000-0005-0000-0000-00004A6C0000}"/>
    <cellStyle name="Qté calculées 2 2 2 2 3" xfId="27716" xr:uid="{00000000-0005-0000-0000-00004B6C0000}"/>
    <cellStyle name="Qté calculées 2 2 2 20" xfId="27717" xr:uid="{00000000-0005-0000-0000-00004C6C0000}"/>
    <cellStyle name="Qté calculées 2 2 2 21" xfId="27718" xr:uid="{00000000-0005-0000-0000-00004D6C0000}"/>
    <cellStyle name="Qté calculées 2 2 2 22" xfId="27719" xr:uid="{00000000-0005-0000-0000-00004E6C0000}"/>
    <cellStyle name="Qté calculées 2 2 2 23" xfId="27720" xr:uid="{00000000-0005-0000-0000-00004F6C0000}"/>
    <cellStyle name="Qté calculées 2 2 2 24" xfId="27721" xr:uid="{00000000-0005-0000-0000-0000506C0000}"/>
    <cellStyle name="Qté calculées 2 2 2 25" xfId="27722" xr:uid="{00000000-0005-0000-0000-0000516C0000}"/>
    <cellStyle name="Qté calculées 2 2 2 26" xfId="27723" xr:uid="{00000000-0005-0000-0000-0000526C0000}"/>
    <cellStyle name="Qté calculées 2 2 2 27" xfId="27724" xr:uid="{00000000-0005-0000-0000-0000536C0000}"/>
    <cellStyle name="Qté calculées 2 2 2 28" xfId="27725" xr:uid="{00000000-0005-0000-0000-0000546C0000}"/>
    <cellStyle name="Qté calculées 2 2 2 29" xfId="27726" xr:uid="{00000000-0005-0000-0000-0000556C0000}"/>
    <cellStyle name="Qté calculées 2 2 2 3" xfId="27727" xr:uid="{00000000-0005-0000-0000-0000566C0000}"/>
    <cellStyle name="Qté calculées 2 2 2 30" xfId="27728" xr:uid="{00000000-0005-0000-0000-0000576C0000}"/>
    <cellStyle name="Qté calculées 2 2 2 31" xfId="27729" xr:uid="{00000000-0005-0000-0000-0000586C0000}"/>
    <cellStyle name="Qté calculées 2 2 2 32" xfId="27730" xr:uid="{00000000-0005-0000-0000-0000596C0000}"/>
    <cellStyle name="Qté calculées 2 2 2 33" xfId="27731" xr:uid="{00000000-0005-0000-0000-00005A6C0000}"/>
    <cellStyle name="Qté calculées 2 2 2 34" xfId="27732" xr:uid="{00000000-0005-0000-0000-00005B6C0000}"/>
    <cellStyle name="Qté calculées 2 2 2 35" xfId="27733" xr:uid="{00000000-0005-0000-0000-00005C6C0000}"/>
    <cellStyle name="Qté calculées 2 2 2 36" xfId="27734" xr:uid="{00000000-0005-0000-0000-00005D6C0000}"/>
    <cellStyle name="Qté calculées 2 2 2 4" xfId="27735" xr:uid="{00000000-0005-0000-0000-00005E6C0000}"/>
    <cellStyle name="Qté calculées 2 2 2 5" xfId="27736" xr:uid="{00000000-0005-0000-0000-00005F6C0000}"/>
    <cellStyle name="Qté calculées 2 2 2 6" xfId="27737" xr:uid="{00000000-0005-0000-0000-0000606C0000}"/>
    <cellStyle name="Qté calculées 2 2 2 7" xfId="27738" xr:uid="{00000000-0005-0000-0000-0000616C0000}"/>
    <cellStyle name="Qté calculées 2 2 2 8" xfId="27739" xr:uid="{00000000-0005-0000-0000-0000626C0000}"/>
    <cellStyle name="Qté calculées 2 2 2 9" xfId="27740" xr:uid="{00000000-0005-0000-0000-0000636C0000}"/>
    <cellStyle name="Qté calculées 2 2 20" xfId="27741" xr:uid="{00000000-0005-0000-0000-0000646C0000}"/>
    <cellStyle name="Qté calculées 2 2 21" xfId="27742" xr:uid="{00000000-0005-0000-0000-0000656C0000}"/>
    <cellStyle name="Qté calculées 2 2 22" xfId="27743" xr:uid="{00000000-0005-0000-0000-0000666C0000}"/>
    <cellStyle name="Qté calculées 2 2 23" xfId="27744" xr:uid="{00000000-0005-0000-0000-0000676C0000}"/>
    <cellStyle name="Qté calculées 2 2 24" xfId="27745" xr:uid="{00000000-0005-0000-0000-0000686C0000}"/>
    <cellStyle name="Qté calculées 2 2 25" xfId="27746" xr:uid="{00000000-0005-0000-0000-0000696C0000}"/>
    <cellStyle name="Qté calculées 2 2 26" xfId="27747" xr:uid="{00000000-0005-0000-0000-00006A6C0000}"/>
    <cellStyle name="Qté calculées 2 2 27" xfId="27748" xr:uid="{00000000-0005-0000-0000-00006B6C0000}"/>
    <cellStyle name="Qté calculées 2 2 28" xfId="27749" xr:uid="{00000000-0005-0000-0000-00006C6C0000}"/>
    <cellStyle name="Qté calculées 2 2 29" xfId="27750" xr:uid="{00000000-0005-0000-0000-00006D6C0000}"/>
    <cellStyle name="Qté calculées 2 2 3" xfId="27751" xr:uid="{00000000-0005-0000-0000-00006E6C0000}"/>
    <cellStyle name="Qté calculées 2 2 3 2" xfId="27752" xr:uid="{00000000-0005-0000-0000-00006F6C0000}"/>
    <cellStyle name="Qté calculées 2 2 3 2 2" xfId="27753" xr:uid="{00000000-0005-0000-0000-0000706C0000}"/>
    <cellStyle name="Qté calculées 2 2 3 2 3" xfId="27754" xr:uid="{00000000-0005-0000-0000-0000716C0000}"/>
    <cellStyle name="Qté calculées 2 2 3 3" xfId="27755" xr:uid="{00000000-0005-0000-0000-0000726C0000}"/>
    <cellStyle name="Qté calculées 2 2 3 3 2" xfId="27756" xr:uid="{00000000-0005-0000-0000-0000736C0000}"/>
    <cellStyle name="Qté calculées 2 2 3 3 3" xfId="27757" xr:uid="{00000000-0005-0000-0000-0000746C0000}"/>
    <cellStyle name="Qté calculées 2 2 3 4" xfId="27758" xr:uid="{00000000-0005-0000-0000-0000756C0000}"/>
    <cellStyle name="Qté calculées 2 2 3 5" xfId="27759" xr:uid="{00000000-0005-0000-0000-0000766C0000}"/>
    <cellStyle name="Qté calculées 2 2 30" xfId="27760" xr:uid="{00000000-0005-0000-0000-0000776C0000}"/>
    <cellStyle name="Qté calculées 2 2 31" xfId="27761" xr:uid="{00000000-0005-0000-0000-0000786C0000}"/>
    <cellStyle name="Qté calculées 2 2 32" xfId="27762" xr:uid="{00000000-0005-0000-0000-0000796C0000}"/>
    <cellStyle name="Qté calculées 2 2 33" xfId="27763" xr:uid="{00000000-0005-0000-0000-00007A6C0000}"/>
    <cellStyle name="Qté calculées 2 2 34" xfId="27764" xr:uid="{00000000-0005-0000-0000-00007B6C0000}"/>
    <cellStyle name="Qté calculées 2 2 35" xfId="27765" xr:uid="{00000000-0005-0000-0000-00007C6C0000}"/>
    <cellStyle name="Qté calculées 2 2 36" xfId="27766" xr:uid="{00000000-0005-0000-0000-00007D6C0000}"/>
    <cellStyle name="Qté calculées 2 2 4" xfId="27767" xr:uid="{00000000-0005-0000-0000-00007E6C0000}"/>
    <cellStyle name="Qté calculées 2 2 4 2" xfId="27768" xr:uid="{00000000-0005-0000-0000-00007F6C0000}"/>
    <cellStyle name="Qté calculées 2 2 4 2 2" xfId="27769" xr:uid="{00000000-0005-0000-0000-0000806C0000}"/>
    <cellStyle name="Qté calculées 2 2 4 2 3" xfId="27770" xr:uid="{00000000-0005-0000-0000-0000816C0000}"/>
    <cellStyle name="Qté calculées 2 2 4 3" xfId="27771" xr:uid="{00000000-0005-0000-0000-0000826C0000}"/>
    <cellStyle name="Qté calculées 2 2 4 3 2" xfId="27772" xr:uid="{00000000-0005-0000-0000-0000836C0000}"/>
    <cellStyle name="Qté calculées 2 2 4 3 3" xfId="27773" xr:uid="{00000000-0005-0000-0000-0000846C0000}"/>
    <cellStyle name="Qté calculées 2 2 4 4" xfId="27774" xr:uid="{00000000-0005-0000-0000-0000856C0000}"/>
    <cellStyle name="Qté calculées 2 2 4 5" xfId="27775" xr:uid="{00000000-0005-0000-0000-0000866C0000}"/>
    <cellStyle name="Qté calculées 2 2 5" xfId="27776" xr:uid="{00000000-0005-0000-0000-0000876C0000}"/>
    <cellStyle name="Qté calculées 2 2 5 2" xfId="27777" xr:uid="{00000000-0005-0000-0000-0000886C0000}"/>
    <cellStyle name="Qté calculées 2 2 5 3" xfId="27778" xr:uid="{00000000-0005-0000-0000-0000896C0000}"/>
    <cellStyle name="Qté calculées 2 2 6" xfId="27779" xr:uid="{00000000-0005-0000-0000-00008A6C0000}"/>
    <cellStyle name="Qté calculées 2 2 7" xfId="27780" xr:uid="{00000000-0005-0000-0000-00008B6C0000}"/>
    <cellStyle name="Qté calculées 2 2 8" xfId="27781" xr:uid="{00000000-0005-0000-0000-00008C6C0000}"/>
    <cellStyle name="Qté calculées 2 2 9" xfId="27782" xr:uid="{00000000-0005-0000-0000-00008D6C0000}"/>
    <cellStyle name="Qté calculées 2 20" xfId="27783" xr:uid="{00000000-0005-0000-0000-00008E6C0000}"/>
    <cellStyle name="Qté calculées 2 21" xfId="27784" xr:uid="{00000000-0005-0000-0000-00008F6C0000}"/>
    <cellStyle name="Qté calculées 2 22" xfId="27785" xr:uid="{00000000-0005-0000-0000-0000906C0000}"/>
    <cellStyle name="Qté calculées 2 23" xfId="27786" xr:uid="{00000000-0005-0000-0000-0000916C0000}"/>
    <cellStyle name="Qté calculées 2 24" xfId="27787" xr:uid="{00000000-0005-0000-0000-0000926C0000}"/>
    <cellStyle name="Qté calculées 2 25" xfId="27788" xr:uid="{00000000-0005-0000-0000-0000936C0000}"/>
    <cellStyle name="Qté calculées 2 26" xfId="27789" xr:uid="{00000000-0005-0000-0000-0000946C0000}"/>
    <cellStyle name="Qté calculées 2 27" xfId="27790" xr:uid="{00000000-0005-0000-0000-0000956C0000}"/>
    <cellStyle name="Qté calculées 2 28" xfId="27791" xr:uid="{00000000-0005-0000-0000-0000966C0000}"/>
    <cellStyle name="Qté calculées 2 29" xfId="27792" xr:uid="{00000000-0005-0000-0000-0000976C0000}"/>
    <cellStyle name="Qté calculées 2 3" xfId="27793" xr:uid="{00000000-0005-0000-0000-0000986C0000}"/>
    <cellStyle name="Qté calculées 2 3 10" xfId="27794" xr:uid="{00000000-0005-0000-0000-0000996C0000}"/>
    <cellStyle name="Qté calculées 2 3 11" xfId="27795" xr:uid="{00000000-0005-0000-0000-00009A6C0000}"/>
    <cellStyle name="Qté calculées 2 3 12" xfId="27796" xr:uid="{00000000-0005-0000-0000-00009B6C0000}"/>
    <cellStyle name="Qté calculées 2 3 13" xfId="27797" xr:uid="{00000000-0005-0000-0000-00009C6C0000}"/>
    <cellStyle name="Qté calculées 2 3 14" xfId="27798" xr:uid="{00000000-0005-0000-0000-00009D6C0000}"/>
    <cellStyle name="Qté calculées 2 3 15" xfId="27799" xr:uid="{00000000-0005-0000-0000-00009E6C0000}"/>
    <cellStyle name="Qté calculées 2 3 16" xfId="27800" xr:uid="{00000000-0005-0000-0000-00009F6C0000}"/>
    <cellStyle name="Qté calculées 2 3 17" xfId="27801" xr:uid="{00000000-0005-0000-0000-0000A06C0000}"/>
    <cellStyle name="Qté calculées 2 3 18" xfId="27802" xr:uid="{00000000-0005-0000-0000-0000A16C0000}"/>
    <cellStyle name="Qté calculées 2 3 19" xfId="27803" xr:uid="{00000000-0005-0000-0000-0000A26C0000}"/>
    <cellStyle name="Qté calculées 2 3 2" xfId="27804" xr:uid="{00000000-0005-0000-0000-0000A36C0000}"/>
    <cellStyle name="Qté calculées 2 3 2 2" xfId="27805" xr:uid="{00000000-0005-0000-0000-0000A46C0000}"/>
    <cellStyle name="Qté calculées 2 3 2 3" xfId="27806" xr:uid="{00000000-0005-0000-0000-0000A56C0000}"/>
    <cellStyle name="Qté calculées 2 3 20" xfId="27807" xr:uid="{00000000-0005-0000-0000-0000A66C0000}"/>
    <cellStyle name="Qté calculées 2 3 21" xfId="27808" xr:uid="{00000000-0005-0000-0000-0000A76C0000}"/>
    <cellStyle name="Qté calculées 2 3 22" xfId="27809" xr:uid="{00000000-0005-0000-0000-0000A86C0000}"/>
    <cellStyle name="Qté calculées 2 3 23" xfId="27810" xr:uid="{00000000-0005-0000-0000-0000A96C0000}"/>
    <cellStyle name="Qté calculées 2 3 24" xfId="27811" xr:uid="{00000000-0005-0000-0000-0000AA6C0000}"/>
    <cellStyle name="Qté calculées 2 3 25" xfId="27812" xr:uid="{00000000-0005-0000-0000-0000AB6C0000}"/>
    <cellStyle name="Qté calculées 2 3 26" xfId="27813" xr:uid="{00000000-0005-0000-0000-0000AC6C0000}"/>
    <cellStyle name="Qté calculées 2 3 27" xfId="27814" xr:uid="{00000000-0005-0000-0000-0000AD6C0000}"/>
    <cellStyle name="Qté calculées 2 3 28" xfId="27815" xr:uid="{00000000-0005-0000-0000-0000AE6C0000}"/>
    <cellStyle name="Qté calculées 2 3 29" xfId="27816" xr:uid="{00000000-0005-0000-0000-0000AF6C0000}"/>
    <cellStyle name="Qté calculées 2 3 3" xfId="27817" xr:uid="{00000000-0005-0000-0000-0000B06C0000}"/>
    <cellStyle name="Qté calculées 2 3 30" xfId="27818" xr:uid="{00000000-0005-0000-0000-0000B16C0000}"/>
    <cellStyle name="Qté calculées 2 3 31" xfId="27819" xr:uid="{00000000-0005-0000-0000-0000B26C0000}"/>
    <cellStyle name="Qté calculées 2 3 32" xfId="27820" xr:uid="{00000000-0005-0000-0000-0000B36C0000}"/>
    <cellStyle name="Qté calculées 2 3 33" xfId="27821" xr:uid="{00000000-0005-0000-0000-0000B46C0000}"/>
    <cellStyle name="Qté calculées 2 3 34" xfId="27822" xr:uid="{00000000-0005-0000-0000-0000B56C0000}"/>
    <cellStyle name="Qté calculées 2 3 35" xfId="27823" xr:uid="{00000000-0005-0000-0000-0000B66C0000}"/>
    <cellStyle name="Qté calculées 2 3 36" xfId="27824" xr:uid="{00000000-0005-0000-0000-0000B76C0000}"/>
    <cellStyle name="Qté calculées 2 3 4" xfId="27825" xr:uid="{00000000-0005-0000-0000-0000B86C0000}"/>
    <cellStyle name="Qté calculées 2 3 5" xfId="27826" xr:uid="{00000000-0005-0000-0000-0000B96C0000}"/>
    <cellStyle name="Qté calculées 2 3 6" xfId="27827" xr:uid="{00000000-0005-0000-0000-0000BA6C0000}"/>
    <cellStyle name="Qté calculées 2 3 7" xfId="27828" xr:uid="{00000000-0005-0000-0000-0000BB6C0000}"/>
    <cellStyle name="Qté calculées 2 3 8" xfId="27829" xr:uid="{00000000-0005-0000-0000-0000BC6C0000}"/>
    <cellStyle name="Qté calculées 2 3 9" xfId="27830" xr:uid="{00000000-0005-0000-0000-0000BD6C0000}"/>
    <cellStyle name="Qté calculées 2 30" xfId="27831" xr:uid="{00000000-0005-0000-0000-0000BE6C0000}"/>
    <cellStyle name="Qté calculées 2 31" xfId="27832" xr:uid="{00000000-0005-0000-0000-0000BF6C0000}"/>
    <cellStyle name="Qté calculées 2 32" xfId="27833" xr:uid="{00000000-0005-0000-0000-0000C06C0000}"/>
    <cellStyle name="Qté calculées 2 33" xfId="27834" xr:uid="{00000000-0005-0000-0000-0000C16C0000}"/>
    <cellStyle name="Qté calculées 2 34" xfId="27835" xr:uid="{00000000-0005-0000-0000-0000C26C0000}"/>
    <cellStyle name="Qté calculées 2 35" xfId="27836" xr:uid="{00000000-0005-0000-0000-0000C36C0000}"/>
    <cellStyle name="Qté calculées 2 36" xfId="27837" xr:uid="{00000000-0005-0000-0000-0000C46C0000}"/>
    <cellStyle name="Qté calculées 2 37" xfId="27838" xr:uid="{00000000-0005-0000-0000-0000C56C0000}"/>
    <cellStyle name="Qté calculées 2 4" xfId="27839" xr:uid="{00000000-0005-0000-0000-0000C66C0000}"/>
    <cellStyle name="Qté calculées 2 4 2" xfId="27840" xr:uid="{00000000-0005-0000-0000-0000C76C0000}"/>
    <cellStyle name="Qté calculées 2 4 2 2" xfId="27841" xr:uid="{00000000-0005-0000-0000-0000C86C0000}"/>
    <cellStyle name="Qté calculées 2 4 2 3" xfId="27842" xr:uid="{00000000-0005-0000-0000-0000C96C0000}"/>
    <cellStyle name="Qté calculées 2 4 3" xfId="27843" xr:uid="{00000000-0005-0000-0000-0000CA6C0000}"/>
    <cellStyle name="Qté calculées 2 4 3 2" xfId="27844" xr:uid="{00000000-0005-0000-0000-0000CB6C0000}"/>
    <cellStyle name="Qté calculées 2 4 3 3" xfId="27845" xr:uid="{00000000-0005-0000-0000-0000CC6C0000}"/>
    <cellStyle name="Qté calculées 2 4 4" xfId="27846" xr:uid="{00000000-0005-0000-0000-0000CD6C0000}"/>
    <cellStyle name="Qté calculées 2 4 5" xfId="27847" xr:uid="{00000000-0005-0000-0000-0000CE6C0000}"/>
    <cellStyle name="Qté calculées 2 5" xfId="27848" xr:uid="{00000000-0005-0000-0000-0000CF6C0000}"/>
    <cellStyle name="Qté calculées 2 5 2" xfId="27849" xr:uid="{00000000-0005-0000-0000-0000D06C0000}"/>
    <cellStyle name="Qté calculées 2 5 2 2" xfId="27850" xr:uid="{00000000-0005-0000-0000-0000D16C0000}"/>
    <cellStyle name="Qté calculées 2 5 2 3" xfId="27851" xr:uid="{00000000-0005-0000-0000-0000D26C0000}"/>
    <cellStyle name="Qté calculées 2 5 3" xfId="27852" xr:uid="{00000000-0005-0000-0000-0000D36C0000}"/>
    <cellStyle name="Qté calculées 2 5 3 2" xfId="27853" xr:uid="{00000000-0005-0000-0000-0000D46C0000}"/>
    <cellStyle name="Qté calculées 2 5 3 3" xfId="27854" xr:uid="{00000000-0005-0000-0000-0000D56C0000}"/>
    <cellStyle name="Qté calculées 2 5 4" xfId="27855" xr:uid="{00000000-0005-0000-0000-0000D66C0000}"/>
    <cellStyle name="Qté calculées 2 5 5" xfId="27856" xr:uid="{00000000-0005-0000-0000-0000D76C0000}"/>
    <cellStyle name="Qté calculées 2 6" xfId="27857" xr:uid="{00000000-0005-0000-0000-0000D86C0000}"/>
    <cellStyle name="Qté calculées 2 6 2" xfId="27858" xr:uid="{00000000-0005-0000-0000-0000D96C0000}"/>
    <cellStyle name="Qté calculées 2 6 3" xfId="27859" xr:uid="{00000000-0005-0000-0000-0000DA6C0000}"/>
    <cellStyle name="Qté calculées 2 7" xfId="27860" xr:uid="{00000000-0005-0000-0000-0000DB6C0000}"/>
    <cellStyle name="Qté calculées 2 8" xfId="27861" xr:uid="{00000000-0005-0000-0000-0000DC6C0000}"/>
    <cellStyle name="Qté calculées 2 9" xfId="27862" xr:uid="{00000000-0005-0000-0000-0000DD6C0000}"/>
    <cellStyle name="Qté calculées 20" xfId="27863" xr:uid="{00000000-0005-0000-0000-0000DE6C0000}"/>
    <cellStyle name="Qté calculées 21" xfId="27864" xr:uid="{00000000-0005-0000-0000-0000DF6C0000}"/>
    <cellStyle name="Qté calculées 22" xfId="27865" xr:uid="{00000000-0005-0000-0000-0000E06C0000}"/>
    <cellStyle name="Qté calculées 23" xfId="27866" xr:uid="{00000000-0005-0000-0000-0000E16C0000}"/>
    <cellStyle name="Qté calculées 24" xfId="27867" xr:uid="{00000000-0005-0000-0000-0000E26C0000}"/>
    <cellStyle name="Qté calculées 25" xfId="27868" xr:uid="{00000000-0005-0000-0000-0000E36C0000}"/>
    <cellStyle name="Qté calculées 26" xfId="27869" xr:uid="{00000000-0005-0000-0000-0000E46C0000}"/>
    <cellStyle name="Qté calculées 27" xfId="27870" xr:uid="{00000000-0005-0000-0000-0000E56C0000}"/>
    <cellStyle name="Qté calculées 28" xfId="27871" xr:uid="{00000000-0005-0000-0000-0000E66C0000}"/>
    <cellStyle name="Qté calculées 29" xfId="27872" xr:uid="{00000000-0005-0000-0000-0000E76C0000}"/>
    <cellStyle name="Qté calculées 3" xfId="27873" xr:uid="{00000000-0005-0000-0000-0000E86C0000}"/>
    <cellStyle name="Qté calculées 3 10" xfId="27874" xr:uid="{00000000-0005-0000-0000-0000E96C0000}"/>
    <cellStyle name="Qté calculées 3 11" xfId="27875" xr:uid="{00000000-0005-0000-0000-0000EA6C0000}"/>
    <cellStyle name="Qté calculées 3 12" xfId="27876" xr:uid="{00000000-0005-0000-0000-0000EB6C0000}"/>
    <cellStyle name="Qté calculées 3 13" xfId="27877" xr:uid="{00000000-0005-0000-0000-0000EC6C0000}"/>
    <cellStyle name="Qté calculées 3 14" xfId="27878" xr:uid="{00000000-0005-0000-0000-0000ED6C0000}"/>
    <cellStyle name="Qté calculées 3 15" xfId="27879" xr:uid="{00000000-0005-0000-0000-0000EE6C0000}"/>
    <cellStyle name="Qté calculées 3 16" xfId="27880" xr:uid="{00000000-0005-0000-0000-0000EF6C0000}"/>
    <cellStyle name="Qté calculées 3 17" xfId="27881" xr:uid="{00000000-0005-0000-0000-0000F06C0000}"/>
    <cellStyle name="Qté calculées 3 18" xfId="27882" xr:uid="{00000000-0005-0000-0000-0000F16C0000}"/>
    <cellStyle name="Qté calculées 3 19" xfId="27883" xr:uid="{00000000-0005-0000-0000-0000F26C0000}"/>
    <cellStyle name="Qté calculées 3 2" xfId="27884" xr:uid="{00000000-0005-0000-0000-0000F36C0000}"/>
    <cellStyle name="Qté calculées 3 2 10" xfId="27885" xr:uid="{00000000-0005-0000-0000-0000F46C0000}"/>
    <cellStyle name="Qté calculées 3 2 11" xfId="27886" xr:uid="{00000000-0005-0000-0000-0000F56C0000}"/>
    <cellStyle name="Qté calculées 3 2 12" xfId="27887" xr:uid="{00000000-0005-0000-0000-0000F66C0000}"/>
    <cellStyle name="Qté calculées 3 2 13" xfId="27888" xr:uid="{00000000-0005-0000-0000-0000F76C0000}"/>
    <cellStyle name="Qté calculées 3 2 14" xfId="27889" xr:uid="{00000000-0005-0000-0000-0000F86C0000}"/>
    <cellStyle name="Qté calculées 3 2 15" xfId="27890" xr:uid="{00000000-0005-0000-0000-0000F96C0000}"/>
    <cellStyle name="Qté calculées 3 2 16" xfId="27891" xr:uid="{00000000-0005-0000-0000-0000FA6C0000}"/>
    <cellStyle name="Qté calculées 3 2 17" xfId="27892" xr:uid="{00000000-0005-0000-0000-0000FB6C0000}"/>
    <cellStyle name="Qté calculées 3 2 18" xfId="27893" xr:uid="{00000000-0005-0000-0000-0000FC6C0000}"/>
    <cellStyle name="Qté calculées 3 2 19" xfId="27894" xr:uid="{00000000-0005-0000-0000-0000FD6C0000}"/>
    <cellStyle name="Qté calculées 3 2 2" xfId="27895" xr:uid="{00000000-0005-0000-0000-0000FE6C0000}"/>
    <cellStyle name="Qté calculées 3 2 2 2" xfId="27896" xr:uid="{00000000-0005-0000-0000-0000FF6C0000}"/>
    <cellStyle name="Qté calculées 3 2 2 3" xfId="27897" xr:uid="{00000000-0005-0000-0000-0000006D0000}"/>
    <cellStyle name="Qté calculées 3 2 20" xfId="27898" xr:uid="{00000000-0005-0000-0000-0000016D0000}"/>
    <cellStyle name="Qté calculées 3 2 21" xfId="27899" xr:uid="{00000000-0005-0000-0000-0000026D0000}"/>
    <cellStyle name="Qté calculées 3 2 22" xfId="27900" xr:uid="{00000000-0005-0000-0000-0000036D0000}"/>
    <cellStyle name="Qté calculées 3 2 23" xfId="27901" xr:uid="{00000000-0005-0000-0000-0000046D0000}"/>
    <cellStyle name="Qté calculées 3 2 24" xfId="27902" xr:uid="{00000000-0005-0000-0000-0000056D0000}"/>
    <cellStyle name="Qté calculées 3 2 25" xfId="27903" xr:uid="{00000000-0005-0000-0000-0000066D0000}"/>
    <cellStyle name="Qté calculées 3 2 26" xfId="27904" xr:uid="{00000000-0005-0000-0000-0000076D0000}"/>
    <cellStyle name="Qté calculées 3 2 27" xfId="27905" xr:uid="{00000000-0005-0000-0000-0000086D0000}"/>
    <cellStyle name="Qté calculées 3 2 28" xfId="27906" xr:uid="{00000000-0005-0000-0000-0000096D0000}"/>
    <cellStyle name="Qté calculées 3 2 29" xfId="27907" xr:uid="{00000000-0005-0000-0000-00000A6D0000}"/>
    <cellStyle name="Qté calculées 3 2 3" xfId="27908" xr:uid="{00000000-0005-0000-0000-00000B6D0000}"/>
    <cellStyle name="Qté calculées 3 2 30" xfId="27909" xr:uid="{00000000-0005-0000-0000-00000C6D0000}"/>
    <cellStyle name="Qté calculées 3 2 31" xfId="27910" xr:uid="{00000000-0005-0000-0000-00000D6D0000}"/>
    <cellStyle name="Qté calculées 3 2 32" xfId="27911" xr:uid="{00000000-0005-0000-0000-00000E6D0000}"/>
    <cellStyle name="Qté calculées 3 2 33" xfId="27912" xr:uid="{00000000-0005-0000-0000-00000F6D0000}"/>
    <cellStyle name="Qté calculées 3 2 34" xfId="27913" xr:uid="{00000000-0005-0000-0000-0000106D0000}"/>
    <cellStyle name="Qté calculées 3 2 35" xfId="27914" xr:uid="{00000000-0005-0000-0000-0000116D0000}"/>
    <cellStyle name="Qté calculées 3 2 36" xfId="27915" xr:uid="{00000000-0005-0000-0000-0000126D0000}"/>
    <cellStyle name="Qté calculées 3 2 4" xfId="27916" xr:uid="{00000000-0005-0000-0000-0000136D0000}"/>
    <cellStyle name="Qté calculées 3 2 5" xfId="27917" xr:uid="{00000000-0005-0000-0000-0000146D0000}"/>
    <cellStyle name="Qté calculées 3 2 6" xfId="27918" xr:uid="{00000000-0005-0000-0000-0000156D0000}"/>
    <cellStyle name="Qté calculées 3 2 7" xfId="27919" xr:uid="{00000000-0005-0000-0000-0000166D0000}"/>
    <cellStyle name="Qté calculées 3 2 8" xfId="27920" xr:uid="{00000000-0005-0000-0000-0000176D0000}"/>
    <cellStyle name="Qté calculées 3 2 9" xfId="27921" xr:uid="{00000000-0005-0000-0000-0000186D0000}"/>
    <cellStyle name="Qté calculées 3 20" xfId="27922" xr:uid="{00000000-0005-0000-0000-0000196D0000}"/>
    <cellStyle name="Qté calculées 3 21" xfId="27923" xr:uid="{00000000-0005-0000-0000-00001A6D0000}"/>
    <cellStyle name="Qté calculées 3 22" xfId="27924" xr:uid="{00000000-0005-0000-0000-00001B6D0000}"/>
    <cellStyle name="Qté calculées 3 23" xfId="27925" xr:uid="{00000000-0005-0000-0000-00001C6D0000}"/>
    <cellStyle name="Qté calculées 3 24" xfId="27926" xr:uid="{00000000-0005-0000-0000-00001D6D0000}"/>
    <cellStyle name="Qté calculées 3 25" xfId="27927" xr:uid="{00000000-0005-0000-0000-00001E6D0000}"/>
    <cellStyle name="Qté calculées 3 26" xfId="27928" xr:uid="{00000000-0005-0000-0000-00001F6D0000}"/>
    <cellStyle name="Qté calculées 3 27" xfId="27929" xr:uid="{00000000-0005-0000-0000-0000206D0000}"/>
    <cellStyle name="Qté calculées 3 28" xfId="27930" xr:uid="{00000000-0005-0000-0000-0000216D0000}"/>
    <cellStyle name="Qté calculées 3 29" xfId="27931" xr:uid="{00000000-0005-0000-0000-0000226D0000}"/>
    <cellStyle name="Qté calculées 3 3" xfId="27932" xr:uid="{00000000-0005-0000-0000-0000236D0000}"/>
    <cellStyle name="Qté calculées 3 3 2" xfId="27933" xr:uid="{00000000-0005-0000-0000-0000246D0000}"/>
    <cellStyle name="Qté calculées 3 3 2 2" xfId="27934" xr:uid="{00000000-0005-0000-0000-0000256D0000}"/>
    <cellStyle name="Qté calculées 3 3 2 3" xfId="27935" xr:uid="{00000000-0005-0000-0000-0000266D0000}"/>
    <cellStyle name="Qté calculées 3 3 3" xfId="27936" xr:uid="{00000000-0005-0000-0000-0000276D0000}"/>
    <cellStyle name="Qté calculées 3 3 3 2" xfId="27937" xr:uid="{00000000-0005-0000-0000-0000286D0000}"/>
    <cellStyle name="Qté calculées 3 3 3 3" xfId="27938" xr:uid="{00000000-0005-0000-0000-0000296D0000}"/>
    <cellStyle name="Qté calculées 3 3 4" xfId="27939" xr:uid="{00000000-0005-0000-0000-00002A6D0000}"/>
    <cellStyle name="Qté calculées 3 3 5" xfId="27940" xr:uid="{00000000-0005-0000-0000-00002B6D0000}"/>
    <cellStyle name="Qté calculées 3 30" xfId="27941" xr:uid="{00000000-0005-0000-0000-00002C6D0000}"/>
    <cellStyle name="Qté calculées 3 31" xfId="27942" xr:uid="{00000000-0005-0000-0000-00002D6D0000}"/>
    <cellStyle name="Qté calculées 3 32" xfId="27943" xr:uid="{00000000-0005-0000-0000-00002E6D0000}"/>
    <cellStyle name="Qté calculées 3 33" xfId="27944" xr:uid="{00000000-0005-0000-0000-00002F6D0000}"/>
    <cellStyle name="Qté calculées 3 34" xfId="27945" xr:uid="{00000000-0005-0000-0000-0000306D0000}"/>
    <cellStyle name="Qté calculées 3 35" xfId="27946" xr:uid="{00000000-0005-0000-0000-0000316D0000}"/>
    <cellStyle name="Qté calculées 3 36" xfId="27947" xr:uid="{00000000-0005-0000-0000-0000326D0000}"/>
    <cellStyle name="Qté calculées 3 4" xfId="27948" xr:uid="{00000000-0005-0000-0000-0000336D0000}"/>
    <cellStyle name="Qté calculées 3 4 2" xfId="27949" xr:uid="{00000000-0005-0000-0000-0000346D0000}"/>
    <cellStyle name="Qté calculées 3 4 2 2" xfId="27950" xr:uid="{00000000-0005-0000-0000-0000356D0000}"/>
    <cellStyle name="Qté calculées 3 4 2 3" xfId="27951" xr:uid="{00000000-0005-0000-0000-0000366D0000}"/>
    <cellStyle name="Qté calculées 3 4 3" xfId="27952" xr:uid="{00000000-0005-0000-0000-0000376D0000}"/>
    <cellStyle name="Qté calculées 3 4 3 2" xfId="27953" xr:uid="{00000000-0005-0000-0000-0000386D0000}"/>
    <cellStyle name="Qté calculées 3 4 3 3" xfId="27954" xr:uid="{00000000-0005-0000-0000-0000396D0000}"/>
    <cellStyle name="Qté calculées 3 4 4" xfId="27955" xr:uid="{00000000-0005-0000-0000-00003A6D0000}"/>
    <cellStyle name="Qté calculées 3 4 5" xfId="27956" xr:uid="{00000000-0005-0000-0000-00003B6D0000}"/>
    <cellStyle name="Qté calculées 3 5" xfId="27957" xr:uid="{00000000-0005-0000-0000-00003C6D0000}"/>
    <cellStyle name="Qté calculées 3 5 2" xfId="27958" xr:uid="{00000000-0005-0000-0000-00003D6D0000}"/>
    <cellStyle name="Qté calculées 3 5 3" xfId="27959" xr:uid="{00000000-0005-0000-0000-00003E6D0000}"/>
    <cellStyle name="Qté calculées 3 6" xfId="27960" xr:uid="{00000000-0005-0000-0000-00003F6D0000}"/>
    <cellStyle name="Qté calculées 3 7" xfId="27961" xr:uid="{00000000-0005-0000-0000-0000406D0000}"/>
    <cellStyle name="Qté calculées 3 8" xfId="27962" xr:uid="{00000000-0005-0000-0000-0000416D0000}"/>
    <cellStyle name="Qté calculées 3 9" xfId="27963" xr:uid="{00000000-0005-0000-0000-0000426D0000}"/>
    <cellStyle name="Qté calculées 30" xfId="27964" xr:uid="{00000000-0005-0000-0000-0000436D0000}"/>
    <cellStyle name="Qté calculées 31" xfId="27965" xr:uid="{00000000-0005-0000-0000-0000446D0000}"/>
    <cellStyle name="Qté calculées 32" xfId="27966" xr:uid="{00000000-0005-0000-0000-0000456D0000}"/>
    <cellStyle name="Qté calculées 33" xfId="27967" xr:uid="{00000000-0005-0000-0000-0000466D0000}"/>
    <cellStyle name="Qté calculées 34" xfId="27968" xr:uid="{00000000-0005-0000-0000-0000476D0000}"/>
    <cellStyle name="Qté calculées 35" xfId="27969" xr:uid="{00000000-0005-0000-0000-0000486D0000}"/>
    <cellStyle name="Qté calculées 36" xfId="27970" xr:uid="{00000000-0005-0000-0000-0000496D0000}"/>
    <cellStyle name="Qté calculées 37" xfId="27971" xr:uid="{00000000-0005-0000-0000-00004A6D0000}"/>
    <cellStyle name="Qté calculées 38" xfId="27972" xr:uid="{00000000-0005-0000-0000-00004B6D0000}"/>
    <cellStyle name="Qté calculées 4" xfId="27973" xr:uid="{00000000-0005-0000-0000-00004C6D0000}"/>
    <cellStyle name="Qté calculées 4 10" xfId="27974" xr:uid="{00000000-0005-0000-0000-00004D6D0000}"/>
    <cellStyle name="Qté calculées 4 11" xfId="27975" xr:uid="{00000000-0005-0000-0000-00004E6D0000}"/>
    <cellStyle name="Qté calculées 4 12" xfId="27976" xr:uid="{00000000-0005-0000-0000-00004F6D0000}"/>
    <cellStyle name="Qté calculées 4 13" xfId="27977" xr:uid="{00000000-0005-0000-0000-0000506D0000}"/>
    <cellStyle name="Qté calculées 4 14" xfId="27978" xr:uid="{00000000-0005-0000-0000-0000516D0000}"/>
    <cellStyle name="Qté calculées 4 15" xfId="27979" xr:uid="{00000000-0005-0000-0000-0000526D0000}"/>
    <cellStyle name="Qté calculées 4 16" xfId="27980" xr:uid="{00000000-0005-0000-0000-0000536D0000}"/>
    <cellStyle name="Qté calculées 4 17" xfId="27981" xr:uid="{00000000-0005-0000-0000-0000546D0000}"/>
    <cellStyle name="Qté calculées 4 18" xfId="27982" xr:uid="{00000000-0005-0000-0000-0000556D0000}"/>
    <cellStyle name="Qté calculées 4 19" xfId="27983" xr:uid="{00000000-0005-0000-0000-0000566D0000}"/>
    <cellStyle name="Qté calculées 4 2" xfId="27984" xr:uid="{00000000-0005-0000-0000-0000576D0000}"/>
    <cellStyle name="Qté calculées 4 2 2" xfId="27985" xr:uid="{00000000-0005-0000-0000-0000586D0000}"/>
    <cellStyle name="Qté calculées 4 2 3" xfId="27986" xr:uid="{00000000-0005-0000-0000-0000596D0000}"/>
    <cellStyle name="Qté calculées 4 20" xfId="27987" xr:uid="{00000000-0005-0000-0000-00005A6D0000}"/>
    <cellStyle name="Qté calculées 4 21" xfId="27988" xr:uid="{00000000-0005-0000-0000-00005B6D0000}"/>
    <cellStyle name="Qté calculées 4 22" xfId="27989" xr:uid="{00000000-0005-0000-0000-00005C6D0000}"/>
    <cellStyle name="Qté calculées 4 23" xfId="27990" xr:uid="{00000000-0005-0000-0000-00005D6D0000}"/>
    <cellStyle name="Qté calculées 4 24" xfId="27991" xr:uid="{00000000-0005-0000-0000-00005E6D0000}"/>
    <cellStyle name="Qté calculées 4 25" xfId="27992" xr:uid="{00000000-0005-0000-0000-00005F6D0000}"/>
    <cellStyle name="Qté calculées 4 26" xfId="27993" xr:uid="{00000000-0005-0000-0000-0000606D0000}"/>
    <cellStyle name="Qté calculées 4 27" xfId="27994" xr:uid="{00000000-0005-0000-0000-0000616D0000}"/>
    <cellStyle name="Qté calculées 4 28" xfId="27995" xr:uid="{00000000-0005-0000-0000-0000626D0000}"/>
    <cellStyle name="Qté calculées 4 29" xfId="27996" xr:uid="{00000000-0005-0000-0000-0000636D0000}"/>
    <cellStyle name="Qté calculées 4 3" xfId="27997" xr:uid="{00000000-0005-0000-0000-0000646D0000}"/>
    <cellStyle name="Qté calculées 4 30" xfId="27998" xr:uid="{00000000-0005-0000-0000-0000656D0000}"/>
    <cellStyle name="Qté calculées 4 31" xfId="27999" xr:uid="{00000000-0005-0000-0000-0000666D0000}"/>
    <cellStyle name="Qté calculées 4 32" xfId="28000" xr:uid="{00000000-0005-0000-0000-0000676D0000}"/>
    <cellStyle name="Qté calculées 4 33" xfId="28001" xr:uid="{00000000-0005-0000-0000-0000686D0000}"/>
    <cellStyle name="Qté calculées 4 34" xfId="28002" xr:uid="{00000000-0005-0000-0000-0000696D0000}"/>
    <cellStyle name="Qté calculées 4 35" xfId="28003" xr:uid="{00000000-0005-0000-0000-00006A6D0000}"/>
    <cellStyle name="Qté calculées 4 36" xfId="28004" xr:uid="{00000000-0005-0000-0000-00006B6D0000}"/>
    <cellStyle name="Qté calculées 4 4" xfId="28005" xr:uid="{00000000-0005-0000-0000-00006C6D0000}"/>
    <cellStyle name="Qté calculées 4 5" xfId="28006" xr:uid="{00000000-0005-0000-0000-00006D6D0000}"/>
    <cellStyle name="Qté calculées 4 6" xfId="28007" xr:uid="{00000000-0005-0000-0000-00006E6D0000}"/>
    <cellStyle name="Qté calculées 4 7" xfId="28008" xr:uid="{00000000-0005-0000-0000-00006F6D0000}"/>
    <cellStyle name="Qté calculées 4 8" xfId="28009" xr:uid="{00000000-0005-0000-0000-0000706D0000}"/>
    <cellStyle name="Qté calculées 4 9" xfId="28010" xr:uid="{00000000-0005-0000-0000-0000716D0000}"/>
    <cellStyle name="Qté calculées 5" xfId="28011" xr:uid="{00000000-0005-0000-0000-0000726D0000}"/>
    <cellStyle name="Qté calculées 5 2" xfId="28012" xr:uid="{00000000-0005-0000-0000-0000736D0000}"/>
    <cellStyle name="Qté calculées 5 2 2" xfId="28013" xr:uid="{00000000-0005-0000-0000-0000746D0000}"/>
    <cellStyle name="Qté calculées 5 2 3" xfId="28014" xr:uid="{00000000-0005-0000-0000-0000756D0000}"/>
    <cellStyle name="Qté calculées 5 3" xfId="28015" xr:uid="{00000000-0005-0000-0000-0000766D0000}"/>
    <cellStyle name="Qté calculées 5 3 2" xfId="28016" xr:uid="{00000000-0005-0000-0000-0000776D0000}"/>
    <cellStyle name="Qté calculées 5 3 3" xfId="28017" xr:uid="{00000000-0005-0000-0000-0000786D0000}"/>
    <cellStyle name="Qté calculées 5 4" xfId="28018" xr:uid="{00000000-0005-0000-0000-0000796D0000}"/>
    <cellStyle name="Qté calculées 5 5" xfId="28019" xr:uid="{00000000-0005-0000-0000-00007A6D0000}"/>
    <cellStyle name="Qté calculées 6" xfId="28020" xr:uid="{00000000-0005-0000-0000-00007B6D0000}"/>
    <cellStyle name="Qté calculées 6 2" xfId="28021" xr:uid="{00000000-0005-0000-0000-00007C6D0000}"/>
    <cellStyle name="Qté calculées 6 2 2" xfId="28022" xr:uid="{00000000-0005-0000-0000-00007D6D0000}"/>
    <cellStyle name="Qté calculées 6 2 3" xfId="28023" xr:uid="{00000000-0005-0000-0000-00007E6D0000}"/>
    <cellStyle name="Qté calculées 6 3" xfId="28024" xr:uid="{00000000-0005-0000-0000-00007F6D0000}"/>
    <cellStyle name="Qté calculées 6 3 2" xfId="28025" xr:uid="{00000000-0005-0000-0000-0000806D0000}"/>
    <cellStyle name="Qté calculées 6 3 3" xfId="28026" xr:uid="{00000000-0005-0000-0000-0000816D0000}"/>
    <cellStyle name="Qté calculées 6 4" xfId="28027" xr:uid="{00000000-0005-0000-0000-0000826D0000}"/>
    <cellStyle name="Qté calculées 6 5" xfId="28028" xr:uid="{00000000-0005-0000-0000-0000836D0000}"/>
    <cellStyle name="Qté calculées 7" xfId="28029" xr:uid="{00000000-0005-0000-0000-0000846D0000}"/>
    <cellStyle name="Qté calculées 7 2" xfId="28030" xr:uid="{00000000-0005-0000-0000-0000856D0000}"/>
    <cellStyle name="Qté calculées 7 3" xfId="28031" xr:uid="{00000000-0005-0000-0000-0000866D0000}"/>
    <cellStyle name="Qté calculées 8" xfId="28032" xr:uid="{00000000-0005-0000-0000-0000876D0000}"/>
    <cellStyle name="Qté calculées 9" xfId="28033" xr:uid="{00000000-0005-0000-0000-0000886D0000}"/>
    <cellStyle name="QTé entrées" xfId="28034" xr:uid="{00000000-0005-0000-0000-0000896D0000}"/>
    <cellStyle name="QTé entrées 2" xfId="28035" xr:uid="{00000000-0005-0000-0000-00008A6D0000}"/>
    <cellStyle name="QTé entrées 2 2" xfId="28036" xr:uid="{00000000-0005-0000-0000-00008B6D0000}"/>
    <cellStyle name="QTé entrées 2 2 2" xfId="28037" xr:uid="{00000000-0005-0000-0000-00008C6D0000}"/>
    <cellStyle name="QTé entrées 2 2 2 2" xfId="28038" xr:uid="{00000000-0005-0000-0000-00008D6D0000}"/>
    <cellStyle name="QTé entrées 2 2 3" xfId="28039" xr:uid="{00000000-0005-0000-0000-00008E6D0000}"/>
    <cellStyle name="QTé entrées 2 2 4" xfId="28040" xr:uid="{00000000-0005-0000-0000-00008F6D0000}"/>
    <cellStyle name="QTé entrées 2 3" xfId="28041" xr:uid="{00000000-0005-0000-0000-0000906D0000}"/>
    <cellStyle name="QTé entrées 2 3 2" xfId="28042" xr:uid="{00000000-0005-0000-0000-0000916D0000}"/>
    <cellStyle name="QTé entrées 2 4" xfId="28043" xr:uid="{00000000-0005-0000-0000-0000926D0000}"/>
    <cellStyle name="QTé entrées 2 5" xfId="28044" xr:uid="{00000000-0005-0000-0000-0000936D0000}"/>
    <cellStyle name="QTé entrées 3" xfId="28045" xr:uid="{00000000-0005-0000-0000-0000946D0000}"/>
    <cellStyle name="QTé entrées 3 2" xfId="28046" xr:uid="{00000000-0005-0000-0000-0000956D0000}"/>
    <cellStyle name="QTé entrées 3 2 2" xfId="28047" xr:uid="{00000000-0005-0000-0000-0000966D0000}"/>
    <cellStyle name="QTé entrées 3 3" xfId="28048" xr:uid="{00000000-0005-0000-0000-0000976D0000}"/>
    <cellStyle name="QTé entrées 3 4" xfId="28049" xr:uid="{00000000-0005-0000-0000-0000986D0000}"/>
    <cellStyle name="QTé entrées 4" xfId="28050" xr:uid="{00000000-0005-0000-0000-0000996D0000}"/>
    <cellStyle name="QTé entrées 4 2" xfId="28051" xr:uid="{00000000-0005-0000-0000-00009A6D0000}"/>
    <cellStyle name="QTé entrées 5" xfId="28052" xr:uid="{00000000-0005-0000-0000-00009B6D0000}"/>
    <cellStyle name="QTé entrées 6" xfId="28053" xr:uid="{00000000-0005-0000-0000-00009C6D0000}"/>
    <cellStyle name="Quantity" xfId="28054" xr:uid="{00000000-0005-0000-0000-00009D6D0000}"/>
    <cellStyle name="Quantity 2" xfId="28055" xr:uid="{00000000-0005-0000-0000-00009E6D0000}"/>
    <cellStyle name="Quantity 2 2" xfId="28056" xr:uid="{00000000-0005-0000-0000-00009F6D0000}"/>
    <cellStyle name="Quantity 2 2 2" xfId="28057" xr:uid="{00000000-0005-0000-0000-0000A06D0000}"/>
    <cellStyle name="Quantity 2 2 3" xfId="28058" xr:uid="{00000000-0005-0000-0000-0000A16D0000}"/>
    <cellStyle name="Quantity 2 3" xfId="28059" xr:uid="{00000000-0005-0000-0000-0000A26D0000}"/>
    <cellStyle name="Quantity 3" xfId="28060" xr:uid="{00000000-0005-0000-0000-0000A36D0000}"/>
    <cellStyle name="Quantity 3 2" xfId="28061" xr:uid="{00000000-0005-0000-0000-0000A46D0000}"/>
    <cellStyle name="Quantity 3 2 2" xfId="28062" xr:uid="{00000000-0005-0000-0000-0000A56D0000}"/>
    <cellStyle name="Quantity 3 2 3" xfId="28063" xr:uid="{00000000-0005-0000-0000-0000A66D0000}"/>
    <cellStyle name="Quantity 3 3" xfId="28064" xr:uid="{00000000-0005-0000-0000-0000A76D0000}"/>
    <cellStyle name="Quantity 4" xfId="28065" xr:uid="{00000000-0005-0000-0000-0000A86D0000}"/>
    <cellStyle name="Quantity 4 2" xfId="28066" xr:uid="{00000000-0005-0000-0000-0000A96D0000}"/>
    <cellStyle name="Quantity 4 3" xfId="28067" xr:uid="{00000000-0005-0000-0000-0000AA6D0000}"/>
    <cellStyle name="Quantity 5" xfId="28068" xr:uid="{00000000-0005-0000-0000-0000AB6D0000}"/>
    <cellStyle name="Red font" xfId="28069" xr:uid="{00000000-0005-0000-0000-0000AC6D0000}"/>
    <cellStyle name="Released" xfId="28070" xr:uid="{00000000-0005-0000-0000-0000AD6D0000}"/>
    <cellStyle name="Released 10" xfId="28071" xr:uid="{00000000-0005-0000-0000-0000AE6D0000}"/>
    <cellStyle name="Released 11" xfId="28072" xr:uid="{00000000-0005-0000-0000-0000AF6D0000}"/>
    <cellStyle name="Released 12" xfId="28073" xr:uid="{00000000-0005-0000-0000-0000B06D0000}"/>
    <cellStyle name="Released 13" xfId="28074" xr:uid="{00000000-0005-0000-0000-0000B16D0000}"/>
    <cellStyle name="Released 14" xfId="28075" xr:uid="{00000000-0005-0000-0000-0000B26D0000}"/>
    <cellStyle name="Released 15" xfId="28076" xr:uid="{00000000-0005-0000-0000-0000B36D0000}"/>
    <cellStyle name="Released 16" xfId="28077" xr:uid="{00000000-0005-0000-0000-0000B46D0000}"/>
    <cellStyle name="Released 17" xfId="28078" xr:uid="{00000000-0005-0000-0000-0000B56D0000}"/>
    <cellStyle name="Released 18" xfId="28079" xr:uid="{00000000-0005-0000-0000-0000B66D0000}"/>
    <cellStyle name="Released 19" xfId="28080" xr:uid="{00000000-0005-0000-0000-0000B76D0000}"/>
    <cellStyle name="Released 2" xfId="28081" xr:uid="{00000000-0005-0000-0000-0000B86D0000}"/>
    <cellStyle name="Released 2 10" xfId="28082" xr:uid="{00000000-0005-0000-0000-0000B96D0000}"/>
    <cellStyle name="Released 2 11" xfId="28083" xr:uid="{00000000-0005-0000-0000-0000BA6D0000}"/>
    <cellStyle name="Released 2 12" xfId="28084" xr:uid="{00000000-0005-0000-0000-0000BB6D0000}"/>
    <cellStyle name="Released 2 13" xfId="28085" xr:uid="{00000000-0005-0000-0000-0000BC6D0000}"/>
    <cellStyle name="Released 2 14" xfId="28086" xr:uid="{00000000-0005-0000-0000-0000BD6D0000}"/>
    <cellStyle name="Released 2 15" xfId="28087" xr:uid="{00000000-0005-0000-0000-0000BE6D0000}"/>
    <cellStyle name="Released 2 16" xfId="28088" xr:uid="{00000000-0005-0000-0000-0000BF6D0000}"/>
    <cellStyle name="Released 2 17" xfId="28089" xr:uid="{00000000-0005-0000-0000-0000C06D0000}"/>
    <cellStyle name="Released 2 18" xfId="28090" xr:uid="{00000000-0005-0000-0000-0000C16D0000}"/>
    <cellStyle name="Released 2 19" xfId="28091" xr:uid="{00000000-0005-0000-0000-0000C26D0000}"/>
    <cellStyle name="Released 2 2" xfId="28092" xr:uid="{00000000-0005-0000-0000-0000C36D0000}"/>
    <cellStyle name="Released 2 2 2" xfId="28093" xr:uid="{00000000-0005-0000-0000-0000C46D0000}"/>
    <cellStyle name="Released 2 2 3" xfId="28094" xr:uid="{00000000-0005-0000-0000-0000C56D0000}"/>
    <cellStyle name="Released 2 20" xfId="28095" xr:uid="{00000000-0005-0000-0000-0000C66D0000}"/>
    <cellStyle name="Released 2 21" xfId="28096" xr:uid="{00000000-0005-0000-0000-0000C76D0000}"/>
    <cellStyle name="Released 2 22" xfId="28097" xr:uid="{00000000-0005-0000-0000-0000C86D0000}"/>
    <cellStyle name="Released 2 23" xfId="28098" xr:uid="{00000000-0005-0000-0000-0000C96D0000}"/>
    <cellStyle name="Released 2 24" xfId="28099" xr:uid="{00000000-0005-0000-0000-0000CA6D0000}"/>
    <cellStyle name="Released 2 25" xfId="28100" xr:uid="{00000000-0005-0000-0000-0000CB6D0000}"/>
    <cellStyle name="Released 2 26" xfId="28101" xr:uid="{00000000-0005-0000-0000-0000CC6D0000}"/>
    <cellStyle name="Released 2 27" xfId="28102" xr:uid="{00000000-0005-0000-0000-0000CD6D0000}"/>
    <cellStyle name="Released 2 28" xfId="28103" xr:uid="{00000000-0005-0000-0000-0000CE6D0000}"/>
    <cellStyle name="Released 2 29" xfId="28104" xr:uid="{00000000-0005-0000-0000-0000CF6D0000}"/>
    <cellStyle name="Released 2 3" xfId="28105" xr:uid="{00000000-0005-0000-0000-0000D06D0000}"/>
    <cellStyle name="Released 2 30" xfId="28106" xr:uid="{00000000-0005-0000-0000-0000D16D0000}"/>
    <cellStyle name="Released 2 31" xfId="28107" xr:uid="{00000000-0005-0000-0000-0000D26D0000}"/>
    <cellStyle name="Released 2 32" xfId="28108" xr:uid="{00000000-0005-0000-0000-0000D36D0000}"/>
    <cellStyle name="Released 2 33" xfId="28109" xr:uid="{00000000-0005-0000-0000-0000D46D0000}"/>
    <cellStyle name="Released 2 34" xfId="28110" xr:uid="{00000000-0005-0000-0000-0000D56D0000}"/>
    <cellStyle name="Released 2 35" xfId="28111" xr:uid="{00000000-0005-0000-0000-0000D66D0000}"/>
    <cellStyle name="Released 2 36" xfId="28112" xr:uid="{00000000-0005-0000-0000-0000D76D0000}"/>
    <cellStyle name="Released 2 4" xfId="28113" xr:uid="{00000000-0005-0000-0000-0000D86D0000}"/>
    <cellStyle name="Released 2 5" xfId="28114" xr:uid="{00000000-0005-0000-0000-0000D96D0000}"/>
    <cellStyle name="Released 2 6" xfId="28115" xr:uid="{00000000-0005-0000-0000-0000DA6D0000}"/>
    <cellStyle name="Released 2 7" xfId="28116" xr:uid="{00000000-0005-0000-0000-0000DB6D0000}"/>
    <cellStyle name="Released 2 8" xfId="28117" xr:uid="{00000000-0005-0000-0000-0000DC6D0000}"/>
    <cellStyle name="Released 2 9" xfId="28118" xr:uid="{00000000-0005-0000-0000-0000DD6D0000}"/>
    <cellStyle name="Released 20" xfId="28119" xr:uid="{00000000-0005-0000-0000-0000DE6D0000}"/>
    <cellStyle name="Released 21" xfId="28120" xr:uid="{00000000-0005-0000-0000-0000DF6D0000}"/>
    <cellStyle name="Released 22" xfId="28121" xr:uid="{00000000-0005-0000-0000-0000E06D0000}"/>
    <cellStyle name="Released 23" xfId="28122" xr:uid="{00000000-0005-0000-0000-0000E16D0000}"/>
    <cellStyle name="Released 24" xfId="28123" xr:uid="{00000000-0005-0000-0000-0000E26D0000}"/>
    <cellStyle name="Released 25" xfId="28124" xr:uid="{00000000-0005-0000-0000-0000E36D0000}"/>
    <cellStyle name="Released 26" xfId="28125" xr:uid="{00000000-0005-0000-0000-0000E46D0000}"/>
    <cellStyle name="Released 27" xfId="28126" xr:uid="{00000000-0005-0000-0000-0000E56D0000}"/>
    <cellStyle name="Released 28" xfId="28127" xr:uid="{00000000-0005-0000-0000-0000E66D0000}"/>
    <cellStyle name="Released 29" xfId="28128" xr:uid="{00000000-0005-0000-0000-0000E76D0000}"/>
    <cellStyle name="Released 3" xfId="28129" xr:uid="{00000000-0005-0000-0000-0000E86D0000}"/>
    <cellStyle name="Released 3 2" xfId="28130" xr:uid="{00000000-0005-0000-0000-0000E96D0000}"/>
    <cellStyle name="Released 3 2 2" xfId="28131" xr:uid="{00000000-0005-0000-0000-0000EA6D0000}"/>
    <cellStyle name="Released 3 2 3" xfId="28132" xr:uid="{00000000-0005-0000-0000-0000EB6D0000}"/>
    <cellStyle name="Released 3 3" xfId="28133" xr:uid="{00000000-0005-0000-0000-0000EC6D0000}"/>
    <cellStyle name="Released 3 3 2" xfId="28134" xr:uid="{00000000-0005-0000-0000-0000ED6D0000}"/>
    <cellStyle name="Released 3 3 3" xfId="28135" xr:uid="{00000000-0005-0000-0000-0000EE6D0000}"/>
    <cellStyle name="Released 3 4" xfId="28136" xr:uid="{00000000-0005-0000-0000-0000EF6D0000}"/>
    <cellStyle name="Released 3 5" xfId="28137" xr:uid="{00000000-0005-0000-0000-0000F06D0000}"/>
    <cellStyle name="Released 30" xfId="28138" xr:uid="{00000000-0005-0000-0000-0000F16D0000}"/>
    <cellStyle name="Released 31" xfId="28139" xr:uid="{00000000-0005-0000-0000-0000F26D0000}"/>
    <cellStyle name="Released 32" xfId="28140" xr:uid="{00000000-0005-0000-0000-0000F36D0000}"/>
    <cellStyle name="Released 33" xfId="28141" xr:uid="{00000000-0005-0000-0000-0000F46D0000}"/>
    <cellStyle name="Released 34" xfId="28142" xr:uid="{00000000-0005-0000-0000-0000F56D0000}"/>
    <cellStyle name="Released 35" xfId="28143" xr:uid="{00000000-0005-0000-0000-0000F66D0000}"/>
    <cellStyle name="Released 36" xfId="28144" xr:uid="{00000000-0005-0000-0000-0000F76D0000}"/>
    <cellStyle name="Released 4" xfId="28145" xr:uid="{00000000-0005-0000-0000-0000F86D0000}"/>
    <cellStyle name="Released 4 2" xfId="28146" xr:uid="{00000000-0005-0000-0000-0000F96D0000}"/>
    <cellStyle name="Released 4 2 2" xfId="28147" xr:uid="{00000000-0005-0000-0000-0000FA6D0000}"/>
    <cellStyle name="Released 4 2 3" xfId="28148" xr:uid="{00000000-0005-0000-0000-0000FB6D0000}"/>
    <cellStyle name="Released 4 3" xfId="28149" xr:uid="{00000000-0005-0000-0000-0000FC6D0000}"/>
    <cellStyle name="Released 4 3 2" xfId="28150" xr:uid="{00000000-0005-0000-0000-0000FD6D0000}"/>
    <cellStyle name="Released 4 3 3" xfId="28151" xr:uid="{00000000-0005-0000-0000-0000FE6D0000}"/>
    <cellStyle name="Released 4 4" xfId="28152" xr:uid="{00000000-0005-0000-0000-0000FF6D0000}"/>
    <cellStyle name="Released 4 5" xfId="28153" xr:uid="{00000000-0005-0000-0000-0000006E0000}"/>
    <cellStyle name="Released 5" xfId="28154" xr:uid="{00000000-0005-0000-0000-0000016E0000}"/>
    <cellStyle name="Released 5 2" xfId="28155" xr:uid="{00000000-0005-0000-0000-0000026E0000}"/>
    <cellStyle name="Released 5 3" xfId="28156" xr:uid="{00000000-0005-0000-0000-0000036E0000}"/>
    <cellStyle name="Released 6" xfId="28157" xr:uid="{00000000-0005-0000-0000-0000046E0000}"/>
    <cellStyle name="Released 7" xfId="28158" xr:uid="{00000000-0005-0000-0000-0000056E0000}"/>
    <cellStyle name="Released 8" xfId="28159" xr:uid="{00000000-0005-0000-0000-0000066E0000}"/>
    <cellStyle name="Released 9" xfId="28160" xr:uid="{00000000-0005-0000-0000-0000076E0000}"/>
    <cellStyle name="RM" xfId="28161" xr:uid="{00000000-0005-0000-0000-0000086E0000}"/>
    <cellStyle name="Row label" xfId="28162" xr:uid="{00000000-0005-0000-0000-0000096E0000}"/>
    <cellStyle name="Row label (indent)" xfId="28163" xr:uid="{00000000-0005-0000-0000-00000A6E0000}"/>
    <cellStyle name="S" xfId="28164" xr:uid="{00000000-0005-0000-0000-00000B6E0000}"/>
    <cellStyle name="S by Region Pg 2" xfId="28165" xr:uid="{00000000-0005-0000-0000-00000C6E0000}"/>
    <cellStyle name="S_BellTel MS RFP Annex 7 Pricing Template 081312" xfId="28166" xr:uid="{00000000-0005-0000-0000-00000D6E0000}"/>
    <cellStyle name="Saída" xfId="28167" xr:uid="{00000000-0005-0000-0000-00000E6E0000}"/>
    <cellStyle name="Saída 10" xfId="28168" xr:uid="{00000000-0005-0000-0000-00000F6E0000}"/>
    <cellStyle name="Saída 11" xfId="28169" xr:uid="{00000000-0005-0000-0000-0000106E0000}"/>
    <cellStyle name="Saída 12" xfId="28170" xr:uid="{00000000-0005-0000-0000-0000116E0000}"/>
    <cellStyle name="Saída 13" xfId="28171" xr:uid="{00000000-0005-0000-0000-0000126E0000}"/>
    <cellStyle name="Saída 14" xfId="28172" xr:uid="{00000000-0005-0000-0000-0000136E0000}"/>
    <cellStyle name="Saída 15" xfId="28173" xr:uid="{00000000-0005-0000-0000-0000146E0000}"/>
    <cellStyle name="Saída 16" xfId="28174" xr:uid="{00000000-0005-0000-0000-0000156E0000}"/>
    <cellStyle name="Saída 17" xfId="28175" xr:uid="{00000000-0005-0000-0000-0000166E0000}"/>
    <cellStyle name="Saída 18" xfId="28176" xr:uid="{00000000-0005-0000-0000-0000176E0000}"/>
    <cellStyle name="Saída 19" xfId="28177" xr:uid="{00000000-0005-0000-0000-0000186E0000}"/>
    <cellStyle name="Saída 2" xfId="28178" xr:uid="{00000000-0005-0000-0000-0000196E0000}"/>
    <cellStyle name="Saída 2 10" xfId="28179" xr:uid="{00000000-0005-0000-0000-00001A6E0000}"/>
    <cellStyle name="Saída 2 11" xfId="28180" xr:uid="{00000000-0005-0000-0000-00001B6E0000}"/>
    <cellStyle name="Saída 2 12" xfId="28181" xr:uid="{00000000-0005-0000-0000-00001C6E0000}"/>
    <cellStyle name="Saída 2 13" xfId="28182" xr:uid="{00000000-0005-0000-0000-00001D6E0000}"/>
    <cellStyle name="Saída 2 14" xfId="28183" xr:uid="{00000000-0005-0000-0000-00001E6E0000}"/>
    <cellStyle name="Saída 2 15" xfId="28184" xr:uid="{00000000-0005-0000-0000-00001F6E0000}"/>
    <cellStyle name="Saída 2 16" xfId="28185" xr:uid="{00000000-0005-0000-0000-0000206E0000}"/>
    <cellStyle name="Saída 2 17" xfId="28186" xr:uid="{00000000-0005-0000-0000-0000216E0000}"/>
    <cellStyle name="Saída 2 18" xfId="28187" xr:uid="{00000000-0005-0000-0000-0000226E0000}"/>
    <cellStyle name="Saída 2 19" xfId="28188" xr:uid="{00000000-0005-0000-0000-0000236E0000}"/>
    <cellStyle name="Saída 2 2" xfId="28189" xr:uid="{00000000-0005-0000-0000-0000246E0000}"/>
    <cellStyle name="Saída 2 20" xfId="28190" xr:uid="{00000000-0005-0000-0000-0000256E0000}"/>
    <cellStyle name="Saída 2 21" xfId="28191" xr:uid="{00000000-0005-0000-0000-0000266E0000}"/>
    <cellStyle name="Saída 2 22" xfId="28192" xr:uid="{00000000-0005-0000-0000-0000276E0000}"/>
    <cellStyle name="Saída 2 23" xfId="28193" xr:uid="{00000000-0005-0000-0000-0000286E0000}"/>
    <cellStyle name="Saída 2 24" xfId="28194" xr:uid="{00000000-0005-0000-0000-0000296E0000}"/>
    <cellStyle name="Saída 2 25" xfId="28195" xr:uid="{00000000-0005-0000-0000-00002A6E0000}"/>
    <cellStyle name="Saída 2 26" xfId="28196" xr:uid="{00000000-0005-0000-0000-00002B6E0000}"/>
    <cellStyle name="Saída 2 27" xfId="28197" xr:uid="{00000000-0005-0000-0000-00002C6E0000}"/>
    <cellStyle name="Saída 2 28" xfId="28198" xr:uid="{00000000-0005-0000-0000-00002D6E0000}"/>
    <cellStyle name="Saída 2 29" xfId="28199" xr:uid="{00000000-0005-0000-0000-00002E6E0000}"/>
    <cellStyle name="Saída 2 3" xfId="28200" xr:uid="{00000000-0005-0000-0000-00002F6E0000}"/>
    <cellStyle name="Saída 2 30" xfId="28201" xr:uid="{00000000-0005-0000-0000-0000306E0000}"/>
    <cellStyle name="Saída 2 31" xfId="28202" xr:uid="{00000000-0005-0000-0000-0000316E0000}"/>
    <cellStyle name="Saída 2 32" xfId="28203" xr:uid="{00000000-0005-0000-0000-0000326E0000}"/>
    <cellStyle name="Saída 2 33" xfId="28204" xr:uid="{00000000-0005-0000-0000-0000336E0000}"/>
    <cellStyle name="Saída 2 34" xfId="28205" xr:uid="{00000000-0005-0000-0000-0000346E0000}"/>
    <cellStyle name="Saída 2 4" xfId="28206" xr:uid="{00000000-0005-0000-0000-0000356E0000}"/>
    <cellStyle name="Saída 2 5" xfId="28207" xr:uid="{00000000-0005-0000-0000-0000366E0000}"/>
    <cellStyle name="Saída 2 6" xfId="28208" xr:uid="{00000000-0005-0000-0000-0000376E0000}"/>
    <cellStyle name="Saída 2 7" xfId="28209" xr:uid="{00000000-0005-0000-0000-0000386E0000}"/>
    <cellStyle name="Saída 2 8" xfId="28210" xr:uid="{00000000-0005-0000-0000-0000396E0000}"/>
    <cellStyle name="Saída 2 9" xfId="28211" xr:uid="{00000000-0005-0000-0000-00003A6E0000}"/>
    <cellStyle name="Saída 20" xfId="28212" xr:uid="{00000000-0005-0000-0000-00003B6E0000}"/>
    <cellStyle name="Saída 3" xfId="28213" xr:uid="{00000000-0005-0000-0000-00003C6E0000}"/>
    <cellStyle name="Saída 3 2" xfId="28214" xr:uid="{00000000-0005-0000-0000-00003D6E0000}"/>
    <cellStyle name="Saída 3 3" xfId="28215" xr:uid="{00000000-0005-0000-0000-00003E6E0000}"/>
    <cellStyle name="Saída 4" xfId="28216" xr:uid="{00000000-0005-0000-0000-00003F6E0000}"/>
    <cellStyle name="Saída 5" xfId="28217" xr:uid="{00000000-0005-0000-0000-0000406E0000}"/>
    <cellStyle name="Saída 6" xfId="28218" xr:uid="{00000000-0005-0000-0000-0000416E0000}"/>
    <cellStyle name="Saída 7" xfId="28219" xr:uid="{00000000-0005-0000-0000-0000426E0000}"/>
    <cellStyle name="Saída 8" xfId="28220" xr:uid="{00000000-0005-0000-0000-0000436E0000}"/>
    <cellStyle name="Saída 9" xfId="28221" xr:uid="{00000000-0005-0000-0000-0000446E0000}"/>
    <cellStyle name="SAPBEXaggData" xfId="28222" xr:uid="{00000000-0005-0000-0000-0000456E0000}"/>
    <cellStyle name="SAPBEXaggData 10" xfId="28223" xr:uid="{00000000-0005-0000-0000-0000466E0000}"/>
    <cellStyle name="SAPBEXaggData 11" xfId="28224" xr:uid="{00000000-0005-0000-0000-0000476E0000}"/>
    <cellStyle name="SAPBEXaggData 12" xfId="28225" xr:uid="{00000000-0005-0000-0000-0000486E0000}"/>
    <cellStyle name="SAPBEXaggData 13" xfId="28226" xr:uid="{00000000-0005-0000-0000-0000496E0000}"/>
    <cellStyle name="SAPBEXaggData 14" xfId="28227" xr:uid="{00000000-0005-0000-0000-00004A6E0000}"/>
    <cellStyle name="SAPBEXaggData 15" xfId="28228" xr:uid="{00000000-0005-0000-0000-00004B6E0000}"/>
    <cellStyle name="SAPBEXaggData 16" xfId="28229" xr:uid="{00000000-0005-0000-0000-00004C6E0000}"/>
    <cellStyle name="SAPBEXaggData 17" xfId="28230" xr:uid="{00000000-0005-0000-0000-00004D6E0000}"/>
    <cellStyle name="SAPBEXaggData 18" xfId="28231" xr:uid="{00000000-0005-0000-0000-00004E6E0000}"/>
    <cellStyle name="SAPBEXaggData 19" xfId="28232" xr:uid="{00000000-0005-0000-0000-00004F6E0000}"/>
    <cellStyle name="SAPBEXaggData 2" xfId="28233" xr:uid="{00000000-0005-0000-0000-0000506E0000}"/>
    <cellStyle name="SAPBEXaggData 2 10" xfId="28234" xr:uid="{00000000-0005-0000-0000-0000516E0000}"/>
    <cellStyle name="SAPBEXaggData 2 11" xfId="28235" xr:uid="{00000000-0005-0000-0000-0000526E0000}"/>
    <cellStyle name="SAPBEXaggData 2 12" xfId="28236" xr:uid="{00000000-0005-0000-0000-0000536E0000}"/>
    <cellStyle name="SAPBEXaggData 2 13" xfId="28237" xr:uid="{00000000-0005-0000-0000-0000546E0000}"/>
    <cellStyle name="SAPBEXaggData 2 14" xfId="28238" xr:uid="{00000000-0005-0000-0000-0000556E0000}"/>
    <cellStyle name="SAPBEXaggData 2 15" xfId="28239" xr:uid="{00000000-0005-0000-0000-0000566E0000}"/>
    <cellStyle name="SAPBEXaggData 2 16" xfId="28240" xr:uid="{00000000-0005-0000-0000-0000576E0000}"/>
    <cellStyle name="SAPBEXaggData 2 17" xfId="28241" xr:uid="{00000000-0005-0000-0000-0000586E0000}"/>
    <cellStyle name="SAPBEXaggData 2 18" xfId="28242" xr:uid="{00000000-0005-0000-0000-0000596E0000}"/>
    <cellStyle name="SAPBEXaggData 2 19" xfId="28243" xr:uid="{00000000-0005-0000-0000-00005A6E0000}"/>
    <cellStyle name="SAPBEXaggData 2 2" xfId="28244" xr:uid="{00000000-0005-0000-0000-00005B6E0000}"/>
    <cellStyle name="SAPBEXaggData 2 20" xfId="28245" xr:uid="{00000000-0005-0000-0000-00005C6E0000}"/>
    <cellStyle name="SAPBEXaggData 2 21" xfId="28246" xr:uid="{00000000-0005-0000-0000-00005D6E0000}"/>
    <cellStyle name="SAPBEXaggData 2 22" xfId="28247" xr:uid="{00000000-0005-0000-0000-00005E6E0000}"/>
    <cellStyle name="SAPBEXaggData 2 23" xfId="28248" xr:uid="{00000000-0005-0000-0000-00005F6E0000}"/>
    <cellStyle name="SAPBEXaggData 2 24" xfId="28249" xr:uid="{00000000-0005-0000-0000-0000606E0000}"/>
    <cellStyle name="SAPBEXaggData 2 25" xfId="28250" xr:uid="{00000000-0005-0000-0000-0000616E0000}"/>
    <cellStyle name="SAPBEXaggData 2 26" xfId="28251" xr:uid="{00000000-0005-0000-0000-0000626E0000}"/>
    <cellStyle name="SAPBEXaggData 2 27" xfId="28252" xr:uid="{00000000-0005-0000-0000-0000636E0000}"/>
    <cellStyle name="SAPBEXaggData 2 28" xfId="28253" xr:uid="{00000000-0005-0000-0000-0000646E0000}"/>
    <cellStyle name="SAPBEXaggData 2 29" xfId="28254" xr:uid="{00000000-0005-0000-0000-0000656E0000}"/>
    <cellStyle name="SAPBEXaggData 2 3" xfId="28255" xr:uid="{00000000-0005-0000-0000-0000666E0000}"/>
    <cellStyle name="SAPBEXaggData 2 30" xfId="28256" xr:uid="{00000000-0005-0000-0000-0000676E0000}"/>
    <cellStyle name="SAPBEXaggData 2 31" xfId="28257" xr:uid="{00000000-0005-0000-0000-0000686E0000}"/>
    <cellStyle name="SAPBEXaggData 2 32" xfId="28258" xr:uid="{00000000-0005-0000-0000-0000696E0000}"/>
    <cellStyle name="SAPBEXaggData 2 33" xfId="28259" xr:uid="{00000000-0005-0000-0000-00006A6E0000}"/>
    <cellStyle name="SAPBEXaggData 2 34" xfId="28260" xr:uid="{00000000-0005-0000-0000-00006B6E0000}"/>
    <cellStyle name="SAPBEXaggData 2 4" xfId="28261" xr:uid="{00000000-0005-0000-0000-00006C6E0000}"/>
    <cellStyle name="SAPBEXaggData 2 5" xfId="28262" xr:uid="{00000000-0005-0000-0000-00006D6E0000}"/>
    <cellStyle name="SAPBEXaggData 2 6" xfId="28263" xr:uid="{00000000-0005-0000-0000-00006E6E0000}"/>
    <cellStyle name="SAPBEXaggData 2 7" xfId="28264" xr:uid="{00000000-0005-0000-0000-00006F6E0000}"/>
    <cellStyle name="SAPBEXaggData 2 8" xfId="28265" xr:uid="{00000000-0005-0000-0000-0000706E0000}"/>
    <cellStyle name="SAPBEXaggData 2 9" xfId="28266" xr:uid="{00000000-0005-0000-0000-0000716E0000}"/>
    <cellStyle name="SAPBEXaggData 20" xfId="28267" xr:uid="{00000000-0005-0000-0000-0000726E0000}"/>
    <cellStyle name="SAPBEXaggData 3" xfId="28268" xr:uid="{00000000-0005-0000-0000-0000736E0000}"/>
    <cellStyle name="SAPBEXaggData 3 2" xfId="28269" xr:uid="{00000000-0005-0000-0000-0000746E0000}"/>
    <cellStyle name="SAPBEXaggData 3 3" xfId="28270" xr:uid="{00000000-0005-0000-0000-0000756E0000}"/>
    <cellStyle name="SAPBEXaggData 4" xfId="28271" xr:uid="{00000000-0005-0000-0000-0000766E0000}"/>
    <cellStyle name="SAPBEXaggData 5" xfId="28272" xr:uid="{00000000-0005-0000-0000-0000776E0000}"/>
    <cellStyle name="SAPBEXaggData 6" xfId="28273" xr:uid="{00000000-0005-0000-0000-0000786E0000}"/>
    <cellStyle name="SAPBEXaggData 7" xfId="28274" xr:uid="{00000000-0005-0000-0000-0000796E0000}"/>
    <cellStyle name="SAPBEXaggData 8" xfId="28275" xr:uid="{00000000-0005-0000-0000-00007A6E0000}"/>
    <cellStyle name="SAPBEXaggData 9" xfId="28276" xr:uid="{00000000-0005-0000-0000-00007B6E0000}"/>
    <cellStyle name="SAPBEXaggItem" xfId="28277" xr:uid="{00000000-0005-0000-0000-00007C6E0000}"/>
    <cellStyle name="SAPBEXaggItem 10" xfId="28278" xr:uid="{00000000-0005-0000-0000-00007D6E0000}"/>
    <cellStyle name="SAPBEXaggItem 11" xfId="28279" xr:uid="{00000000-0005-0000-0000-00007E6E0000}"/>
    <cellStyle name="SAPBEXaggItem 12" xfId="28280" xr:uid="{00000000-0005-0000-0000-00007F6E0000}"/>
    <cellStyle name="SAPBEXaggItem 13" xfId="28281" xr:uid="{00000000-0005-0000-0000-0000806E0000}"/>
    <cellStyle name="SAPBEXaggItem 14" xfId="28282" xr:uid="{00000000-0005-0000-0000-0000816E0000}"/>
    <cellStyle name="SAPBEXaggItem 15" xfId="28283" xr:uid="{00000000-0005-0000-0000-0000826E0000}"/>
    <cellStyle name="SAPBEXaggItem 16" xfId="28284" xr:uid="{00000000-0005-0000-0000-0000836E0000}"/>
    <cellStyle name="SAPBEXaggItem 17" xfId="28285" xr:uid="{00000000-0005-0000-0000-0000846E0000}"/>
    <cellStyle name="SAPBEXaggItem 18" xfId="28286" xr:uid="{00000000-0005-0000-0000-0000856E0000}"/>
    <cellStyle name="SAPBEXaggItem 19" xfId="28287" xr:uid="{00000000-0005-0000-0000-0000866E0000}"/>
    <cellStyle name="SAPBEXaggItem 2" xfId="28288" xr:uid="{00000000-0005-0000-0000-0000876E0000}"/>
    <cellStyle name="SAPBEXaggItem 2 10" xfId="28289" xr:uid="{00000000-0005-0000-0000-0000886E0000}"/>
    <cellStyle name="SAPBEXaggItem 2 11" xfId="28290" xr:uid="{00000000-0005-0000-0000-0000896E0000}"/>
    <cellStyle name="SAPBEXaggItem 2 12" xfId="28291" xr:uid="{00000000-0005-0000-0000-00008A6E0000}"/>
    <cellStyle name="SAPBEXaggItem 2 13" xfId="28292" xr:uid="{00000000-0005-0000-0000-00008B6E0000}"/>
    <cellStyle name="SAPBEXaggItem 2 14" xfId="28293" xr:uid="{00000000-0005-0000-0000-00008C6E0000}"/>
    <cellStyle name="SAPBEXaggItem 2 15" xfId="28294" xr:uid="{00000000-0005-0000-0000-00008D6E0000}"/>
    <cellStyle name="SAPBEXaggItem 2 16" xfId="28295" xr:uid="{00000000-0005-0000-0000-00008E6E0000}"/>
    <cellStyle name="SAPBEXaggItem 2 17" xfId="28296" xr:uid="{00000000-0005-0000-0000-00008F6E0000}"/>
    <cellStyle name="SAPBEXaggItem 2 18" xfId="28297" xr:uid="{00000000-0005-0000-0000-0000906E0000}"/>
    <cellStyle name="SAPBEXaggItem 2 19" xfId="28298" xr:uid="{00000000-0005-0000-0000-0000916E0000}"/>
    <cellStyle name="SAPBEXaggItem 2 2" xfId="28299" xr:uid="{00000000-0005-0000-0000-0000926E0000}"/>
    <cellStyle name="SAPBEXaggItem 2 20" xfId="28300" xr:uid="{00000000-0005-0000-0000-0000936E0000}"/>
    <cellStyle name="SAPBEXaggItem 2 21" xfId="28301" xr:uid="{00000000-0005-0000-0000-0000946E0000}"/>
    <cellStyle name="SAPBEXaggItem 2 22" xfId="28302" xr:uid="{00000000-0005-0000-0000-0000956E0000}"/>
    <cellStyle name="SAPBEXaggItem 2 23" xfId="28303" xr:uid="{00000000-0005-0000-0000-0000966E0000}"/>
    <cellStyle name="SAPBEXaggItem 2 24" xfId="28304" xr:uid="{00000000-0005-0000-0000-0000976E0000}"/>
    <cellStyle name="SAPBEXaggItem 2 25" xfId="28305" xr:uid="{00000000-0005-0000-0000-0000986E0000}"/>
    <cellStyle name="SAPBEXaggItem 2 26" xfId="28306" xr:uid="{00000000-0005-0000-0000-0000996E0000}"/>
    <cellStyle name="SAPBEXaggItem 2 27" xfId="28307" xr:uid="{00000000-0005-0000-0000-00009A6E0000}"/>
    <cellStyle name="SAPBEXaggItem 2 28" xfId="28308" xr:uid="{00000000-0005-0000-0000-00009B6E0000}"/>
    <cellStyle name="SAPBEXaggItem 2 29" xfId="28309" xr:uid="{00000000-0005-0000-0000-00009C6E0000}"/>
    <cellStyle name="SAPBEXaggItem 2 3" xfId="28310" xr:uid="{00000000-0005-0000-0000-00009D6E0000}"/>
    <cellStyle name="SAPBEXaggItem 2 30" xfId="28311" xr:uid="{00000000-0005-0000-0000-00009E6E0000}"/>
    <cellStyle name="SAPBEXaggItem 2 31" xfId="28312" xr:uid="{00000000-0005-0000-0000-00009F6E0000}"/>
    <cellStyle name="SAPBEXaggItem 2 32" xfId="28313" xr:uid="{00000000-0005-0000-0000-0000A06E0000}"/>
    <cellStyle name="SAPBEXaggItem 2 33" xfId="28314" xr:uid="{00000000-0005-0000-0000-0000A16E0000}"/>
    <cellStyle name="SAPBEXaggItem 2 34" xfId="28315" xr:uid="{00000000-0005-0000-0000-0000A26E0000}"/>
    <cellStyle name="SAPBEXaggItem 2 4" xfId="28316" xr:uid="{00000000-0005-0000-0000-0000A36E0000}"/>
    <cellStyle name="SAPBEXaggItem 2 5" xfId="28317" xr:uid="{00000000-0005-0000-0000-0000A46E0000}"/>
    <cellStyle name="SAPBEXaggItem 2 6" xfId="28318" xr:uid="{00000000-0005-0000-0000-0000A56E0000}"/>
    <cellStyle name="SAPBEXaggItem 2 7" xfId="28319" xr:uid="{00000000-0005-0000-0000-0000A66E0000}"/>
    <cellStyle name="SAPBEXaggItem 2 8" xfId="28320" xr:uid="{00000000-0005-0000-0000-0000A76E0000}"/>
    <cellStyle name="SAPBEXaggItem 2 9" xfId="28321" xr:uid="{00000000-0005-0000-0000-0000A86E0000}"/>
    <cellStyle name="SAPBEXaggItem 20" xfId="28322" xr:uid="{00000000-0005-0000-0000-0000A96E0000}"/>
    <cellStyle name="SAPBEXaggItem 3" xfId="28323" xr:uid="{00000000-0005-0000-0000-0000AA6E0000}"/>
    <cellStyle name="SAPBEXaggItem 3 2" xfId="28324" xr:uid="{00000000-0005-0000-0000-0000AB6E0000}"/>
    <cellStyle name="SAPBEXaggItem 3 3" xfId="28325" xr:uid="{00000000-0005-0000-0000-0000AC6E0000}"/>
    <cellStyle name="SAPBEXaggItem 4" xfId="28326" xr:uid="{00000000-0005-0000-0000-0000AD6E0000}"/>
    <cellStyle name="SAPBEXaggItem 5" xfId="28327" xr:uid="{00000000-0005-0000-0000-0000AE6E0000}"/>
    <cellStyle name="SAPBEXaggItem 6" xfId="28328" xr:uid="{00000000-0005-0000-0000-0000AF6E0000}"/>
    <cellStyle name="SAPBEXaggItem 7" xfId="28329" xr:uid="{00000000-0005-0000-0000-0000B06E0000}"/>
    <cellStyle name="SAPBEXaggItem 8" xfId="28330" xr:uid="{00000000-0005-0000-0000-0000B16E0000}"/>
    <cellStyle name="SAPBEXaggItem 9" xfId="28331" xr:uid="{00000000-0005-0000-0000-0000B26E0000}"/>
    <cellStyle name="SAPBEXchaText" xfId="28332" xr:uid="{00000000-0005-0000-0000-0000B36E0000}"/>
    <cellStyle name="SAPBEXHLevel1" xfId="28333" xr:uid="{00000000-0005-0000-0000-0000B46E0000}"/>
    <cellStyle name="SAPBEXHLevel1 10" xfId="28334" xr:uid="{00000000-0005-0000-0000-0000B56E0000}"/>
    <cellStyle name="SAPBEXHLevel1 11" xfId="28335" xr:uid="{00000000-0005-0000-0000-0000B66E0000}"/>
    <cellStyle name="SAPBEXHLevel1 12" xfId="28336" xr:uid="{00000000-0005-0000-0000-0000B76E0000}"/>
    <cellStyle name="SAPBEXHLevel1 13" xfId="28337" xr:uid="{00000000-0005-0000-0000-0000B86E0000}"/>
    <cellStyle name="SAPBEXHLevel1 14" xfId="28338" xr:uid="{00000000-0005-0000-0000-0000B96E0000}"/>
    <cellStyle name="SAPBEXHLevel1 15" xfId="28339" xr:uid="{00000000-0005-0000-0000-0000BA6E0000}"/>
    <cellStyle name="SAPBEXHLevel1 16" xfId="28340" xr:uid="{00000000-0005-0000-0000-0000BB6E0000}"/>
    <cellStyle name="SAPBEXHLevel1 17" xfId="28341" xr:uid="{00000000-0005-0000-0000-0000BC6E0000}"/>
    <cellStyle name="SAPBEXHLevel1 18" xfId="28342" xr:uid="{00000000-0005-0000-0000-0000BD6E0000}"/>
    <cellStyle name="SAPBEXHLevel1 19" xfId="28343" xr:uid="{00000000-0005-0000-0000-0000BE6E0000}"/>
    <cellStyle name="SAPBEXHLevel1 2" xfId="28344" xr:uid="{00000000-0005-0000-0000-0000BF6E0000}"/>
    <cellStyle name="SAPBEXHLevel1 2 10" xfId="28345" xr:uid="{00000000-0005-0000-0000-0000C06E0000}"/>
    <cellStyle name="SAPBEXHLevel1 2 11" xfId="28346" xr:uid="{00000000-0005-0000-0000-0000C16E0000}"/>
    <cellStyle name="SAPBEXHLevel1 2 12" xfId="28347" xr:uid="{00000000-0005-0000-0000-0000C26E0000}"/>
    <cellStyle name="SAPBEXHLevel1 2 13" xfId="28348" xr:uid="{00000000-0005-0000-0000-0000C36E0000}"/>
    <cellStyle name="SAPBEXHLevel1 2 14" xfId="28349" xr:uid="{00000000-0005-0000-0000-0000C46E0000}"/>
    <cellStyle name="SAPBEXHLevel1 2 15" xfId="28350" xr:uid="{00000000-0005-0000-0000-0000C56E0000}"/>
    <cellStyle name="SAPBEXHLevel1 2 16" xfId="28351" xr:uid="{00000000-0005-0000-0000-0000C66E0000}"/>
    <cellStyle name="SAPBEXHLevel1 2 17" xfId="28352" xr:uid="{00000000-0005-0000-0000-0000C76E0000}"/>
    <cellStyle name="SAPBEXHLevel1 2 18" xfId="28353" xr:uid="{00000000-0005-0000-0000-0000C86E0000}"/>
    <cellStyle name="SAPBEXHLevel1 2 19" xfId="28354" xr:uid="{00000000-0005-0000-0000-0000C96E0000}"/>
    <cellStyle name="SAPBEXHLevel1 2 2" xfId="28355" xr:uid="{00000000-0005-0000-0000-0000CA6E0000}"/>
    <cellStyle name="SAPBEXHLevel1 2 20" xfId="28356" xr:uid="{00000000-0005-0000-0000-0000CB6E0000}"/>
    <cellStyle name="SAPBEXHLevel1 2 21" xfId="28357" xr:uid="{00000000-0005-0000-0000-0000CC6E0000}"/>
    <cellStyle name="SAPBEXHLevel1 2 22" xfId="28358" xr:uid="{00000000-0005-0000-0000-0000CD6E0000}"/>
    <cellStyle name="SAPBEXHLevel1 2 23" xfId="28359" xr:uid="{00000000-0005-0000-0000-0000CE6E0000}"/>
    <cellStyle name="SAPBEXHLevel1 2 24" xfId="28360" xr:uid="{00000000-0005-0000-0000-0000CF6E0000}"/>
    <cellStyle name="SAPBEXHLevel1 2 25" xfId="28361" xr:uid="{00000000-0005-0000-0000-0000D06E0000}"/>
    <cellStyle name="SAPBEXHLevel1 2 26" xfId="28362" xr:uid="{00000000-0005-0000-0000-0000D16E0000}"/>
    <cellStyle name="SAPBEXHLevel1 2 27" xfId="28363" xr:uid="{00000000-0005-0000-0000-0000D26E0000}"/>
    <cellStyle name="SAPBEXHLevel1 2 28" xfId="28364" xr:uid="{00000000-0005-0000-0000-0000D36E0000}"/>
    <cellStyle name="SAPBEXHLevel1 2 29" xfId="28365" xr:uid="{00000000-0005-0000-0000-0000D46E0000}"/>
    <cellStyle name="SAPBEXHLevel1 2 3" xfId="28366" xr:uid="{00000000-0005-0000-0000-0000D56E0000}"/>
    <cellStyle name="SAPBEXHLevel1 2 30" xfId="28367" xr:uid="{00000000-0005-0000-0000-0000D66E0000}"/>
    <cellStyle name="SAPBEXHLevel1 2 31" xfId="28368" xr:uid="{00000000-0005-0000-0000-0000D76E0000}"/>
    <cellStyle name="SAPBEXHLevel1 2 32" xfId="28369" xr:uid="{00000000-0005-0000-0000-0000D86E0000}"/>
    <cellStyle name="SAPBEXHLevel1 2 33" xfId="28370" xr:uid="{00000000-0005-0000-0000-0000D96E0000}"/>
    <cellStyle name="SAPBEXHLevel1 2 34" xfId="28371" xr:uid="{00000000-0005-0000-0000-0000DA6E0000}"/>
    <cellStyle name="SAPBEXHLevel1 2 4" xfId="28372" xr:uid="{00000000-0005-0000-0000-0000DB6E0000}"/>
    <cellStyle name="SAPBEXHLevel1 2 5" xfId="28373" xr:uid="{00000000-0005-0000-0000-0000DC6E0000}"/>
    <cellStyle name="SAPBEXHLevel1 2 6" xfId="28374" xr:uid="{00000000-0005-0000-0000-0000DD6E0000}"/>
    <cellStyle name="SAPBEXHLevel1 2 7" xfId="28375" xr:uid="{00000000-0005-0000-0000-0000DE6E0000}"/>
    <cellStyle name="SAPBEXHLevel1 2 8" xfId="28376" xr:uid="{00000000-0005-0000-0000-0000DF6E0000}"/>
    <cellStyle name="SAPBEXHLevel1 2 9" xfId="28377" xr:uid="{00000000-0005-0000-0000-0000E06E0000}"/>
    <cellStyle name="SAPBEXHLevel1 20" xfId="28378" xr:uid="{00000000-0005-0000-0000-0000E16E0000}"/>
    <cellStyle name="SAPBEXHLevel1 3" xfId="28379" xr:uid="{00000000-0005-0000-0000-0000E26E0000}"/>
    <cellStyle name="SAPBEXHLevel1 3 2" xfId="28380" xr:uid="{00000000-0005-0000-0000-0000E36E0000}"/>
    <cellStyle name="SAPBEXHLevel1 3 3" xfId="28381" xr:uid="{00000000-0005-0000-0000-0000E46E0000}"/>
    <cellStyle name="SAPBEXHLevel1 4" xfId="28382" xr:uid="{00000000-0005-0000-0000-0000E56E0000}"/>
    <cellStyle name="SAPBEXHLevel1 5" xfId="28383" xr:uid="{00000000-0005-0000-0000-0000E66E0000}"/>
    <cellStyle name="SAPBEXHLevel1 6" xfId="28384" xr:uid="{00000000-0005-0000-0000-0000E76E0000}"/>
    <cellStyle name="SAPBEXHLevel1 7" xfId="28385" xr:uid="{00000000-0005-0000-0000-0000E86E0000}"/>
    <cellStyle name="SAPBEXHLevel1 8" xfId="28386" xr:uid="{00000000-0005-0000-0000-0000E96E0000}"/>
    <cellStyle name="SAPBEXHLevel1 9" xfId="28387" xr:uid="{00000000-0005-0000-0000-0000EA6E0000}"/>
    <cellStyle name="SAPBEXstdData" xfId="28388" xr:uid="{00000000-0005-0000-0000-0000EB6E0000}"/>
    <cellStyle name="SAPBEXstdData 10" xfId="28389" xr:uid="{00000000-0005-0000-0000-0000EC6E0000}"/>
    <cellStyle name="SAPBEXstdData 11" xfId="28390" xr:uid="{00000000-0005-0000-0000-0000ED6E0000}"/>
    <cellStyle name="SAPBEXstdData 12" xfId="28391" xr:uid="{00000000-0005-0000-0000-0000EE6E0000}"/>
    <cellStyle name="SAPBEXstdData 13" xfId="28392" xr:uid="{00000000-0005-0000-0000-0000EF6E0000}"/>
    <cellStyle name="SAPBEXstdData 14" xfId="28393" xr:uid="{00000000-0005-0000-0000-0000F06E0000}"/>
    <cellStyle name="SAPBEXstdData 15" xfId="28394" xr:uid="{00000000-0005-0000-0000-0000F16E0000}"/>
    <cellStyle name="SAPBEXstdData 16" xfId="28395" xr:uid="{00000000-0005-0000-0000-0000F26E0000}"/>
    <cellStyle name="SAPBEXstdData 17" xfId="28396" xr:uid="{00000000-0005-0000-0000-0000F36E0000}"/>
    <cellStyle name="SAPBEXstdData 18" xfId="28397" xr:uid="{00000000-0005-0000-0000-0000F46E0000}"/>
    <cellStyle name="SAPBEXstdData 19" xfId="28398" xr:uid="{00000000-0005-0000-0000-0000F56E0000}"/>
    <cellStyle name="SAPBEXstdData 2" xfId="28399" xr:uid="{00000000-0005-0000-0000-0000F66E0000}"/>
    <cellStyle name="SAPBEXstdData 2 10" xfId="28400" xr:uid="{00000000-0005-0000-0000-0000F76E0000}"/>
    <cellStyle name="SAPBEXstdData 2 11" xfId="28401" xr:uid="{00000000-0005-0000-0000-0000F86E0000}"/>
    <cellStyle name="SAPBEXstdData 2 12" xfId="28402" xr:uid="{00000000-0005-0000-0000-0000F96E0000}"/>
    <cellStyle name="SAPBEXstdData 2 13" xfId="28403" xr:uid="{00000000-0005-0000-0000-0000FA6E0000}"/>
    <cellStyle name="SAPBEXstdData 2 14" xfId="28404" xr:uid="{00000000-0005-0000-0000-0000FB6E0000}"/>
    <cellStyle name="SAPBEXstdData 2 15" xfId="28405" xr:uid="{00000000-0005-0000-0000-0000FC6E0000}"/>
    <cellStyle name="SAPBEXstdData 2 16" xfId="28406" xr:uid="{00000000-0005-0000-0000-0000FD6E0000}"/>
    <cellStyle name="SAPBEXstdData 2 17" xfId="28407" xr:uid="{00000000-0005-0000-0000-0000FE6E0000}"/>
    <cellStyle name="SAPBEXstdData 2 18" xfId="28408" xr:uid="{00000000-0005-0000-0000-0000FF6E0000}"/>
    <cellStyle name="SAPBEXstdData 2 19" xfId="28409" xr:uid="{00000000-0005-0000-0000-0000006F0000}"/>
    <cellStyle name="SAPBEXstdData 2 2" xfId="28410" xr:uid="{00000000-0005-0000-0000-0000016F0000}"/>
    <cellStyle name="SAPBEXstdData 2 20" xfId="28411" xr:uid="{00000000-0005-0000-0000-0000026F0000}"/>
    <cellStyle name="SAPBEXstdData 2 21" xfId="28412" xr:uid="{00000000-0005-0000-0000-0000036F0000}"/>
    <cellStyle name="SAPBEXstdData 2 22" xfId="28413" xr:uid="{00000000-0005-0000-0000-0000046F0000}"/>
    <cellStyle name="SAPBEXstdData 2 23" xfId="28414" xr:uid="{00000000-0005-0000-0000-0000056F0000}"/>
    <cellStyle name="SAPBEXstdData 2 24" xfId="28415" xr:uid="{00000000-0005-0000-0000-0000066F0000}"/>
    <cellStyle name="SAPBEXstdData 2 25" xfId="28416" xr:uid="{00000000-0005-0000-0000-0000076F0000}"/>
    <cellStyle name="SAPBEXstdData 2 26" xfId="28417" xr:uid="{00000000-0005-0000-0000-0000086F0000}"/>
    <cellStyle name="SAPBEXstdData 2 27" xfId="28418" xr:uid="{00000000-0005-0000-0000-0000096F0000}"/>
    <cellStyle name="SAPBEXstdData 2 28" xfId="28419" xr:uid="{00000000-0005-0000-0000-00000A6F0000}"/>
    <cellStyle name="SAPBEXstdData 2 29" xfId="28420" xr:uid="{00000000-0005-0000-0000-00000B6F0000}"/>
    <cellStyle name="SAPBEXstdData 2 3" xfId="28421" xr:uid="{00000000-0005-0000-0000-00000C6F0000}"/>
    <cellStyle name="SAPBEXstdData 2 30" xfId="28422" xr:uid="{00000000-0005-0000-0000-00000D6F0000}"/>
    <cellStyle name="SAPBEXstdData 2 31" xfId="28423" xr:uid="{00000000-0005-0000-0000-00000E6F0000}"/>
    <cellStyle name="SAPBEXstdData 2 32" xfId="28424" xr:uid="{00000000-0005-0000-0000-00000F6F0000}"/>
    <cellStyle name="SAPBEXstdData 2 33" xfId="28425" xr:uid="{00000000-0005-0000-0000-0000106F0000}"/>
    <cellStyle name="SAPBEXstdData 2 34" xfId="28426" xr:uid="{00000000-0005-0000-0000-0000116F0000}"/>
    <cellStyle name="SAPBEXstdData 2 4" xfId="28427" xr:uid="{00000000-0005-0000-0000-0000126F0000}"/>
    <cellStyle name="SAPBEXstdData 2 5" xfId="28428" xr:uid="{00000000-0005-0000-0000-0000136F0000}"/>
    <cellStyle name="SAPBEXstdData 2 6" xfId="28429" xr:uid="{00000000-0005-0000-0000-0000146F0000}"/>
    <cellStyle name="SAPBEXstdData 2 7" xfId="28430" xr:uid="{00000000-0005-0000-0000-0000156F0000}"/>
    <cellStyle name="SAPBEXstdData 2 8" xfId="28431" xr:uid="{00000000-0005-0000-0000-0000166F0000}"/>
    <cellStyle name="SAPBEXstdData 2 9" xfId="28432" xr:uid="{00000000-0005-0000-0000-0000176F0000}"/>
    <cellStyle name="SAPBEXstdData 20" xfId="28433" xr:uid="{00000000-0005-0000-0000-0000186F0000}"/>
    <cellStyle name="SAPBEXstdData 3" xfId="28434" xr:uid="{00000000-0005-0000-0000-0000196F0000}"/>
    <cellStyle name="SAPBEXstdData 3 2" xfId="28435" xr:uid="{00000000-0005-0000-0000-00001A6F0000}"/>
    <cellStyle name="SAPBEXstdData 3 3" xfId="28436" xr:uid="{00000000-0005-0000-0000-00001B6F0000}"/>
    <cellStyle name="SAPBEXstdData 4" xfId="28437" xr:uid="{00000000-0005-0000-0000-00001C6F0000}"/>
    <cellStyle name="SAPBEXstdData 5" xfId="28438" xr:uid="{00000000-0005-0000-0000-00001D6F0000}"/>
    <cellStyle name="SAPBEXstdData 6" xfId="28439" xr:uid="{00000000-0005-0000-0000-00001E6F0000}"/>
    <cellStyle name="SAPBEXstdData 7" xfId="28440" xr:uid="{00000000-0005-0000-0000-00001F6F0000}"/>
    <cellStyle name="SAPBEXstdData 8" xfId="28441" xr:uid="{00000000-0005-0000-0000-0000206F0000}"/>
    <cellStyle name="SAPBEXstdData 9" xfId="28442" xr:uid="{00000000-0005-0000-0000-0000216F0000}"/>
    <cellStyle name="SAPBEXstdItem" xfId="28443" xr:uid="{00000000-0005-0000-0000-0000226F0000}"/>
    <cellStyle name="SAPBEXstdItem 10" xfId="28444" xr:uid="{00000000-0005-0000-0000-0000236F0000}"/>
    <cellStyle name="SAPBEXstdItem 11" xfId="28445" xr:uid="{00000000-0005-0000-0000-0000246F0000}"/>
    <cellStyle name="SAPBEXstdItem 12" xfId="28446" xr:uid="{00000000-0005-0000-0000-0000256F0000}"/>
    <cellStyle name="SAPBEXstdItem 13" xfId="28447" xr:uid="{00000000-0005-0000-0000-0000266F0000}"/>
    <cellStyle name="SAPBEXstdItem 14" xfId="28448" xr:uid="{00000000-0005-0000-0000-0000276F0000}"/>
    <cellStyle name="SAPBEXstdItem 15" xfId="28449" xr:uid="{00000000-0005-0000-0000-0000286F0000}"/>
    <cellStyle name="SAPBEXstdItem 16" xfId="28450" xr:uid="{00000000-0005-0000-0000-0000296F0000}"/>
    <cellStyle name="SAPBEXstdItem 17" xfId="28451" xr:uid="{00000000-0005-0000-0000-00002A6F0000}"/>
    <cellStyle name="SAPBEXstdItem 18" xfId="28452" xr:uid="{00000000-0005-0000-0000-00002B6F0000}"/>
    <cellStyle name="SAPBEXstdItem 19" xfId="28453" xr:uid="{00000000-0005-0000-0000-00002C6F0000}"/>
    <cellStyle name="SAPBEXstdItem 2" xfId="28454" xr:uid="{00000000-0005-0000-0000-00002D6F0000}"/>
    <cellStyle name="SAPBEXstdItem 2 10" xfId="28455" xr:uid="{00000000-0005-0000-0000-00002E6F0000}"/>
    <cellStyle name="SAPBEXstdItem 2 11" xfId="28456" xr:uid="{00000000-0005-0000-0000-00002F6F0000}"/>
    <cellStyle name="SAPBEXstdItem 2 12" xfId="28457" xr:uid="{00000000-0005-0000-0000-0000306F0000}"/>
    <cellStyle name="SAPBEXstdItem 2 13" xfId="28458" xr:uid="{00000000-0005-0000-0000-0000316F0000}"/>
    <cellStyle name="SAPBEXstdItem 2 14" xfId="28459" xr:uid="{00000000-0005-0000-0000-0000326F0000}"/>
    <cellStyle name="SAPBEXstdItem 2 15" xfId="28460" xr:uid="{00000000-0005-0000-0000-0000336F0000}"/>
    <cellStyle name="SAPBEXstdItem 2 16" xfId="28461" xr:uid="{00000000-0005-0000-0000-0000346F0000}"/>
    <cellStyle name="SAPBEXstdItem 2 17" xfId="28462" xr:uid="{00000000-0005-0000-0000-0000356F0000}"/>
    <cellStyle name="SAPBEXstdItem 2 18" xfId="28463" xr:uid="{00000000-0005-0000-0000-0000366F0000}"/>
    <cellStyle name="SAPBEXstdItem 2 19" xfId="28464" xr:uid="{00000000-0005-0000-0000-0000376F0000}"/>
    <cellStyle name="SAPBEXstdItem 2 2" xfId="28465" xr:uid="{00000000-0005-0000-0000-0000386F0000}"/>
    <cellStyle name="SAPBEXstdItem 2 20" xfId="28466" xr:uid="{00000000-0005-0000-0000-0000396F0000}"/>
    <cellStyle name="SAPBEXstdItem 2 21" xfId="28467" xr:uid="{00000000-0005-0000-0000-00003A6F0000}"/>
    <cellStyle name="SAPBEXstdItem 2 22" xfId="28468" xr:uid="{00000000-0005-0000-0000-00003B6F0000}"/>
    <cellStyle name="SAPBEXstdItem 2 23" xfId="28469" xr:uid="{00000000-0005-0000-0000-00003C6F0000}"/>
    <cellStyle name="SAPBEXstdItem 2 24" xfId="28470" xr:uid="{00000000-0005-0000-0000-00003D6F0000}"/>
    <cellStyle name="SAPBEXstdItem 2 25" xfId="28471" xr:uid="{00000000-0005-0000-0000-00003E6F0000}"/>
    <cellStyle name="SAPBEXstdItem 2 26" xfId="28472" xr:uid="{00000000-0005-0000-0000-00003F6F0000}"/>
    <cellStyle name="SAPBEXstdItem 2 27" xfId="28473" xr:uid="{00000000-0005-0000-0000-0000406F0000}"/>
    <cellStyle name="SAPBEXstdItem 2 28" xfId="28474" xr:uid="{00000000-0005-0000-0000-0000416F0000}"/>
    <cellStyle name="SAPBEXstdItem 2 29" xfId="28475" xr:uid="{00000000-0005-0000-0000-0000426F0000}"/>
    <cellStyle name="SAPBEXstdItem 2 3" xfId="28476" xr:uid="{00000000-0005-0000-0000-0000436F0000}"/>
    <cellStyle name="SAPBEXstdItem 2 30" xfId="28477" xr:uid="{00000000-0005-0000-0000-0000446F0000}"/>
    <cellStyle name="SAPBEXstdItem 2 31" xfId="28478" xr:uid="{00000000-0005-0000-0000-0000456F0000}"/>
    <cellStyle name="SAPBEXstdItem 2 32" xfId="28479" xr:uid="{00000000-0005-0000-0000-0000466F0000}"/>
    <cellStyle name="SAPBEXstdItem 2 33" xfId="28480" xr:uid="{00000000-0005-0000-0000-0000476F0000}"/>
    <cellStyle name="SAPBEXstdItem 2 34" xfId="28481" xr:uid="{00000000-0005-0000-0000-0000486F0000}"/>
    <cellStyle name="SAPBEXstdItem 2 4" xfId="28482" xr:uid="{00000000-0005-0000-0000-0000496F0000}"/>
    <cellStyle name="SAPBEXstdItem 2 5" xfId="28483" xr:uid="{00000000-0005-0000-0000-00004A6F0000}"/>
    <cellStyle name="SAPBEXstdItem 2 6" xfId="28484" xr:uid="{00000000-0005-0000-0000-00004B6F0000}"/>
    <cellStyle name="SAPBEXstdItem 2 7" xfId="28485" xr:uid="{00000000-0005-0000-0000-00004C6F0000}"/>
    <cellStyle name="SAPBEXstdItem 2 8" xfId="28486" xr:uid="{00000000-0005-0000-0000-00004D6F0000}"/>
    <cellStyle name="SAPBEXstdItem 2 9" xfId="28487" xr:uid="{00000000-0005-0000-0000-00004E6F0000}"/>
    <cellStyle name="SAPBEXstdItem 20" xfId="28488" xr:uid="{00000000-0005-0000-0000-00004F6F0000}"/>
    <cellStyle name="SAPBEXstdItem 3" xfId="28489" xr:uid="{00000000-0005-0000-0000-0000506F0000}"/>
    <cellStyle name="SAPBEXstdItem 3 2" xfId="28490" xr:uid="{00000000-0005-0000-0000-0000516F0000}"/>
    <cellStyle name="SAPBEXstdItem 3 3" xfId="28491" xr:uid="{00000000-0005-0000-0000-0000526F0000}"/>
    <cellStyle name="SAPBEXstdItem 4" xfId="28492" xr:uid="{00000000-0005-0000-0000-0000536F0000}"/>
    <cellStyle name="SAPBEXstdItem 5" xfId="28493" xr:uid="{00000000-0005-0000-0000-0000546F0000}"/>
    <cellStyle name="SAPBEXstdItem 6" xfId="28494" xr:uid="{00000000-0005-0000-0000-0000556F0000}"/>
    <cellStyle name="SAPBEXstdItem 7" xfId="28495" xr:uid="{00000000-0005-0000-0000-0000566F0000}"/>
    <cellStyle name="SAPBEXstdItem 8" xfId="28496" xr:uid="{00000000-0005-0000-0000-0000576F0000}"/>
    <cellStyle name="SAPBEXstdItem 9" xfId="28497" xr:uid="{00000000-0005-0000-0000-0000586F0000}"/>
    <cellStyle name="Satisfaisant" xfId="28498" xr:uid="{00000000-0005-0000-0000-0000596F0000}"/>
    <cellStyle name="Satisfaisant 2" xfId="28499" xr:uid="{00000000-0005-0000-0000-00005A6F0000}"/>
    <cellStyle name="Schedule" xfId="28500" xr:uid="{00000000-0005-0000-0000-00005B6F0000}"/>
    <cellStyle name="Section Title" xfId="28501" xr:uid="{00000000-0005-0000-0000-00005C6F0000}"/>
    <cellStyle name="Single Accounting" xfId="28502" xr:uid="{00000000-0005-0000-0000-00005D6F0000}"/>
    <cellStyle name="Single Cell Column Heading" xfId="28503" xr:uid="{00000000-0005-0000-0000-00005E6F0000}"/>
    <cellStyle name="Single Cell Column Heading 5" xfId="28504" xr:uid="{00000000-0005-0000-0000-00005F6F0000}"/>
    <cellStyle name="Single Cell Column Heading_Copy of Myanmar-MS-Addendum-Proposal-Summary-April3-2013" xfId="28505" xr:uid="{00000000-0005-0000-0000-0000606F0000}"/>
    <cellStyle name="Small" xfId="28506" xr:uid="{00000000-0005-0000-0000-0000616F0000}"/>
    <cellStyle name="Small 10" xfId="28507" xr:uid="{00000000-0005-0000-0000-0000626F0000}"/>
    <cellStyle name="Small 11" xfId="28508" xr:uid="{00000000-0005-0000-0000-0000636F0000}"/>
    <cellStyle name="Small 12" xfId="28509" xr:uid="{00000000-0005-0000-0000-0000646F0000}"/>
    <cellStyle name="Small 13" xfId="28510" xr:uid="{00000000-0005-0000-0000-0000656F0000}"/>
    <cellStyle name="Small 14" xfId="28511" xr:uid="{00000000-0005-0000-0000-0000666F0000}"/>
    <cellStyle name="Small 15" xfId="28512" xr:uid="{00000000-0005-0000-0000-0000676F0000}"/>
    <cellStyle name="Small 16" xfId="28513" xr:uid="{00000000-0005-0000-0000-0000686F0000}"/>
    <cellStyle name="Small 17" xfId="28514" xr:uid="{00000000-0005-0000-0000-0000696F0000}"/>
    <cellStyle name="Small 18" xfId="28515" xr:uid="{00000000-0005-0000-0000-00006A6F0000}"/>
    <cellStyle name="Small 19" xfId="28516" xr:uid="{00000000-0005-0000-0000-00006B6F0000}"/>
    <cellStyle name="Small 2" xfId="28517" xr:uid="{00000000-0005-0000-0000-00006C6F0000}"/>
    <cellStyle name="Small 2 10" xfId="28518" xr:uid="{00000000-0005-0000-0000-00006D6F0000}"/>
    <cellStyle name="Small 2 11" xfId="28519" xr:uid="{00000000-0005-0000-0000-00006E6F0000}"/>
    <cellStyle name="Small 2 12" xfId="28520" xr:uid="{00000000-0005-0000-0000-00006F6F0000}"/>
    <cellStyle name="Small 2 13" xfId="28521" xr:uid="{00000000-0005-0000-0000-0000706F0000}"/>
    <cellStyle name="Small 2 14" xfId="28522" xr:uid="{00000000-0005-0000-0000-0000716F0000}"/>
    <cellStyle name="Small 2 15" xfId="28523" xr:uid="{00000000-0005-0000-0000-0000726F0000}"/>
    <cellStyle name="Small 2 16" xfId="28524" xr:uid="{00000000-0005-0000-0000-0000736F0000}"/>
    <cellStyle name="Small 2 17" xfId="28525" xr:uid="{00000000-0005-0000-0000-0000746F0000}"/>
    <cellStyle name="Small 2 18" xfId="28526" xr:uid="{00000000-0005-0000-0000-0000756F0000}"/>
    <cellStyle name="Small 2 19" xfId="28527" xr:uid="{00000000-0005-0000-0000-0000766F0000}"/>
    <cellStyle name="Small 2 2" xfId="28528" xr:uid="{00000000-0005-0000-0000-0000776F0000}"/>
    <cellStyle name="Small 2 2 10" xfId="28529" xr:uid="{00000000-0005-0000-0000-0000786F0000}"/>
    <cellStyle name="Small 2 2 11" xfId="28530" xr:uid="{00000000-0005-0000-0000-0000796F0000}"/>
    <cellStyle name="Small 2 2 12" xfId="28531" xr:uid="{00000000-0005-0000-0000-00007A6F0000}"/>
    <cellStyle name="Small 2 2 13" xfId="28532" xr:uid="{00000000-0005-0000-0000-00007B6F0000}"/>
    <cellStyle name="Small 2 2 14" xfId="28533" xr:uid="{00000000-0005-0000-0000-00007C6F0000}"/>
    <cellStyle name="Small 2 2 15" xfId="28534" xr:uid="{00000000-0005-0000-0000-00007D6F0000}"/>
    <cellStyle name="Small 2 2 16" xfId="28535" xr:uid="{00000000-0005-0000-0000-00007E6F0000}"/>
    <cellStyle name="Small 2 2 17" xfId="28536" xr:uid="{00000000-0005-0000-0000-00007F6F0000}"/>
    <cellStyle name="Small 2 2 18" xfId="28537" xr:uid="{00000000-0005-0000-0000-0000806F0000}"/>
    <cellStyle name="Small 2 2 19" xfId="28538" xr:uid="{00000000-0005-0000-0000-0000816F0000}"/>
    <cellStyle name="Small 2 2 2" xfId="28539" xr:uid="{00000000-0005-0000-0000-0000826F0000}"/>
    <cellStyle name="Small 2 2 2 10" xfId="28540" xr:uid="{00000000-0005-0000-0000-0000836F0000}"/>
    <cellStyle name="Small 2 2 2 11" xfId="28541" xr:uid="{00000000-0005-0000-0000-0000846F0000}"/>
    <cellStyle name="Small 2 2 2 12" xfId="28542" xr:uid="{00000000-0005-0000-0000-0000856F0000}"/>
    <cellStyle name="Small 2 2 2 13" xfId="28543" xr:uid="{00000000-0005-0000-0000-0000866F0000}"/>
    <cellStyle name="Small 2 2 2 14" xfId="28544" xr:uid="{00000000-0005-0000-0000-0000876F0000}"/>
    <cellStyle name="Small 2 2 2 15" xfId="28545" xr:uid="{00000000-0005-0000-0000-0000886F0000}"/>
    <cellStyle name="Small 2 2 2 16" xfId="28546" xr:uid="{00000000-0005-0000-0000-0000896F0000}"/>
    <cellStyle name="Small 2 2 2 17" xfId="28547" xr:uid="{00000000-0005-0000-0000-00008A6F0000}"/>
    <cellStyle name="Small 2 2 2 18" xfId="28548" xr:uid="{00000000-0005-0000-0000-00008B6F0000}"/>
    <cellStyle name="Small 2 2 2 19" xfId="28549" xr:uid="{00000000-0005-0000-0000-00008C6F0000}"/>
    <cellStyle name="Small 2 2 2 2" xfId="28550" xr:uid="{00000000-0005-0000-0000-00008D6F0000}"/>
    <cellStyle name="Small 2 2 2 2 2" xfId="28551" xr:uid="{00000000-0005-0000-0000-00008E6F0000}"/>
    <cellStyle name="Small 2 2 2 2 3" xfId="28552" xr:uid="{00000000-0005-0000-0000-00008F6F0000}"/>
    <cellStyle name="Small 2 2 2 20" xfId="28553" xr:uid="{00000000-0005-0000-0000-0000906F0000}"/>
    <cellStyle name="Small 2 2 2 21" xfId="28554" xr:uid="{00000000-0005-0000-0000-0000916F0000}"/>
    <cellStyle name="Small 2 2 2 22" xfId="28555" xr:uid="{00000000-0005-0000-0000-0000926F0000}"/>
    <cellStyle name="Small 2 2 2 23" xfId="28556" xr:uid="{00000000-0005-0000-0000-0000936F0000}"/>
    <cellStyle name="Small 2 2 2 24" xfId="28557" xr:uid="{00000000-0005-0000-0000-0000946F0000}"/>
    <cellStyle name="Small 2 2 2 25" xfId="28558" xr:uid="{00000000-0005-0000-0000-0000956F0000}"/>
    <cellStyle name="Small 2 2 2 26" xfId="28559" xr:uid="{00000000-0005-0000-0000-0000966F0000}"/>
    <cellStyle name="Small 2 2 2 27" xfId="28560" xr:uid="{00000000-0005-0000-0000-0000976F0000}"/>
    <cellStyle name="Small 2 2 2 28" xfId="28561" xr:uid="{00000000-0005-0000-0000-0000986F0000}"/>
    <cellStyle name="Small 2 2 2 29" xfId="28562" xr:uid="{00000000-0005-0000-0000-0000996F0000}"/>
    <cellStyle name="Small 2 2 2 3" xfId="28563" xr:uid="{00000000-0005-0000-0000-00009A6F0000}"/>
    <cellStyle name="Small 2 2 2 30" xfId="28564" xr:uid="{00000000-0005-0000-0000-00009B6F0000}"/>
    <cellStyle name="Small 2 2 2 31" xfId="28565" xr:uid="{00000000-0005-0000-0000-00009C6F0000}"/>
    <cellStyle name="Small 2 2 2 32" xfId="28566" xr:uid="{00000000-0005-0000-0000-00009D6F0000}"/>
    <cellStyle name="Small 2 2 2 33" xfId="28567" xr:uid="{00000000-0005-0000-0000-00009E6F0000}"/>
    <cellStyle name="Small 2 2 2 34" xfId="28568" xr:uid="{00000000-0005-0000-0000-00009F6F0000}"/>
    <cellStyle name="Small 2 2 2 35" xfId="28569" xr:uid="{00000000-0005-0000-0000-0000A06F0000}"/>
    <cellStyle name="Small 2 2 2 36" xfId="28570" xr:uid="{00000000-0005-0000-0000-0000A16F0000}"/>
    <cellStyle name="Small 2 2 2 4" xfId="28571" xr:uid="{00000000-0005-0000-0000-0000A26F0000}"/>
    <cellStyle name="Small 2 2 2 5" xfId="28572" xr:uid="{00000000-0005-0000-0000-0000A36F0000}"/>
    <cellStyle name="Small 2 2 2 6" xfId="28573" xr:uid="{00000000-0005-0000-0000-0000A46F0000}"/>
    <cellStyle name="Small 2 2 2 7" xfId="28574" xr:uid="{00000000-0005-0000-0000-0000A56F0000}"/>
    <cellStyle name="Small 2 2 2 8" xfId="28575" xr:uid="{00000000-0005-0000-0000-0000A66F0000}"/>
    <cellStyle name="Small 2 2 2 9" xfId="28576" xr:uid="{00000000-0005-0000-0000-0000A76F0000}"/>
    <cellStyle name="Small 2 2 20" xfId="28577" xr:uid="{00000000-0005-0000-0000-0000A86F0000}"/>
    <cellStyle name="Small 2 2 21" xfId="28578" xr:uid="{00000000-0005-0000-0000-0000A96F0000}"/>
    <cellStyle name="Small 2 2 22" xfId="28579" xr:uid="{00000000-0005-0000-0000-0000AA6F0000}"/>
    <cellStyle name="Small 2 2 23" xfId="28580" xr:uid="{00000000-0005-0000-0000-0000AB6F0000}"/>
    <cellStyle name="Small 2 2 24" xfId="28581" xr:uid="{00000000-0005-0000-0000-0000AC6F0000}"/>
    <cellStyle name="Small 2 2 25" xfId="28582" xr:uid="{00000000-0005-0000-0000-0000AD6F0000}"/>
    <cellStyle name="Small 2 2 26" xfId="28583" xr:uid="{00000000-0005-0000-0000-0000AE6F0000}"/>
    <cellStyle name="Small 2 2 27" xfId="28584" xr:uid="{00000000-0005-0000-0000-0000AF6F0000}"/>
    <cellStyle name="Small 2 2 28" xfId="28585" xr:uid="{00000000-0005-0000-0000-0000B06F0000}"/>
    <cellStyle name="Small 2 2 29" xfId="28586" xr:uid="{00000000-0005-0000-0000-0000B16F0000}"/>
    <cellStyle name="Small 2 2 3" xfId="28587" xr:uid="{00000000-0005-0000-0000-0000B26F0000}"/>
    <cellStyle name="Small 2 2 3 2" xfId="28588" xr:uid="{00000000-0005-0000-0000-0000B36F0000}"/>
    <cellStyle name="Small 2 2 3 2 2" xfId="28589" xr:uid="{00000000-0005-0000-0000-0000B46F0000}"/>
    <cellStyle name="Small 2 2 3 2 3" xfId="28590" xr:uid="{00000000-0005-0000-0000-0000B56F0000}"/>
    <cellStyle name="Small 2 2 3 3" xfId="28591" xr:uid="{00000000-0005-0000-0000-0000B66F0000}"/>
    <cellStyle name="Small 2 2 3 3 2" xfId="28592" xr:uid="{00000000-0005-0000-0000-0000B76F0000}"/>
    <cellStyle name="Small 2 2 3 3 3" xfId="28593" xr:uid="{00000000-0005-0000-0000-0000B86F0000}"/>
    <cellStyle name="Small 2 2 3 4" xfId="28594" xr:uid="{00000000-0005-0000-0000-0000B96F0000}"/>
    <cellStyle name="Small 2 2 3 5" xfId="28595" xr:uid="{00000000-0005-0000-0000-0000BA6F0000}"/>
    <cellStyle name="Small 2 2 30" xfId="28596" xr:uid="{00000000-0005-0000-0000-0000BB6F0000}"/>
    <cellStyle name="Small 2 2 31" xfId="28597" xr:uid="{00000000-0005-0000-0000-0000BC6F0000}"/>
    <cellStyle name="Small 2 2 32" xfId="28598" xr:uid="{00000000-0005-0000-0000-0000BD6F0000}"/>
    <cellStyle name="Small 2 2 33" xfId="28599" xr:uid="{00000000-0005-0000-0000-0000BE6F0000}"/>
    <cellStyle name="Small 2 2 34" xfId="28600" xr:uid="{00000000-0005-0000-0000-0000BF6F0000}"/>
    <cellStyle name="Small 2 2 35" xfId="28601" xr:uid="{00000000-0005-0000-0000-0000C06F0000}"/>
    <cellStyle name="Small 2 2 36" xfId="28602" xr:uid="{00000000-0005-0000-0000-0000C16F0000}"/>
    <cellStyle name="Small 2 2 4" xfId="28603" xr:uid="{00000000-0005-0000-0000-0000C26F0000}"/>
    <cellStyle name="Small 2 2 4 2" xfId="28604" xr:uid="{00000000-0005-0000-0000-0000C36F0000}"/>
    <cellStyle name="Small 2 2 4 2 2" xfId="28605" xr:uid="{00000000-0005-0000-0000-0000C46F0000}"/>
    <cellStyle name="Small 2 2 4 2 3" xfId="28606" xr:uid="{00000000-0005-0000-0000-0000C56F0000}"/>
    <cellStyle name="Small 2 2 4 3" xfId="28607" xr:uid="{00000000-0005-0000-0000-0000C66F0000}"/>
    <cellStyle name="Small 2 2 4 3 2" xfId="28608" xr:uid="{00000000-0005-0000-0000-0000C76F0000}"/>
    <cellStyle name="Small 2 2 4 3 3" xfId="28609" xr:uid="{00000000-0005-0000-0000-0000C86F0000}"/>
    <cellStyle name="Small 2 2 4 4" xfId="28610" xr:uid="{00000000-0005-0000-0000-0000C96F0000}"/>
    <cellStyle name="Small 2 2 4 5" xfId="28611" xr:uid="{00000000-0005-0000-0000-0000CA6F0000}"/>
    <cellStyle name="Small 2 2 5" xfId="28612" xr:uid="{00000000-0005-0000-0000-0000CB6F0000}"/>
    <cellStyle name="Small 2 2 5 2" xfId="28613" xr:uid="{00000000-0005-0000-0000-0000CC6F0000}"/>
    <cellStyle name="Small 2 2 5 3" xfId="28614" xr:uid="{00000000-0005-0000-0000-0000CD6F0000}"/>
    <cellStyle name="Small 2 2 6" xfId="28615" xr:uid="{00000000-0005-0000-0000-0000CE6F0000}"/>
    <cellStyle name="Small 2 2 7" xfId="28616" xr:uid="{00000000-0005-0000-0000-0000CF6F0000}"/>
    <cellStyle name="Small 2 2 8" xfId="28617" xr:uid="{00000000-0005-0000-0000-0000D06F0000}"/>
    <cellStyle name="Small 2 2 9" xfId="28618" xr:uid="{00000000-0005-0000-0000-0000D16F0000}"/>
    <cellStyle name="Small 2 20" xfId="28619" xr:uid="{00000000-0005-0000-0000-0000D26F0000}"/>
    <cellStyle name="Small 2 21" xfId="28620" xr:uid="{00000000-0005-0000-0000-0000D36F0000}"/>
    <cellStyle name="Small 2 22" xfId="28621" xr:uid="{00000000-0005-0000-0000-0000D46F0000}"/>
    <cellStyle name="Small 2 23" xfId="28622" xr:uid="{00000000-0005-0000-0000-0000D56F0000}"/>
    <cellStyle name="Small 2 24" xfId="28623" xr:uid="{00000000-0005-0000-0000-0000D66F0000}"/>
    <cellStyle name="Small 2 25" xfId="28624" xr:uid="{00000000-0005-0000-0000-0000D76F0000}"/>
    <cellStyle name="Small 2 26" xfId="28625" xr:uid="{00000000-0005-0000-0000-0000D86F0000}"/>
    <cellStyle name="Small 2 27" xfId="28626" xr:uid="{00000000-0005-0000-0000-0000D96F0000}"/>
    <cellStyle name="Small 2 28" xfId="28627" xr:uid="{00000000-0005-0000-0000-0000DA6F0000}"/>
    <cellStyle name="Small 2 29" xfId="28628" xr:uid="{00000000-0005-0000-0000-0000DB6F0000}"/>
    <cellStyle name="Small 2 3" xfId="28629" xr:uid="{00000000-0005-0000-0000-0000DC6F0000}"/>
    <cellStyle name="Small 2 3 10" xfId="28630" xr:uid="{00000000-0005-0000-0000-0000DD6F0000}"/>
    <cellStyle name="Small 2 3 11" xfId="28631" xr:uid="{00000000-0005-0000-0000-0000DE6F0000}"/>
    <cellStyle name="Small 2 3 12" xfId="28632" xr:uid="{00000000-0005-0000-0000-0000DF6F0000}"/>
    <cellStyle name="Small 2 3 13" xfId="28633" xr:uid="{00000000-0005-0000-0000-0000E06F0000}"/>
    <cellStyle name="Small 2 3 14" xfId="28634" xr:uid="{00000000-0005-0000-0000-0000E16F0000}"/>
    <cellStyle name="Small 2 3 15" xfId="28635" xr:uid="{00000000-0005-0000-0000-0000E26F0000}"/>
    <cellStyle name="Small 2 3 16" xfId="28636" xr:uid="{00000000-0005-0000-0000-0000E36F0000}"/>
    <cellStyle name="Small 2 3 17" xfId="28637" xr:uid="{00000000-0005-0000-0000-0000E46F0000}"/>
    <cellStyle name="Small 2 3 18" xfId="28638" xr:uid="{00000000-0005-0000-0000-0000E56F0000}"/>
    <cellStyle name="Small 2 3 19" xfId="28639" xr:uid="{00000000-0005-0000-0000-0000E66F0000}"/>
    <cellStyle name="Small 2 3 2" xfId="28640" xr:uid="{00000000-0005-0000-0000-0000E76F0000}"/>
    <cellStyle name="Small 2 3 2 2" xfId="28641" xr:uid="{00000000-0005-0000-0000-0000E86F0000}"/>
    <cellStyle name="Small 2 3 2 3" xfId="28642" xr:uid="{00000000-0005-0000-0000-0000E96F0000}"/>
    <cellStyle name="Small 2 3 20" xfId="28643" xr:uid="{00000000-0005-0000-0000-0000EA6F0000}"/>
    <cellStyle name="Small 2 3 21" xfId="28644" xr:uid="{00000000-0005-0000-0000-0000EB6F0000}"/>
    <cellStyle name="Small 2 3 22" xfId="28645" xr:uid="{00000000-0005-0000-0000-0000EC6F0000}"/>
    <cellStyle name="Small 2 3 23" xfId="28646" xr:uid="{00000000-0005-0000-0000-0000ED6F0000}"/>
    <cellStyle name="Small 2 3 24" xfId="28647" xr:uid="{00000000-0005-0000-0000-0000EE6F0000}"/>
    <cellStyle name="Small 2 3 25" xfId="28648" xr:uid="{00000000-0005-0000-0000-0000EF6F0000}"/>
    <cellStyle name="Small 2 3 26" xfId="28649" xr:uid="{00000000-0005-0000-0000-0000F06F0000}"/>
    <cellStyle name="Small 2 3 27" xfId="28650" xr:uid="{00000000-0005-0000-0000-0000F16F0000}"/>
    <cellStyle name="Small 2 3 28" xfId="28651" xr:uid="{00000000-0005-0000-0000-0000F26F0000}"/>
    <cellStyle name="Small 2 3 29" xfId="28652" xr:uid="{00000000-0005-0000-0000-0000F36F0000}"/>
    <cellStyle name="Small 2 3 3" xfId="28653" xr:uid="{00000000-0005-0000-0000-0000F46F0000}"/>
    <cellStyle name="Small 2 3 30" xfId="28654" xr:uid="{00000000-0005-0000-0000-0000F56F0000}"/>
    <cellStyle name="Small 2 3 31" xfId="28655" xr:uid="{00000000-0005-0000-0000-0000F66F0000}"/>
    <cellStyle name="Small 2 3 32" xfId="28656" xr:uid="{00000000-0005-0000-0000-0000F76F0000}"/>
    <cellStyle name="Small 2 3 33" xfId="28657" xr:uid="{00000000-0005-0000-0000-0000F86F0000}"/>
    <cellStyle name="Small 2 3 34" xfId="28658" xr:uid="{00000000-0005-0000-0000-0000F96F0000}"/>
    <cellStyle name="Small 2 3 35" xfId="28659" xr:uid="{00000000-0005-0000-0000-0000FA6F0000}"/>
    <cellStyle name="Small 2 3 36" xfId="28660" xr:uid="{00000000-0005-0000-0000-0000FB6F0000}"/>
    <cellStyle name="Small 2 3 4" xfId="28661" xr:uid="{00000000-0005-0000-0000-0000FC6F0000}"/>
    <cellStyle name="Small 2 3 5" xfId="28662" xr:uid="{00000000-0005-0000-0000-0000FD6F0000}"/>
    <cellStyle name="Small 2 3 6" xfId="28663" xr:uid="{00000000-0005-0000-0000-0000FE6F0000}"/>
    <cellStyle name="Small 2 3 7" xfId="28664" xr:uid="{00000000-0005-0000-0000-0000FF6F0000}"/>
    <cellStyle name="Small 2 3 8" xfId="28665" xr:uid="{00000000-0005-0000-0000-000000700000}"/>
    <cellStyle name="Small 2 3 9" xfId="28666" xr:uid="{00000000-0005-0000-0000-000001700000}"/>
    <cellStyle name="Small 2 30" xfId="28667" xr:uid="{00000000-0005-0000-0000-000002700000}"/>
    <cellStyle name="Small 2 31" xfId="28668" xr:uid="{00000000-0005-0000-0000-000003700000}"/>
    <cellStyle name="Small 2 32" xfId="28669" xr:uid="{00000000-0005-0000-0000-000004700000}"/>
    <cellStyle name="Small 2 33" xfId="28670" xr:uid="{00000000-0005-0000-0000-000005700000}"/>
    <cellStyle name="Small 2 34" xfId="28671" xr:uid="{00000000-0005-0000-0000-000006700000}"/>
    <cellStyle name="Small 2 35" xfId="28672" xr:uid="{00000000-0005-0000-0000-000007700000}"/>
    <cellStyle name="Small 2 36" xfId="28673" xr:uid="{00000000-0005-0000-0000-000008700000}"/>
    <cellStyle name="Small 2 37" xfId="28674" xr:uid="{00000000-0005-0000-0000-000009700000}"/>
    <cellStyle name="Small 2 4" xfId="28675" xr:uid="{00000000-0005-0000-0000-00000A700000}"/>
    <cellStyle name="Small 2 4 2" xfId="28676" xr:uid="{00000000-0005-0000-0000-00000B700000}"/>
    <cellStyle name="Small 2 4 2 2" xfId="28677" xr:uid="{00000000-0005-0000-0000-00000C700000}"/>
    <cellStyle name="Small 2 4 2 3" xfId="28678" xr:uid="{00000000-0005-0000-0000-00000D700000}"/>
    <cellStyle name="Small 2 4 3" xfId="28679" xr:uid="{00000000-0005-0000-0000-00000E700000}"/>
    <cellStyle name="Small 2 4 3 2" xfId="28680" xr:uid="{00000000-0005-0000-0000-00000F700000}"/>
    <cellStyle name="Small 2 4 3 3" xfId="28681" xr:uid="{00000000-0005-0000-0000-000010700000}"/>
    <cellStyle name="Small 2 4 4" xfId="28682" xr:uid="{00000000-0005-0000-0000-000011700000}"/>
    <cellStyle name="Small 2 4 5" xfId="28683" xr:uid="{00000000-0005-0000-0000-000012700000}"/>
    <cellStyle name="Small 2 5" xfId="28684" xr:uid="{00000000-0005-0000-0000-000013700000}"/>
    <cellStyle name="Small 2 5 2" xfId="28685" xr:uid="{00000000-0005-0000-0000-000014700000}"/>
    <cellStyle name="Small 2 5 2 2" xfId="28686" xr:uid="{00000000-0005-0000-0000-000015700000}"/>
    <cellStyle name="Small 2 5 2 3" xfId="28687" xr:uid="{00000000-0005-0000-0000-000016700000}"/>
    <cellStyle name="Small 2 5 3" xfId="28688" xr:uid="{00000000-0005-0000-0000-000017700000}"/>
    <cellStyle name="Small 2 5 3 2" xfId="28689" xr:uid="{00000000-0005-0000-0000-000018700000}"/>
    <cellStyle name="Small 2 5 3 3" xfId="28690" xr:uid="{00000000-0005-0000-0000-000019700000}"/>
    <cellStyle name="Small 2 5 4" xfId="28691" xr:uid="{00000000-0005-0000-0000-00001A700000}"/>
    <cellStyle name="Small 2 5 5" xfId="28692" xr:uid="{00000000-0005-0000-0000-00001B700000}"/>
    <cellStyle name="Small 2 6" xfId="28693" xr:uid="{00000000-0005-0000-0000-00001C700000}"/>
    <cellStyle name="Small 2 6 2" xfId="28694" xr:uid="{00000000-0005-0000-0000-00001D700000}"/>
    <cellStyle name="Small 2 6 3" xfId="28695" xr:uid="{00000000-0005-0000-0000-00001E700000}"/>
    <cellStyle name="Small 2 7" xfId="28696" xr:uid="{00000000-0005-0000-0000-00001F700000}"/>
    <cellStyle name="Small 2 8" xfId="28697" xr:uid="{00000000-0005-0000-0000-000020700000}"/>
    <cellStyle name="Small 2 9" xfId="28698" xr:uid="{00000000-0005-0000-0000-000021700000}"/>
    <cellStyle name="Small 20" xfId="28699" xr:uid="{00000000-0005-0000-0000-000022700000}"/>
    <cellStyle name="Small 21" xfId="28700" xr:uid="{00000000-0005-0000-0000-000023700000}"/>
    <cellStyle name="Small 22" xfId="28701" xr:uid="{00000000-0005-0000-0000-000024700000}"/>
    <cellStyle name="Small 23" xfId="28702" xr:uid="{00000000-0005-0000-0000-000025700000}"/>
    <cellStyle name="Small 24" xfId="28703" xr:uid="{00000000-0005-0000-0000-000026700000}"/>
    <cellStyle name="Small 25" xfId="28704" xr:uid="{00000000-0005-0000-0000-000027700000}"/>
    <cellStyle name="Small 26" xfId="28705" xr:uid="{00000000-0005-0000-0000-000028700000}"/>
    <cellStyle name="Small 27" xfId="28706" xr:uid="{00000000-0005-0000-0000-000029700000}"/>
    <cellStyle name="Small 28" xfId="28707" xr:uid="{00000000-0005-0000-0000-00002A700000}"/>
    <cellStyle name="Small 29" xfId="28708" xr:uid="{00000000-0005-0000-0000-00002B700000}"/>
    <cellStyle name="Small 3" xfId="28709" xr:uid="{00000000-0005-0000-0000-00002C700000}"/>
    <cellStyle name="Small 3 10" xfId="28710" xr:uid="{00000000-0005-0000-0000-00002D700000}"/>
    <cellStyle name="Small 3 11" xfId="28711" xr:uid="{00000000-0005-0000-0000-00002E700000}"/>
    <cellStyle name="Small 3 12" xfId="28712" xr:uid="{00000000-0005-0000-0000-00002F700000}"/>
    <cellStyle name="Small 3 13" xfId="28713" xr:uid="{00000000-0005-0000-0000-000030700000}"/>
    <cellStyle name="Small 3 14" xfId="28714" xr:uid="{00000000-0005-0000-0000-000031700000}"/>
    <cellStyle name="Small 3 15" xfId="28715" xr:uid="{00000000-0005-0000-0000-000032700000}"/>
    <cellStyle name="Small 3 16" xfId="28716" xr:uid="{00000000-0005-0000-0000-000033700000}"/>
    <cellStyle name="Small 3 17" xfId="28717" xr:uid="{00000000-0005-0000-0000-000034700000}"/>
    <cellStyle name="Small 3 18" xfId="28718" xr:uid="{00000000-0005-0000-0000-000035700000}"/>
    <cellStyle name="Small 3 19" xfId="28719" xr:uid="{00000000-0005-0000-0000-000036700000}"/>
    <cellStyle name="Small 3 2" xfId="28720" xr:uid="{00000000-0005-0000-0000-000037700000}"/>
    <cellStyle name="Small 3 2 10" xfId="28721" xr:uid="{00000000-0005-0000-0000-000038700000}"/>
    <cellStyle name="Small 3 2 11" xfId="28722" xr:uid="{00000000-0005-0000-0000-000039700000}"/>
    <cellStyle name="Small 3 2 12" xfId="28723" xr:uid="{00000000-0005-0000-0000-00003A700000}"/>
    <cellStyle name="Small 3 2 13" xfId="28724" xr:uid="{00000000-0005-0000-0000-00003B700000}"/>
    <cellStyle name="Small 3 2 14" xfId="28725" xr:uid="{00000000-0005-0000-0000-00003C700000}"/>
    <cellStyle name="Small 3 2 15" xfId="28726" xr:uid="{00000000-0005-0000-0000-00003D700000}"/>
    <cellStyle name="Small 3 2 16" xfId="28727" xr:uid="{00000000-0005-0000-0000-00003E700000}"/>
    <cellStyle name="Small 3 2 17" xfId="28728" xr:uid="{00000000-0005-0000-0000-00003F700000}"/>
    <cellStyle name="Small 3 2 18" xfId="28729" xr:uid="{00000000-0005-0000-0000-000040700000}"/>
    <cellStyle name="Small 3 2 19" xfId="28730" xr:uid="{00000000-0005-0000-0000-000041700000}"/>
    <cellStyle name="Small 3 2 2" xfId="28731" xr:uid="{00000000-0005-0000-0000-000042700000}"/>
    <cellStyle name="Small 3 2 2 2" xfId="28732" xr:uid="{00000000-0005-0000-0000-000043700000}"/>
    <cellStyle name="Small 3 2 2 3" xfId="28733" xr:uid="{00000000-0005-0000-0000-000044700000}"/>
    <cellStyle name="Small 3 2 20" xfId="28734" xr:uid="{00000000-0005-0000-0000-000045700000}"/>
    <cellStyle name="Small 3 2 21" xfId="28735" xr:uid="{00000000-0005-0000-0000-000046700000}"/>
    <cellStyle name="Small 3 2 22" xfId="28736" xr:uid="{00000000-0005-0000-0000-000047700000}"/>
    <cellStyle name="Small 3 2 23" xfId="28737" xr:uid="{00000000-0005-0000-0000-000048700000}"/>
    <cellStyle name="Small 3 2 24" xfId="28738" xr:uid="{00000000-0005-0000-0000-000049700000}"/>
    <cellStyle name="Small 3 2 25" xfId="28739" xr:uid="{00000000-0005-0000-0000-00004A700000}"/>
    <cellStyle name="Small 3 2 26" xfId="28740" xr:uid="{00000000-0005-0000-0000-00004B700000}"/>
    <cellStyle name="Small 3 2 27" xfId="28741" xr:uid="{00000000-0005-0000-0000-00004C700000}"/>
    <cellStyle name="Small 3 2 28" xfId="28742" xr:uid="{00000000-0005-0000-0000-00004D700000}"/>
    <cellStyle name="Small 3 2 29" xfId="28743" xr:uid="{00000000-0005-0000-0000-00004E700000}"/>
    <cellStyle name="Small 3 2 3" xfId="28744" xr:uid="{00000000-0005-0000-0000-00004F700000}"/>
    <cellStyle name="Small 3 2 30" xfId="28745" xr:uid="{00000000-0005-0000-0000-000050700000}"/>
    <cellStyle name="Small 3 2 31" xfId="28746" xr:uid="{00000000-0005-0000-0000-000051700000}"/>
    <cellStyle name="Small 3 2 32" xfId="28747" xr:uid="{00000000-0005-0000-0000-000052700000}"/>
    <cellStyle name="Small 3 2 33" xfId="28748" xr:uid="{00000000-0005-0000-0000-000053700000}"/>
    <cellStyle name="Small 3 2 34" xfId="28749" xr:uid="{00000000-0005-0000-0000-000054700000}"/>
    <cellStyle name="Small 3 2 35" xfId="28750" xr:uid="{00000000-0005-0000-0000-000055700000}"/>
    <cellStyle name="Small 3 2 36" xfId="28751" xr:uid="{00000000-0005-0000-0000-000056700000}"/>
    <cellStyle name="Small 3 2 4" xfId="28752" xr:uid="{00000000-0005-0000-0000-000057700000}"/>
    <cellStyle name="Small 3 2 5" xfId="28753" xr:uid="{00000000-0005-0000-0000-000058700000}"/>
    <cellStyle name="Small 3 2 6" xfId="28754" xr:uid="{00000000-0005-0000-0000-000059700000}"/>
    <cellStyle name="Small 3 2 7" xfId="28755" xr:uid="{00000000-0005-0000-0000-00005A700000}"/>
    <cellStyle name="Small 3 2 8" xfId="28756" xr:uid="{00000000-0005-0000-0000-00005B700000}"/>
    <cellStyle name="Small 3 2 9" xfId="28757" xr:uid="{00000000-0005-0000-0000-00005C700000}"/>
    <cellStyle name="Small 3 20" xfId="28758" xr:uid="{00000000-0005-0000-0000-00005D700000}"/>
    <cellStyle name="Small 3 21" xfId="28759" xr:uid="{00000000-0005-0000-0000-00005E700000}"/>
    <cellStyle name="Small 3 22" xfId="28760" xr:uid="{00000000-0005-0000-0000-00005F700000}"/>
    <cellStyle name="Small 3 23" xfId="28761" xr:uid="{00000000-0005-0000-0000-000060700000}"/>
    <cellStyle name="Small 3 24" xfId="28762" xr:uid="{00000000-0005-0000-0000-000061700000}"/>
    <cellStyle name="Small 3 25" xfId="28763" xr:uid="{00000000-0005-0000-0000-000062700000}"/>
    <cellStyle name="Small 3 26" xfId="28764" xr:uid="{00000000-0005-0000-0000-000063700000}"/>
    <cellStyle name="Small 3 27" xfId="28765" xr:uid="{00000000-0005-0000-0000-000064700000}"/>
    <cellStyle name="Small 3 28" xfId="28766" xr:uid="{00000000-0005-0000-0000-000065700000}"/>
    <cellStyle name="Small 3 29" xfId="28767" xr:uid="{00000000-0005-0000-0000-000066700000}"/>
    <cellStyle name="Small 3 3" xfId="28768" xr:uid="{00000000-0005-0000-0000-000067700000}"/>
    <cellStyle name="Small 3 3 2" xfId="28769" xr:uid="{00000000-0005-0000-0000-000068700000}"/>
    <cellStyle name="Small 3 3 2 2" xfId="28770" xr:uid="{00000000-0005-0000-0000-000069700000}"/>
    <cellStyle name="Small 3 3 2 3" xfId="28771" xr:uid="{00000000-0005-0000-0000-00006A700000}"/>
    <cellStyle name="Small 3 3 3" xfId="28772" xr:uid="{00000000-0005-0000-0000-00006B700000}"/>
    <cellStyle name="Small 3 3 3 2" xfId="28773" xr:uid="{00000000-0005-0000-0000-00006C700000}"/>
    <cellStyle name="Small 3 3 3 3" xfId="28774" xr:uid="{00000000-0005-0000-0000-00006D700000}"/>
    <cellStyle name="Small 3 3 4" xfId="28775" xr:uid="{00000000-0005-0000-0000-00006E700000}"/>
    <cellStyle name="Small 3 3 5" xfId="28776" xr:uid="{00000000-0005-0000-0000-00006F700000}"/>
    <cellStyle name="Small 3 30" xfId="28777" xr:uid="{00000000-0005-0000-0000-000070700000}"/>
    <cellStyle name="Small 3 31" xfId="28778" xr:uid="{00000000-0005-0000-0000-000071700000}"/>
    <cellStyle name="Small 3 32" xfId="28779" xr:uid="{00000000-0005-0000-0000-000072700000}"/>
    <cellStyle name="Small 3 33" xfId="28780" xr:uid="{00000000-0005-0000-0000-000073700000}"/>
    <cellStyle name="Small 3 34" xfId="28781" xr:uid="{00000000-0005-0000-0000-000074700000}"/>
    <cellStyle name="Small 3 35" xfId="28782" xr:uid="{00000000-0005-0000-0000-000075700000}"/>
    <cellStyle name="Small 3 36" xfId="28783" xr:uid="{00000000-0005-0000-0000-000076700000}"/>
    <cellStyle name="Small 3 4" xfId="28784" xr:uid="{00000000-0005-0000-0000-000077700000}"/>
    <cellStyle name="Small 3 4 2" xfId="28785" xr:uid="{00000000-0005-0000-0000-000078700000}"/>
    <cellStyle name="Small 3 4 2 2" xfId="28786" xr:uid="{00000000-0005-0000-0000-000079700000}"/>
    <cellStyle name="Small 3 4 2 3" xfId="28787" xr:uid="{00000000-0005-0000-0000-00007A700000}"/>
    <cellStyle name="Small 3 4 3" xfId="28788" xr:uid="{00000000-0005-0000-0000-00007B700000}"/>
    <cellStyle name="Small 3 4 3 2" xfId="28789" xr:uid="{00000000-0005-0000-0000-00007C700000}"/>
    <cellStyle name="Small 3 4 3 3" xfId="28790" xr:uid="{00000000-0005-0000-0000-00007D700000}"/>
    <cellStyle name="Small 3 4 4" xfId="28791" xr:uid="{00000000-0005-0000-0000-00007E700000}"/>
    <cellStyle name="Small 3 4 5" xfId="28792" xr:uid="{00000000-0005-0000-0000-00007F700000}"/>
    <cellStyle name="Small 3 5" xfId="28793" xr:uid="{00000000-0005-0000-0000-000080700000}"/>
    <cellStyle name="Small 3 5 2" xfId="28794" xr:uid="{00000000-0005-0000-0000-000081700000}"/>
    <cellStyle name="Small 3 5 3" xfId="28795" xr:uid="{00000000-0005-0000-0000-000082700000}"/>
    <cellStyle name="Small 3 6" xfId="28796" xr:uid="{00000000-0005-0000-0000-000083700000}"/>
    <cellStyle name="Small 3 7" xfId="28797" xr:uid="{00000000-0005-0000-0000-000084700000}"/>
    <cellStyle name="Small 3 8" xfId="28798" xr:uid="{00000000-0005-0000-0000-000085700000}"/>
    <cellStyle name="Small 3 9" xfId="28799" xr:uid="{00000000-0005-0000-0000-000086700000}"/>
    <cellStyle name="Small 30" xfId="28800" xr:uid="{00000000-0005-0000-0000-000087700000}"/>
    <cellStyle name="Small 31" xfId="28801" xr:uid="{00000000-0005-0000-0000-000088700000}"/>
    <cellStyle name="Small 32" xfId="28802" xr:uid="{00000000-0005-0000-0000-000089700000}"/>
    <cellStyle name="Small 33" xfId="28803" xr:uid="{00000000-0005-0000-0000-00008A700000}"/>
    <cellStyle name="Small 34" xfId="28804" xr:uid="{00000000-0005-0000-0000-00008B700000}"/>
    <cellStyle name="Small 35" xfId="28805" xr:uid="{00000000-0005-0000-0000-00008C700000}"/>
    <cellStyle name="Small 36" xfId="28806" xr:uid="{00000000-0005-0000-0000-00008D700000}"/>
    <cellStyle name="Small 37" xfId="28807" xr:uid="{00000000-0005-0000-0000-00008E700000}"/>
    <cellStyle name="Small 38" xfId="28808" xr:uid="{00000000-0005-0000-0000-00008F700000}"/>
    <cellStyle name="Small 4" xfId="28809" xr:uid="{00000000-0005-0000-0000-000090700000}"/>
    <cellStyle name="Small 4 10" xfId="28810" xr:uid="{00000000-0005-0000-0000-000091700000}"/>
    <cellStyle name="Small 4 11" xfId="28811" xr:uid="{00000000-0005-0000-0000-000092700000}"/>
    <cellStyle name="Small 4 12" xfId="28812" xr:uid="{00000000-0005-0000-0000-000093700000}"/>
    <cellStyle name="Small 4 13" xfId="28813" xr:uid="{00000000-0005-0000-0000-000094700000}"/>
    <cellStyle name="Small 4 14" xfId="28814" xr:uid="{00000000-0005-0000-0000-000095700000}"/>
    <cellStyle name="Small 4 15" xfId="28815" xr:uid="{00000000-0005-0000-0000-000096700000}"/>
    <cellStyle name="Small 4 16" xfId="28816" xr:uid="{00000000-0005-0000-0000-000097700000}"/>
    <cellStyle name="Small 4 17" xfId="28817" xr:uid="{00000000-0005-0000-0000-000098700000}"/>
    <cellStyle name="Small 4 18" xfId="28818" xr:uid="{00000000-0005-0000-0000-000099700000}"/>
    <cellStyle name="Small 4 19" xfId="28819" xr:uid="{00000000-0005-0000-0000-00009A700000}"/>
    <cellStyle name="Small 4 2" xfId="28820" xr:uid="{00000000-0005-0000-0000-00009B700000}"/>
    <cellStyle name="Small 4 2 2" xfId="28821" xr:uid="{00000000-0005-0000-0000-00009C700000}"/>
    <cellStyle name="Small 4 2 3" xfId="28822" xr:uid="{00000000-0005-0000-0000-00009D700000}"/>
    <cellStyle name="Small 4 20" xfId="28823" xr:uid="{00000000-0005-0000-0000-00009E700000}"/>
    <cellStyle name="Small 4 21" xfId="28824" xr:uid="{00000000-0005-0000-0000-00009F700000}"/>
    <cellStyle name="Small 4 22" xfId="28825" xr:uid="{00000000-0005-0000-0000-0000A0700000}"/>
    <cellStyle name="Small 4 23" xfId="28826" xr:uid="{00000000-0005-0000-0000-0000A1700000}"/>
    <cellStyle name="Small 4 24" xfId="28827" xr:uid="{00000000-0005-0000-0000-0000A2700000}"/>
    <cellStyle name="Small 4 25" xfId="28828" xr:uid="{00000000-0005-0000-0000-0000A3700000}"/>
    <cellStyle name="Small 4 26" xfId="28829" xr:uid="{00000000-0005-0000-0000-0000A4700000}"/>
    <cellStyle name="Small 4 27" xfId="28830" xr:uid="{00000000-0005-0000-0000-0000A5700000}"/>
    <cellStyle name="Small 4 28" xfId="28831" xr:uid="{00000000-0005-0000-0000-0000A6700000}"/>
    <cellStyle name="Small 4 29" xfId="28832" xr:uid="{00000000-0005-0000-0000-0000A7700000}"/>
    <cellStyle name="Small 4 3" xfId="28833" xr:uid="{00000000-0005-0000-0000-0000A8700000}"/>
    <cellStyle name="Small 4 30" xfId="28834" xr:uid="{00000000-0005-0000-0000-0000A9700000}"/>
    <cellStyle name="Small 4 31" xfId="28835" xr:uid="{00000000-0005-0000-0000-0000AA700000}"/>
    <cellStyle name="Small 4 32" xfId="28836" xr:uid="{00000000-0005-0000-0000-0000AB700000}"/>
    <cellStyle name="Small 4 33" xfId="28837" xr:uid="{00000000-0005-0000-0000-0000AC700000}"/>
    <cellStyle name="Small 4 34" xfId="28838" xr:uid="{00000000-0005-0000-0000-0000AD700000}"/>
    <cellStyle name="Small 4 35" xfId="28839" xr:uid="{00000000-0005-0000-0000-0000AE700000}"/>
    <cellStyle name="Small 4 36" xfId="28840" xr:uid="{00000000-0005-0000-0000-0000AF700000}"/>
    <cellStyle name="Small 4 4" xfId="28841" xr:uid="{00000000-0005-0000-0000-0000B0700000}"/>
    <cellStyle name="Small 4 5" xfId="28842" xr:uid="{00000000-0005-0000-0000-0000B1700000}"/>
    <cellStyle name="Small 4 6" xfId="28843" xr:uid="{00000000-0005-0000-0000-0000B2700000}"/>
    <cellStyle name="Small 4 7" xfId="28844" xr:uid="{00000000-0005-0000-0000-0000B3700000}"/>
    <cellStyle name="Small 4 8" xfId="28845" xr:uid="{00000000-0005-0000-0000-0000B4700000}"/>
    <cellStyle name="Small 4 9" xfId="28846" xr:uid="{00000000-0005-0000-0000-0000B5700000}"/>
    <cellStyle name="Small 5" xfId="28847" xr:uid="{00000000-0005-0000-0000-0000B6700000}"/>
    <cellStyle name="Small 5 2" xfId="28848" xr:uid="{00000000-0005-0000-0000-0000B7700000}"/>
    <cellStyle name="Small 5 2 2" xfId="28849" xr:uid="{00000000-0005-0000-0000-0000B8700000}"/>
    <cellStyle name="Small 5 2 3" xfId="28850" xr:uid="{00000000-0005-0000-0000-0000B9700000}"/>
    <cellStyle name="Small 5 3" xfId="28851" xr:uid="{00000000-0005-0000-0000-0000BA700000}"/>
    <cellStyle name="Small 5 3 2" xfId="28852" xr:uid="{00000000-0005-0000-0000-0000BB700000}"/>
    <cellStyle name="Small 5 3 3" xfId="28853" xr:uid="{00000000-0005-0000-0000-0000BC700000}"/>
    <cellStyle name="Small 5 4" xfId="28854" xr:uid="{00000000-0005-0000-0000-0000BD700000}"/>
    <cellStyle name="Small 5 5" xfId="28855" xr:uid="{00000000-0005-0000-0000-0000BE700000}"/>
    <cellStyle name="Small 6" xfId="28856" xr:uid="{00000000-0005-0000-0000-0000BF700000}"/>
    <cellStyle name="Small 6 2" xfId="28857" xr:uid="{00000000-0005-0000-0000-0000C0700000}"/>
    <cellStyle name="Small 6 2 2" xfId="28858" xr:uid="{00000000-0005-0000-0000-0000C1700000}"/>
    <cellStyle name="Small 6 2 3" xfId="28859" xr:uid="{00000000-0005-0000-0000-0000C2700000}"/>
    <cellStyle name="Small 6 3" xfId="28860" xr:uid="{00000000-0005-0000-0000-0000C3700000}"/>
    <cellStyle name="Small 6 3 2" xfId="28861" xr:uid="{00000000-0005-0000-0000-0000C4700000}"/>
    <cellStyle name="Small 6 3 3" xfId="28862" xr:uid="{00000000-0005-0000-0000-0000C5700000}"/>
    <cellStyle name="Small 6 4" xfId="28863" xr:uid="{00000000-0005-0000-0000-0000C6700000}"/>
    <cellStyle name="Small 6 5" xfId="28864" xr:uid="{00000000-0005-0000-0000-0000C7700000}"/>
    <cellStyle name="Small 7" xfId="28865" xr:uid="{00000000-0005-0000-0000-0000C8700000}"/>
    <cellStyle name="Small 7 2" xfId="28866" xr:uid="{00000000-0005-0000-0000-0000C9700000}"/>
    <cellStyle name="Small 7 3" xfId="28867" xr:uid="{00000000-0005-0000-0000-0000CA700000}"/>
    <cellStyle name="Small 8" xfId="28868" xr:uid="{00000000-0005-0000-0000-0000CB700000}"/>
    <cellStyle name="Small 9" xfId="28869" xr:uid="{00000000-0005-0000-0000-0000CC700000}"/>
    <cellStyle name="Small Number" xfId="28870" xr:uid="{00000000-0005-0000-0000-0000CD700000}"/>
    <cellStyle name="Sortie" xfId="28871" xr:uid="{00000000-0005-0000-0000-0000CE700000}"/>
    <cellStyle name="Sortie 10" xfId="28872" xr:uid="{00000000-0005-0000-0000-0000CF700000}"/>
    <cellStyle name="Sortie 11" xfId="28873" xr:uid="{00000000-0005-0000-0000-0000D0700000}"/>
    <cellStyle name="Sortie 12" xfId="28874" xr:uid="{00000000-0005-0000-0000-0000D1700000}"/>
    <cellStyle name="Sortie 13" xfId="28875" xr:uid="{00000000-0005-0000-0000-0000D2700000}"/>
    <cellStyle name="Sortie 14" xfId="28876" xr:uid="{00000000-0005-0000-0000-0000D3700000}"/>
    <cellStyle name="Sortie 15" xfId="28877" xr:uid="{00000000-0005-0000-0000-0000D4700000}"/>
    <cellStyle name="Sortie 16" xfId="28878" xr:uid="{00000000-0005-0000-0000-0000D5700000}"/>
    <cellStyle name="Sortie 17" xfId="28879" xr:uid="{00000000-0005-0000-0000-0000D6700000}"/>
    <cellStyle name="Sortie 18" xfId="28880" xr:uid="{00000000-0005-0000-0000-0000D7700000}"/>
    <cellStyle name="Sortie 19" xfId="28881" xr:uid="{00000000-0005-0000-0000-0000D8700000}"/>
    <cellStyle name="Sortie 2" xfId="28882" xr:uid="{00000000-0005-0000-0000-0000D9700000}"/>
    <cellStyle name="Sortie 2 10" xfId="28883" xr:uid="{00000000-0005-0000-0000-0000DA700000}"/>
    <cellStyle name="Sortie 2 11" xfId="28884" xr:uid="{00000000-0005-0000-0000-0000DB700000}"/>
    <cellStyle name="Sortie 2 12" xfId="28885" xr:uid="{00000000-0005-0000-0000-0000DC700000}"/>
    <cellStyle name="Sortie 2 13" xfId="28886" xr:uid="{00000000-0005-0000-0000-0000DD700000}"/>
    <cellStyle name="Sortie 2 14" xfId="28887" xr:uid="{00000000-0005-0000-0000-0000DE700000}"/>
    <cellStyle name="Sortie 2 15" xfId="28888" xr:uid="{00000000-0005-0000-0000-0000DF700000}"/>
    <cellStyle name="Sortie 2 16" xfId="28889" xr:uid="{00000000-0005-0000-0000-0000E0700000}"/>
    <cellStyle name="Sortie 2 17" xfId="28890" xr:uid="{00000000-0005-0000-0000-0000E1700000}"/>
    <cellStyle name="Sortie 2 18" xfId="28891" xr:uid="{00000000-0005-0000-0000-0000E2700000}"/>
    <cellStyle name="Sortie 2 19" xfId="28892" xr:uid="{00000000-0005-0000-0000-0000E3700000}"/>
    <cellStyle name="Sortie 2 2" xfId="28893" xr:uid="{00000000-0005-0000-0000-0000E4700000}"/>
    <cellStyle name="Sortie 2 2 10" xfId="28894" xr:uid="{00000000-0005-0000-0000-0000E5700000}"/>
    <cellStyle name="Sortie 2 2 11" xfId="28895" xr:uid="{00000000-0005-0000-0000-0000E6700000}"/>
    <cellStyle name="Sortie 2 2 12" xfId="28896" xr:uid="{00000000-0005-0000-0000-0000E7700000}"/>
    <cellStyle name="Sortie 2 2 13" xfId="28897" xr:uid="{00000000-0005-0000-0000-0000E8700000}"/>
    <cellStyle name="Sortie 2 2 14" xfId="28898" xr:uid="{00000000-0005-0000-0000-0000E9700000}"/>
    <cellStyle name="Sortie 2 2 15" xfId="28899" xr:uid="{00000000-0005-0000-0000-0000EA700000}"/>
    <cellStyle name="Sortie 2 2 16" xfId="28900" xr:uid="{00000000-0005-0000-0000-0000EB700000}"/>
    <cellStyle name="Sortie 2 2 17" xfId="28901" xr:uid="{00000000-0005-0000-0000-0000EC700000}"/>
    <cellStyle name="Sortie 2 2 18" xfId="28902" xr:uid="{00000000-0005-0000-0000-0000ED700000}"/>
    <cellStyle name="Sortie 2 2 19" xfId="28903" xr:uid="{00000000-0005-0000-0000-0000EE700000}"/>
    <cellStyle name="Sortie 2 2 2" xfId="28904" xr:uid="{00000000-0005-0000-0000-0000EF700000}"/>
    <cellStyle name="Sortie 2 2 20" xfId="28905" xr:uid="{00000000-0005-0000-0000-0000F0700000}"/>
    <cellStyle name="Sortie 2 2 21" xfId="28906" xr:uid="{00000000-0005-0000-0000-0000F1700000}"/>
    <cellStyle name="Sortie 2 2 22" xfId="28907" xr:uid="{00000000-0005-0000-0000-0000F2700000}"/>
    <cellStyle name="Sortie 2 2 23" xfId="28908" xr:uid="{00000000-0005-0000-0000-0000F3700000}"/>
    <cellStyle name="Sortie 2 2 24" xfId="28909" xr:uid="{00000000-0005-0000-0000-0000F4700000}"/>
    <cellStyle name="Sortie 2 2 25" xfId="28910" xr:uid="{00000000-0005-0000-0000-0000F5700000}"/>
    <cellStyle name="Sortie 2 2 26" xfId="28911" xr:uid="{00000000-0005-0000-0000-0000F6700000}"/>
    <cellStyle name="Sortie 2 2 27" xfId="28912" xr:uid="{00000000-0005-0000-0000-0000F7700000}"/>
    <cellStyle name="Sortie 2 2 28" xfId="28913" xr:uid="{00000000-0005-0000-0000-0000F8700000}"/>
    <cellStyle name="Sortie 2 2 29" xfId="28914" xr:uid="{00000000-0005-0000-0000-0000F9700000}"/>
    <cellStyle name="Sortie 2 2 3" xfId="28915" xr:uid="{00000000-0005-0000-0000-0000FA700000}"/>
    <cellStyle name="Sortie 2 2 30" xfId="28916" xr:uid="{00000000-0005-0000-0000-0000FB700000}"/>
    <cellStyle name="Sortie 2 2 31" xfId="28917" xr:uid="{00000000-0005-0000-0000-0000FC700000}"/>
    <cellStyle name="Sortie 2 2 32" xfId="28918" xr:uid="{00000000-0005-0000-0000-0000FD700000}"/>
    <cellStyle name="Sortie 2 2 33" xfId="28919" xr:uid="{00000000-0005-0000-0000-0000FE700000}"/>
    <cellStyle name="Sortie 2 2 34" xfId="28920" xr:uid="{00000000-0005-0000-0000-0000FF700000}"/>
    <cellStyle name="Sortie 2 2 4" xfId="28921" xr:uid="{00000000-0005-0000-0000-000000710000}"/>
    <cellStyle name="Sortie 2 2 5" xfId="28922" xr:uid="{00000000-0005-0000-0000-000001710000}"/>
    <cellStyle name="Sortie 2 2 6" xfId="28923" xr:uid="{00000000-0005-0000-0000-000002710000}"/>
    <cellStyle name="Sortie 2 2 7" xfId="28924" xr:uid="{00000000-0005-0000-0000-000003710000}"/>
    <cellStyle name="Sortie 2 2 8" xfId="28925" xr:uid="{00000000-0005-0000-0000-000004710000}"/>
    <cellStyle name="Sortie 2 2 9" xfId="28926" xr:uid="{00000000-0005-0000-0000-000005710000}"/>
    <cellStyle name="Sortie 2 20" xfId="28927" xr:uid="{00000000-0005-0000-0000-000006710000}"/>
    <cellStyle name="Sortie 2 3" xfId="28928" xr:uid="{00000000-0005-0000-0000-000007710000}"/>
    <cellStyle name="Sortie 2 3 2" xfId="28929" xr:uid="{00000000-0005-0000-0000-000008710000}"/>
    <cellStyle name="Sortie 2 3 3" xfId="28930" xr:uid="{00000000-0005-0000-0000-000009710000}"/>
    <cellStyle name="Sortie 2 4" xfId="28931" xr:uid="{00000000-0005-0000-0000-00000A710000}"/>
    <cellStyle name="Sortie 2 5" xfId="28932" xr:uid="{00000000-0005-0000-0000-00000B710000}"/>
    <cellStyle name="Sortie 2 6" xfId="28933" xr:uid="{00000000-0005-0000-0000-00000C710000}"/>
    <cellStyle name="Sortie 2 7" xfId="28934" xr:uid="{00000000-0005-0000-0000-00000D710000}"/>
    <cellStyle name="Sortie 2 8" xfId="28935" xr:uid="{00000000-0005-0000-0000-00000E710000}"/>
    <cellStyle name="Sortie 2 9" xfId="28936" xr:uid="{00000000-0005-0000-0000-00000F710000}"/>
    <cellStyle name="Sortie 20" xfId="28937" xr:uid="{00000000-0005-0000-0000-000010710000}"/>
    <cellStyle name="Sortie 21" xfId="28938" xr:uid="{00000000-0005-0000-0000-000011710000}"/>
    <cellStyle name="Sortie 3" xfId="28939" xr:uid="{00000000-0005-0000-0000-000012710000}"/>
    <cellStyle name="Sortie 3 10" xfId="28940" xr:uid="{00000000-0005-0000-0000-000013710000}"/>
    <cellStyle name="Sortie 3 11" xfId="28941" xr:uid="{00000000-0005-0000-0000-000014710000}"/>
    <cellStyle name="Sortie 3 12" xfId="28942" xr:uid="{00000000-0005-0000-0000-000015710000}"/>
    <cellStyle name="Sortie 3 13" xfId="28943" xr:uid="{00000000-0005-0000-0000-000016710000}"/>
    <cellStyle name="Sortie 3 14" xfId="28944" xr:uid="{00000000-0005-0000-0000-000017710000}"/>
    <cellStyle name="Sortie 3 15" xfId="28945" xr:uid="{00000000-0005-0000-0000-000018710000}"/>
    <cellStyle name="Sortie 3 16" xfId="28946" xr:uid="{00000000-0005-0000-0000-000019710000}"/>
    <cellStyle name="Sortie 3 17" xfId="28947" xr:uid="{00000000-0005-0000-0000-00001A710000}"/>
    <cellStyle name="Sortie 3 18" xfId="28948" xr:uid="{00000000-0005-0000-0000-00001B710000}"/>
    <cellStyle name="Sortie 3 19" xfId="28949" xr:uid="{00000000-0005-0000-0000-00001C710000}"/>
    <cellStyle name="Sortie 3 2" xfId="28950" xr:uid="{00000000-0005-0000-0000-00001D710000}"/>
    <cellStyle name="Sortie 3 20" xfId="28951" xr:uid="{00000000-0005-0000-0000-00001E710000}"/>
    <cellStyle name="Sortie 3 21" xfId="28952" xr:uid="{00000000-0005-0000-0000-00001F710000}"/>
    <cellStyle name="Sortie 3 22" xfId="28953" xr:uid="{00000000-0005-0000-0000-000020710000}"/>
    <cellStyle name="Sortie 3 23" xfId="28954" xr:uid="{00000000-0005-0000-0000-000021710000}"/>
    <cellStyle name="Sortie 3 24" xfId="28955" xr:uid="{00000000-0005-0000-0000-000022710000}"/>
    <cellStyle name="Sortie 3 25" xfId="28956" xr:uid="{00000000-0005-0000-0000-000023710000}"/>
    <cellStyle name="Sortie 3 26" xfId="28957" xr:uid="{00000000-0005-0000-0000-000024710000}"/>
    <cellStyle name="Sortie 3 27" xfId="28958" xr:uid="{00000000-0005-0000-0000-000025710000}"/>
    <cellStyle name="Sortie 3 28" xfId="28959" xr:uid="{00000000-0005-0000-0000-000026710000}"/>
    <cellStyle name="Sortie 3 29" xfId="28960" xr:uid="{00000000-0005-0000-0000-000027710000}"/>
    <cellStyle name="Sortie 3 3" xfId="28961" xr:uid="{00000000-0005-0000-0000-000028710000}"/>
    <cellStyle name="Sortie 3 30" xfId="28962" xr:uid="{00000000-0005-0000-0000-000029710000}"/>
    <cellStyle name="Sortie 3 31" xfId="28963" xr:uid="{00000000-0005-0000-0000-00002A710000}"/>
    <cellStyle name="Sortie 3 32" xfId="28964" xr:uid="{00000000-0005-0000-0000-00002B710000}"/>
    <cellStyle name="Sortie 3 33" xfId="28965" xr:uid="{00000000-0005-0000-0000-00002C710000}"/>
    <cellStyle name="Sortie 3 34" xfId="28966" xr:uid="{00000000-0005-0000-0000-00002D710000}"/>
    <cellStyle name="Sortie 3 4" xfId="28967" xr:uid="{00000000-0005-0000-0000-00002E710000}"/>
    <cellStyle name="Sortie 3 5" xfId="28968" xr:uid="{00000000-0005-0000-0000-00002F710000}"/>
    <cellStyle name="Sortie 3 6" xfId="28969" xr:uid="{00000000-0005-0000-0000-000030710000}"/>
    <cellStyle name="Sortie 3 7" xfId="28970" xr:uid="{00000000-0005-0000-0000-000031710000}"/>
    <cellStyle name="Sortie 3 8" xfId="28971" xr:uid="{00000000-0005-0000-0000-000032710000}"/>
    <cellStyle name="Sortie 3 9" xfId="28972" xr:uid="{00000000-0005-0000-0000-000033710000}"/>
    <cellStyle name="Sortie 4" xfId="28973" xr:uid="{00000000-0005-0000-0000-000034710000}"/>
    <cellStyle name="Sortie 4 2" xfId="28974" xr:uid="{00000000-0005-0000-0000-000035710000}"/>
    <cellStyle name="Sortie 4 3" xfId="28975" xr:uid="{00000000-0005-0000-0000-000036710000}"/>
    <cellStyle name="Sortie 5" xfId="28976" xr:uid="{00000000-0005-0000-0000-000037710000}"/>
    <cellStyle name="Sortie 6" xfId="28977" xr:uid="{00000000-0005-0000-0000-000038710000}"/>
    <cellStyle name="Sortie 7" xfId="28978" xr:uid="{00000000-0005-0000-0000-000039710000}"/>
    <cellStyle name="Sortie 8" xfId="28979" xr:uid="{00000000-0005-0000-0000-00003A710000}"/>
    <cellStyle name="Sortie 9" xfId="28980" xr:uid="{00000000-0005-0000-0000-00003B710000}"/>
    <cellStyle name="ST_01" xfId="28981" xr:uid="{00000000-0005-0000-0000-00003C710000}"/>
    <cellStyle name="Standaard_Blad1" xfId="28982" xr:uid="{00000000-0005-0000-0000-00003D710000}"/>
    <cellStyle name="STANDARD" xfId="28983" xr:uid="{00000000-0005-0000-0000-00003E710000}"/>
    <cellStyle name="STANDARD 2" xfId="28984" xr:uid="{00000000-0005-0000-0000-00003F710000}"/>
    <cellStyle name="STANDARD 3" xfId="28985" xr:uid="{00000000-0005-0000-0000-000040710000}"/>
    <cellStyle name="Standard_2005-09-14 CDMA NewCo Business Model - Full Case (rel2)" xfId="28986" xr:uid="{00000000-0005-0000-0000-000041710000}"/>
    <cellStyle name="Std" xfId="28987" xr:uid="{00000000-0005-0000-0000-000042710000}"/>
    <cellStyle name="Strange" xfId="28988" xr:uid="{00000000-0005-0000-0000-000043710000}"/>
    <cellStyle name="Style 1" xfId="28989" xr:uid="{00000000-0005-0000-0000-000044710000}"/>
    <cellStyle name="Style 1 10" xfId="28990" xr:uid="{00000000-0005-0000-0000-000045710000}"/>
    <cellStyle name="Style 1 10 2" xfId="28991" xr:uid="{00000000-0005-0000-0000-000046710000}"/>
    <cellStyle name="Style 1 11" xfId="28992" xr:uid="{00000000-0005-0000-0000-000047710000}"/>
    <cellStyle name="Style 1 11 2" xfId="28993" xr:uid="{00000000-0005-0000-0000-000048710000}"/>
    <cellStyle name="Style 1 12" xfId="28994" xr:uid="{00000000-0005-0000-0000-000049710000}"/>
    <cellStyle name="Style 1 12 2" xfId="28995" xr:uid="{00000000-0005-0000-0000-00004A710000}"/>
    <cellStyle name="Style 1 13" xfId="28996" xr:uid="{00000000-0005-0000-0000-00004B710000}"/>
    <cellStyle name="Style 1 13 2" xfId="28997" xr:uid="{00000000-0005-0000-0000-00004C710000}"/>
    <cellStyle name="Style 1 14" xfId="28998" xr:uid="{00000000-0005-0000-0000-00004D710000}"/>
    <cellStyle name="Style 1 14 2" xfId="28999" xr:uid="{00000000-0005-0000-0000-00004E710000}"/>
    <cellStyle name="Style 1 15" xfId="29000" xr:uid="{00000000-0005-0000-0000-00004F710000}"/>
    <cellStyle name="Style 1 15 2" xfId="29001" xr:uid="{00000000-0005-0000-0000-000050710000}"/>
    <cellStyle name="Style 1 16" xfId="29002" xr:uid="{00000000-0005-0000-0000-000051710000}"/>
    <cellStyle name="Style 1 16 2" xfId="29003" xr:uid="{00000000-0005-0000-0000-000052710000}"/>
    <cellStyle name="Style 1 17" xfId="29004" xr:uid="{00000000-0005-0000-0000-000053710000}"/>
    <cellStyle name="Style 1 17 2" xfId="29005" xr:uid="{00000000-0005-0000-0000-000054710000}"/>
    <cellStyle name="Style 1 18" xfId="29006" xr:uid="{00000000-0005-0000-0000-000055710000}"/>
    <cellStyle name="Style 1 18 2" xfId="29007" xr:uid="{00000000-0005-0000-0000-000056710000}"/>
    <cellStyle name="Style 1 19" xfId="29008" xr:uid="{00000000-0005-0000-0000-000057710000}"/>
    <cellStyle name="Style 1 19 2" xfId="29009" xr:uid="{00000000-0005-0000-0000-000058710000}"/>
    <cellStyle name="Style 1 2" xfId="29010" xr:uid="{00000000-0005-0000-0000-000059710000}"/>
    <cellStyle name="Style 1 2 2" xfId="29011" xr:uid="{00000000-0005-0000-0000-00005A710000}"/>
    <cellStyle name="Style 1 2 2 2" xfId="29012" xr:uid="{00000000-0005-0000-0000-00005B710000}"/>
    <cellStyle name="Style 1 2 2 2 2" xfId="29013" xr:uid="{00000000-0005-0000-0000-00005C710000}"/>
    <cellStyle name="Style 1 2 2 3" xfId="29014" xr:uid="{00000000-0005-0000-0000-00005D710000}"/>
    <cellStyle name="Style 1 2 3" xfId="29015" xr:uid="{00000000-0005-0000-0000-00005E710000}"/>
    <cellStyle name="Style 1 20" xfId="29016" xr:uid="{00000000-0005-0000-0000-00005F710000}"/>
    <cellStyle name="Style 1 20 2" xfId="29017" xr:uid="{00000000-0005-0000-0000-000060710000}"/>
    <cellStyle name="Style 1 21" xfId="29018" xr:uid="{00000000-0005-0000-0000-000061710000}"/>
    <cellStyle name="Style 1 21 2" xfId="29019" xr:uid="{00000000-0005-0000-0000-000062710000}"/>
    <cellStyle name="Style 1 22" xfId="29020" xr:uid="{00000000-0005-0000-0000-000063710000}"/>
    <cellStyle name="Style 1 22 2" xfId="29021" xr:uid="{00000000-0005-0000-0000-000064710000}"/>
    <cellStyle name="Style 1 23" xfId="29022" xr:uid="{00000000-0005-0000-0000-000065710000}"/>
    <cellStyle name="Style 1 23 2" xfId="29023" xr:uid="{00000000-0005-0000-0000-000066710000}"/>
    <cellStyle name="Style 1 24" xfId="29024" xr:uid="{00000000-0005-0000-0000-000067710000}"/>
    <cellStyle name="Style 1 24 2" xfId="29025" xr:uid="{00000000-0005-0000-0000-000068710000}"/>
    <cellStyle name="Style 1 25" xfId="29026" xr:uid="{00000000-0005-0000-0000-000069710000}"/>
    <cellStyle name="Style 1 25 2" xfId="29027" xr:uid="{00000000-0005-0000-0000-00006A710000}"/>
    <cellStyle name="Style 1 26" xfId="29028" xr:uid="{00000000-0005-0000-0000-00006B710000}"/>
    <cellStyle name="Style 1 26 2" xfId="29029" xr:uid="{00000000-0005-0000-0000-00006C710000}"/>
    <cellStyle name="Style 1 27" xfId="29030" xr:uid="{00000000-0005-0000-0000-00006D710000}"/>
    <cellStyle name="Style 1 27 2" xfId="29031" xr:uid="{00000000-0005-0000-0000-00006E710000}"/>
    <cellStyle name="Style 1 28" xfId="29032" xr:uid="{00000000-0005-0000-0000-00006F710000}"/>
    <cellStyle name="Style 1 28 2" xfId="29033" xr:uid="{00000000-0005-0000-0000-000070710000}"/>
    <cellStyle name="Style 1 29" xfId="29034" xr:uid="{00000000-0005-0000-0000-000071710000}"/>
    <cellStyle name="Style 1 29 2" xfId="29035" xr:uid="{00000000-0005-0000-0000-000072710000}"/>
    <cellStyle name="Style 1 3" xfId="29036" xr:uid="{00000000-0005-0000-0000-000073710000}"/>
    <cellStyle name="Style 1 3 2" xfId="29037" xr:uid="{00000000-0005-0000-0000-000074710000}"/>
    <cellStyle name="Style 1 3 2 2" xfId="29038" xr:uid="{00000000-0005-0000-0000-000075710000}"/>
    <cellStyle name="Style 1 3 3" xfId="29039" xr:uid="{00000000-0005-0000-0000-000076710000}"/>
    <cellStyle name="Style 1 3 3 2" xfId="29040" xr:uid="{00000000-0005-0000-0000-000077710000}"/>
    <cellStyle name="Style 1 3 4" xfId="29041" xr:uid="{00000000-0005-0000-0000-000078710000}"/>
    <cellStyle name="Style 1 30" xfId="29042" xr:uid="{00000000-0005-0000-0000-000079710000}"/>
    <cellStyle name="Style 1 30 2" xfId="29043" xr:uid="{00000000-0005-0000-0000-00007A710000}"/>
    <cellStyle name="Style 1 31" xfId="29044" xr:uid="{00000000-0005-0000-0000-00007B710000}"/>
    <cellStyle name="Style 1 31 2" xfId="29045" xr:uid="{00000000-0005-0000-0000-00007C710000}"/>
    <cellStyle name="Style 1 32" xfId="29046" xr:uid="{00000000-0005-0000-0000-00007D710000}"/>
    <cellStyle name="Style 1 32 2" xfId="29047" xr:uid="{00000000-0005-0000-0000-00007E710000}"/>
    <cellStyle name="Style 1 33" xfId="29048" xr:uid="{00000000-0005-0000-0000-00007F710000}"/>
    <cellStyle name="Style 1 33 2" xfId="29049" xr:uid="{00000000-0005-0000-0000-000080710000}"/>
    <cellStyle name="Style 1 34" xfId="29050" xr:uid="{00000000-0005-0000-0000-000081710000}"/>
    <cellStyle name="Style 1 34 2" xfId="29051" xr:uid="{00000000-0005-0000-0000-000082710000}"/>
    <cellStyle name="Style 1 35" xfId="29052" xr:uid="{00000000-0005-0000-0000-000083710000}"/>
    <cellStyle name="Style 1 35 2" xfId="29053" xr:uid="{00000000-0005-0000-0000-000084710000}"/>
    <cellStyle name="Style 1 36" xfId="29054" xr:uid="{00000000-0005-0000-0000-000085710000}"/>
    <cellStyle name="Style 1 36 2" xfId="29055" xr:uid="{00000000-0005-0000-0000-000086710000}"/>
    <cellStyle name="Style 1 37" xfId="29056" xr:uid="{00000000-0005-0000-0000-000087710000}"/>
    <cellStyle name="Style 1 37 2" xfId="29057" xr:uid="{00000000-0005-0000-0000-000088710000}"/>
    <cellStyle name="Style 1 38" xfId="29058" xr:uid="{00000000-0005-0000-0000-000089710000}"/>
    <cellStyle name="Style 1 38 2" xfId="29059" xr:uid="{00000000-0005-0000-0000-00008A710000}"/>
    <cellStyle name="Style 1 39" xfId="29060" xr:uid="{00000000-0005-0000-0000-00008B710000}"/>
    <cellStyle name="Style 1 39 2" xfId="29061" xr:uid="{00000000-0005-0000-0000-00008C710000}"/>
    <cellStyle name="Style 1 4" xfId="29062" xr:uid="{00000000-0005-0000-0000-00008D710000}"/>
    <cellStyle name="Style 1 4 2" xfId="29063" xr:uid="{00000000-0005-0000-0000-00008E710000}"/>
    <cellStyle name="Style 1 40" xfId="29064" xr:uid="{00000000-0005-0000-0000-00008F710000}"/>
    <cellStyle name="Style 1 40 2" xfId="29065" xr:uid="{00000000-0005-0000-0000-000090710000}"/>
    <cellStyle name="Style 1 41" xfId="29066" xr:uid="{00000000-0005-0000-0000-000091710000}"/>
    <cellStyle name="Style 1 41 2" xfId="29067" xr:uid="{00000000-0005-0000-0000-000092710000}"/>
    <cellStyle name="Style 1 42" xfId="29068" xr:uid="{00000000-0005-0000-0000-000093710000}"/>
    <cellStyle name="Style 1 42 2" xfId="29069" xr:uid="{00000000-0005-0000-0000-000094710000}"/>
    <cellStyle name="Style 1 43" xfId="29070" xr:uid="{00000000-0005-0000-0000-000095710000}"/>
    <cellStyle name="Style 1 43 2" xfId="29071" xr:uid="{00000000-0005-0000-0000-000096710000}"/>
    <cellStyle name="Style 1 44" xfId="29072" xr:uid="{00000000-0005-0000-0000-000097710000}"/>
    <cellStyle name="Style 1 44 2" xfId="29073" xr:uid="{00000000-0005-0000-0000-000098710000}"/>
    <cellStyle name="Style 1 45" xfId="29074" xr:uid="{00000000-0005-0000-0000-000099710000}"/>
    <cellStyle name="Style 1 45 2" xfId="29075" xr:uid="{00000000-0005-0000-0000-00009A710000}"/>
    <cellStyle name="Style 1 46" xfId="29076" xr:uid="{00000000-0005-0000-0000-00009B710000}"/>
    <cellStyle name="Style 1 46 2" xfId="29077" xr:uid="{00000000-0005-0000-0000-00009C710000}"/>
    <cellStyle name="Style 1 47" xfId="29078" xr:uid="{00000000-0005-0000-0000-00009D710000}"/>
    <cellStyle name="Style 1 47 2" xfId="29079" xr:uid="{00000000-0005-0000-0000-00009E710000}"/>
    <cellStyle name="Style 1 48" xfId="29080" xr:uid="{00000000-0005-0000-0000-00009F710000}"/>
    <cellStyle name="Style 1 48 2" xfId="29081" xr:uid="{00000000-0005-0000-0000-0000A0710000}"/>
    <cellStyle name="Style 1 49" xfId="29082" xr:uid="{00000000-0005-0000-0000-0000A1710000}"/>
    <cellStyle name="Style 1 49 2" xfId="29083" xr:uid="{00000000-0005-0000-0000-0000A2710000}"/>
    <cellStyle name="Style 1 5" xfId="29084" xr:uid="{00000000-0005-0000-0000-0000A3710000}"/>
    <cellStyle name="Style 1 5 2" xfId="29085" xr:uid="{00000000-0005-0000-0000-0000A4710000}"/>
    <cellStyle name="Style 1 50" xfId="29086" xr:uid="{00000000-0005-0000-0000-0000A5710000}"/>
    <cellStyle name="Style 1 50 2" xfId="29087" xr:uid="{00000000-0005-0000-0000-0000A6710000}"/>
    <cellStyle name="Style 1 51" xfId="29088" xr:uid="{00000000-0005-0000-0000-0000A7710000}"/>
    <cellStyle name="Style 1 51 2" xfId="29089" xr:uid="{00000000-0005-0000-0000-0000A8710000}"/>
    <cellStyle name="Style 1 52" xfId="29090" xr:uid="{00000000-0005-0000-0000-0000A9710000}"/>
    <cellStyle name="Style 1 52 2" xfId="29091" xr:uid="{00000000-0005-0000-0000-0000AA710000}"/>
    <cellStyle name="Style 1 53" xfId="29092" xr:uid="{00000000-0005-0000-0000-0000AB710000}"/>
    <cellStyle name="Style 1 53 2" xfId="29093" xr:uid="{00000000-0005-0000-0000-0000AC710000}"/>
    <cellStyle name="Style 1 54" xfId="29094" xr:uid="{00000000-0005-0000-0000-0000AD710000}"/>
    <cellStyle name="Style 1 54 2" xfId="29095" xr:uid="{00000000-0005-0000-0000-0000AE710000}"/>
    <cellStyle name="Style 1 55" xfId="29096" xr:uid="{00000000-0005-0000-0000-0000AF710000}"/>
    <cellStyle name="Style 1 55 2" xfId="29097" xr:uid="{00000000-0005-0000-0000-0000B0710000}"/>
    <cellStyle name="Style 1 56" xfId="29098" xr:uid="{00000000-0005-0000-0000-0000B1710000}"/>
    <cellStyle name="Style 1 56 2" xfId="29099" xr:uid="{00000000-0005-0000-0000-0000B2710000}"/>
    <cellStyle name="Style 1 57" xfId="29100" xr:uid="{00000000-0005-0000-0000-0000B3710000}"/>
    <cellStyle name="Style 1 57 2" xfId="29101" xr:uid="{00000000-0005-0000-0000-0000B4710000}"/>
    <cellStyle name="Style 1 58" xfId="29102" xr:uid="{00000000-0005-0000-0000-0000B5710000}"/>
    <cellStyle name="Style 1 58 2" xfId="29103" xr:uid="{00000000-0005-0000-0000-0000B6710000}"/>
    <cellStyle name="Style 1 59" xfId="29104" xr:uid="{00000000-0005-0000-0000-0000B7710000}"/>
    <cellStyle name="Style 1 59 2" xfId="29105" xr:uid="{00000000-0005-0000-0000-0000B8710000}"/>
    <cellStyle name="Style 1 6" xfId="29106" xr:uid="{00000000-0005-0000-0000-0000B9710000}"/>
    <cellStyle name="Style 1 6 2" xfId="29107" xr:uid="{00000000-0005-0000-0000-0000BA710000}"/>
    <cellStyle name="Style 1 60" xfId="29108" xr:uid="{00000000-0005-0000-0000-0000BB710000}"/>
    <cellStyle name="Style 1 60 2" xfId="29109" xr:uid="{00000000-0005-0000-0000-0000BC710000}"/>
    <cellStyle name="Style 1 61" xfId="29110" xr:uid="{00000000-0005-0000-0000-0000BD710000}"/>
    <cellStyle name="Style 1 61 2" xfId="29111" xr:uid="{00000000-0005-0000-0000-0000BE710000}"/>
    <cellStyle name="Style 1 62" xfId="29112" xr:uid="{00000000-0005-0000-0000-0000BF710000}"/>
    <cellStyle name="Style 1 62 2" xfId="29113" xr:uid="{00000000-0005-0000-0000-0000C0710000}"/>
    <cellStyle name="Style 1 63" xfId="29114" xr:uid="{00000000-0005-0000-0000-0000C1710000}"/>
    <cellStyle name="Style 1 63 2" xfId="29115" xr:uid="{00000000-0005-0000-0000-0000C2710000}"/>
    <cellStyle name="Style 1 64" xfId="29116" xr:uid="{00000000-0005-0000-0000-0000C3710000}"/>
    <cellStyle name="Style 1 64 2" xfId="29117" xr:uid="{00000000-0005-0000-0000-0000C4710000}"/>
    <cellStyle name="Style 1 65" xfId="29118" xr:uid="{00000000-0005-0000-0000-0000C5710000}"/>
    <cellStyle name="Style 1 65 2" xfId="29119" xr:uid="{00000000-0005-0000-0000-0000C6710000}"/>
    <cellStyle name="Style 1 66" xfId="29120" xr:uid="{00000000-0005-0000-0000-0000C7710000}"/>
    <cellStyle name="Style 1 66 2" xfId="29121" xr:uid="{00000000-0005-0000-0000-0000C8710000}"/>
    <cellStyle name="Style 1 67" xfId="29122" xr:uid="{00000000-0005-0000-0000-0000C9710000}"/>
    <cellStyle name="Style 1 67 2" xfId="29123" xr:uid="{00000000-0005-0000-0000-0000CA710000}"/>
    <cellStyle name="Style 1 68" xfId="29124" xr:uid="{00000000-0005-0000-0000-0000CB710000}"/>
    <cellStyle name="Style 1 68 2" xfId="29125" xr:uid="{00000000-0005-0000-0000-0000CC710000}"/>
    <cellStyle name="Style 1 69" xfId="29126" xr:uid="{00000000-0005-0000-0000-0000CD710000}"/>
    <cellStyle name="Style 1 69 2" xfId="29127" xr:uid="{00000000-0005-0000-0000-0000CE710000}"/>
    <cellStyle name="Style 1 7" xfId="29128" xr:uid="{00000000-0005-0000-0000-0000CF710000}"/>
    <cellStyle name="Style 1 7 2" xfId="29129" xr:uid="{00000000-0005-0000-0000-0000D0710000}"/>
    <cellStyle name="Style 1 70" xfId="29130" xr:uid="{00000000-0005-0000-0000-0000D1710000}"/>
    <cellStyle name="Style 1 70 2" xfId="29131" xr:uid="{00000000-0005-0000-0000-0000D2710000}"/>
    <cellStyle name="Style 1 8" xfId="29132" xr:uid="{00000000-0005-0000-0000-0000D3710000}"/>
    <cellStyle name="Style 1 8 2" xfId="29133" xr:uid="{00000000-0005-0000-0000-0000D4710000}"/>
    <cellStyle name="Style 1 9" xfId="29134" xr:uid="{00000000-0005-0000-0000-0000D5710000}"/>
    <cellStyle name="Style 1 9 2" xfId="29135" xr:uid="{00000000-0005-0000-0000-0000D6710000}"/>
    <cellStyle name="Style 1_20100303 Annex 27 Part 2.1b Prices Serbia and Hungary, Core  20100410 V2.0" xfId="29136" xr:uid="{00000000-0005-0000-0000-0000D7710000}"/>
    <cellStyle name="Style 2" xfId="29137" xr:uid="{00000000-0005-0000-0000-0000D8710000}"/>
    <cellStyle name="Style 2 2" xfId="29138" xr:uid="{00000000-0005-0000-0000-0000D9710000}"/>
    <cellStyle name="Style 2 2 2" xfId="29139" xr:uid="{00000000-0005-0000-0000-0000DA710000}"/>
    <cellStyle name="Style 2 3" xfId="29140" xr:uid="{00000000-0005-0000-0000-0000DB710000}"/>
    <cellStyle name="Style 3" xfId="29141" xr:uid="{00000000-0005-0000-0000-0000DC710000}"/>
    <cellStyle name="Style 3 2" xfId="29142" xr:uid="{00000000-0005-0000-0000-0000DD710000}"/>
    <cellStyle name="Style 3 2 2" xfId="29143" xr:uid="{00000000-0005-0000-0000-0000DE710000}"/>
    <cellStyle name="Style 3 3" xfId="29144" xr:uid="{00000000-0005-0000-0000-0000DF710000}"/>
    <cellStyle name="Style 3 3 2" xfId="29145" xr:uid="{00000000-0005-0000-0000-0000E0710000}"/>
    <cellStyle name="Style 3 4" xfId="29146" xr:uid="{00000000-0005-0000-0000-0000E1710000}"/>
    <cellStyle name="subhead" xfId="29233" xr:uid="{00000000-0005-0000-0000-0000E2710000}"/>
    <cellStyle name="subhead 2" xfId="29234" xr:uid="{00000000-0005-0000-0000-0000E3710000}"/>
    <cellStyle name="subhead 2 2" xfId="29235" xr:uid="{00000000-0005-0000-0000-0000E4710000}"/>
    <cellStyle name="subhead 3" xfId="29236" xr:uid="{00000000-0005-0000-0000-0000E5710000}"/>
    <cellStyle name="Sub-heading" xfId="29147" xr:uid="{00000000-0005-0000-0000-0000E6710000}"/>
    <cellStyle name="Sub-heading 2" xfId="29148" xr:uid="{00000000-0005-0000-0000-0000E7710000}"/>
    <cellStyle name="Sub-heading 2 2" xfId="29149" xr:uid="{00000000-0005-0000-0000-0000E8710000}"/>
    <cellStyle name="Sub-heading 3" xfId="29150" xr:uid="{00000000-0005-0000-0000-0000E9710000}"/>
    <cellStyle name="SUBSC98" xfId="29237" xr:uid="{00000000-0005-0000-0000-0000EA710000}"/>
    <cellStyle name="Sub-total row" xfId="29151" xr:uid="{00000000-0005-0000-0000-0000EB710000}"/>
    <cellStyle name="Sub-total row 10" xfId="29152" xr:uid="{00000000-0005-0000-0000-0000EC710000}"/>
    <cellStyle name="Sub-total row 10 2" xfId="29153" xr:uid="{00000000-0005-0000-0000-0000ED710000}"/>
    <cellStyle name="Sub-total row 11" xfId="29154" xr:uid="{00000000-0005-0000-0000-0000EE710000}"/>
    <cellStyle name="Sub-total row 2" xfId="29155" xr:uid="{00000000-0005-0000-0000-0000EF710000}"/>
    <cellStyle name="Sub-total row 2 10" xfId="29156" xr:uid="{00000000-0005-0000-0000-0000F0710000}"/>
    <cellStyle name="Sub-total row 2 11" xfId="29157" xr:uid="{00000000-0005-0000-0000-0000F1710000}"/>
    <cellStyle name="Sub-total row 2 12" xfId="29158" xr:uid="{00000000-0005-0000-0000-0000F2710000}"/>
    <cellStyle name="Sub-total row 2 13" xfId="29159" xr:uid="{00000000-0005-0000-0000-0000F3710000}"/>
    <cellStyle name="Sub-total row 2 14" xfId="29160" xr:uid="{00000000-0005-0000-0000-0000F4710000}"/>
    <cellStyle name="Sub-total row 2 15" xfId="29161" xr:uid="{00000000-0005-0000-0000-0000F5710000}"/>
    <cellStyle name="Sub-total row 2 16" xfId="29162" xr:uid="{00000000-0005-0000-0000-0000F6710000}"/>
    <cellStyle name="Sub-total row 2 17" xfId="29163" xr:uid="{00000000-0005-0000-0000-0000F7710000}"/>
    <cellStyle name="Sub-total row 2 18" xfId="29164" xr:uid="{00000000-0005-0000-0000-0000F8710000}"/>
    <cellStyle name="Sub-total row 2 19" xfId="29165" xr:uid="{00000000-0005-0000-0000-0000F9710000}"/>
    <cellStyle name="Sub-total row 2 2" xfId="29166" xr:uid="{00000000-0005-0000-0000-0000FA710000}"/>
    <cellStyle name="Sub-total row 2 2 2" xfId="29167" xr:uid="{00000000-0005-0000-0000-0000FB710000}"/>
    <cellStyle name="Sub-total row 2 2 2 2" xfId="29168" xr:uid="{00000000-0005-0000-0000-0000FC710000}"/>
    <cellStyle name="Sub-total row 2 2 2 3" xfId="29169" xr:uid="{00000000-0005-0000-0000-0000FD710000}"/>
    <cellStyle name="Sub-total row 2 2 2 4" xfId="29170" xr:uid="{00000000-0005-0000-0000-0000FE710000}"/>
    <cellStyle name="Sub-total row 2 2 3" xfId="29171" xr:uid="{00000000-0005-0000-0000-0000FF710000}"/>
    <cellStyle name="Sub-total row 2 2 3 2" xfId="29172" xr:uid="{00000000-0005-0000-0000-000000720000}"/>
    <cellStyle name="Sub-total row 2 2 3 3" xfId="29173" xr:uid="{00000000-0005-0000-0000-000001720000}"/>
    <cellStyle name="Sub-total row 2 2 3 4" xfId="29174" xr:uid="{00000000-0005-0000-0000-000002720000}"/>
    <cellStyle name="Sub-total row 2 2 4" xfId="29175" xr:uid="{00000000-0005-0000-0000-000003720000}"/>
    <cellStyle name="Sub-total row 2 2 5" xfId="29176" xr:uid="{00000000-0005-0000-0000-000004720000}"/>
    <cellStyle name="Sub-total row 2 2 6" xfId="29177" xr:uid="{00000000-0005-0000-0000-000005720000}"/>
    <cellStyle name="Sub-total row 2 3" xfId="29178" xr:uid="{00000000-0005-0000-0000-000006720000}"/>
    <cellStyle name="Sub-total row 2 3 2" xfId="29179" xr:uid="{00000000-0005-0000-0000-000007720000}"/>
    <cellStyle name="Sub-total row 2 3 2 2" xfId="29180" xr:uid="{00000000-0005-0000-0000-000008720000}"/>
    <cellStyle name="Sub-total row 2 3 2 3" xfId="29181" xr:uid="{00000000-0005-0000-0000-000009720000}"/>
    <cellStyle name="Sub-total row 2 3 2 4" xfId="29182" xr:uid="{00000000-0005-0000-0000-00000A720000}"/>
    <cellStyle name="Sub-total row 2 3 3" xfId="29183" xr:uid="{00000000-0005-0000-0000-00000B720000}"/>
    <cellStyle name="Sub-total row 2 3 3 2" xfId="29184" xr:uid="{00000000-0005-0000-0000-00000C720000}"/>
    <cellStyle name="Sub-total row 2 3 3 3" xfId="29185" xr:uid="{00000000-0005-0000-0000-00000D720000}"/>
    <cellStyle name="Sub-total row 2 3 3 4" xfId="29186" xr:uid="{00000000-0005-0000-0000-00000E720000}"/>
    <cellStyle name="Sub-total row 2 3 4" xfId="29187" xr:uid="{00000000-0005-0000-0000-00000F720000}"/>
    <cellStyle name="Sub-total row 2 3 5" xfId="29188" xr:uid="{00000000-0005-0000-0000-000010720000}"/>
    <cellStyle name="Sub-total row 2 3 6" xfId="29189" xr:uid="{00000000-0005-0000-0000-000011720000}"/>
    <cellStyle name="Sub-total row 2 4" xfId="29190" xr:uid="{00000000-0005-0000-0000-000012720000}"/>
    <cellStyle name="Sub-total row 2 4 2" xfId="29191" xr:uid="{00000000-0005-0000-0000-000013720000}"/>
    <cellStyle name="Sub-total row 2 4 3" xfId="29192" xr:uid="{00000000-0005-0000-0000-000014720000}"/>
    <cellStyle name="Sub-total row 2 4 4" xfId="29193" xr:uid="{00000000-0005-0000-0000-000015720000}"/>
    <cellStyle name="Sub-total row 2 5" xfId="29194" xr:uid="{00000000-0005-0000-0000-000016720000}"/>
    <cellStyle name="Sub-total row 2 6" xfId="29195" xr:uid="{00000000-0005-0000-0000-000017720000}"/>
    <cellStyle name="Sub-total row 2 7" xfId="29196" xr:uid="{00000000-0005-0000-0000-000018720000}"/>
    <cellStyle name="Sub-total row 2 8" xfId="29197" xr:uid="{00000000-0005-0000-0000-000019720000}"/>
    <cellStyle name="Sub-total row 2 9" xfId="29198" xr:uid="{00000000-0005-0000-0000-00001A720000}"/>
    <cellStyle name="Sub-total row 3" xfId="29199" xr:uid="{00000000-0005-0000-0000-00001B720000}"/>
    <cellStyle name="Sub-total row 3 2" xfId="29200" xr:uid="{00000000-0005-0000-0000-00001C720000}"/>
    <cellStyle name="Sub-total row 3 2 2" xfId="29201" xr:uid="{00000000-0005-0000-0000-00001D720000}"/>
    <cellStyle name="Sub-total row 3 2 3" xfId="29202" xr:uid="{00000000-0005-0000-0000-00001E720000}"/>
    <cellStyle name="Sub-total row 3 2 4" xfId="29203" xr:uid="{00000000-0005-0000-0000-00001F720000}"/>
    <cellStyle name="Sub-total row 3 3" xfId="29204" xr:uid="{00000000-0005-0000-0000-000020720000}"/>
    <cellStyle name="Sub-total row 3 3 2" xfId="29205" xr:uid="{00000000-0005-0000-0000-000021720000}"/>
    <cellStyle name="Sub-total row 3 3 3" xfId="29206" xr:uid="{00000000-0005-0000-0000-000022720000}"/>
    <cellStyle name="Sub-total row 3 3 4" xfId="29207" xr:uid="{00000000-0005-0000-0000-000023720000}"/>
    <cellStyle name="Sub-total row 3 4" xfId="29208" xr:uid="{00000000-0005-0000-0000-000024720000}"/>
    <cellStyle name="Sub-total row 3 5" xfId="29209" xr:uid="{00000000-0005-0000-0000-000025720000}"/>
    <cellStyle name="Sub-total row 3 6" xfId="29210" xr:uid="{00000000-0005-0000-0000-000026720000}"/>
    <cellStyle name="Sub-total row 4" xfId="29211" xr:uid="{00000000-0005-0000-0000-000027720000}"/>
    <cellStyle name="Sub-total row 4 2" xfId="29212" xr:uid="{00000000-0005-0000-0000-000028720000}"/>
    <cellStyle name="Sub-total row 4 2 2" xfId="29213" xr:uid="{00000000-0005-0000-0000-000029720000}"/>
    <cellStyle name="Sub-total row 4 2 3" xfId="29214" xr:uid="{00000000-0005-0000-0000-00002A720000}"/>
    <cellStyle name="Sub-total row 4 2 4" xfId="29215" xr:uid="{00000000-0005-0000-0000-00002B720000}"/>
    <cellStyle name="Sub-total row 4 3" xfId="29216" xr:uid="{00000000-0005-0000-0000-00002C720000}"/>
    <cellStyle name="Sub-total row 4 3 2" xfId="29217" xr:uid="{00000000-0005-0000-0000-00002D720000}"/>
    <cellStyle name="Sub-total row 4 3 3" xfId="29218" xr:uid="{00000000-0005-0000-0000-00002E720000}"/>
    <cellStyle name="Sub-total row 4 3 4" xfId="29219" xr:uid="{00000000-0005-0000-0000-00002F720000}"/>
    <cellStyle name="Sub-total row 4 4" xfId="29220" xr:uid="{00000000-0005-0000-0000-000030720000}"/>
    <cellStyle name="Sub-total row 4 5" xfId="29221" xr:uid="{00000000-0005-0000-0000-000031720000}"/>
    <cellStyle name="Sub-total row 4 6" xfId="29222" xr:uid="{00000000-0005-0000-0000-000032720000}"/>
    <cellStyle name="Sub-total row 5" xfId="29223" xr:uid="{00000000-0005-0000-0000-000033720000}"/>
    <cellStyle name="Sub-total row 5 2" xfId="29224" xr:uid="{00000000-0005-0000-0000-000034720000}"/>
    <cellStyle name="Sub-total row 6" xfId="29225" xr:uid="{00000000-0005-0000-0000-000035720000}"/>
    <cellStyle name="Sub-total row 6 2" xfId="29226" xr:uid="{00000000-0005-0000-0000-000036720000}"/>
    <cellStyle name="Sub-total row 7" xfId="29227" xr:uid="{00000000-0005-0000-0000-000037720000}"/>
    <cellStyle name="Sub-total row 7 2" xfId="29228" xr:uid="{00000000-0005-0000-0000-000038720000}"/>
    <cellStyle name="Sub-total row 8" xfId="29229" xr:uid="{00000000-0005-0000-0000-000039720000}"/>
    <cellStyle name="Sub-total row 8 2" xfId="29230" xr:uid="{00000000-0005-0000-0000-00003A720000}"/>
    <cellStyle name="Sub-total row 9" xfId="29231" xr:uid="{00000000-0005-0000-0000-00003B720000}"/>
    <cellStyle name="Sub-total row 9 2" xfId="29232" xr:uid="{00000000-0005-0000-0000-00003C720000}"/>
    <cellStyle name="Sum" xfId="29238" xr:uid="{00000000-0005-0000-0000-00003D720000}"/>
    <cellStyle name="Sum 2" xfId="29239" xr:uid="{00000000-0005-0000-0000-00003E720000}"/>
    <cellStyle name="Sum 2 2" xfId="29240" xr:uid="{00000000-0005-0000-0000-00003F720000}"/>
    <cellStyle name="Sum 2 2 2" xfId="29241" xr:uid="{00000000-0005-0000-0000-000040720000}"/>
    <cellStyle name="Sum 2 3" xfId="29242" xr:uid="{00000000-0005-0000-0000-000041720000}"/>
    <cellStyle name="Sum 3" xfId="29243" xr:uid="{00000000-0005-0000-0000-000042720000}"/>
    <cellStyle name="Sum 3 2" xfId="29244" xr:uid="{00000000-0005-0000-0000-000043720000}"/>
    <cellStyle name="Sum 4" xfId="29245" xr:uid="{00000000-0005-0000-0000-000044720000}"/>
    <cellStyle name="Sum 4 2" xfId="29246" xr:uid="{00000000-0005-0000-0000-000045720000}"/>
    <cellStyle name="Sum 5" xfId="29247" xr:uid="{00000000-0005-0000-0000-000046720000}"/>
    <cellStyle name="Sum 5 2" xfId="29248" xr:uid="{00000000-0005-0000-0000-000047720000}"/>
    <cellStyle name="Sum 6" xfId="29249" xr:uid="{00000000-0005-0000-0000-000048720000}"/>
    <cellStyle name="Sum 6 2" xfId="29250" xr:uid="{00000000-0005-0000-0000-000049720000}"/>
    <cellStyle name="Sum 7" xfId="29251" xr:uid="{00000000-0005-0000-0000-00004A720000}"/>
    <cellStyle name="Sum 7 2" xfId="29252" xr:uid="{00000000-0005-0000-0000-00004B720000}"/>
    <cellStyle name="Sum 8" xfId="29253" xr:uid="{00000000-0005-0000-0000-00004C720000}"/>
    <cellStyle name="Table" xfId="29254" xr:uid="{00000000-0005-0000-0000-00004D720000}"/>
    <cellStyle name="Table 10" xfId="29255" xr:uid="{00000000-0005-0000-0000-00004E720000}"/>
    <cellStyle name="Table 11" xfId="29256" xr:uid="{00000000-0005-0000-0000-00004F720000}"/>
    <cellStyle name="Table 12" xfId="29257" xr:uid="{00000000-0005-0000-0000-000050720000}"/>
    <cellStyle name="Table 13" xfId="29258" xr:uid="{00000000-0005-0000-0000-000051720000}"/>
    <cellStyle name="Table 14" xfId="29259" xr:uid="{00000000-0005-0000-0000-000052720000}"/>
    <cellStyle name="Table 15" xfId="29260" xr:uid="{00000000-0005-0000-0000-000053720000}"/>
    <cellStyle name="Table 16" xfId="29261" xr:uid="{00000000-0005-0000-0000-000054720000}"/>
    <cellStyle name="Table 17" xfId="29262" xr:uid="{00000000-0005-0000-0000-000055720000}"/>
    <cellStyle name="Table 18" xfId="29263" xr:uid="{00000000-0005-0000-0000-000056720000}"/>
    <cellStyle name="Table 19" xfId="29264" xr:uid="{00000000-0005-0000-0000-000057720000}"/>
    <cellStyle name="Table 2" xfId="29265" xr:uid="{00000000-0005-0000-0000-000058720000}"/>
    <cellStyle name="Table 2 10" xfId="29266" xr:uid="{00000000-0005-0000-0000-000059720000}"/>
    <cellStyle name="Table 2 11" xfId="29267" xr:uid="{00000000-0005-0000-0000-00005A720000}"/>
    <cellStyle name="Table 2 12" xfId="29268" xr:uid="{00000000-0005-0000-0000-00005B720000}"/>
    <cellStyle name="Table 2 13" xfId="29269" xr:uid="{00000000-0005-0000-0000-00005C720000}"/>
    <cellStyle name="Table 2 14" xfId="29270" xr:uid="{00000000-0005-0000-0000-00005D720000}"/>
    <cellStyle name="Table 2 15" xfId="29271" xr:uid="{00000000-0005-0000-0000-00005E720000}"/>
    <cellStyle name="Table 2 16" xfId="29272" xr:uid="{00000000-0005-0000-0000-00005F720000}"/>
    <cellStyle name="Table 2 17" xfId="29273" xr:uid="{00000000-0005-0000-0000-000060720000}"/>
    <cellStyle name="Table 2 18" xfId="29274" xr:uid="{00000000-0005-0000-0000-000061720000}"/>
    <cellStyle name="Table 2 19" xfId="29275" xr:uid="{00000000-0005-0000-0000-000062720000}"/>
    <cellStyle name="Table 2 2" xfId="29276" xr:uid="{00000000-0005-0000-0000-000063720000}"/>
    <cellStyle name="Table 2 2 2" xfId="29277" xr:uid="{00000000-0005-0000-0000-000064720000}"/>
    <cellStyle name="Table 2 2 3" xfId="29278" xr:uid="{00000000-0005-0000-0000-000065720000}"/>
    <cellStyle name="Table 2 20" xfId="29279" xr:uid="{00000000-0005-0000-0000-000066720000}"/>
    <cellStyle name="Table 2 21" xfId="29280" xr:uid="{00000000-0005-0000-0000-000067720000}"/>
    <cellStyle name="Table 2 22" xfId="29281" xr:uid="{00000000-0005-0000-0000-000068720000}"/>
    <cellStyle name="Table 2 23" xfId="29282" xr:uid="{00000000-0005-0000-0000-000069720000}"/>
    <cellStyle name="Table 2 24" xfId="29283" xr:uid="{00000000-0005-0000-0000-00006A720000}"/>
    <cellStyle name="Table 2 25" xfId="29284" xr:uid="{00000000-0005-0000-0000-00006B720000}"/>
    <cellStyle name="Table 2 26" xfId="29285" xr:uid="{00000000-0005-0000-0000-00006C720000}"/>
    <cellStyle name="Table 2 27" xfId="29286" xr:uid="{00000000-0005-0000-0000-00006D720000}"/>
    <cellStyle name="Table 2 28" xfId="29287" xr:uid="{00000000-0005-0000-0000-00006E720000}"/>
    <cellStyle name="Table 2 29" xfId="29288" xr:uid="{00000000-0005-0000-0000-00006F720000}"/>
    <cellStyle name="Table 2 3" xfId="29289" xr:uid="{00000000-0005-0000-0000-000070720000}"/>
    <cellStyle name="Table 2 30" xfId="29290" xr:uid="{00000000-0005-0000-0000-000071720000}"/>
    <cellStyle name="Table 2 31" xfId="29291" xr:uid="{00000000-0005-0000-0000-000072720000}"/>
    <cellStyle name="Table 2 32" xfId="29292" xr:uid="{00000000-0005-0000-0000-000073720000}"/>
    <cellStyle name="Table 2 33" xfId="29293" xr:uid="{00000000-0005-0000-0000-000074720000}"/>
    <cellStyle name="Table 2 34" xfId="29294" xr:uid="{00000000-0005-0000-0000-000075720000}"/>
    <cellStyle name="Table 2 35" xfId="29295" xr:uid="{00000000-0005-0000-0000-000076720000}"/>
    <cellStyle name="Table 2 36" xfId="29296" xr:uid="{00000000-0005-0000-0000-000077720000}"/>
    <cellStyle name="Table 2 4" xfId="29297" xr:uid="{00000000-0005-0000-0000-000078720000}"/>
    <cellStyle name="Table 2 5" xfId="29298" xr:uid="{00000000-0005-0000-0000-000079720000}"/>
    <cellStyle name="Table 2 6" xfId="29299" xr:uid="{00000000-0005-0000-0000-00007A720000}"/>
    <cellStyle name="Table 2 7" xfId="29300" xr:uid="{00000000-0005-0000-0000-00007B720000}"/>
    <cellStyle name="Table 2 8" xfId="29301" xr:uid="{00000000-0005-0000-0000-00007C720000}"/>
    <cellStyle name="Table 2 9" xfId="29302" xr:uid="{00000000-0005-0000-0000-00007D720000}"/>
    <cellStyle name="Table 20" xfId="29303" xr:uid="{00000000-0005-0000-0000-00007E720000}"/>
    <cellStyle name="Table 21" xfId="29304" xr:uid="{00000000-0005-0000-0000-00007F720000}"/>
    <cellStyle name="Table 22" xfId="29305" xr:uid="{00000000-0005-0000-0000-000080720000}"/>
    <cellStyle name="Table 23" xfId="29306" xr:uid="{00000000-0005-0000-0000-000081720000}"/>
    <cellStyle name="Table 24" xfId="29307" xr:uid="{00000000-0005-0000-0000-000082720000}"/>
    <cellStyle name="Table 25" xfId="29308" xr:uid="{00000000-0005-0000-0000-000083720000}"/>
    <cellStyle name="Table 26" xfId="29309" xr:uid="{00000000-0005-0000-0000-000084720000}"/>
    <cellStyle name="Table 27" xfId="29310" xr:uid="{00000000-0005-0000-0000-000085720000}"/>
    <cellStyle name="Table 28" xfId="29311" xr:uid="{00000000-0005-0000-0000-000086720000}"/>
    <cellStyle name="Table 29" xfId="29312" xr:uid="{00000000-0005-0000-0000-000087720000}"/>
    <cellStyle name="Table 3" xfId="29313" xr:uid="{00000000-0005-0000-0000-000088720000}"/>
    <cellStyle name="Table 3 2" xfId="29314" xr:uid="{00000000-0005-0000-0000-000089720000}"/>
    <cellStyle name="Table 3 2 2" xfId="29315" xr:uid="{00000000-0005-0000-0000-00008A720000}"/>
    <cellStyle name="Table 3 2 3" xfId="29316" xr:uid="{00000000-0005-0000-0000-00008B720000}"/>
    <cellStyle name="Table 3 3" xfId="29317" xr:uid="{00000000-0005-0000-0000-00008C720000}"/>
    <cellStyle name="Table 3 3 2" xfId="29318" xr:uid="{00000000-0005-0000-0000-00008D720000}"/>
    <cellStyle name="Table 3 3 3" xfId="29319" xr:uid="{00000000-0005-0000-0000-00008E720000}"/>
    <cellStyle name="Table 3 4" xfId="29320" xr:uid="{00000000-0005-0000-0000-00008F720000}"/>
    <cellStyle name="Table 3 5" xfId="29321" xr:uid="{00000000-0005-0000-0000-000090720000}"/>
    <cellStyle name="Table 30" xfId="29322" xr:uid="{00000000-0005-0000-0000-000091720000}"/>
    <cellStyle name="Table 31" xfId="29323" xr:uid="{00000000-0005-0000-0000-000092720000}"/>
    <cellStyle name="Table 32" xfId="29324" xr:uid="{00000000-0005-0000-0000-000093720000}"/>
    <cellStyle name="Table 33" xfId="29325" xr:uid="{00000000-0005-0000-0000-000094720000}"/>
    <cellStyle name="Table 34" xfId="29326" xr:uid="{00000000-0005-0000-0000-000095720000}"/>
    <cellStyle name="Table 35" xfId="29327" xr:uid="{00000000-0005-0000-0000-000096720000}"/>
    <cellStyle name="Table 36" xfId="29328" xr:uid="{00000000-0005-0000-0000-000097720000}"/>
    <cellStyle name="Table 4" xfId="29329" xr:uid="{00000000-0005-0000-0000-000098720000}"/>
    <cellStyle name="Table 4 2" xfId="29330" xr:uid="{00000000-0005-0000-0000-000099720000}"/>
    <cellStyle name="Table 4 2 2" xfId="29331" xr:uid="{00000000-0005-0000-0000-00009A720000}"/>
    <cellStyle name="Table 4 2 3" xfId="29332" xr:uid="{00000000-0005-0000-0000-00009B720000}"/>
    <cellStyle name="Table 4 3" xfId="29333" xr:uid="{00000000-0005-0000-0000-00009C720000}"/>
    <cellStyle name="Table 4 3 2" xfId="29334" xr:uid="{00000000-0005-0000-0000-00009D720000}"/>
    <cellStyle name="Table 4 3 3" xfId="29335" xr:uid="{00000000-0005-0000-0000-00009E720000}"/>
    <cellStyle name="Table 4 4" xfId="29336" xr:uid="{00000000-0005-0000-0000-00009F720000}"/>
    <cellStyle name="Table 4 5" xfId="29337" xr:uid="{00000000-0005-0000-0000-0000A0720000}"/>
    <cellStyle name="Table 5" xfId="29338" xr:uid="{00000000-0005-0000-0000-0000A1720000}"/>
    <cellStyle name="Table 5 2" xfId="29339" xr:uid="{00000000-0005-0000-0000-0000A2720000}"/>
    <cellStyle name="Table 5 3" xfId="29340" xr:uid="{00000000-0005-0000-0000-0000A3720000}"/>
    <cellStyle name="Table 6" xfId="29341" xr:uid="{00000000-0005-0000-0000-0000A4720000}"/>
    <cellStyle name="Table 7" xfId="29342" xr:uid="{00000000-0005-0000-0000-0000A5720000}"/>
    <cellStyle name="Table 8" xfId="29343" xr:uid="{00000000-0005-0000-0000-0000A6720000}"/>
    <cellStyle name="Table 9" xfId="29344" xr:uid="{00000000-0005-0000-0000-0000A7720000}"/>
    <cellStyle name="Table finish row" xfId="29345" xr:uid="{00000000-0005-0000-0000-0000A8720000}"/>
    <cellStyle name="Table finish row 10" xfId="29346" xr:uid="{00000000-0005-0000-0000-0000A9720000}"/>
    <cellStyle name="Table finish row 10 2" xfId="29347" xr:uid="{00000000-0005-0000-0000-0000AA720000}"/>
    <cellStyle name="Table finish row 11" xfId="29348" xr:uid="{00000000-0005-0000-0000-0000AB720000}"/>
    <cellStyle name="Table finish row 2" xfId="29349" xr:uid="{00000000-0005-0000-0000-0000AC720000}"/>
    <cellStyle name="Table finish row 2 10" xfId="29350" xr:uid="{00000000-0005-0000-0000-0000AD720000}"/>
    <cellStyle name="Table finish row 2 11" xfId="29351" xr:uid="{00000000-0005-0000-0000-0000AE720000}"/>
    <cellStyle name="Table finish row 2 12" xfId="29352" xr:uid="{00000000-0005-0000-0000-0000AF720000}"/>
    <cellStyle name="Table finish row 2 13" xfId="29353" xr:uid="{00000000-0005-0000-0000-0000B0720000}"/>
    <cellStyle name="Table finish row 2 14" xfId="29354" xr:uid="{00000000-0005-0000-0000-0000B1720000}"/>
    <cellStyle name="Table finish row 2 15" xfId="29355" xr:uid="{00000000-0005-0000-0000-0000B2720000}"/>
    <cellStyle name="Table finish row 2 16" xfId="29356" xr:uid="{00000000-0005-0000-0000-0000B3720000}"/>
    <cellStyle name="Table finish row 2 17" xfId="29357" xr:uid="{00000000-0005-0000-0000-0000B4720000}"/>
    <cellStyle name="Table finish row 2 18" xfId="29358" xr:uid="{00000000-0005-0000-0000-0000B5720000}"/>
    <cellStyle name="Table finish row 2 19" xfId="29359" xr:uid="{00000000-0005-0000-0000-0000B6720000}"/>
    <cellStyle name="Table finish row 2 2" xfId="29360" xr:uid="{00000000-0005-0000-0000-0000B7720000}"/>
    <cellStyle name="Table finish row 2 2 2" xfId="29361" xr:uid="{00000000-0005-0000-0000-0000B8720000}"/>
    <cellStyle name="Table finish row 2 2 2 2" xfId="29362" xr:uid="{00000000-0005-0000-0000-0000B9720000}"/>
    <cellStyle name="Table finish row 2 2 2 3" xfId="29363" xr:uid="{00000000-0005-0000-0000-0000BA720000}"/>
    <cellStyle name="Table finish row 2 2 2 4" xfId="29364" xr:uid="{00000000-0005-0000-0000-0000BB720000}"/>
    <cellStyle name="Table finish row 2 2 3" xfId="29365" xr:uid="{00000000-0005-0000-0000-0000BC720000}"/>
    <cellStyle name="Table finish row 2 2 3 2" xfId="29366" xr:uid="{00000000-0005-0000-0000-0000BD720000}"/>
    <cellStyle name="Table finish row 2 2 3 3" xfId="29367" xr:uid="{00000000-0005-0000-0000-0000BE720000}"/>
    <cellStyle name="Table finish row 2 2 3 4" xfId="29368" xr:uid="{00000000-0005-0000-0000-0000BF720000}"/>
    <cellStyle name="Table finish row 2 2 4" xfId="29369" xr:uid="{00000000-0005-0000-0000-0000C0720000}"/>
    <cellStyle name="Table finish row 2 2 5" xfId="29370" xr:uid="{00000000-0005-0000-0000-0000C1720000}"/>
    <cellStyle name="Table finish row 2 2 6" xfId="29371" xr:uid="{00000000-0005-0000-0000-0000C2720000}"/>
    <cellStyle name="Table finish row 2 3" xfId="29372" xr:uid="{00000000-0005-0000-0000-0000C3720000}"/>
    <cellStyle name="Table finish row 2 3 2" xfId="29373" xr:uid="{00000000-0005-0000-0000-0000C4720000}"/>
    <cellStyle name="Table finish row 2 3 2 2" xfId="29374" xr:uid="{00000000-0005-0000-0000-0000C5720000}"/>
    <cellStyle name="Table finish row 2 3 2 3" xfId="29375" xr:uid="{00000000-0005-0000-0000-0000C6720000}"/>
    <cellStyle name="Table finish row 2 3 2 4" xfId="29376" xr:uid="{00000000-0005-0000-0000-0000C7720000}"/>
    <cellStyle name="Table finish row 2 3 3" xfId="29377" xr:uid="{00000000-0005-0000-0000-0000C8720000}"/>
    <cellStyle name="Table finish row 2 3 3 2" xfId="29378" xr:uid="{00000000-0005-0000-0000-0000C9720000}"/>
    <cellStyle name="Table finish row 2 3 3 3" xfId="29379" xr:uid="{00000000-0005-0000-0000-0000CA720000}"/>
    <cellStyle name="Table finish row 2 3 3 4" xfId="29380" xr:uid="{00000000-0005-0000-0000-0000CB720000}"/>
    <cellStyle name="Table finish row 2 3 4" xfId="29381" xr:uid="{00000000-0005-0000-0000-0000CC720000}"/>
    <cellStyle name="Table finish row 2 3 5" xfId="29382" xr:uid="{00000000-0005-0000-0000-0000CD720000}"/>
    <cellStyle name="Table finish row 2 3 6" xfId="29383" xr:uid="{00000000-0005-0000-0000-0000CE720000}"/>
    <cellStyle name="Table finish row 2 4" xfId="29384" xr:uid="{00000000-0005-0000-0000-0000CF720000}"/>
    <cellStyle name="Table finish row 2 4 2" xfId="29385" xr:uid="{00000000-0005-0000-0000-0000D0720000}"/>
    <cellStyle name="Table finish row 2 4 3" xfId="29386" xr:uid="{00000000-0005-0000-0000-0000D1720000}"/>
    <cellStyle name="Table finish row 2 4 4" xfId="29387" xr:uid="{00000000-0005-0000-0000-0000D2720000}"/>
    <cellStyle name="Table finish row 2 5" xfId="29388" xr:uid="{00000000-0005-0000-0000-0000D3720000}"/>
    <cellStyle name="Table finish row 2 6" xfId="29389" xr:uid="{00000000-0005-0000-0000-0000D4720000}"/>
    <cellStyle name="Table finish row 2 7" xfId="29390" xr:uid="{00000000-0005-0000-0000-0000D5720000}"/>
    <cellStyle name="Table finish row 2 8" xfId="29391" xr:uid="{00000000-0005-0000-0000-0000D6720000}"/>
    <cellStyle name="Table finish row 2 9" xfId="29392" xr:uid="{00000000-0005-0000-0000-0000D7720000}"/>
    <cellStyle name="Table finish row 3" xfId="29393" xr:uid="{00000000-0005-0000-0000-0000D8720000}"/>
    <cellStyle name="Table finish row 3 2" xfId="29394" xr:uid="{00000000-0005-0000-0000-0000D9720000}"/>
    <cellStyle name="Table finish row 3 2 2" xfId="29395" xr:uid="{00000000-0005-0000-0000-0000DA720000}"/>
    <cellStyle name="Table finish row 3 2 3" xfId="29396" xr:uid="{00000000-0005-0000-0000-0000DB720000}"/>
    <cellStyle name="Table finish row 3 2 4" xfId="29397" xr:uid="{00000000-0005-0000-0000-0000DC720000}"/>
    <cellStyle name="Table finish row 3 3" xfId="29398" xr:uid="{00000000-0005-0000-0000-0000DD720000}"/>
    <cellStyle name="Table finish row 3 3 2" xfId="29399" xr:uid="{00000000-0005-0000-0000-0000DE720000}"/>
    <cellStyle name="Table finish row 3 3 3" xfId="29400" xr:uid="{00000000-0005-0000-0000-0000DF720000}"/>
    <cellStyle name="Table finish row 3 3 4" xfId="29401" xr:uid="{00000000-0005-0000-0000-0000E0720000}"/>
    <cellStyle name="Table finish row 3 4" xfId="29402" xr:uid="{00000000-0005-0000-0000-0000E1720000}"/>
    <cellStyle name="Table finish row 3 5" xfId="29403" xr:uid="{00000000-0005-0000-0000-0000E2720000}"/>
    <cellStyle name="Table finish row 3 6" xfId="29404" xr:uid="{00000000-0005-0000-0000-0000E3720000}"/>
    <cellStyle name="Table finish row 4" xfId="29405" xr:uid="{00000000-0005-0000-0000-0000E4720000}"/>
    <cellStyle name="Table finish row 4 2" xfId="29406" xr:uid="{00000000-0005-0000-0000-0000E5720000}"/>
    <cellStyle name="Table finish row 4 2 2" xfId="29407" xr:uid="{00000000-0005-0000-0000-0000E6720000}"/>
    <cellStyle name="Table finish row 4 2 3" xfId="29408" xr:uid="{00000000-0005-0000-0000-0000E7720000}"/>
    <cellStyle name="Table finish row 4 2 4" xfId="29409" xr:uid="{00000000-0005-0000-0000-0000E8720000}"/>
    <cellStyle name="Table finish row 4 3" xfId="29410" xr:uid="{00000000-0005-0000-0000-0000E9720000}"/>
    <cellStyle name="Table finish row 4 3 2" xfId="29411" xr:uid="{00000000-0005-0000-0000-0000EA720000}"/>
    <cellStyle name="Table finish row 4 3 3" xfId="29412" xr:uid="{00000000-0005-0000-0000-0000EB720000}"/>
    <cellStyle name="Table finish row 4 3 4" xfId="29413" xr:uid="{00000000-0005-0000-0000-0000EC720000}"/>
    <cellStyle name="Table finish row 4 4" xfId="29414" xr:uid="{00000000-0005-0000-0000-0000ED720000}"/>
    <cellStyle name="Table finish row 4 5" xfId="29415" xr:uid="{00000000-0005-0000-0000-0000EE720000}"/>
    <cellStyle name="Table finish row 4 6" xfId="29416" xr:uid="{00000000-0005-0000-0000-0000EF720000}"/>
    <cellStyle name="Table finish row 5" xfId="29417" xr:uid="{00000000-0005-0000-0000-0000F0720000}"/>
    <cellStyle name="Table finish row 5 2" xfId="29418" xr:uid="{00000000-0005-0000-0000-0000F1720000}"/>
    <cellStyle name="Table finish row 6" xfId="29419" xr:uid="{00000000-0005-0000-0000-0000F2720000}"/>
    <cellStyle name="Table finish row 6 2" xfId="29420" xr:uid="{00000000-0005-0000-0000-0000F3720000}"/>
    <cellStyle name="Table finish row 7" xfId="29421" xr:uid="{00000000-0005-0000-0000-0000F4720000}"/>
    <cellStyle name="Table finish row 7 2" xfId="29422" xr:uid="{00000000-0005-0000-0000-0000F5720000}"/>
    <cellStyle name="Table finish row 8" xfId="29423" xr:uid="{00000000-0005-0000-0000-0000F6720000}"/>
    <cellStyle name="Table finish row 8 2" xfId="29424" xr:uid="{00000000-0005-0000-0000-0000F7720000}"/>
    <cellStyle name="Table finish row 9" xfId="29425" xr:uid="{00000000-0005-0000-0000-0000F8720000}"/>
    <cellStyle name="Table finish row 9 2" xfId="29426" xr:uid="{00000000-0005-0000-0000-0000F9720000}"/>
    <cellStyle name="Table shading" xfId="29427" xr:uid="{00000000-0005-0000-0000-0000FA720000}"/>
    <cellStyle name="Table unfinish row" xfId="29428" xr:uid="{00000000-0005-0000-0000-0000FB720000}"/>
    <cellStyle name="Table unshading" xfId="29429" xr:uid="{00000000-0005-0000-0000-0000FC720000}"/>
    <cellStyle name="Tausender" xfId="29430" xr:uid="{00000000-0005-0000-0000-0000FD720000}"/>
    <cellStyle name="Tausender 2" xfId="29431" xr:uid="{00000000-0005-0000-0000-0000FE720000}"/>
    <cellStyle name="Tausender 2 2" xfId="29432" xr:uid="{00000000-0005-0000-0000-0000FF720000}"/>
    <cellStyle name="Tausender 3" xfId="29433" xr:uid="{00000000-0005-0000-0000-000000730000}"/>
    <cellStyle name="Tausender 3 2" xfId="29434" xr:uid="{00000000-0005-0000-0000-000001730000}"/>
    <cellStyle name="Test [green]" xfId="29435" xr:uid="{00000000-0005-0000-0000-000002730000}"/>
    <cellStyle name="Text" xfId="29436" xr:uid="{00000000-0005-0000-0000-000003730000}"/>
    <cellStyle name="Text Indent A" xfId="29437" xr:uid="{00000000-0005-0000-0000-000004730000}"/>
    <cellStyle name="Text Indent B" xfId="29438" xr:uid="{00000000-0005-0000-0000-000005730000}"/>
    <cellStyle name="Text Indent B 2" xfId="29439" xr:uid="{00000000-0005-0000-0000-000006730000}"/>
    <cellStyle name="Text Indent B 3" xfId="29440" xr:uid="{00000000-0005-0000-0000-000007730000}"/>
    <cellStyle name="Text Indent C" xfId="29441" xr:uid="{00000000-0005-0000-0000-000008730000}"/>
    <cellStyle name="Text Indent C 2" xfId="29442" xr:uid="{00000000-0005-0000-0000-000009730000}"/>
    <cellStyle name="Text Indent C 3" xfId="29443" xr:uid="{00000000-0005-0000-0000-00000A730000}"/>
    <cellStyle name="Text Level 1" xfId="29444" xr:uid="{00000000-0005-0000-0000-00000B730000}"/>
    <cellStyle name="Text Level 1 4" xfId="29445" xr:uid="{00000000-0005-0000-0000-00000C730000}"/>
    <cellStyle name="Text Level 2" xfId="29446" xr:uid="{00000000-0005-0000-0000-00000D730000}"/>
    <cellStyle name="Text Level 2 5" xfId="29447" xr:uid="{00000000-0005-0000-0000-00000E730000}"/>
    <cellStyle name="Text Level 2_Copy of Myanmar-MS-Addendum-Proposal-Summary-April3-2013" xfId="29448" xr:uid="{00000000-0005-0000-0000-00000F730000}"/>
    <cellStyle name="Text Level 3" xfId="29449" xr:uid="{00000000-0005-0000-0000-000010730000}"/>
    <cellStyle name="Text Level 3 4" xfId="29450" xr:uid="{00000000-0005-0000-0000-000011730000}"/>
    <cellStyle name="Texte explicatif" xfId="29451" xr:uid="{00000000-0005-0000-0000-000012730000}"/>
    <cellStyle name="Texte explicatif 2" xfId="29452" xr:uid="{00000000-0005-0000-0000-000013730000}"/>
    <cellStyle name="Texto de Aviso" xfId="29453" xr:uid="{00000000-0005-0000-0000-000014730000}"/>
    <cellStyle name="Texto Explicativo" xfId="29454" xr:uid="{00000000-0005-0000-0000-000015730000}"/>
    <cellStyle name="TFCF" xfId="29455" xr:uid="{00000000-0005-0000-0000-000016730000}"/>
    <cellStyle name="Times 10" xfId="29456" xr:uid="{00000000-0005-0000-0000-000017730000}"/>
    <cellStyle name="Times 12" xfId="29457" xr:uid="{00000000-0005-0000-0000-000018730000}"/>
    <cellStyle name="Times New Roman" xfId="29458" xr:uid="{00000000-0005-0000-0000-000019730000}"/>
    <cellStyle name="Title 10" xfId="29459" xr:uid="{00000000-0005-0000-0000-00001A730000}"/>
    <cellStyle name="Title 10 2" xfId="29460" xr:uid="{00000000-0005-0000-0000-00001B730000}"/>
    <cellStyle name="Title 11" xfId="29461" xr:uid="{00000000-0005-0000-0000-00001C730000}"/>
    <cellStyle name="Title 11 2" xfId="29462" xr:uid="{00000000-0005-0000-0000-00001D730000}"/>
    <cellStyle name="Title 12" xfId="29463" xr:uid="{00000000-0005-0000-0000-00001E730000}"/>
    <cellStyle name="Title 12 2" xfId="29464" xr:uid="{00000000-0005-0000-0000-00001F730000}"/>
    <cellStyle name="Title 13" xfId="29465" xr:uid="{00000000-0005-0000-0000-000020730000}"/>
    <cellStyle name="Title 13 2" xfId="29466" xr:uid="{00000000-0005-0000-0000-000021730000}"/>
    <cellStyle name="Title 14" xfId="29467" xr:uid="{00000000-0005-0000-0000-000022730000}"/>
    <cellStyle name="Title 14 2" xfId="29468" xr:uid="{00000000-0005-0000-0000-000023730000}"/>
    <cellStyle name="Title 15" xfId="29469" xr:uid="{00000000-0005-0000-0000-000024730000}"/>
    <cellStyle name="Title 15 2" xfId="29470" xr:uid="{00000000-0005-0000-0000-000025730000}"/>
    <cellStyle name="Title 16" xfId="29471" xr:uid="{00000000-0005-0000-0000-000026730000}"/>
    <cellStyle name="Title 16 2" xfId="29472" xr:uid="{00000000-0005-0000-0000-000027730000}"/>
    <cellStyle name="Title 17" xfId="29473" xr:uid="{00000000-0005-0000-0000-000028730000}"/>
    <cellStyle name="Title 17 2" xfId="29474" xr:uid="{00000000-0005-0000-0000-000029730000}"/>
    <cellStyle name="Title 18" xfId="29475" xr:uid="{00000000-0005-0000-0000-00002A730000}"/>
    <cellStyle name="Title 18 2" xfId="29476" xr:uid="{00000000-0005-0000-0000-00002B730000}"/>
    <cellStyle name="Title 19" xfId="29477" xr:uid="{00000000-0005-0000-0000-00002C730000}"/>
    <cellStyle name="Title 19 2" xfId="29478" xr:uid="{00000000-0005-0000-0000-00002D730000}"/>
    <cellStyle name="Title 2" xfId="29479" xr:uid="{00000000-0005-0000-0000-00002E730000}"/>
    <cellStyle name="Title 2 10" xfId="29480" xr:uid="{00000000-0005-0000-0000-00002F730000}"/>
    <cellStyle name="Title 2 10 2" xfId="29481" xr:uid="{00000000-0005-0000-0000-000030730000}"/>
    <cellStyle name="Title 2 11" xfId="29482" xr:uid="{00000000-0005-0000-0000-000031730000}"/>
    <cellStyle name="Title 2 11 2" xfId="29483" xr:uid="{00000000-0005-0000-0000-000032730000}"/>
    <cellStyle name="Title 2 12" xfId="29484" xr:uid="{00000000-0005-0000-0000-000033730000}"/>
    <cellStyle name="Title 2 12 2" xfId="29485" xr:uid="{00000000-0005-0000-0000-000034730000}"/>
    <cellStyle name="Title 2 13" xfId="29486" xr:uid="{00000000-0005-0000-0000-000035730000}"/>
    <cellStyle name="Title 2 13 2" xfId="29487" xr:uid="{00000000-0005-0000-0000-000036730000}"/>
    <cellStyle name="Title 2 14" xfId="29488" xr:uid="{00000000-0005-0000-0000-000037730000}"/>
    <cellStyle name="Title 2 14 2" xfId="29489" xr:uid="{00000000-0005-0000-0000-000038730000}"/>
    <cellStyle name="Title 2 15" xfId="29490" xr:uid="{00000000-0005-0000-0000-000039730000}"/>
    <cellStyle name="Title 2 15 2" xfId="29491" xr:uid="{00000000-0005-0000-0000-00003A730000}"/>
    <cellStyle name="Title 2 16" xfId="29492" xr:uid="{00000000-0005-0000-0000-00003B730000}"/>
    <cellStyle name="Title 2 16 2" xfId="29493" xr:uid="{00000000-0005-0000-0000-00003C730000}"/>
    <cellStyle name="Title 2 17" xfId="29494" xr:uid="{00000000-0005-0000-0000-00003D730000}"/>
    <cellStyle name="Title 2 17 2" xfId="29495" xr:uid="{00000000-0005-0000-0000-00003E730000}"/>
    <cellStyle name="Title 2 18" xfId="29496" xr:uid="{00000000-0005-0000-0000-00003F730000}"/>
    <cellStyle name="Title 2 18 2" xfId="29497" xr:uid="{00000000-0005-0000-0000-000040730000}"/>
    <cellStyle name="Title 2 19" xfId="29498" xr:uid="{00000000-0005-0000-0000-000041730000}"/>
    <cellStyle name="Title 2 19 2" xfId="29499" xr:uid="{00000000-0005-0000-0000-000042730000}"/>
    <cellStyle name="Title 2 2" xfId="29500" xr:uid="{00000000-0005-0000-0000-000043730000}"/>
    <cellStyle name="Title 2 2 2" xfId="29501" xr:uid="{00000000-0005-0000-0000-000044730000}"/>
    <cellStyle name="Title 2 20" xfId="29502" xr:uid="{00000000-0005-0000-0000-000045730000}"/>
    <cellStyle name="Title 2 3" xfId="29503" xr:uid="{00000000-0005-0000-0000-000046730000}"/>
    <cellStyle name="Title 2 3 2" xfId="29504" xr:uid="{00000000-0005-0000-0000-000047730000}"/>
    <cellStyle name="Title 2 4" xfId="29505" xr:uid="{00000000-0005-0000-0000-000048730000}"/>
    <cellStyle name="Title 2 4 2" xfId="29506" xr:uid="{00000000-0005-0000-0000-000049730000}"/>
    <cellStyle name="Title 2 5" xfId="29507" xr:uid="{00000000-0005-0000-0000-00004A730000}"/>
    <cellStyle name="Title 2 5 2" xfId="29508" xr:uid="{00000000-0005-0000-0000-00004B730000}"/>
    <cellStyle name="Title 2 6" xfId="29509" xr:uid="{00000000-0005-0000-0000-00004C730000}"/>
    <cellStyle name="Title 2 6 2" xfId="29510" xr:uid="{00000000-0005-0000-0000-00004D730000}"/>
    <cellStyle name="Title 2 7" xfId="29511" xr:uid="{00000000-0005-0000-0000-00004E730000}"/>
    <cellStyle name="Title 2 7 2" xfId="29512" xr:uid="{00000000-0005-0000-0000-00004F730000}"/>
    <cellStyle name="Title 2 8" xfId="29513" xr:uid="{00000000-0005-0000-0000-000050730000}"/>
    <cellStyle name="Title 2 8 2" xfId="29514" xr:uid="{00000000-0005-0000-0000-000051730000}"/>
    <cellStyle name="Title 2 9" xfId="29515" xr:uid="{00000000-0005-0000-0000-000052730000}"/>
    <cellStyle name="Title 2 9 2" xfId="29516" xr:uid="{00000000-0005-0000-0000-000053730000}"/>
    <cellStyle name="Title 20" xfId="29517" xr:uid="{00000000-0005-0000-0000-000054730000}"/>
    <cellStyle name="Title 20 2" xfId="29518" xr:uid="{00000000-0005-0000-0000-000055730000}"/>
    <cellStyle name="Title 21" xfId="29519" xr:uid="{00000000-0005-0000-0000-000056730000}"/>
    <cellStyle name="Title 21 2" xfId="29520" xr:uid="{00000000-0005-0000-0000-000057730000}"/>
    <cellStyle name="Title 22" xfId="29521" xr:uid="{00000000-0005-0000-0000-000058730000}"/>
    <cellStyle name="Title 22 2" xfId="29522" xr:uid="{00000000-0005-0000-0000-000059730000}"/>
    <cellStyle name="Title 23" xfId="29523" xr:uid="{00000000-0005-0000-0000-00005A730000}"/>
    <cellStyle name="Title 23 2" xfId="29524" xr:uid="{00000000-0005-0000-0000-00005B730000}"/>
    <cellStyle name="Title 24" xfId="29525" xr:uid="{00000000-0005-0000-0000-00005C730000}"/>
    <cellStyle name="Title 24 2" xfId="29526" xr:uid="{00000000-0005-0000-0000-00005D730000}"/>
    <cellStyle name="Title 25" xfId="29527" xr:uid="{00000000-0005-0000-0000-00005E730000}"/>
    <cellStyle name="Title 25 2" xfId="29528" xr:uid="{00000000-0005-0000-0000-00005F730000}"/>
    <cellStyle name="Title 26" xfId="29529" xr:uid="{00000000-0005-0000-0000-000060730000}"/>
    <cellStyle name="Title 26 2" xfId="29530" xr:uid="{00000000-0005-0000-0000-000061730000}"/>
    <cellStyle name="Title 27" xfId="29531" xr:uid="{00000000-0005-0000-0000-000062730000}"/>
    <cellStyle name="Title 27 2" xfId="29532" xr:uid="{00000000-0005-0000-0000-000063730000}"/>
    <cellStyle name="Title 3" xfId="29533" xr:uid="{00000000-0005-0000-0000-000064730000}"/>
    <cellStyle name="Title 3 2" xfId="29534" xr:uid="{00000000-0005-0000-0000-000065730000}"/>
    <cellStyle name="Title 3 2 2" xfId="29535" xr:uid="{00000000-0005-0000-0000-000066730000}"/>
    <cellStyle name="Title 3 3" xfId="29536" xr:uid="{00000000-0005-0000-0000-000067730000}"/>
    <cellStyle name="Title 4" xfId="29537" xr:uid="{00000000-0005-0000-0000-000068730000}"/>
    <cellStyle name="Title 4 2" xfId="29538" xr:uid="{00000000-0005-0000-0000-000069730000}"/>
    <cellStyle name="Title 4 2 2" xfId="29539" xr:uid="{00000000-0005-0000-0000-00006A730000}"/>
    <cellStyle name="Title 4 3" xfId="29540" xr:uid="{00000000-0005-0000-0000-00006B730000}"/>
    <cellStyle name="Title 5" xfId="29541" xr:uid="{00000000-0005-0000-0000-00006C730000}"/>
    <cellStyle name="Title 5 2" xfId="29542" xr:uid="{00000000-0005-0000-0000-00006D730000}"/>
    <cellStyle name="Title 6" xfId="29543" xr:uid="{00000000-0005-0000-0000-00006E730000}"/>
    <cellStyle name="Title 6 2" xfId="29544" xr:uid="{00000000-0005-0000-0000-00006F730000}"/>
    <cellStyle name="Title 7" xfId="29545" xr:uid="{00000000-0005-0000-0000-000070730000}"/>
    <cellStyle name="Title 7 2" xfId="29546" xr:uid="{00000000-0005-0000-0000-000071730000}"/>
    <cellStyle name="Title 8" xfId="29547" xr:uid="{00000000-0005-0000-0000-000072730000}"/>
    <cellStyle name="Title 8 2" xfId="29548" xr:uid="{00000000-0005-0000-0000-000073730000}"/>
    <cellStyle name="Title 9" xfId="29549" xr:uid="{00000000-0005-0000-0000-000074730000}"/>
    <cellStyle name="Title 9 2" xfId="29550" xr:uid="{00000000-0005-0000-0000-000075730000}"/>
    <cellStyle name="Titre" xfId="29551" xr:uid="{00000000-0005-0000-0000-000076730000}"/>
    <cellStyle name="Titre 2" xfId="29554" xr:uid="{00000000-0005-0000-0000-000077730000}"/>
    <cellStyle name="Titre 1" xfId="29552" xr:uid="{00000000-0005-0000-0000-000078730000}"/>
    <cellStyle name="Titre 1 2" xfId="29553" xr:uid="{00000000-0005-0000-0000-000079730000}"/>
    <cellStyle name="Titre 2 2" xfId="29555" xr:uid="{00000000-0005-0000-0000-00007A730000}"/>
    <cellStyle name="Titre 3" xfId="29556" xr:uid="{00000000-0005-0000-0000-00007B730000}"/>
    <cellStyle name="Titre 3 2" xfId="29557" xr:uid="{00000000-0005-0000-0000-00007C730000}"/>
    <cellStyle name="Titre 4" xfId="29558" xr:uid="{00000000-0005-0000-0000-00007D730000}"/>
    <cellStyle name="Titre 4 2" xfId="29559" xr:uid="{00000000-0005-0000-0000-00007E730000}"/>
    <cellStyle name="Titre1" xfId="29560" xr:uid="{00000000-0005-0000-0000-00007F730000}"/>
    <cellStyle name="Titre1 2" xfId="29561" xr:uid="{00000000-0005-0000-0000-000080730000}"/>
    <cellStyle name="Titre1 2 2" xfId="29562" xr:uid="{00000000-0005-0000-0000-000081730000}"/>
    <cellStyle name="Titre1 2 2 2" xfId="29563" xr:uid="{00000000-0005-0000-0000-000082730000}"/>
    <cellStyle name="Titre1 2 2 2 2" xfId="29564" xr:uid="{00000000-0005-0000-0000-000083730000}"/>
    <cellStyle name="Titre1 2 2 2 3" xfId="29565" xr:uid="{00000000-0005-0000-0000-000084730000}"/>
    <cellStyle name="Titre1 2 2 2 4" xfId="29566" xr:uid="{00000000-0005-0000-0000-000085730000}"/>
    <cellStyle name="Titre1 2 2 3" xfId="29567" xr:uid="{00000000-0005-0000-0000-000086730000}"/>
    <cellStyle name="Titre1 2 2 3 2" xfId="29568" xr:uid="{00000000-0005-0000-0000-000087730000}"/>
    <cellStyle name="Titre1 2 2 3 3" xfId="29569" xr:uid="{00000000-0005-0000-0000-000088730000}"/>
    <cellStyle name="Titre1 2 2 3 4" xfId="29570" xr:uid="{00000000-0005-0000-0000-000089730000}"/>
    <cellStyle name="Titre1 2 2 4" xfId="29571" xr:uid="{00000000-0005-0000-0000-00008A730000}"/>
    <cellStyle name="Titre1 2 2 5" xfId="29572" xr:uid="{00000000-0005-0000-0000-00008B730000}"/>
    <cellStyle name="Titre1 2 2 6" xfId="29573" xr:uid="{00000000-0005-0000-0000-00008C730000}"/>
    <cellStyle name="Titre1 2 3" xfId="29574" xr:uid="{00000000-0005-0000-0000-00008D730000}"/>
    <cellStyle name="Titre1 2 3 2" xfId="29575" xr:uid="{00000000-0005-0000-0000-00008E730000}"/>
    <cellStyle name="Titre1 2 3 2 2" xfId="29576" xr:uid="{00000000-0005-0000-0000-00008F730000}"/>
    <cellStyle name="Titre1 2 3 2 3" xfId="29577" xr:uid="{00000000-0005-0000-0000-000090730000}"/>
    <cellStyle name="Titre1 2 3 2 4" xfId="29578" xr:uid="{00000000-0005-0000-0000-000091730000}"/>
    <cellStyle name="Titre1 2 3 3" xfId="29579" xr:uid="{00000000-0005-0000-0000-000092730000}"/>
    <cellStyle name="Titre1 2 3 3 2" xfId="29580" xr:uid="{00000000-0005-0000-0000-000093730000}"/>
    <cellStyle name="Titre1 2 3 3 3" xfId="29581" xr:uid="{00000000-0005-0000-0000-000094730000}"/>
    <cellStyle name="Titre1 2 3 3 4" xfId="29582" xr:uid="{00000000-0005-0000-0000-000095730000}"/>
    <cellStyle name="Titre1 2 3 4" xfId="29583" xr:uid="{00000000-0005-0000-0000-000096730000}"/>
    <cellStyle name="Titre1 2 3 5" xfId="29584" xr:uid="{00000000-0005-0000-0000-000097730000}"/>
    <cellStyle name="Titre1 2 3 6" xfId="29585" xr:uid="{00000000-0005-0000-0000-000098730000}"/>
    <cellStyle name="Titre1 2 4" xfId="29586" xr:uid="{00000000-0005-0000-0000-000099730000}"/>
    <cellStyle name="Titre1 2 4 2" xfId="29587" xr:uid="{00000000-0005-0000-0000-00009A730000}"/>
    <cellStyle name="Titre1 2 4 3" xfId="29588" xr:uid="{00000000-0005-0000-0000-00009B730000}"/>
    <cellStyle name="Titre1 2 4 4" xfId="29589" xr:uid="{00000000-0005-0000-0000-00009C730000}"/>
    <cellStyle name="Titre1 2 5" xfId="29590" xr:uid="{00000000-0005-0000-0000-00009D730000}"/>
    <cellStyle name="Titre1 2 5 2" xfId="29591" xr:uid="{00000000-0005-0000-0000-00009E730000}"/>
    <cellStyle name="Titre1 2 5 3" xfId="29592" xr:uid="{00000000-0005-0000-0000-00009F730000}"/>
    <cellStyle name="Titre1 2 5 4" xfId="29593" xr:uid="{00000000-0005-0000-0000-0000A0730000}"/>
    <cellStyle name="Titre1 2 6" xfId="29594" xr:uid="{00000000-0005-0000-0000-0000A1730000}"/>
    <cellStyle name="Titre1 2 7" xfId="29595" xr:uid="{00000000-0005-0000-0000-0000A2730000}"/>
    <cellStyle name="Titre1 2 8" xfId="29596" xr:uid="{00000000-0005-0000-0000-0000A3730000}"/>
    <cellStyle name="Titre1 3" xfId="29597" xr:uid="{00000000-0005-0000-0000-0000A4730000}"/>
    <cellStyle name="Titre1 3 2" xfId="29598" xr:uid="{00000000-0005-0000-0000-0000A5730000}"/>
    <cellStyle name="Titre1 3 2 2" xfId="29599" xr:uid="{00000000-0005-0000-0000-0000A6730000}"/>
    <cellStyle name="Titre1 3 2 3" xfId="29600" xr:uid="{00000000-0005-0000-0000-0000A7730000}"/>
    <cellStyle name="Titre1 3 2 4" xfId="29601" xr:uid="{00000000-0005-0000-0000-0000A8730000}"/>
    <cellStyle name="Titre1 3 3" xfId="29602" xr:uid="{00000000-0005-0000-0000-0000A9730000}"/>
    <cellStyle name="Titre1 3 3 2" xfId="29603" xr:uid="{00000000-0005-0000-0000-0000AA730000}"/>
    <cellStyle name="Titre1 3 3 3" xfId="29604" xr:uid="{00000000-0005-0000-0000-0000AB730000}"/>
    <cellStyle name="Titre1 3 3 4" xfId="29605" xr:uid="{00000000-0005-0000-0000-0000AC730000}"/>
    <cellStyle name="Titre1 3 4" xfId="29606" xr:uid="{00000000-0005-0000-0000-0000AD730000}"/>
    <cellStyle name="Titre1 3 5" xfId="29607" xr:uid="{00000000-0005-0000-0000-0000AE730000}"/>
    <cellStyle name="Titre1 3 6" xfId="29608" xr:uid="{00000000-0005-0000-0000-0000AF730000}"/>
    <cellStyle name="Titre1 4" xfId="29609" xr:uid="{00000000-0005-0000-0000-0000B0730000}"/>
    <cellStyle name="Titre1 4 2" xfId="29610" xr:uid="{00000000-0005-0000-0000-0000B1730000}"/>
    <cellStyle name="Titre1 4 3" xfId="29611" xr:uid="{00000000-0005-0000-0000-0000B2730000}"/>
    <cellStyle name="Titre1 4 4" xfId="29612" xr:uid="{00000000-0005-0000-0000-0000B3730000}"/>
    <cellStyle name="Titre1 5" xfId="29613" xr:uid="{00000000-0005-0000-0000-0000B4730000}"/>
    <cellStyle name="Titre1 5 2" xfId="29614" xr:uid="{00000000-0005-0000-0000-0000B5730000}"/>
    <cellStyle name="Titre1 5 3" xfId="29615" xr:uid="{00000000-0005-0000-0000-0000B6730000}"/>
    <cellStyle name="Titre1 5 4" xfId="29616" xr:uid="{00000000-0005-0000-0000-0000B7730000}"/>
    <cellStyle name="Titre1 6" xfId="29617" xr:uid="{00000000-0005-0000-0000-0000B8730000}"/>
    <cellStyle name="Titre1 7" xfId="29618" xr:uid="{00000000-0005-0000-0000-0000B9730000}"/>
    <cellStyle name="Titre1 8" xfId="29619" xr:uid="{00000000-0005-0000-0000-0000BA730000}"/>
    <cellStyle name="Titre2" xfId="29620" xr:uid="{00000000-0005-0000-0000-0000BB730000}"/>
    <cellStyle name="Titre2 2" xfId="29621" xr:uid="{00000000-0005-0000-0000-0000BC730000}"/>
    <cellStyle name="Titre2 2 2" xfId="29622" xr:uid="{00000000-0005-0000-0000-0000BD730000}"/>
    <cellStyle name="Titre2 2 3" xfId="29623" xr:uid="{00000000-0005-0000-0000-0000BE730000}"/>
    <cellStyle name="Titre2 3" xfId="29624" xr:uid="{00000000-0005-0000-0000-0000BF730000}"/>
    <cellStyle name="Título" xfId="29625" xr:uid="{00000000-0005-0000-0000-0000C0730000}"/>
    <cellStyle name="Título 1" xfId="29626" xr:uid="{00000000-0005-0000-0000-0000C1730000}"/>
    <cellStyle name="Título 2" xfId="29627" xr:uid="{00000000-0005-0000-0000-0000C2730000}"/>
    <cellStyle name="Título 3" xfId="29628" xr:uid="{00000000-0005-0000-0000-0000C3730000}"/>
    <cellStyle name="Título 4" xfId="29629" xr:uid="{00000000-0005-0000-0000-0000C4730000}"/>
    <cellStyle name="Tms Rmn 10" xfId="29630" xr:uid="{00000000-0005-0000-0000-0000C5730000}"/>
    <cellStyle name="Total 10" xfId="29631" xr:uid="{00000000-0005-0000-0000-0000C6730000}"/>
    <cellStyle name="Total 10 2" xfId="29632" xr:uid="{00000000-0005-0000-0000-0000C7730000}"/>
    <cellStyle name="Total 11" xfId="29633" xr:uid="{00000000-0005-0000-0000-0000C8730000}"/>
    <cellStyle name="Total 11 2" xfId="29634" xr:uid="{00000000-0005-0000-0000-0000C9730000}"/>
    <cellStyle name="Total 12" xfId="29635" xr:uid="{00000000-0005-0000-0000-0000CA730000}"/>
    <cellStyle name="Total 12 2" xfId="29636" xr:uid="{00000000-0005-0000-0000-0000CB730000}"/>
    <cellStyle name="Total 13" xfId="29637" xr:uid="{00000000-0005-0000-0000-0000CC730000}"/>
    <cellStyle name="Total 13 2" xfId="29638" xr:uid="{00000000-0005-0000-0000-0000CD730000}"/>
    <cellStyle name="Total 14" xfId="29639" xr:uid="{00000000-0005-0000-0000-0000CE730000}"/>
    <cellStyle name="Total 14 2" xfId="29640" xr:uid="{00000000-0005-0000-0000-0000CF730000}"/>
    <cellStyle name="Total 15" xfId="29641" xr:uid="{00000000-0005-0000-0000-0000D0730000}"/>
    <cellStyle name="Total 15 2" xfId="29642" xr:uid="{00000000-0005-0000-0000-0000D1730000}"/>
    <cellStyle name="Total 16" xfId="29643" xr:uid="{00000000-0005-0000-0000-0000D2730000}"/>
    <cellStyle name="Total 16 2" xfId="29644" xr:uid="{00000000-0005-0000-0000-0000D3730000}"/>
    <cellStyle name="Total 17" xfId="29645" xr:uid="{00000000-0005-0000-0000-0000D4730000}"/>
    <cellStyle name="Total 17 2" xfId="29646" xr:uid="{00000000-0005-0000-0000-0000D5730000}"/>
    <cellStyle name="Total 18" xfId="29647" xr:uid="{00000000-0005-0000-0000-0000D6730000}"/>
    <cellStyle name="Total 18 2" xfId="29648" xr:uid="{00000000-0005-0000-0000-0000D7730000}"/>
    <cellStyle name="Total 19" xfId="29649" xr:uid="{00000000-0005-0000-0000-0000D8730000}"/>
    <cellStyle name="Total 19 2" xfId="29650" xr:uid="{00000000-0005-0000-0000-0000D9730000}"/>
    <cellStyle name="Total 2" xfId="29651" xr:uid="{00000000-0005-0000-0000-0000DA730000}"/>
    <cellStyle name="Total 2 10" xfId="29652" xr:uid="{00000000-0005-0000-0000-0000DB730000}"/>
    <cellStyle name="Total 2 10 2" xfId="29653" xr:uid="{00000000-0005-0000-0000-0000DC730000}"/>
    <cellStyle name="Total 2 11" xfId="29654" xr:uid="{00000000-0005-0000-0000-0000DD730000}"/>
    <cellStyle name="Total 2 11 2" xfId="29655" xr:uid="{00000000-0005-0000-0000-0000DE730000}"/>
    <cellStyle name="Total 2 12" xfId="29656" xr:uid="{00000000-0005-0000-0000-0000DF730000}"/>
    <cellStyle name="Total 2 12 2" xfId="29657" xr:uid="{00000000-0005-0000-0000-0000E0730000}"/>
    <cellStyle name="Total 2 13" xfId="29658" xr:uid="{00000000-0005-0000-0000-0000E1730000}"/>
    <cellStyle name="Total 2 13 2" xfId="29659" xr:uid="{00000000-0005-0000-0000-0000E2730000}"/>
    <cellStyle name="Total 2 14" xfId="29660" xr:uid="{00000000-0005-0000-0000-0000E3730000}"/>
    <cellStyle name="Total 2 14 2" xfId="29661" xr:uid="{00000000-0005-0000-0000-0000E4730000}"/>
    <cellStyle name="Total 2 15" xfId="29662" xr:uid="{00000000-0005-0000-0000-0000E5730000}"/>
    <cellStyle name="Total 2 15 2" xfId="29663" xr:uid="{00000000-0005-0000-0000-0000E6730000}"/>
    <cellStyle name="Total 2 16" xfId="29664" xr:uid="{00000000-0005-0000-0000-0000E7730000}"/>
    <cellStyle name="Total 2 16 2" xfId="29665" xr:uid="{00000000-0005-0000-0000-0000E8730000}"/>
    <cellStyle name="Total 2 17" xfId="29666" xr:uid="{00000000-0005-0000-0000-0000E9730000}"/>
    <cellStyle name="Total 2 17 2" xfId="29667" xr:uid="{00000000-0005-0000-0000-0000EA730000}"/>
    <cellStyle name="Total 2 18" xfId="29668" xr:uid="{00000000-0005-0000-0000-0000EB730000}"/>
    <cellStyle name="Total 2 18 2" xfId="29669" xr:uid="{00000000-0005-0000-0000-0000EC730000}"/>
    <cellStyle name="Total 2 19" xfId="29670" xr:uid="{00000000-0005-0000-0000-0000ED730000}"/>
    <cellStyle name="Total 2 19 2" xfId="29671" xr:uid="{00000000-0005-0000-0000-0000EE730000}"/>
    <cellStyle name="Total 2 2" xfId="29672" xr:uid="{00000000-0005-0000-0000-0000EF730000}"/>
    <cellStyle name="Total 2 2 10" xfId="29673" xr:uid="{00000000-0005-0000-0000-0000F0730000}"/>
    <cellStyle name="Total 2 2 11" xfId="29674" xr:uid="{00000000-0005-0000-0000-0000F1730000}"/>
    <cellStyle name="Total 2 2 12" xfId="29675" xr:uid="{00000000-0005-0000-0000-0000F2730000}"/>
    <cellStyle name="Total 2 2 13" xfId="29676" xr:uid="{00000000-0005-0000-0000-0000F3730000}"/>
    <cellStyle name="Total 2 2 14" xfId="29677" xr:uid="{00000000-0005-0000-0000-0000F4730000}"/>
    <cellStyle name="Total 2 2 15" xfId="29678" xr:uid="{00000000-0005-0000-0000-0000F5730000}"/>
    <cellStyle name="Total 2 2 16" xfId="29679" xr:uid="{00000000-0005-0000-0000-0000F6730000}"/>
    <cellStyle name="Total 2 2 17" xfId="29680" xr:uid="{00000000-0005-0000-0000-0000F7730000}"/>
    <cellStyle name="Total 2 2 18" xfId="29681" xr:uid="{00000000-0005-0000-0000-0000F8730000}"/>
    <cellStyle name="Total 2 2 19" xfId="29682" xr:uid="{00000000-0005-0000-0000-0000F9730000}"/>
    <cellStyle name="Total 2 2 2" xfId="29683" xr:uid="{00000000-0005-0000-0000-0000FA730000}"/>
    <cellStyle name="Total 2 2 2 2" xfId="29684" xr:uid="{00000000-0005-0000-0000-0000FB730000}"/>
    <cellStyle name="Total 2 2 20" xfId="29685" xr:uid="{00000000-0005-0000-0000-0000FC730000}"/>
    <cellStyle name="Total 2 2 21" xfId="29686" xr:uid="{00000000-0005-0000-0000-0000FD730000}"/>
    <cellStyle name="Total 2 2 22" xfId="29687" xr:uid="{00000000-0005-0000-0000-0000FE730000}"/>
    <cellStyle name="Total 2 2 3" xfId="29688" xr:uid="{00000000-0005-0000-0000-0000FF730000}"/>
    <cellStyle name="Total 2 2 3 10" xfId="29689" xr:uid="{00000000-0005-0000-0000-000000740000}"/>
    <cellStyle name="Total 2 2 3 11" xfId="29690" xr:uid="{00000000-0005-0000-0000-000001740000}"/>
    <cellStyle name="Total 2 2 3 12" xfId="29691" xr:uid="{00000000-0005-0000-0000-000002740000}"/>
    <cellStyle name="Total 2 2 3 13" xfId="29692" xr:uid="{00000000-0005-0000-0000-000003740000}"/>
    <cellStyle name="Total 2 2 3 14" xfId="29693" xr:uid="{00000000-0005-0000-0000-000004740000}"/>
    <cellStyle name="Total 2 2 3 15" xfId="29694" xr:uid="{00000000-0005-0000-0000-000005740000}"/>
    <cellStyle name="Total 2 2 3 16" xfId="29695" xr:uid="{00000000-0005-0000-0000-000006740000}"/>
    <cellStyle name="Total 2 2 3 17" xfId="29696" xr:uid="{00000000-0005-0000-0000-000007740000}"/>
    <cellStyle name="Total 2 2 3 18" xfId="29697" xr:uid="{00000000-0005-0000-0000-000008740000}"/>
    <cellStyle name="Total 2 2 3 19" xfId="29698" xr:uid="{00000000-0005-0000-0000-000009740000}"/>
    <cellStyle name="Total 2 2 3 2" xfId="29699" xr:uid="{00000000-0005-0000-0000-00000A740000}"/>
    <cellStyle name="Total 2 2 3 2 10" xfId="29700" xr:uid="{00000000-0005-0000-0000-00000B740000}"/>
    <cellStyle name="Total 2 2 3 2 11" xfId="29701" xr:uid="{00000000-0005-0000-0000-00000C740000}"/>
    <cellStyle name="Total 2 2 3 2 12" xfId="29702" xr:uid="{00000000-0005-0000-0000-00000D740000}"/>
    <cellStyle name="Total 2 2 3 2 13" xfId="29703" xr:uid="{00000000-0005-0000-0000-00000E740000}"/>
    <cellStyle name="Total 2 2 3 2 14" xfId="29704" xr:uid="{00000000-0005-0000-0000-00000F740000}"/>
    <cellStyle name="Total 2 2 3 2 15" xfId="29705" xr:uid="{00000000-0005-0000-0000-000010740000}"/>
    <cellStyle name="Total 2 2 3 2 16" xfId="29706" xr:uid="{00000000-0005-0000-0000-000011740000}"/>
    <cellStyle name="Total 2 2 3 2 17" xfId="29707" xr:uid="{00000000-0005-0000-0000-000012740000}"/>
    <cellStyle name="Total 2 2 3 2 18" xfId="29708" xr:uid="{00000000-0005-0000-0000-000013740000}"/>
    <cellStyle name="Total 2 2 3 2 19" xfId="29709" xr:uid="{00000000-0005-0000-0000-000014740000}"/>
    <cellStyle name="Total 2 2 3 2 2" xfId="29710" xr:uid="{00000000-0005-0000-0000-000015740000}"/>
    <cellStyle name="Total 2 2 3 2 20" xfId="29711" xr:uid="{00000000-0005-0000-0000-000016740000}"/>
    <cellStyle name="Total 2 2 3 2 21" xfId="29712" xr:uid="{00000000-0005-0000-0000-000017740000}"/>
    <cellStyle name="Total 2 2 3 2 22" xfId="29713" xr:uid="{00000000-0005-0000-0000-000018740000}"/>
    <cellStyle name="Total 2 2 3 2 23" xfId="29714" xr:uid="{00000000-0005-0000-0000-000019740000}"/>
    <cellStyle name="Total 2 2 3 2 24" xfId="29715" xr:uid="{00000000-0005-0000-0000-00001A740000}"/>
    <cellStyle name="Total 2 2 3 2 25" xfId="29716" xr:uid="{00000000-0005-0000-0000-00001B740000}"/>
    <cellStyle name="Total 2 2 3 2 26" xfId="29717" xr:uid="{00000000-0005-0000-0000-00001C740000}"/>
    <cellStyle name="Total 2 2 3 2 27" xfId="29718" xr:uid="{00000000-0005-0000-0000-00001D740000}"/>
    <cellStyle name="Total 2 2 3 2 28" xfId="29719" xr:uid="{00000000-0005-0000-0000-00001E740000}"/>
    <cellStyle name="Total 2 2 3 2 29" xfId="29720" xr:uid="{00000000-0005-0000-0000-00001F740000}"/>
    <cellStyle name="Total 2 2 3 2 3" xfId="29721" xr:uid="{00000000-0005-0000-0000-000020740000}"/>
    <cellStyle name="Total 2 2 3 2 30" xfId="29722" xr:uid="{00000000-0005-0000-0000-000021740000}"/>
    <cellStyle name="Total 2 2 3 2 31" xfId="29723" xr:uid="{00000000-0005-0000-0000-000022740000}"/>
    <cellStyle name="Total 2 2 3 2 32" xfId="29724" xr:uid="{00000000-0005-0000-0000-000023740000}"/>
    <cellStyle name="Total 2 2 3 2 33" xfId="29725" xr:uid="{00000000-0005-0000-0000-000024740000}"/>
    <cellStyle name="Total 2 2 3 2 34" xfId="29726" xr:uid="{00000000-0005-0000-0000-000025740000}"/>
    <cellStyle name="Total 2 2 3 2 4" xfId="29727" xr:uid="{00000000-0005-0000-0000-000026740000}"/>
    <cellStyle name="Total 2 2 3 2 5" xfId="29728" xr:uid="{00000000-0005-0000-0000-000027740000}"/>
    <cellStyle name="Total 2 2 3 2 6" xfId="29729" xr:uid="{00000000-0005-0000-0000-000028740000}"/>
    <cellStyle name="Total 2 2 3 2 7" xfId="29730" xr:uid="{00000000-0005-0000-0000-000029740000}"/>
    <cellStyle name="Total 2 2 3 2 8" xfId="29731" xr:uid="{00000000-0005-0000-0000-00002A740000}"/>
    <cellStyle name="Total 2 2 3 2 9" xfId="29732" xr:uid="{00000000-0005-0000-0000-00002B740000}"/>
    <cellStyle name="Total 2 2 3 20" xfId="29733" xr:uid="{00000000-0005-0000-0000-00002C740000}"/>
    <cellStyle name="Total 2 2 3 3" xfId="29734" xr:uid="{00000000-0005-0000-0000-00002D740000}"/>
    <cellStyle name="Total 2 2 3 3 2" xfId="29735" xr:uid="{00000000-0005-0000-0000-00002E740000}"/>
    <cellStyle name="Total 2 2 3 3 3" xfId="29736" xr:uid="{00000000-0005-0000-0000-00002F740000}"/>
    <cellStyle name="Total 2 2 3 4" xfId="29737" xr:uid="{00000000-0005-0000-0000-000030740000}"/>
    <cellStyle name="Total 2 2 3 5" xfId="29738" xr:uid="{00000000-0005-0000-0000-000031740000}"/>
    <cellStyle name="Total 2 2 3 6" xfId="29739" xr:uid="{00000000-0005-0000-0000-000032740000}"/>
    <cellStyle name="Total 2 2 3 7" xfId="29740" xr:uid="{00000000-0005-0000-0000-000033740000}"/>
    <cellStyle name="Total 2 2 3 8" xfId="29741" xr:uid="{00000000-0005-0000-0000-000034740000}"/>
    <cellStyle name="Total 2 2 3 9" xfId="29742" xr:uid="{00000000-0005-0000-0000-000035740000}"/>
    <cellStyle name="Total 2 2 4" xfId="29743" xr:uid="{00000000-0005-0000-0000-000036740000}"/>
    <cellStyle name="Total 2 2 4 10" xfId="29744" xr:uid="{00000000-0005-0000-0000-000037740000}"/>
    <cellStyle name="Total 2 2 4 11" xfId="29745" xr:uid="{00000000-0005-0000-0000-000038740000}"/>
    <cellStyle name="Total 2 2 4 12" xfId="29746" xr:uid="{00000000-0005-0000-0000-000039740000}"/>
    <cellStyle name="Total 2 2 4 13" xfId="29747" xr:uid="{00000000-0005-0000-0000-00003A740000}"/>
    <cellStyle name="Total 2 2 4 14" xfId="29748" xr:uid="{00000000-0005-0000-0000-00003B740000}"/>
    <cellStyle name="Total 2 2 4 15" xfId="29749" xr:uid="{00000000-0005-0000-0000-00003C740000}"/>
    <cellStyle name="Total 2 2 4 16" xfId="29750" xr:uid="{00000000-0005-0000-0000-00003D740000}"/>
    <cellStyle name="Total 2 2 4 17" xfId="29751" xr:uid="{00000000-0005-0000-0000-00003E740000}"/>
    <cellStyle name="Total 2 2 4 18" xfId="29752" xr:uid="{00000000-0005-0000-0000-00003F740000}"/>
    <cellStyle name="Total 2 2 4 19" xfId="29753" xr:uid="{00000000-0005-0000-0000-000040740000}"/>
    <cellStyle name="Total 2 2 4 2" xfId="29754" xr:uid="{00000000-0005-0000-0000-000041740000}"/>
    <cellStyle name="Total 2 2 4 20" xfId="29755" xr:uid="{00000000-0005-0000-0000-000042740000}"/>
    <cellStyle name="Total 2 2 4 21" xfId="29756" xr:uid="{00000000-0005-0000-0000-000043740000}"/>
    <cellStyle name="Total 2 2 4 22" xfId="29757" xr:uid="{00000000-0005-0000-0000-000044740000}"/>
    <cellStyle name="Total 2 2 4 23" xfId="29758" xr:uid="{00000000-0005-0000-0000-000045740000}"/>
    <cellStyle name="Total 2 2 4 24" xfId="29759" xr:uid="{00000000-0005-0000-0000-000046740000}"/>
    <cellStyle name="Total 2 2 4 25" xfId="29760" xr:uid="{00000000-0005-0000-0000-000047740000}"/>
    <cellStyle name="Total 2 2 4 26" xfId="29761" xr:uid="{00000000-0005-0000-0000-000048740000}"/>
    <cellStyle name="Total 2 2 4 27" xfId="29762" xr:uid="{00000000-0005-0000-0000-000049740000}"/>
    <cellStyle name="Total 2 2 4 28" xfId="29763" xr:uid="{00000000-0005-0000-0000-00004A740000}"/>
    <cellStyle name="Total 2 2 4 29" xfId="29764" xr:uid="{00000000-0005-0000-0000-00004B740000}"/>
    <cellStyle name="Total 2 2 4 3" xfId="29765" xr:uid="{00000000-0005-0000-0000-00004C740000}"/>
    <cellStyle name="Total 2 2 4 30" xfId="29766" xr:uid="{00000000-0005-0000-0000-00004D740000}"/>
    <cellStyle name="Total 2 2 4 31" xfId="29767" xr:uid="{00000000-0005-0000-0000-00004E740000}"/>
    <cellStyle name="Total 2 2 4 32" xfId="29768" xr:uid="{00000000-0005-0000-0000-00004F740000}"/>
    <cellStyle name="Total 2 2 4 33" xfId="29769" xr:uid="{00000000-0005-0000-0000-000050740000}"/>
    <cellStyle name="Total 2 2 4 34" xfId="29770" xr:uid="{00000000-0005-0000-0000-000051740000}"/>
    <cellStyle name="Total 2 2 4 4" xfId="29771" xr:uid="{00000000-0005-0000-0000-000052740000}"/>
    <cellStyle name="Total 2 2 4 5" xfId="29772" xr:uid="{00000000-0005-0000-0000-000053740000}"/>
    <cellStyle name="Total 2 2 4 6" xfId="29773" xr:uid="{00000000-0005-0000-0000-000054740000}"/>
    <cellStyle name="Total 2 2 4 7" xfId="29774" xr:uid="{00000000-0005-0000-0000-000055740000}"/>
    <cellStyle name="Total 2 2 4 8" xfId="29775" xr:uid="{00000000-0005-0000-0000-000056740000}"/>
    <cellStyle name="Total 2 2 4 9" xfId="29776" xr:uid="{00000000-0005-0000-0000-000057740000}"/>
    <cellStyle name="Total 2 2 5" xfId="29777" xr:uid="{00000000-0005-0000-0000-000058740000}"/>
    <cellStyle name="Total 2 2 5 2" xfId="29778" xr:uid="{00000000-0005-0000-0000-000059740000}"/>
    <cellStyle name="Total 2 2 5 3" xfId="29779" xr:uid="{00000000-0005-0000-0000-00005A740000}"/>
    <cellStyle name="Total 2 2 6" xfId="29780" xr:uid="{00000000-0005-0000-0000-00005B740000}"/>
    <cellStyle name="Total 2 2 7" xfId="29781" xr:uid="{00000000-0005-0000-0000-00005C740000}"/>
    <cellStyle name="Total 2 2 8" xfId="29782" xr:uid="{00000000-0005-0000-0000-00005D740000}"/>
    <cellStyle name="Total 2 2 9" xfId="29783" xr:uid="{00000000-0005-0000-0000-00005E740000}"/>
    <cellStyle name="Total 2 20" xfId="29784" xr:uid="{00000000-0005-0000-0000-00005F740000}"/>
    <cellStyle name="Total 2 20 10" xfId="29785" xr:uid="{00000000-0005-0000-0000-000060740000}"/>
    <cellStyle name="Total 2 20 11" xfId="29786" xr:uid="{00000000-0005-0000-0000-000061740000}"/>
    <cellStyle name="Total 2 20 12" xfId="29787" xr:uid="{00000000-0005-0000-0000-000062740000}"/>
    <cellStyle name="Total 2 20 13" xfId="29788" xr:uid="{00000000-0005-0000-0000-000063740000}"/>
    <cellStyle name="Total 2 20 14" xfId="29789" xr:uid="{00000000-0005-0000-0000-000064740000}"/>
    <cellStyle name="Total 2 20 15" xfId="29790" xr:uid="{00000000-0005-0000-0000-000065740000}"/>
    <cellStyle name="Total 2 20 16" xfId="29791" xr:uid="{00000000-0005-0000-0000-000066740000}"/>
    <cellStyle name="Total 2 20 17" xfId="29792" xr:uid="{00000000-0005-0000-0000-000067740000}"/>
    <cellStyle name="Total 2 20 18" xfId="29793" xr:uid="{00000000-0005-0000-0000-000068740000}"/>
    <cellStyle name="Total 2 20 19" xfId="29794" xr:uid="{00000000-0005-0000-0000-000069740000}"/>
    <cellStyle name="Total 2 20 2" xfId="29795" xr:uid="{00000000-0005-0000-0000-00006A740000}"/>
    <cellStyle name="Total 2 20 2 10" xfId="29796" xr:uid="{00000000-0005-0000-0000-00006B740000}"/>
    <cellStyle name="Total 2 20 2 11" xfId="29797" xr:uid="{00000000-0005-0000-0000-00006C740000}"/>
    <cellStyle name="Total 2 20 2 12" xfId="29798" xr:uid="{00000000-0005-0000-0000-00006D740000}"/>
    <cellStyle name="Total 2 20 2 13" xfId="29799" xr:uid="{00000000-0005-0000-0000-00006E740000}"/>
    <cellStyle name="Total 2 20 2 14" xfId="29800" xr:uid="{00000000-0005-0000-0000-00006F740000}"/>
    <cellStyle name="Total 2 20 2 15" xfId="29801" xr:uid="{00000000-0005-0000-0000-000070740000}"/>
    <cellStyle name="Total 2 20 2 16" xfId="29802" xr:uid="{00000000-0005-0000-0000-000071740000}"/>
    <cellStyle name="Total 2 20 2 17" xfId="29803" xr:uid="{00000000-0005-0000-0000-000072740000}"/>
    <cellStyle name="Total 2 20 2 18" xfId="29804" xr:uid="{00000000-0005-0000-0000-000073740000}"/>
    <cellStyle name="Total 2 20 2 19" xfId="29805" xr:uid="{00000000-0005-0000-0000-000074740000}"/>
    <cellStyle name="Total 2 20 2 2" xfId="29806" xr:uid="{00000000-0005-0000-0000-000075740000}"/>
    <cellStyle name="Total 2 20 2 20" xfId="29807" xr:uid="{00000000-0005-0000-0000-000076740000}"/>
    <cellStyle name="Total 2 20 2 21" xfId="29808" xr:uid="{00000000-0005-0000-0000-000077740000}"/>
    <cellStyle name="Total 2 20 2 22" xfId="29809" xr:uid="{00000000-0005-0000-0000-000078740000}"/>
    <cellStyle name="Total 2 20 2 23" xfId="29810" xr:uid="{00000000-0005-0000-0000-000079740000}"/>
    <cellStyle name="Total 2 20 2 24" xfId="29811" xr:uid="{00000000-0005-0000-0000-00007A740000}"/>
    <cellStyle name="Total 2 20 2 25" xfId="29812" xr:uid="{00000000-0005-0000-0000-00007B740000}"/>
    <cellStyle name="Total 2 20 2 26" xfId="29813" xr:uid="{00000000-0005-0000-0000-00007C740000}"/>
    <cellStyle name="Total 2 20 2 27" xfId="29814" xr:uid="{00000000-0005-0000-0000-00007D740000}"/>
    <cellStyle name="Total 2 20 2 28" xfId="29815" xr:uid="{00000000-0005-0000-0000-00007E740000}"/>
    <cellStyle name="Total 2 20 2 29" xfId="29816" xr:uid="{00000000-0005-0000-0000-00007F740000}"/>
    <cellStyle name="Total 2 20 2 3" xfId="29817" xr:uid="{00000000-0005-0000-0000-000080740000}"/>
    <cellStyle name="Total 2 20 2 30" xfId="29818" xr:uid="{00000000-0005-0000-0000-000081740000}"/>
    <cellStyle name="Total 2 20 2 31" xfId="29819" xr:uid="{00000000-0005-0000-0000-000082740000}"/>
    <cellStyle name="Total 2 20 2 32" xfId="29820" xr:uid="{00000000-0005-0000-0000-000083740000}"/>
    <cellStyle name="Total 2 20 2 33" xfId="29821" xr:uid="{00000000-0005-0000-0000-000084740000}"/>
    <cellStyle name="Total 2 20 2 34" xfId="29822" xr:uid="{00000000-0005-0000-0000-000085740000}"/>
    <cellStyle name="Total 2 20 2 4" xfId="29823" xr:uid="{00000000-0005-0000-0000-000086740000}"/>
    <cellStyle name="Total 2 20 2 5" xfId="29824" xr:uid="{00000000-0005-0000-0000-000087740000}"/>
    <cellStyle name="Total 2 20 2 6" xfId="29825" xr:uid="{00000000-0005-0000-0000-000088740000}"/>
    <cellStyle name="Total 2 20 2 7" xfId="29826" xr:uid="{00000000-0005-0000-0000-000089740000}"/>
    <cellStyle name="Total 2 20 2 8" xfId="29827" xr:uid="{00000000-0005-0000-0000-00008A740000}"/>
    <cellStyle name="Total 2 20 2 9" xfId="29828" xr:uid="{00000000-0005-0000-0000-00008B740000}"/>
    <cellStyle name="Total 2 20 20" xfId="29829" xr:uid="{00000000-0005-0000-0000-00008C740000}"/>
    <cellStyle name="Total 2 20 3" xfId="29830" xr:uid="{00000000-0005-0000-0000-00008D740000}"/>
    <cellStyle name="Total 2 20 3 2" xfId="29831" xr:uid="{00000000-0005-0000-0000-00008E740000}"/>
    <cellStyle name="Total 2 20 3 3" xfId="29832" xr:uid="{00000000-0005-0000-0000-00008F740000}"/>
    <cellStyle name="Total 2 20 4" xfId="29833" xr:uid="{00000000-0005-0000-0000-000090740000}"/>
    <cellStyle name="Total 2 20 5" xfId="29834" xr:uid="{00000000-0005-0000-0000-000091740000}"/>
    <cellStyle name="Total 2 20 6" xfId="29835" xr:uid="{00000000-0005-0000-0000-000092740000}"/>
    <cellStyle name="Total 2 20 7" xfId="29836" xr:uid="{00000000-0005-0000-0000-000093740000}"/>
    <cellStyle name="Total 2 20 8" xfId="29837" xr:uid="{00000000-0005-0000-0000-000094740000}"/>
    <cellStyle name="Total 2 20 9" xfId="29838" xr:uid="{00000000-0005-0000-0000-000095740000}"/>
    <cellStyle name="Total 2 21" xfId="29839" xr:uid="{00000000-0005-0000-0000-000096740000}"/>
    <cellStyle name="Total 2 21 10" xfId="29840" xr:uid="{00000000-0005-0000-0000-000097740000}"/>
    <cellStyle name="Total 2 21 11" xfId="29841" xr:uid="{00000000-0005-0000-0000-000098740000}"/>
    <cellStyle name="Total 2 21 12" xfId="29842" xr:uid="{00000000-0005-0000-0000-000099740000}"/>
    <cellStyle name="Total 2 21 13" xfId="29843" xr:uid="{00000000-0005-0000-0000-00009A740000}"/>
    <cellStyle name="Total 2 21 14" xfId="29844" xr:uid="{00000000-0005-0000-0000-00009B740000}"/>
    <cellStyle name="Total 2 21 15" xfId="29845" xr:uid="{00000000-0005-0000-0000-00009C740000}"/>
    <cellStyle name="Total 2 21 16" xfId="29846" xr:uid="{00000000-0005-0000-0000-00009D740000}"/>
    <cellStyle name="Total 2 21 17" xfId="29847" xr:uid="{00000000-0005-0000-0000-00009E740000}"/>
    <cellStyle name="Total 2 21 18" xfId="29848" xr:uid="{00000000-0005-0000-0000-00009F740000}"/>
    <cellStyle name="Total 2 21 19" xfId="29849" xr:uid="{00000000-0005-0000-0000-0000A0740000}"/>
    <cellStyle name="Total 2 21 2" xfId="29850" xr:uid="{00000000-0005-0000-0000-0000A1740000}"/>
    <cellStyle name="Total 2 21 20" xfId="29851" xr:uid="{00000000-0005-0000-0000-0000A2740000}"/>
    <cellStyle name="Total 2 21 21" xfId="29852" xr:uid="{00000000-0005-0000-0000-0000A3740000}"/>
    <cellStyle name="Total 2 21 22" xfId="29853" xr:uid="{00000000-0005-0000-0000-0000A4740000}"/>
    <cellStyle name="Total 2 21 23" xfId="29854" xr:uid="{00000000-0005-0000-0000-0000A5740000}"/>
    <cellStyle name="Total 2 21 24" xfId="29855" xr:uid="{00000000-0005-0000-0000-0000A6740000}"/>
    <cellStyle name="Total 2 21 25" xfId="29856" xr:uid="{00000000-0005-0000-0000-0000A7740000}"/>
    <cellStyle name="Total 2 21 26" xfId="29857" xr:uid="{00000000-0005-0000-0000-0000A8740000}"/>
    <cellStyle name="Total 2 21 27" xfId="29858" xr:uid="{00000000-0005-0000-0000-0000A9740000}"/>
    <cellStyle name="Total 2 21 28" xfId="29859" xr:uid="{00000000-0005-0000-0000-0000AA740000}"/>
    <cellStyle name="Total 2 21 29" xfId="29860" xr:uid="{00000000-0005-0000-0000-0000AB740000}"/>
    <cellStyle name="Total 2 21 3" xfId="29861" xr:uid="{00000000-0005-0000-0000-0000AC740000}"/>
    <cellStyle name="Total 2 21 30" xfId="29862" xr:uid="{00000000-0005-0000-0000-0000AD740000}"/>
    <cellStyle name="Total 2 21 31" xfId="29863" xr:uid="{00000000-0005-0000-0000-0000AE740000}"/>
    <cellStyle name="Total 2 21 32" xfId="29864" xr:uid="{00000000-0005-0000-0000-0000AF740000}"/>
    <cellStyle name="Total 2 21 33" xfId="29865" xr:uid="{00000000-0005-0000-0000-0000B0740000}"/>
    <cellStyle name="Total 2 21 34" xfId="29866" xr:uid="{00000000-0005-0000-0000-0000B1740000}"/>
    <cellStyle name="Total 2 21 4" xfId="29867" xr:uid="{00000000-0005-0000-0000-0000B2740000}"/>
    <cellStyle name="Total 2 21 5" xfId="29868" xr:uid="{00000000-0005-0000-0000-0000B3740000}"/>
    <cellStyle name="Total 2 21 6" xfId="29869" xr:uid="{00000000-0005-0000-0000-0000B4740000}"/>
    <cellStyle name="Total 2 21 7" xfId="29870" xr:uid="{00000000-0005-0000-0000-0000B5740000}"/>
    <cellStyle name="Total 2 21 8" xfId="29871" xr:uid="{00000000-0005-0000-0000-0000B6740000}"/>
    <cellStyle name="Total 2 21 9" xfId="29872" xr:uid="{00000000-0005-0000-0000-0000B7740000}"/>
    <cellStyle name="Total 2 22" xfId="29873" xr:uid="{00000000-0005-0000-0000-0000B8740000}"/>
    <cellStyle name="Total 2 22 2" xfId="29874" xr:uid="{00000000-0005-0000-0000-0000B9740000}"/>
    <cellStyle name="Total 2 22 3" xfId="29875" xr:uid="{00000000-0005-0000-0000-0000BA740000}"/>
    <cellStyle name="Total 2 23" xfId="29876" xr:uid="{00000000-0005-0000-0000-0000BB740000}"/>
    <cellStyle name="Total 2 24" xfId="29877" xr:uid="{00000000-0005-0000-0000-0000BC740000}"/>
    <cellStyle name="Total 2 25" xfId="29878" xr:uid="{00000000-0005-0000-0000-0000BD740000}"/>
    <cellStyle name="Total 2 26" xfId="29879" xr:uid="{00000000-0005-0000-0000-0000BE740000}"/>
    <cellStyle name="Total 2 27" xfId="29880" xr:uid="{00000000-0005-0000-0000-0000BF740000}"/>
    <cellStyle name="Total 2 28" xfId="29881" xr:uid="{00000000-0005-0000-0000-0000C0740000}"/>
    <cellStyle name="Total 2 29" xfId="29882" xr:uid="{00000000-0005-0000-0000-0000C1740000}"/>
    <cellStyle name="Total 2 3" xfId="29883" xr:uid="{00000000-0005-0000-0000-0000C2740000}"/>
    <cellStyle name="Total 2 3 10" xfId="29884" xr:uid="{00000000-0005-0000-0000-0000C3740000}"/>
    <cellStyle name="Total 2 3 11" xfId="29885" xr:uid="{00000000-0005-0000-0000-0000C4740000}"/>
    <cellStyle name="Total 2 3 12" xfId="29886" xr:uid="{00000000-0005-0000-0000-0000C5740000}"/>
    <cellStyle name="Total 2 3 13" xfId="29887" xr:uid="{00000000-0005-0000-0000-0000C6740000}"/>
    <cellStyle name="Total 2 3 14" xfId="29888" xr:uid="{00000000-0005-0000-0000-0000C7740000}"/>
    <cellStyle name="Total 2 3 15" xfId="29889" xr:uid="{00000000-0005-0000-0000-0000C8740000}"/>
    <cellStyle name="Total 2 3 16" xfId="29890" xr:uid="{00000000-0005-0000-0000-0000C9740000}"/>
    <cellStyle name="Total 2 3 17" xfId="29891" xr:uid="{00000000-0005-0000-0000-0000CA740000}"/>
    <cellStyle name="Total 2 3 18" xfId="29892" xr:uid="{00000000-0005-0000-0000-0000CB740000}"/>
    <cellStyle name="Total 2 3 19" xfId="29893" xr:uid="{00000000-0005-0000-0000-0000CC740000}"/>
    <cellStyle name="Total 2 3 2" xfId="29894" xr:uid="{00000000-0005-0000-0000-0000CD740000}"/>
    <cellStyle name="Total 2 3 2 10" xfId="29895" xr:uid="{00000000-0005-0000-0000-0000CE740000}"/>
    <cellStyle name="Total 2 3 2 11" xfId="29896" xr:uid="{00000000-0005-0000-0000-0000CF740000}"/>
    <cellStyle name="Total 2 3 2 12" xfId="29897" xr:uid="{00000000-0005-0000-0000-0000D0740000}"/>
    <cellStyle name="Total 2 3 2 13" xfId="29898" xr:uid="{00000000-0005-0000-0000-0000D1740000}"/>
    <cellStyle name="Total 2 3 2 14" xfId="29899" xr:uid="{00000000-0005-0000-0000-0000D2740000}"/>
    <cellStyle name="Total 2 3 2 15" xfId="29900" xr:uid="{00000000-0005-0000-0000-0000D3740000}"/>
    <cellStyle name="Total 2 3 2 16" xfId="29901" xr:uid="{00000000-0005-0000-0000-0000D4740000}"/>
    <cellStyle name="Total 2 3 2 17" xfId="29902" xr:uid="{00000000-0005-0000-0000-0000D5740000}"/>
    <cellStyle name="Total 2 3 2 18" xfId="29903" xr:uid="{00000000-0005-0000-0000-0000D6740000}"/>
    <cellStyle name="Total 2 3 2 19" xfId="29904" xr:uid="{00000000-0005-0000-0000-0000D7740000}"/>
    <cellStyle name="Total 2 3 2 2" xfId="29905" xr:uid="{00000000-0005-0000-0000-0000D8740000}"/>
    <cellStyle name="Total 2 3 2 2 10" xfId="29906" xr:uid="{00000000-0005-0000-0000-0000D9740000}"/>
    <cellStyle name="Total 2 3 2 2 11" xfId="29907" xr:uid="{00000000-0005-0000-0000-0000DA740000}"/>
    <cellStyle name="Total 2 3 2 2 12" xfId="29908" xr:uid="{00000000-0005-0000-0000-0000DB740000}"/>
    <cellStyle name="Total 2 3 2 2 13" xfId="29909" xr:uid="{00000000-0005-0000-0000-0000DC740000}"/>
    <cellStyle name="Total 2 3 2 2 14" xfId="29910" xr:uid="{00000000-0005-0000-0000-0000DD740000}"/>
    <cellStyle name="Total 2 3 2 2 15" xfId="29911" xr:uid="{00000000-0005-0000-0000-0000DE740000}"/>
    <cellStyle name="Total 2 3 2 2 16" xfId="29912" xr:uid="{00000000-0005-0000-0000-0000DF740000}"/>
    <cellStyle name="Total 2 3 2 2 17" xfId="29913" xr:uid="{00000000-0005-0000-0000-0000E0740000}"/>
    <cellStyle name="Total 2 3 2 2 18" xfId="29914" xr:uid="{00000000-0005-0000-0000-0000E1740000}"/>
    <cellStyle name="Total 2 3 2 2 19" xfId="29915" xr:uid="{00000000-0005-0000-0000-0000E2740000}"/>
    <cellStyle name="Total 2 3 2 2 2" xfId="29916" xr:uid="{00000000-0005-0000-0000-0000E3740000}"/>
    <cellStyle name="Total 2 3 2 2 20" xfId="29917" xr:uid="{00000000-0005-0000-0000-0000E4740000}"/>
    <cellStyle name="Total 2 3 2 2 21" xfId="29918" xr:uid="{00000000-0005-0000-0000-0000E5740000}"/>
    <cellStyle name="Total 2 3 2 2 22" xfId="29919" xr:uid="{00000000-0005-0000-0000-0000E6740000}"/>
    <cellStyle name="Total 2 3 2 2 23" xfId="29920" xr:uid="{00000000-0005-0000-0000-0000E7740000}"/>
    <cellStyle name="Total 2 3 2 2 24" xfId="29921" xr:uid="{00000000-0005-0000-0000-0000E8740000}"/>
    <cellStyle name="Total 2 3 2 2 25" xfId="29922" xr:uid="{00000000-0005-0000-0000-0000E9740000}"/>
    <cellStyle name="Total 2 3 2 2 26" xfId="29923" xr:uid="{00000000-0005-0000-0000-0000EA740000}"/>
    <cellStyle name="Total 2 3 2 2 27" xfId="29924" xr:uid="{00000000-0005-0000-0000-0000EB740000}"/>
    <cellStyle name="Total 2 3 2 2 28" xfId="29925" xr:uid="{00000000-0005-0000-0000-0000EC740000}"/>
    <cellStyle name="Total 2 3 2 2 29" xfId="29926" xr:uid="{00000000-0005-0000-0000-0000ED740000}"/>
    <cellStyle name="Total 2 3 2 2 3" xfId="29927" xr:uid="{00000000-0005-0000-0000-0000EE740000}"/>
    <cellStyle name="Total 2 3 2 2 30" xfId="29928" xr:uid="{00000000-0005-0000-0000-0000EF740000}"/>
    <cellStyle name="Total 2 3 2 2 31" xfId="29929" xr:uid="{00000000-0005-0000-0000-0000F0740000}"/>
    <cellStyle name="Total 2 3 2 2 32" xfId="29930" xr:uid="{00000000-0005-0000-0000-0000F1740000}"/>
    <cellStyle name="Total 2 3 2 2 33" xfId="29931" xr:uid="{00000000-0005-0000-0000-0000F2740000}"/>
    <cellStyle name="Total 2 3 2 2 34" xfId="29932" xr:uid="{00000000-0005-0000-0000-0000F3740000}"/>
    <cellStyle name="Total 2 3 2 2 4" xfId="29933" xr:uid="{00000000-0005-0000-0000-0000F4740000}"/>
    <cellStyle name="Total 2 3 2 2 5" xfId="29934" xr:uid="{00000000-0005-0000-0000-0000F5740000}"/>
    <cellStyle name="Total 2 3 2 2 6" xfId="29935" xr:uid="{00000000-0005-0000-0000-0000F6740000}"/>
    <cellStyle name="Total 2 3 2 2 7" xfId="29936" xr:uid="{00000000-0005-0000-0000-0000F7740000}"/>
    <cellStyle name="Total 2 3 2 2 8" xfId="29937" xr:uid="{00000000-0005-0000-0000-0000F8740000}"/>
    <cellStyle name="Total 2 3 2 2 9" xfId="29938" xr:uid="{00000000-0005-0000-0000-0000F9740000}"/>
    <cellStyle name="Total 2 3 2 20" xfId="29939" xr:uid="{00000000-0005-0000-0000-0000FA740000}"/>
    <cellStyle name="Total 2 3 2 3" xfId="29940" xr:uid="{00000000-0005-0000-0000-0000FB740000}"/>
    <cellStyle name="Total 2 3 2 3 2" xfId="29941" xr:uid="{00000000-0005-0000-0000-0000FC740000}"/>
    <cellStyle name="Total 2 3 2 3 3" xfId="29942" xr:uid="{00000000-0005-0000-0000-0000FD740000}"/>
    <cellStyle name="Total 2 3 2 4" xfId="29943" xr:uid="{00000000-0005-0000-0000-0000FE740000}"/>
    <cellStyle name="Total 2 3 2 5" xfId="29944" xr:uid="{00000000-0005-0000-0000-0000FF740000}"/>
    <cellStyle name="Total 2 3 2 6" xfId="29945" xr:uid="{00000000-0005-0000-0000-000000750000}"/>
    <cellStyle name="Total 2 3 2 7" xfId="29946" xr:uid="{00000000-0005-0000-0000-000001750000}"/>
    <cellStyle name="Total 2 3 2 8" xfId="29947" xr:uid="{00000000-0005-0000-0000-000002750000}"/>
    <cellStyle name="Total 2 3 2 9" xfId="29948" xr:uid="{00000000-0005-0000-0000-000003750000}"/>
    <cellStyle name="Total 2 3 20" xfId="29949" xr:uid="{00000000-0005-0000-0000-000004750000}"/>
    <cellStyle name="Total 2 3 21" xfId="29950" xr:uid="{00000000-0005-0000-0000-000005750000}"/>
    <cellStyle name="Total 2 3 3" xfId="29951" xr:uid="{00000000-0005-0000-0000-000006750000}"/>
    <cellStyle name="Total 2 3 3 10" xfId="29952" xr:uid="{00000000-0005-0000-0000-000007750000}"/>
    <cellStyle name="Total 2 3 3 11" xfId="29953" xr:uid="{00000000-0005-0000-0000-000008750000}"/>
    <cellStyle name="Total 2 3 3 12" xfId="29954" xr:uid="{00000000-0005-0000-0000-000009750000}"/>
    <cellStyle name="Total 2 3 3 13" xfId="29955" xr:uid="{00000000-0005-0000-0000-00000A750000}"/>
    <cellStyle name="Total 2 3 3 14" xfId="29956" xr:uid="{00000000-0005-0000-0000-00000B750000}"/>
    <cellStyle name="Total 2 3 3 15" xfId="29957" xr:uid="{00000000-0005-0000-0000-00000C750000}"/>
    <cellStyle name="Total 2 3 3 16" xfId="29958" xr:uid="{00000000-0005-0000-0000-00000D750000}"/>
    <cellStyle name="Total 2 3 3 17" xfId="29959" xr:uid="{00000000-0005-0000-0000-00000E750000}"/>
    <cellStyle name="Total 2 3 3 18" xfId="29960" xr:uid="{00000000-0005-0000-0000-00000F750000}"/>
    <cellStyle name="Total 2 3 3 19" xfId="29961" xr:uid="{00000000-0005-0000-0000-000010750000}"/>
    <cellStyle name="Total 2 3 3 2" xfId="29962" xr:uid="{00000000-0005-0000-0000-000011750000}"/>
    <cellStyle name="Total 2 3 3 20" xfId="29963" xr:uid="{00000000-0005-0000-0000-000012750000}"/>
    <cellStyle name="Total 2 3 3 21" xfId="29964" xr:uid="{00000000-0005-0000-0000-000013750000}"/>
    <cellStyle name="Total 2 3 3 22" xfId="29965" xr:uid="{00000000-0005-0000-0000-000014750000}"/>
    <cellStyle name="Total 2 3 3 23" xfId="29966" xr:uid="{00000000-0005-0000-0000-000015750000}"/>
    <cellStyle name="Total 2 3 3 24" xfId="29967" xr:uid="{00000000-0005-0000-0000-000016750000}"/>
    <cellStyle name="Total 2 3 3 25" xfId="29968" xr:uid="{00000000-0005-0000-0000-000017750000}"/>
    <cellStyle name="Total 2 3 3 26" xfId="29969" xr:uid="{00000000-0005-0000-0000-000018750000}"/>
    <cellStyle name="Total 2 3 3 27" xfId="29970" xr:uid="{00000000-0005-0000-0000-000019750000}"/>
    <cellStyle name="Total 2 3 3 28" xfId="29971" xr:uid="{00000000-0005-0000-0000-00001A750000}"/>
    <cellStyle name="Total 2 3 3 29" xfId="29972" xr:uid="{00000000-0005-0000-0000-00001B750000}"/>
    <cellStyle name="Total 2 3 3 3" xfId="29973" xr:uid="{00000000-0005-0000-0000-00001C750000}"/>
    <cellStyle name="Total 2 3 3 30" xfId="29974" xr:uid="{00000000-0005-0000-0000-00001D750000}"/>
    <cellStyle name="Total 2 3 3 31" xfId="29975" xr:uid="{00000000-0005-0000-0000-00001E750000}"/>
    <cellStyle name="Total 2 3 3 32" xfId="29976" xr:uid="{00000000-0005-0000-0000-00001F750000}"/>
    <cellStyle name="Total 2 3 3 33" xfId="29977" xr:uid="{00000000-0005-0000-0000-000020750000}"/>
    <cellStyle name="Total 2 3 3 34" xfId="29978" xr:uid="{00000000-0005-0000-0000-000021750000}"/>
    <cellStyle name="Total 2 3 3 4" xfId="29979" xr:uid="{00000000-0005-0000-0000-000022750000}"/>
    <cellStyle name="Total 2 3 3 5" xfId="29980" xr:uid="{00000000-0005-0000-0000-000023750000}"/>
    <cellStyle name="Total 2 3 3 6" xfId="29981" xr:uid="{00000000-0005-0000-0000-000024750000}"/>
    <cellStyle name="Total 2 3 3 7" xfId="29982" xr:uid="{00000000-0005-0000-0000-000025750000}"/>
    <cellStyle name="Total 2 3 3 8" xfId="29983" xr:uid="{00000000-0005-0000-0000-000026750000}"/>
    <cellStyle name="Total 2 3 3 9" xfId="29984" xr:uid="{00000000-0005-0000-0000-000027750000}"/>
    <cellStyle name="Total 2 3 4" xfId="29985" xr:uid="{00000000-0005-0000-0000-000028750000}"/>
    <cellStyle name="Total 2 3 4 2" xfId="29986" xr:uid="{00000000-0005-0000-0000-000029750000}"/>
    <cellStyle name="Total 2 3 4 3" xfId="29987" xr:uid="{00000000-0005-0000-0000-00002A750000}"/>
    <cellStyle name="Total 2 3 5" xfId="29988" xr:uid="{00000000-0005-0000-0000-00002B750000}"/>
    <cellStyle name="Total 2 3 6" xfId="29989" xr:uid="{00000000-0005-0000-0000-00002C750000}"/>
    <cellStyle name="Total 2 3 7" xfId="29990" xr:uid="{00000000-0005-0000-0000-00002D750000}"/>
    <cellStyle name="Total 2 3 8" xfId="29991" xr:uid="{00000000-0005-0000-0000-00002E750000}"/>
    <cellStyle name="Total 2 3 9" xfId="29992" xr:uid="{00000000-0005-0000-0000-00002F750000}"/>
    <cellStyle name="Total 2 30" xfId="29993" xr:uid="{00000000-0005-0000-0000-000030750000}"/>
    <cellStyle name="Total 2 31" xfId="29994" xr:uid="{00000000-0005-0000-0000-000031750000}"/>
    <cellStyle name="Total 2 32" xfId="29995" xr:uid="{00000000-0005-0000-0000-000032750000}"/>
    <cellStyle name="Total 2 33" xfId="29996" xr:uid="{00000000-0005-0000-0000-000033750000}"/>
    <cellStyle name="Total 2 34" xfId="29997" xr:uid="{00000000-0005-0000-0000-000034750000}"/>
    <cellStyle name="Total 2 35" xfId="29998" xr:uid="{00000000-0005-0000-0000-000035750000}"/>
    <cellStyle name="Total 2 36" xfId="29999" xr:uid="{00000000-0005-0000-0000-000036750000}"/>
    <cellStyle name="Total 2 37" xfId="30000" xr:uid="{00000000-0005-0000-0000-000037750000}"/>
    <cellStyle name="Total 2 38" xfId="30001" xr:uid="{00000000-0005-0000-0000-000038750000}"/>
    <cellStyle name="Total 2 39" xfId="30002" xr:uid="{00000000-0005-0000-0000-000039750000}"/>
    <cellStyle name="Total 2 4" xfId="30003" xr:uid="{00000000-0005-0000-0000-00003A750000}"/>
    <cellStyle name="Total 2 4 10" xfId="30004" xr:uid="{00000000-0005-0000-0000-00003B750000}"/>
    <cellStyle name="Total 2 4 11" xfId="30005" xr:uid="{00000000-0005-0000-0000-00003C750000}"/>
    <cellStyle name="Total 2 4 12" xfId="30006" xr:uid="{00000000-0005-0000-0000-00003D750000}"/>
    <cellStyle name="Total 2 4 13" xfId="30007" xr:uid="{00000000-0005-0000-0000-00003E750000}"/>
    <cellStyle name="Total 2 4 14" xfId="30008" xr:uid="{00000000-0005-0000-0000-00003F750000}"/>
    <cellStyle name="Total 2 4 15" xfId="30009" xr:uid="{00000000-0005-0000-0000-000040750000}"/>
    <cellStyle name="Total 2 4 16" xfId="30010" xr:uid="{00000000-0005-0000-0000-000041750000}"/>
    <cellStyle name="Total 2 4 17" xfId="30011" xr:uid="{00000000-0005-0000-0000-000042750000}"/>
    <cellStyle name="Total 2 4 18" xfId="30012" xr:uid="{00000000-0005-0000-0000-000043750000}"/>
    <cellStyle name="Total 2 4 19" xfId="30013" xr:uid="{00000000-0005-0000-0000-000044750000}"/>
    <cellStyle name="Total 2 4 2" xfId="30014" xr:uid="{00000000-0005-0000-0000-000045750000}"/>
    <cellStyle name="Total 2 4 2 10" xfId="30015" xr:uid="{00000000-0005-0000-0000-000046750000}"/>
    <cellStyle name="Total 2 4 2 11" xfId="30016" xr:uid="{00000000-0005-0000-0000-000047750000}"/>
    <cellStyle name="Total 2 4 2 12" xfId="30017" xr:uid="{00000000-0005-0000-0000-000048750000}"/>
    <cellStyle name="Total 2 4 2 13" xfId="30018" xr:uid="{00000000-0005-0000-0000-000049750000}"/>
    <cellStyle name="Total 2 4 2 14" xfId="30019" xr:uid="{00000000-0005-0000-0000-00004A750000}"/>
    <cellStyle name="Total 2 4 2 15" xfId="30020" xr:uid="{00000000-0005-0000-0000-00004B750000}"/>
    <cellStyle name="Total 2 4 2 16" xfId="30021" xr:uid="{00000000-0005-0000-0000-00004C750000}"/>
    <cellStyle name="Total 2 4 2 17" xfId="30022" xr:uid="{00000000-0005-0000-0000-00004D750000}"/>
    <cellStyle name="Total 2 4 2 18" xfId="30023" xr:uid="{00000000-0005-0000-0000-00004E750000}"/>
    <cellStyle name="Total 2 4 2 19" xfId="30024" xr:uid="{00000000-0005-0000-0000-00004F750000}"/>
    <cellStyle name="Total 2 4 2 2" xfId="30025" xr:uid="{00000000-0005-0000-0000-000050750000}"/>
    <cellStyle name="Total 2 4 2 2 10" xfId="30026" xr:uid="{00000000-0005-0000-0000-000051750000}"/>
    <cellStyle name="Total 2 4 2 2 11" xfId="30027" xr:uid="{00000000-0005-0000-0000-000052750000}"/>
    <cellStyle name="Total 2 4 2 2 12" xfId="30028" xr:uid="{00000000-0005-0000-0000-000053750000}"/>
    <cellStyle name="Total 2 4 2 2 13" xfId="30029" xr:uid="{00000000-0005-0000-0000-000054750000}"/>
    <cellStyle name="Total 2 4 2 2 14" xfId="30030" xr:uid="{00000000-0005-0000-0000-000055750000}"/>
    <cellStyle name="Total 2 4 2 2 15" xfId="30031" xr:uid="{00000000-0005-0000-0000-000056750000}"/>
    <cellStyle name="Total 2 4 2 2 16" xfId="30032" xr:uid="{00000000-0005-0000-0000-000057750000}"/>
    <cellStyle name="Total 2 4 2 2 17" xfId="30033" xr:uid="{00000000-0005-0000-0000-000058750000}"/>
    <cellStyle name="Total 2 4 2 2 18" xfId="30034" xr:uid="{00000000-0005-0000-0000-000059750000}"/>
    <cellStyle name="Total 2 4 2 2 19" xfId="30035" xr:uid="{00000000-0005-0000-0000-00005A750000}"/>
    <cellStyle name="Total 2 4 2 2 2" xfId="30036" xr:uid="{00000000-0005-0000-0000-00005B750000}"/>
    <cellStyle name="Total 2 4 2 2 20" xfId="30037" xr:uid="{00000000-0005-0000-0000-00005C750000}"/>
    <cellStyle name="Total 2 4 2 2 21" xfId="30038" xr:uid="{00000000-0005-0000-0000-00005D750000}"/>
    <cellStyle name="Total 2 4 2 2 22" xfId="30039" xr:uid="{00000000-0005-0000-0000-00005E750000}"/>
    <cellStyle name="Total 2 4 2 2 23" xfId="30040" xr:uid="{00000000-0005-0000-0000-00005F750000}"/>
    <cellStyle name="Total 2 4 2 2 24" xfId="30041" xr:uid="{00000000-0005-0000-0000-000060750000}"/>
    <cellStyle name="Total 2 4 2 2 25" xfId="30042" xr:uid="{00000000-0005-0000-0000-000061750000}"/>
    <cellStyle name="Total 2 4 2 2 26" xfId="30043" xr:uid="{00000000-0005-0000-0000-000062750000}"/>
    <cellStyle name="Total 2 4 2 2 27" xfId="30044" xr:uid="{00000000-0005-0000-0000-000063750000}"/>
    <cellStyle name="Total 2 4 2 2 28" xfId="30045" xr:uid="{00000000-0005-0000-0000-000064750000}"/>
    <cellStyle name="Total 2 4 2 2 29" xfId="30046" xr:uid="{00000000-0005-0000-0000-000065750000}"/>
    <cellStyle name="Total 2 4 2 2 3" xfId="30047" xr:uid="{00000000-0005-0000-0000-000066750000}"/>
    <cellStyle name="Total 2 4 2 2 30" xfId="30048" xr:uid="{00000000-0005-0000-0000-000067750000}"/>
    <cellStyle name="Total 2 4 2 2 31" xfId="30049" xr:uid="{00000000-0005-0000-0000-000068750000}"/>
    <cellStyle name="Total 2 4 2 2 32" xfId="30050" xr:uid="{00000000-0005-0000-0000-000069750000}"/>
    <cellStyle name="Total 2 4 2 2 33" xfId="30051" xr:uid="{00000000-0005-0000-0000-00006A750000}"/>
    <cellStyle name="Total 2 4 2 2 34" xfId="30052" xr:uid="{00000000-0005-0000-0000-00006B750000}"/>
    <cellStyle name="Total 2 4 2 2 4" xfId="30053" xr:uid="{00000000-0005-0000-0000-00006C750000}"/>
    <cellStyle name="Total 2 4 2 2 5" xfId="30054" xr:uid="{00000000-0005-0000-0000-00006D750000}"/>
    <cellStyle name="Total 2 4 2 2 6" xfId="30055" xr:uid="{00000000-0005-0000-0000-00006E750000}"/>
    <cellStyle name="Total 2 4 2 2 7" xfId="30056" xr:uid="{00000000-0005-0000-0000-00006F750000}"/>
    <cellStyle name="Total 2 4 2 2 8" xfId="30057" xr:uid="{00000000-0005-0000-0000-000070750000}"/>
    <cellStyle name="Total 2 4 2 2 9" xfId="30058" xr:uid="{00000000-0005-0000-0000-000071750000}"/>
    <cellStyle name="Total 2 4 2 20" xfId="30059" xr:uid="{00000000-0005-0000-0000-000072750000}"/>
    <cellStyle name="Total 2 4 2 3" xfId="30060" xr:uid="{00000000-0005-0000-0000-000073750000}"/>
    <cellStyle name="Total 2 4 2 3 2" xfId="30061" xr:uid="{00000000-0005-0000-0000-000074750000}"/>
    <cellStyle name="Total 2 4 2 3 3" xfId="30062" xr:uid="{00000000-0005-0000-0000-000075750000}"/>
    <cellStyle name="Total 2 4 2 4" xfId="30063" xr:uid="{00000000-0005-0000-0000-000076750000}"/>
    <cellStyle name="Total 2 4 2 5" xfId="30064" xr:uid="{00000000-0005-0000-0000-000077750000}"/>
    <cellStyle name="Total 2 4 2 6" xfId="30065" xr:uid="{00000000-0005-0000-0000-000078750000}"/>
    <cellStyle name="Total 2 4 2 7" xfId="30066" xr:uid="{00000000-0005-0000-0000-000079750000}"/>
    <cellStyle name="Total 2 4 2 8" xfId="30067" xr:uid="{00000000-0005-0000-0000-00007A750000}"/>
    <cellStyle name="Total 2 4 2 9" xfId="30068" xr:uid="{00000000-0005-0000-0000-00007B750000}"/>
    <cellStyle name="Total 2 4 20" xfId="30069" xr:uid="{00000000-0005-0000-0000-00007C750000}"/>
    <cellStyle name="Total 2 4 21" xfId="30070" xr:uid="{00000000-0005-0000-0000-00007D750000}"/>
    <cellStyle name="Total 2 4 3" xfId="30071" xr:uid="{00000000-0005-0000-0000-00007E750000}"/>
    <cellStyle name="Total 2 4 3 10" xfId="30072" xr:uid="{00000000-0005-0000-0000-00007F750000}"/>
    <cellStyle name="Total 2 4 3 11" xfId="30073" xr:uid="{00000000-0005-0000-0000-000080750000}"/>
    <cellStyle name="Total 2 4 3 12" xfId="30074" xr:uid="{00000000-0005-0000-0000-000081750000}"/>
    <cellStyle name="Total 2 4 3 13" xfId="30075" xr:uid="{00000000-0005-0000-0000-000082750000}"/>
    <cellStyle name="Total 2 4 3 14" xfId="30076" xr:uid="{00000000-0005-0000-0000-000083750000}"/>
    <cellStyle name="Total 2 4 3 15" xfId="30077" xr:uid="{00000000-0005-0000-0000-000084750000}"/>
    <cellStyle name="Total 2 4 3 16" xfId="30078" xr:uid="{00000000-0005-0000-0000-000085750000}"/>
    <cellStyle name="Total 2 4 3 17" xfId="30079" xr:uid="{00000000-0005-0000-0000-000086750000}"/>
    <cellStyle name="Total 2 4 3 18" xfId="30080" xr:uid="{00000000-0005-0000-0000-000087750000}"/>
    <cellStyle name="Total 2 4 3 19" xfId="30081" xr:uid="{00000000-0005-0000-0000-000088750000}"/>
    <cellStyle name="Total 2 4 3 2" xfId="30082" xr:uid="{00000000-0005-0000-0000-000089750000}"/>
    <cellStyle name="Total 2 4 3 20" xfId="30083" xr:uid="{00000000-0005-0000-0000-00008A750000}"/>
    <cellStyle name="Total 2 4 3 21" xfId="30084" xr:uid="{00000000-0005-0000-0000-00008B750000}"/>
    <cellStyle name="Total 2 4 3 22" xfId="30085" xr:uid="{00000000-0005-0000-0000-00008C750000}"/>
    <cellStyle name="Total 2 4 3 23" xfId="30086" xr:uid="{00000000-0005-0000-0000-00008D750000}"/>
    <cellStyle name="Total 2 4 3 24" xfId="30087" xr:uid="{00000000-0005-0000-0000-00008E750000}"/>
    <cellStyle name="Total 2 4 3 25" xfId="30088" xr:uid="{00000000-0005-0000-0000-00008F750000}"/>
    <cellStyle name="Total 2 4 3 26" xfId="30089" xr:uid="{00000000-0005-0000-0000-000090750000}"/>
    <cellStyle name="Total 2 4 3 27" xfId="30090" xr:uid="{00000000-0005-0000-0000-000091750000}"/>
    <cellStyle name="Total 2 4 3 28" xfId="30091" xr:uid="{00000000-0005-0000-0000-000092750000}"/>
    <cellStyle name="Total 2 4 3 29" xfId="30092" xr:uid="{00000000-0005-0000-0000-000093750000}"/>
    <cellStyle name="Total 2 4 3 3" xfId="30093" xr:uid="{00000000-0005-0000-0000-000094750000}"/>
    <cellStyle name="Total 2 4 3 30" xfId="30094" xr:uid="{00000000-0005-0000-0000-000095750000}"/>
    <cellStyle name="Total 2 4 3 31" xfId="30095" xr:uid="{00000000-0005-0000-0000-000096750000}"/>
    <cellStyle name="Total 2 4 3 32" xfId="30096" xr:uid="{00000000-0005-0000-0000-000097750000}"/>
    <cellStyle name="Total 2 4 3 33" xfId="30097" xr:uid="{00000000-0005-0000-0000-000098750000}"/>
    <cellStyle name="Total 2 4 3 34" xfId="30098" xr:uid="{00000000-0005-0000-0000-000099750000}"/>
    <cellStyle name="Total 2 4 3 4" xfId="30099" xr:uid="{00000000-0005-0000-0000-00009A750000}"/>
    <cellStyle name="Total 2 4 3 5" xfId="30100" xr:uid="{00000000-0005-0000-0000-00009B750000}"/>
    <cellStyle name="Total 2 4 3 6" xfId="30101" xr:uid="{00000000-0005-0000-0000-00009C750000}"/>
    <cellStyle name="Total 2 4 3 7" xfId="30102" xr:uid="{00000000-0005-0000-0000-00009D750000}"/>
    <cellStyle name="Total 2 4 3 8" xfId="30103" xr:uid="{00000000-0005-0000-0000-00009E750000}"/>
    <cellStyle name="Total 2 4 3 9" xfId="30104" xr:uid="{00000000-0005-0000-0000-00009F750000}"/>
    <cellStyle name="Total 2 4 4" xfId="30105" xr:uid="{00000000-0005-0000-0000-0000A0750000}"/>
    <cellStyle name="Total 2 4 4 2" xfId="30106" xr:uid="{00000000-0005-0000-0000-0000A1750000}"/>
    <cellStyle name="Total 2 4 4 3" xfId="30107" xr:uid="{00000000-0005-0000-0000-0000A2750000}"/>
    <cellStyle name="Total 2 4 5" xfId="30108" xr:uid="{00000000-0005-0000-0000-0000A3750000}"/>
    <cellStyle name="Total 2 4 6" xfId="30109" xr:uid="{00000000-0005-0000-0000-0000A4750000}"/>
    <cellStyle name="Total 2 4 7" xfId="30110" xr:uid="{00000000-0005-0000-0000-0000A5750000}"/>
    <cellStyle name="Total 2 4 8" xfId="30111" xr:uid="{00000000-0005-0000-0000-0000A6750000}"/>
    <cellStyle name="Total 2 4 9" xfId="30112" xr:uid="{00000000-0005-0000-0000-0000A7750000}"/>
    <cellStyle name="Total 2 5" xfId="30113" xr:uid="{00000000-0005-0000-0000-0000A8750000}"/>
    <cellStyle name="Total 2 5 2" xfId="30114" xr:uid="{00000000-0005-0000-0000-0000A9750000}"/>
    <cellStyle name="Total 2 6" xfId="30115" xr:uid="{00000000-0005-0000-0000-0000AA750000}"/>
    <cellStyle name="Total 2 6 2" xfId="30116" xr:uid="{00000000-0005-0000-0000-0000AB750000}"/>
    <cellStyle name="Total 2 7" xfId="30117" xr:uid="{00000000-0005-0000-0000-0000AC750000}"/>
    <cellStyle name="Total 2 7 2" xfId="30118" xr:uid="{00000000-0005-0000-0000-0000AD750000}"/>
    <cellStyle name="Total 2 8" xfId="30119" xr:uid="{00000000-0005-0000-0000-0000AE750000}"/>
    <cellStyle name="Total 2 8 2" xfId="30120" xr:uid="{00000000-0005-0000-0000-0000AF750000}"/>
    <cellStyle name="Total 2 9" xfId="30121" xr:uid="{00000000-0005-0000-0000-0000B0750000}"/>
    <cellStyle name="Total 2 9 2" xfId="30122" xr:uid="{00000000-0005-0000-0000-0000B1750000}"/>
    <cellStyle name="Total 20" xfId="30123" xr:uid="{00000000-0005-0000-0000-0000B2750000}"/>
    <cellStyle name="Total 20 2" xfId="30124" xr:uid="{00000000-0005-0000-0000-0000B3750000}"/>
    <cellStyle name="Total 21" xfId="30125" xr:uid="{00000000-0005-0000-0000-0000B4750000}"/>
    <cellStyle name="Total 21 2" xfId="30126" xr:uid="{00000000-0005-0000-0000-0000B5750000}"/>
    <cellStyle name="Total 22" xfId="30127" xr:uid="{00000000-0005-0000-0000-0000B6750000}"/>
    <cellStyle name="Total 22 2" xfId="30128" xr:uid="{00000000-0005-0000-0000-0000B7750000}"/>
    <cellStyle name="Total 23" xfId="30129" xr:uid="{00000000-0005-0000-0000-0000B8750000}"/>
    <cellStyle name="Total 23 2" xfId="30130" xr:uid="{00000000-0005-0000-0000-0000B9750000}"/>
    <cellStyle name="Total 24" xfId="30131" xr:uid="{00000000-0005-0000-0000-0000BA750000}"/>
    <cellStyle name="Total 24 2" xfId="30132" xr:uid="{00000000-0005-0000-0000-0000BB750000}"/>
    <cellStyle name="Total 25" xfId="30133" xr:uid="{00000000-0005-0000-0000-0000BC750000}"/>
    <cellStyle name="Total 25 2" xfId="30134" xr:uid="{00000000-0005-0000-0000-0000BD750000}"/>
    <cellStyle name="Total 26" xfId="30135" xr:uid="{00000000-0005-0000-0000-0000BE750000}"/>
    <cellStyle name="Total 26 2" xfId="30136" xr:uid="{00000000-0005-0000-0000-0000BF750000}"/>
    <cellStyle name="Total 27" xfId="30137" xr:uid="{00000000-0005-0000-0000-0000C0750000}"/>
    <cellStyle name="Total 27 2" xfId="30138" xr:uid="{00000000-0005-0000-0000-0000C1750000}"/>
    <cellStyle name="Total 3" xfId="30139" xr:uid="{00000000-0005-0000-0000-0000C2750000}"/>
    <cellStyle name="Total 3 10" xfId="30140" xr:uid="{00000000-0005-0000-0000-0000C3750000}"/>
    <cellStyle name="Total 3 11" xfId="30141" xr:uid="{00000000-0005-0000-0000-0000C4750000}"/>
    <cellStyle name="Total 3 12" xfId="30142" xr:uid="{00000000-0005-0000-0000-0000C5750000}"/>
    <cellStyle name="Total 3 13" xfId="30143" xr:uid="{00000000-0005-0000-0000-0000C6750000}"/>
    <cellStyle name="Total 3 14" xfId="30144" xr:uid="{00000000-0005-0000-0000-0000C7750000}"/>
    <cellStyle name="Total 3 15" xfId="30145" xr:uid="{00000000-0005-0000-0000-0000C8750000}"/>
    <cellStyle name="Total 3 16" xfId="30146" xr:uid="{00000000-0005-0000-0000-0000C9750000}"/>
    <cellStyle name="Total 3 17" xfId="30147" xr:uid="{00000000-0005-0000-0000-0000CA750000}"/>
    <cellStyle name="Total 3 18" xfId="30148" xr:uid="{00000000-0005-0000-0000-0000CB750000}"/>
    <cellStyle name="Total 3 19" xfId="30149" xr:uid="{00000000-0005-0000-0000-0000CC750000}"/>
    <cellStyle name="Total 3 2" xfId="30150" xr:uid="{00000000-0005-0000-0000-0000CD750000}"/>
    <cellStyle name="Total 3 2 10" xfId="30151" xr:uid="{00000000-0005-0000-0000-0000CE750000}"/>
    <cellStyle name="Total 3 2 11" xfId="30152" xr:uid="{00000000-0005-0000-0000-0000CF750000}"/>
    <cellStyle name="Total 3 2 12" xfId="30153" xr:uid="{00000000-0005-0000-0000-0000D0750000}"/>
    <cellStyle name="Total 3 2 13" xfId="30154" xr:uid="{00000000-0005-0000-0000-0000D1750000}"/>
    <cellStyle name="Total 3 2 14" xfId="30155" xr:uid="{00000000-0005-0000-0000-0000D2750000}"/>
    <cellStyle name="Total 3 2 15" xfId="30156" xr:uid="{00000000-0005-0000-0000-0000D3750000}"/>
    <cellStyle name="Total 3 2 16" xfId="30157" xr:uid="{00000000-0005-0000-0000-0000D4750000}"/>
    <cellStyle name="Total 3 2 17" xfId="30158" xr:uid="{00000000-0005-0000-0000-0000D5750000}"/>
    <cellStyle name="Total 3 2 18" xfId="30159" xr:uid="{00000000-0005-0000-0000-0000D6750000}"/>
    <cellStyle name="Total 3 2 19" xfId="30160" xr:uid="{00000000-0005-0000-0000-0000D7750000}"/>
    <cellStyle name="Total 3 2 2" xfId="30161" xr:uid="{00000000-0005-0000-0000-0000D8750000}"/>
    <cellStyle name="Total 3 2 2 10" xfId="30162" xr:uid="{00000000-0005-0000-0000-0000D9750000}"/>
    <cellStyle name="Total 3 2 2 11" xfId="30163" xr:uid="{00000000-0005-0000-0000-0000DA750000}"/>
    <cellStyle name="Total 3 2 2 12" xfId="30164" xr:uid="{00000000-0005-0000-0000-0000DB750000}"/>
    <cellStyle name="Total 3 2 2 13" xfId="30165" xr:uid="{00000000-0005-0000-0000-0000DC750000}"/>
    <cellStyle name="Total 3 2 2 14" xfId="30166" xr:uid="{00000000-0005-0000-0000-0000DD750000}"/>
    <cellStyle name="Total 3 2 2 15" xfId="30167" xr:uid="{00000000-0005-0000-0000-0000DE750000}"/>
    <cellStyle name="Total 3 2 2 16" xfId="30168" xr:uid="{00000000-0005-0000-0000-0000DF750000}"/>
    <cellStyle name="Total 3 2 2 17" xfId="30169" xr:uid="{00000000-0005-0000-0000-0000E0750000}"/>
    <cellStyle name="Total 3 2 2 18" xfId="30170" xr:uid="{00000000-0005-0000-0000-0000E1750000}"/>
    <cellStyle name="Total 3 2 2 19" xfId="30171" xr:uid="{00000000-0005-0000-0000-0000E2750000}"/>
    <cellStyle name="Total 3 2 2 2" xfId="30172" xr:uid="{00000000-0005-0000-0000-0000E3750000}"/>
    <cellStyle name="Total 3 2 2 2 10" xfId="30173" xr:uid="{00000000-0005-0000-0000-0000E4750000}"/>
    <cellStyle name="Total 3 2 2 2 11" xfId="30174" xr:uid="{00000000-0005-0000-0000-0000E5750000}"/>
    <cellStyle name="Total 3 2 2 2 12" xfId="30175" xr:uid="{00000000-0005-0000-0000-0000E6750000}"/>
    <cellStyle name="Total 3 2 2 2 13" xfId="30176" xr:uid="{00000000-0005-0000-0000-0000E7750000}"/>
    <cellStyle name="Total 3 2 2 2 14" xfId="30177" xr:uid="{00000000-0005-0000-0000-0000E8750000}"/>
    <cellStyle name="Total 3 2 2 2 15" xfId="30178" xr:uid="{00000000-0005-0000-0000-0000E9750000}"/>
    <cellStyle name="Total 3 2 2 2 16" xfId="30179" xr:uid="{00000000-0005-0000-0000-0000EA750000}"/>
    <cellStyle name="Total 3 2 2 2 17" xfId="30180" xr:uid="{00000000-0005-0000-0000-0000EB750000}"/>
    <cellStyle name="Total 3 2 2 2 18" xfId="30181" xr:uid="{00000000-0005-0000-0000-0000EC750000}"/>
    <cellStyle name="Total 3 2 2 2 19" xfId="30182" xr:uid="{00000000-0005-0000-0000-0000ED750000}"/>
    <cellStyle name="Total 3 2 2 2 2" xfId="30183" xr:uid="{00000000-0005-0000-0000-0000EE750000}"/>
    <cellStyle name="Total 3 2 2 2 20" xfId="30184" xr:uid="{00000000-0005-0000-0000-0000EF750000}"/>
    <cellStyle name="Total 3 2 2 2 21" xfId="30185" xr:uid="{00000000-0005-0000-0000-0000F0750000}"/>
    <cellStyle name="Total 3 2 2 2 22" xfId="30186" xr:uid="{00000000-0005-0000-0000-0000F1750000}"/>
    <cellStyle name="Total 3 2 2 2 23" xfId="30187" xr:uid="{00000000-0005-0000-0000-0000F2750000}"/>
    <cellStyle name="Total 3 2 2 2 24" xfId="30188" xr:uid="{00000000-0005-0000-0000-0000F3750000}"/>
    <cellStyle name="Total 3 2 2 2 25" xfId="30189" xr:uid="{00000000-0005-0000-0000-0000F4750000}"/>
    <cellStyle name="Total 3 2 2 2 26" xfId="30190" xr:uid="{00000000-0005-0000-0000-0000F5750000}"/>
    <cellStyle name="Total 3 2 2 2 27" xfId="30191" xr:uid="{00000000-0005-0000-0000-0000F6750000}"/>
    <cellStyle name="Total 3 2 2 2 28" xfId="30192" xr:uid="{00000000-0005-0000-0000-0000F7750000}"/>
    <cellStyle name="Total 3 2 2 2 29" xfId="30193" xr:uid="{00000000-0005-0000-0000-0000F8750000}"/>
    <cellStyle name="Total 3 2 2 2 3" xfId="30194" xr:uid="{00000000-0005-0000-0000-0000F9750000}"/>
    <cellStyle name="Total 3 2 2 2 30" xfId="30195" xr:uid="{00000000-0005-0000-0000-0000FA750000}"/>
    <cellStyle name="Total 3 2 2 2 31" xfId="30196" xr:uid="{00000000-0005-0000-0000-0000FB750000}"/>
    <cellStyle name="Total 3 2 2 2 32" xfId="30197" xr:uid="{00000000-0005-0000-0000-0000FC750000}"/>
    <cellStyle name="Total 3 2 2 2 33" xfId="30198" xr:uid="{00000000-0005-0000-0000-0000FD750000}"/>
    <cellStyle name="Total 3 2 2 2 34" xfId="30199" xr:uid="{00000000-0005-0000-0000-0000FE750000}"/>
    <cellStyle name="Total 3 2 2 2 4" xfId="30200" xr:uid="{00000000-0005-0000-0000-0000FF750000}"/>
    <cellStyle name="Total 3 2 2 2 5" xfId="30201" xr:uid="{00000000-0005-0000-0000-000000760000}"/>
    <cellStyle name="Total 3 2 2 2 6" xfId="30202" xr:uid="{00000000-0005-0000-0000-000001760000}"/>
    <cellStyle name="Total 3 2 2 2 7" xfId="30203" xr:uid="{00000000-0005-0000-0000-000002760000}"/>
    <cellStyle name="Total 3 2 2 2 8" xfId="30204" xr:uid="{00000000-0005-0000-0000-000003760000}"/>
    <cellStyle name="Total 3 2 2 2 9" xfId="30205" xr:uid="{00000000-0005-0000-0000-000004760000}"/>
    <cellStyle name="Total 3 2 2 20" xfId="30206" xr:uid="{00000000-0005-0000-0000-000005760000}"/>
    <cellStyle name="Total 3 2 2 3" xfId="30207" xr:uid="{00000000-0005-0000-0000-000006760000}"/>
    <cellStyle name="Total 3 2 2 3 2" xfId="30208" xr:uid="{00000000-0005-0000-0000-000007760000}"/>
    <cellStyle name="Total 3 2 2 3 3" xfId="30209" xr:uid="{00000000-0005-0000-0000-000008760000}"/>
    <cellStyle name="Total 3 2 2 4" xfId="30210" xr:uid="{00000000-0005-0000-0000-000009760000}"/>
    <cellStyle name="Total 3 2 2 5" xfId="30211" xr:uid="{00000000-0005-0000-0000-00000A760000}"/>
    <cellStyle name="Total 3 2 2 6" xfId="30212" xr:uid="{00000000-0005-0000-0000-00000B760000}"/>
    <cellStyle name="Total 3 2 2 7" xfId="30213" xr:uid="{00000000-0005-0000-0000-00000C760000}"/>
    <cellStyle name="Total 3 2 2 8" xfId="30214" xr:uid="{00000000-0005-0000-0000-00000D760000}"/>
    <cellStyle name="Total 3 2 2 9" xfId="30215" xr:uid="{00000000-0005-0000-0000-00000E760000}"/>
    <cellStyle name="Total 3 2 20" xfId="30216" xr:uid="{00000000-0005-0000-0000-00000F760000}"/>
    <cellStyle name="Total 3 2 21" xfId="30217" xr:uid="{00000000-0005-0000-0000-000010760000}"/>
    <cellStyle name="Total 3 2 3" xfId="30218" xr:uid="{00000000-0005-0000-0000-000011760000}"/>
    <cellStyle name="Total 3 2 3 10" xfId="30219" xr:uid="{00000000-0005-0000-0000-000012760000}"/>
    <cellStyle name="Total 3 2 3 11" xfId="30220" xr:uid="{00000000-0005-0000-0000-000013760000}"/>
    <cellStyle name="Total 3 2 3 12" xfId="30221" xr:uid="{00000000-0005-0000-0000-000014760000}"/>
    <cellStyle name="Total 3 2 3 13" xfId="30222" xr:uid="{00000000-0005-0000-0000-000015760000}"/>
    <cellStyle name="Total 3 2 3 14" xfId="30223" xr:uid="{00000000-0005-0000-0000-000016760000}"/>
    <cellStyle name="Total 3 2 3 15" xfId="30224" xr:uid="{00000000-0005-0000-0000-000017760000}"/>
    <cellStyle name="Total 3 2 3 16" xfId="30225" xr:uid="{00000000-0005-0000-0000-000018760000}"/>
    <cellStyle name="Total 3 2 3 17" xfId="30226" xr:uid="{00000000-0005-0000-0000-000019760000}"/>
    <cellStyle name="Total 3 2 3 18" xfId="30227" xr:uid="{00000000-0005-0000-0000-00001A760000}"/>
    <cellStyle name="Total 3 2 3 19" xfId="30228" xr:uid="{00000000-0005-0000-0000-00001B760000}"/>
    <cellStyle name="Total 3 2 3 2" xfId="30229" xr:uid="{00000000-0005-0000-0000-00001C760000}"/>
    <cellStyle name="Total 3 2 3 20" xfId="30230" xr:uid="{00000000-0005-0000-0000-00001D760000}"/>
    <cellStyle name="Total 3 2 3 21" xfId="30231" xr:uid="{00000000-0005-0000-0000-00001E760000}"/>
    <cellStyle name="Total 3 2 3 22" xfId="30232" xr:uid="{00000000-0005-0000-0000-00001F760000}"/>
    <cellStyle name="Total 3 2 3 23" xfId="30233" xr:uid="{00000000-0005-0000-0000-000020760000}"/>
    <cellStyle name="Total 3 2 3 24" xfId="30234" xr:uid="{00000000-0005-0000-0000-000021760000}"/>
    <cellStyle name="Total 3 2 3 25" xfId="30235" xr:uid="{00000000-0005-0000-0000-000022760000}"/>
    <cellStyle name="Total 3 2 3 26" xfId="30236" xr:uid="{00000000-0005-0000-0000-000023760000}"/>
    <cellStyle name="Total 3 2 3 27" xfId="30237" xr:uid="{00000000-0005-0000-0000-000024760000}"/>
    <cellStyle name="Total 3 2 3 28" xfId="30238" xr:uid="{00000000-0005-0000-0000-000025760000}"/>
    <cellStyle name="Total 3 2 3 29" xfId="30239" xr:uid="{00000000-0005-0000-0000-000026760000}"/>
    <cellStyle name="Total 3 2 3 3" xfId="30240" xr:uid="{00000000-0005-0000-0000-000027760000}"/>
    <cellStyle name="Total 3 2 3 30" xfId="30241" xr:uid="{00000000-0005-0000-0000-000028760000}"/>
    <cellStyle name="Total 3 2 3 31" xfId="30242" xr:uid="{00000000-0005-0000-0000-000029760000}"/>
    <cellStyle name="Total 3 2 3 32" xfId="30243" xr:uid="{00000000-0005-0000-0000-00002A760000}"/>
    <cellStyle name="Total 3 2 3 33" xfId="30244" xr:uid="{00000000-0005-0000-0000-00002B760000}"/>
    <cellStyle name="Total 3 2 3 34" xfId="30245" xr:uid="{00000000-0005-0000-0000-00002C760000}"/>
    <cellStyle name="Total 3 2 3 4" xfId="30246" xr:uid="{00000000-0005-0000-0000-00002D760000}"/>
    <cellStyle name="Total 3 2 3 5" xfId="30247" xr:uid="{00000000-0005-0000-0000-00002E760000}"/>
    <cellStyle name="Total 3 2 3 6" xfId="30248" xr:uid="{00000000-0005-0000-0000-00002F760000}"/>
    <cellStyle name="Total 3 2 3 7" xfId="30249" xr:uid="{00000000-0005-0000-0000-000030760000}"/>
    <cellStyle name="Total 3 2 3 8" xfId="30250" xr:uid="{00000000-0005-0000-0000-000031760000}"/>
    <cellStyle name="Total 3 2 3 9" xfId="30251" xr:uid="{00000000-0005-0000-0000-000032760000}"/>
    <cellStyle name="Total 3 2 4" xfId="30252" xr:uid="{00000000-0005-0000-0000-000033760000}"/>
    <cellStyle name="Total 3 2 4 2" xfId="30253" xr:uid="{00000000-0005-0000-0000-000034760000}"/>
    <cellStyle name="Total 3 2 4 3" xfId="30254" xr:uid="{00000000-0005-0000-0000-000035760000}"/>
    <cellStyle name="Total 3 2 5" xfId="30255" xr:uid="{00000000-0005-0000-0000-000036760000}"/>
    <cellStyle name="Total 3 2 6" xfId="30256" xr:uid="{00000000-0005-0000-0000-000037760000}"/>
    <cellStyle name="Total 3 2 7" xfId="30257" xr:uid="{00000000-0005-0000-0000-000038760000}"/>
    <cellStyle name="Total 3 2 8" xfId="30258" xr:uid="{00000000-0005-0000-0000-000039760000}"/>
    <cellStyle name="Total 3 2 9" xfId="30259" xr:uid="{00000000-0005-0000-0000-00003A760000}"/>
    <cellStyle name="Total 3 20" xfId="30260" xr:uid="{00000000-0005-0000-0000-00003B760000}"/>
    <cellStyle name="Total 3 21" xfId="30261" xr:uid="{00000000-0005-0000-0000-00003C760000}"/>
    <cellStyle name="Total 3 22" xfId="30262" xr:uid="{00000000-0005-0000-0000-00003D760000}"/>
    <cellStyle name="Total 3 3" xfId="30263" xr:uid="{00000000-0005-0000-0000-00003E760000}"/>
    <cellStyle name="Total 3 3 10" xfId="30264" xr:uid="{00000000-0005-0000-0000-00003F760000}"/>
    <cellStyle name="Total 3 3 11" xfId="30265" xr:uid="{00000000-0005-0000-0000-000040760000}"/>
    <cellStyle name="Total 3 3 12" xfId="30266" xr:uid="{00000000-0005-0000-0000-000041760000}"/>
    <cellStyle name="Total 3 3 13" xfId="30267" xr:uid="{00000000-0005-0000-0000-000042760000}"/>
    <cellStyle name="Total 3 3 14" xfId="30268" xr:uid="{00000000-0005-0000-0000-000043760000}"/>
    <cellStyle name="Total 3 3 15" xfId="30269" xr:uid="{00000000-0005-0000-0000-000044760000}"/>
    <cellStyle name="Total 3 3 16" xfId="30270" xr:uid="{00000000-0005-0000-0000-000045760000}"/>
    <cellStyle name="Total 3 3 17" xfId="30271" xr:uid="{00000000-0005-0000-0000-000046760000}"/>
    <cellStyle name="Total 3 3 18" xfId="30272" xr:uid="{00000000-0005-0000-0000-000047760000}"/>
    <cellStyle name="Total 3 3 19" xfId="30273" xr:uid="{00000000-0005-0000-0000-000048760000}"/>
    <cellStyle name="Total 3 3 2" xfId="30274" xr:uid="{00000000-0005-0000-0000-000049760000}"/>
    <cellStyle name="Total 3 3 2 10" xfId="30275" xr:uid="{00000000-0005-0000-0000-00004A760000}"/>
    <cellStyle name="Total 3 3 2 11" xfId="30276" xr:uid="{00000000-0005-0000-0000-00004B760000}"/>
    <cellStyle name="Total 3 3 2 12" xfId="30277" xr:uid="{00000000-0005-0000-0000-00004C760000}"/>
    <cellStyle name="Total 3 3 2 13" xfId="30278" xr:uid="{00000000-0005-0000-0000-00004D760000}"/>
    <cellStyle name="Total 3 3 2 14" xfId="30279" xr:uid="{00000000-0005-0000-0000-00004E760000}"/>
    <cellStyle name="Total 3 3 2 15" xfId="30280" xr:uid="{00000000-0005-0000-0000-00004F760000}"/>
    <cellStyle name="Total 3 3 2 16" xfId="30281" xr:uid="{00000000-0005-0000-0000-000050760000}"/>
    <cellStyle name="Total 3 3 2 17" xfId="30282" xr:uid="{00000000-0005-0000-0000-000051760000}"/>
    <cellStyle name="Total 3 3 2 18" xfId="30283" xr:uid="{00000000-0005-0000-0000-000052760000}"/>
    <cellStyle name="Total 3 3 2 19" xfId="30284" xr:uid="{00000000-0005-0000-0000-000053760000}"/>
    <cellStyle name="Total 3 3 2 2" xfId="30285" xr:uid="{00000000-0005-0000-0000-000054760000}"/>
    <cellStyle name="Total 3 3 2 20" xfId="30286" xr:uid="{00000000-0005-0000-0000-000055760000}"/>
    <cellStyle name="Total 3 3 2 21" xfId="30287" xr:uid="{00000000-0005-0000-0000-000056760000}"/>
    <cellStyle name="Total 3 3 2 22" xfId="30288" xr:uid="{00000000-0005-0000-0000-000057760000}"/>
    <cellStyle name="Total 3 3 2 23" xfId="30289" xr:uid="{00000000-0005-0000-0000-000058760000}"/>
    <cellStyle name="Total 3 3 2 24" xfId="30290" xr:uid="{00000000-0005-0000-0000-000059760000}"/>
    <cellStyle name="Total 3 3 2 25" xfId="30291" xr:uid="{00000000-0005-0000-0000-00005A760000}"/>
    <cellStyle name="Total 3 3 2 26" xfId="30292" xr:uid="{00000000-0005-0000-0000-00005B760000}"/>
    <cellStyle name="Total 3 3 2 27" xfId="30293" xr:uid="{00000000-0005-0000-0000-00005C760000}"/>
    <cellStyle name="Total 3 3 2 28" xfId="30294" xr:uid="{00000000-0005-0000-0000-00005D760000}"/>
    <cellStyle name="Total 3 3 2 29" xfId="30295" xr:uid="{00000000-0005-0000-0000-00005E760000}"/>
    <cellStyle name="Total 3 3 2 3" xfId="30296" xr:uid="{00000000-0005-0000-0000-00005F760000}"/>
    <cellStyle name="Total 3 3 2 30" xfId="30297" xr:uid="{00000000-0005-0000-0000-000060760000}"/>
    <cellStyle name="Total 3 3 2 31" xfId="30298" xr:uid="{00000000-0005-0000-0000-000061760000}"/>
    <cellStyle name="Total 3 3 2 32" xfId="30299" xr:uid="{00000000-0005-0000-0000-000062760000}"/>
    <cellStyle name="Total 3 3 2 33" xfId="30300" xr:uid="{00000000-0005-0000-0000-000063760000}"/>
    <cellStyle name="Total 3 3 2 34" xfId="30301" xr:uid="{00000000-0005-0000-0000-000064760000}"/>
    <cellStyle name="Total 3 3 2 4" xfId="30302" xr:uid="{00000000-0005-0000-0000-000065760000}"/>
    <cellStyle name="Total 3 3 2 5" xfId="30303" xr:uid="{00000000-0005-0000-0000-000066760000}"/>
    <cellStyle name="Total 3 3 2 6" xfId="30304" xr:uid="{00000000-0005-0000-0000-000067760000}"/>
    <cellStyle name="Total 3 3 2 7" xfId="30305" xr:uid="{00000000-0005-0000-0000-000068760000}"/>
    <cellStyle name="Total 3 3 2 8" xfId="30306" xr:uid="{00000000-0005-0000-0000-000069760000}"/>
    <cellStyle name="Total 3 3 2 9" xfId="30307" xr:uid="{00000000-0005-0000-0000-00006A760000}"/>
    <cellStyle name="Total 3 3 20" xfId="30308" xr:uid="{00000000-0005-0000-0000-00006B760000}"/>
    <cellStyle name="Total 3 3 3" xfId="30309" xr:uid="{00000000-0005-0000-0000-00006C760000}"/>
    <cellStyle name="Total 3 3 3 2" xfId="30310" xr:uid="{00000000-0005-0000-0000-00006D760000}"/>
    <cellStyle name="Total 3 3 3 3" xfId="30311" xr:uid="{00000000-0005-0000-0000-00006E760000}"/>
    <cellStyle name="Total 3 3 4" xfId="30312" xr:uid="{00000000-0005-0000-0000-00006F760000}"/>
    <cellStyle name="Total 3 3 5" xfId="30313" xr:uid="{00000000-0005-0000-0000-000070760000}"/>
    <cellStyle name="Total 3 3 6" xfId="30314" xr:uid="{00000000-0005-0000-0000-000071760000}"/>
    <cellStyle name="Total 3 3 7" xfId="30315" xr:uid="{00000000-0005-0000-0000-000072760000}"/>
    <cellStyle name="Total 3 3 8" xfId="30316" xr:uid="{00000000-0005-0000-0000-000073760000}"/>
    <cellStyle name="Total 3 3 9" xfId="30317" xr:uid="{00000000-0005-0000-0000-000074760000}"/>
    <cellStyle name="Total 3 4" xfId="30318" xr:uid="{00000000-0005-0000-0000-000075760000}"/>
    <cellStyle name="Total 3 4 10" xfId="30319" xr:uid="{00000000-0005-0000-0000-000076760000}"/>
    <cellStyle name="Total 3 4 11" xfId="30320" xr:uid="{00000000-0005-0000-0000-000077760000}"/>
    <cellStyle name="Total 3 4 12" xfId="30321" xr:uid="{00000000-0005-0000-0000-000078760000}"/>
    <cellStyle name="Total 3 4 13" xfId="30322" xr:uid="{00000000-0005-0000-0000-000079760000}"/>
    <cellStyle name="Total 3 4 14" xfId="30323" xr:uid="{00000000-0005-0000-0000-00007A760000}"/>
    <cellStyle name="Total 3 4 15" xfId="30324" xr:uid="{00000000-0005-0000-0000-00007B760000}"/>
    <cellStyle name="Total 3 4 16" xfId="30325" xr:uid="{00000000-0005-0000-0000-00007C760000}"/>
    <cellStyle name="Total 3 4 17" xfId="30326" xr:uid="{00000000-0005-0000-0000-00007D760000}"/>
    <cellStyle name="Total 3 4 18" xfId="30327" xr:uid="{00000000-0005-0000-0000-00007E760000}"/>
    <cellStyle name="Total 3 4 19" xfId="30328" xr:uid="{00000000-0005-0000-0000-00007F760000}"/>
    <cellStyle name="Total 3 4 2" xfId="30329" xr:uid="{00000000-0005-0000-0000-000080760000}"/>
    <cellStyle name="Total 3 4 20" xfId="30330" xr:uid="{00000000-0005-0000-0000-000081760000}"/>
    <cellStyle name="Total 3 4 21" xfId="30331" xr:uid="{00000000-0005-0000-0000-000082760000}"/>
    <cellStyle name="Total 3 4 22" xfId="30332" xr:uid="{00000000-0005-0000-0000-000083760000}"/>
    <cellStyle name="Total 3 4 23" xfId="30333" xr:uid="{00000000-0005-0000-0000-000084760000}"/>
    <cellStyle name="Total 3 4 24" xfId="30334" xr:uid="{00000000-0005-0000-0000-000085760000}"/>
    <cellStyle name="Total 3 4 25" xfId="30335" xr:uid="{00000000-0005-0000-0000-000086760000}"/>
    <cellStyle name="Total 3 4 26" xfId="30336" xr:uid="{00000000-0005-0000-0000-000087760000}"/>
    <cellStyle name="Total 3 4 27" xfId="30337" xr:uid="{00000000-0005-0000-0000-000088760000}"/>
    <cellStyle name="Total 3 4 28" xfId="30338" xr:uid="{00000000-0005-0000-0000-000089760000}"/>
    <cellStyle name="Total 3 4 29" xfId="30339" xr:uid="{00000000-0005-0000-0000-00008A760000}"/>
    <cellStyle name="Total 3 4 3" xfId="30340" xr:uid="{00000000-0005-0000-0000-00008B760000}"/>
    <cellStyle name="Total 3 4 30" xfId="30341" xr:uid="{00000000-0005-0000-0000-00008C760000}"/>
    <cellStyle name="Total 3 4 31" xfId="30342" xr:uid="{00000000-0005-0000-0000-00008D760000}"/>
    <cellStyle name="Total 3 4 32" xfId="30343" xr:uid="{00000000-0005-0000-0000-00008E760000}"/>
    <cellStyle name="Total 3 4 33" xfId="30344" xr:uid="{00000000-0005-0000-0000-00008F760000}"/>
    <cellStyle name="Total 3 4 34" xfId="30345" xr:uid="{00000000-0005-0000-0000-000090760000}"/>
    <cellStyle name="Total 3 4 4" xfId="30346" xr:uid="{00000000-0005-0000-0000-000091760000}"/>
    <cellStyle name="Total 3 4 5" xfId="30347" xr:uid="{00000000-0005-0000-0000-000092760000}"/>
    <cellStyle name="Total 3 4 6" xfId="30348" xr:uid="{00000000-0005-0000-0000-000093760000}"/>
    <cellStyle name="Total 3 4 7" xfId="30349" xr:uid="{00000000-0005-0000-0000-000094760000}"/>
    <cellStyle name="Total 3 4 8" xfId="30350" xr:uid="{00000000-0005-0000-0000-000095760000}"/>
    <cellStyle name="Total 3 4 9" xfId="30351" xr:uid="{00000000-0005-0000-0000-000096760000}"/>
    <cellStyle name="Total 3 5" xfId="30352" xr:uid="{00000000-0005-0000-0000-000097760000}"/>
    <cellStyle name="Total 3 5 2" xfId="30353" xr:uid="{00000000-0005-0000-0000-000098760000}"/>
    <cellStyle name="Total 3 5 3" xfId="30354" xr:uid="{00000000-0005-0000-0000-000099760000}"/>
    <cellStyle name="Total 3 6" xfId="30355" xr:uid="{00000000-0005-0000-0000-00009A760000}"/>
    <cellStyle name="Total 3 7" xfId="30356" xr:uid="{00000000-0005-0000-0000-00009B760000}"/>
    <cellStyle name="Total 3 8" xfId="30357" xr:uid="{00000000-0005-0000-0000-00009C760000}"/>
    <cellStyle name="Total 3 9" xfId="30358" xr:uid="{00000000-0005-0000-0000-00009D760000}"/>
    <cellStyle name="Total 4" xfId="30359" xr:uid="{00000000-0005-0000-0000-00009E760000}"/>
    <cellStyle name="Total 4 2" xfId="30360" xr:uid="{00000000-0005-0000-0000-00009F760000}"/>
    <cellStyle name="Total 4 2 2" xfId="30361" xr:uid="{00000000-0005-0000-0000-0000A0760000}"/>
    <cellStyle name="Total 4 3" xfId="30362" xr:uid="{00000000-0005-0000-0000-0000A1760000}"/>
    <cellStyle name="Total 4 3 10" xfId="30363" xr:uid="{00000000-0005-0000-0000-0000A2760000}"/>
    <cellStyle name="Total 4 3 11" xfId="30364" xr:uid="{00000000-0005-0000-0000-0000A3760000}"/>
    <cellStyle name="Total 4 3 12" xfId="30365" xr:uid="{00000000-0005-0000-0000-0000A4760000}"/>
    <cellStyle name="Total 4 3 13" xfId="30366" xr:uid="{00000000-0005-0000-0000-0000A5760000}"/>
    <cellStyle name="Total 4 3 14" xfId="30367" xr:uid="{00000000-0005-0000-0000-0000A6760000}"/>
    <cellStyle name="Total 4 3 15" xfId="30368" xr:uid="{00000000-0005-0000-0000-0000A7760000}"/>
    <cellStyle name="Total 4 3 16" xfId="30369" xr:uid="{00000000-0005-0000-0000-0000A8760000}"/>
    <cellStyle name="Total 4 3 17" xfId="30370" xr:uid="{00000000-0005-0000-0000-0000A9760000}"/>
    <cellStyle name="Total 4 3 18" xfId="30371" xr:uid="{00000000-0005-0000-0000-0000AA760000}"/>
    <cellStyle name="Total 4 3 19" xfId="30372" xr:uid="{00000000-0005-0000-0000-0000AB760000}"/>
    <cellStyle name="Total 4 3 2" xfId="30373" xr:uid="{00000000-0005-0000-0000-0000AC760000}"/>
    <cellStyle name="Total 4 3 2 10" xfId="30374" xr:uid="{00000000-0005-0000-0000-0000AD760000}"/>
    <cellStyle name="Total 4 3 2 11" xfId="30375" xr:uid="{00000000-0005-0000-0000-0000AE760000}"/>
    <cellStyle name="Total 4 3 2 12" xfId="30376" xr:uid="{00000000-0005-0000-0000-0000AF760000}"/>
    <cellStyle name="Total 4 3 2 13" xfId="30377" xr:uid="{00000000-0005-0000-0000-0000B0760000}"/>
    <cellStyle name="Total 4 3 2 14" xfId="30378" xr:uid="{00000000-0005-0000-0000-0000B1760000}"/>
    <cellStyle name="Total 4 3 2 15" xfId="30379" xr:uid="{00000000-0005-0000-0000-0000B2760000}"/>
    <cellStyle name="Total 4 3 2 16" xfId="30380" xr:uid="{00000000-0005-0000-0000-0000B3760000}"/>
    <cellStyle name="Total 4 3 2 17" xfId="30381" xr:uid="{00000000-0005-0000-0000-0000B4760000}"/>
    <cellStyle name="Total 4 3 2 18" xfId="30382" xr:uid="{00000000-0005-0000-0000-0000B5760000}"/>
    <cellStyle name="Total 4 3 2 19" xfId="30383" xr:uid="{00000000-0005-0000-0000-0000B6760000}"/>
    <cellStyle name="Total 4 3 2 2" xfId="30384" xr:uid="{00000000-0005-0000-0000-0000B7760000}"/>
    <cellStyle name="Total 4 3 2 20" xfId="30385" xr:uid="{00000000-0005-0000-0000-0000B8760000}"/>
    <cellStyle name="Total 4 3 2 21" xfId="30386" xr:uid="{00000000-0005-0000-0000-0000B9760000}"/>
    <cellStyle name="Total 4 3 2 22" xfId="30387" xr:uid="{00000000-0005-0000-0000-0000BA760000}"/>
    <cellStyle name="Total 4 3 2 23" xfId="30388" xr:uid="{00000000-0005-0000-0000-0000BB760000}"/>
    <cellStyle name="Total 4 3 2 24" xfId="30389" xr:uid="{00000000-0005-0000-0000-0000BC760000}"/>
    <cellStyle name="Total 4 3 2 25" xfId="30390" xr:uid="{00000000-0005-0000-0000-0000BD760000}"/>
    <cellStyle name="Total 4 3 2 26" xfId="30391" xr:uid="{00000000-0005-0000-0000-0000BE760000}"/>
    <cellStyle name="Total 4 3 2 27" xfId="30392" xr:uid="{00000000-0005-0000-0000-0000BF760000}"/>
    <cellStyle name="Total 4 3 2 28" xfId="30393" xr:uid="{00000000-0005-0000-0000-0000C0760000}"/>
    <cellStyle name="Total 4 3 2 29" xfId="30394" xr:uid="{00000000-0005-0000-0000-0000C1760000}"/>
    <cellStyle name="Total 4 3 2 3" xfId="30395" xr:uid="{00000000-0005-0000-0000-0000C2760000}"/>
    <cellStyle name="Total 4 3 2 30" xfId="30396" xr:uid="{00000000-0005-0000-0000-0000C3760000}"/>
    <cellStyle name="Total 4 3 2 31" xfId="30397" xr:uid="{00000000-0005-0000-0000-0000C4760000}"/>
    <cellStyle name="Total 4 3 2 32" xfId="30398" xr:uid="{00000000-0005-0000-0000-0000C5760000}"/>
    <cellStyle name="Total 4 3 2 33" xfId="30399" xr:uid="{00000000-0005-0000-0000-0000C6760000}"/>
    <cellStyle name="Total 4 3 2 34" xfId="30400" xr:uid="{00000000-0005-0000-0000-0000C7760000}"/>
    <cellStyle name="Total 4 3 2 4" xfId="30401" xr:uid="{00000000-0005-0000-0000-0000C8760000}"/>
    <cellStyle name="Total 4 3 2 5" xfId="30402" xr:uid="{00000000-0005-0000-0000-0000C9760000}"/>
    <cellStyle name="Total 4 3 2 6" xfId="30403" xr:uid="{00000000-0005-0000-0000-0000CA760000}"/>
    <cellStyle name="Total 4 3 2 7" xfId="30404" xr:uid="{00000000-0005-0000-0000-0000CB760000}"/>
    <cellStyle name="Total 4 3 2 8" xfId="30405" xr:uid="{00000000-0005-0000-0000-0000CC760000}"/>
    <cellStyle name="Total 4 3 2 9" xfId="30406" xr:uid="{00000000-0005-0000-0000-0000CD760000}"/>
    <cellStyle name="Total 4 3 20" xfId="30407" xr:uid="{00000000-0005-0000-0000-0000CE760000}"/>
    <cellStyle name="Total 4 3 3" xfId="30408" xr:uid="{00000000-0005-0000-0000-0000CF760000}"/>
    <cellStyle name="Total 4 3 3 2" xfId="30409" xr:uid="{00000000-0005-0000-0000-0000D0760000}"/>
    <cellStyle name="Total 4 3 3 3" xfId="30410" xr:uid="{00000000-0005-0000-0000-0000D1760000}"/>
    <cellStyle name="Total 4 3 4" xfId="30411" xr:uid="{00000000-0005-0000-0000-0000D2760000}"/>
    <cellStyle name="Total 4 3 5" xfId="30412" xr:uid="{00000000-0005-0000-0000-0000D3760000}"/>
    <cellStyle name="Total 4 3 6" xfId="30413" xr:uid="{00000000-0005-0000-0000-0000D4760000}"/>
    <cellStyle name="Total 4 3 7" xfId="30414" xr:uid="{00000000-0005-0000-0000-0000D5760000}"/>
    <cellStyle name="Total 4 3 8" xfId="30415" xr:uid="{00000000-0005-0000-0000-0000D6760000}"/>
    <cellStyle name="Total 4 3 9" xfId="30416" xr:uid="{00000000-0005-0000-0000-0000D7760000}"/>
    <cellStyle name="Total 5" xfId="30417" xr:uid="{00000000-0005-0000-0000-0000D8760000}"/>
    <cellStyle name="Total 5 10" xfId="30418" xr:uid="{00000000-0005-0000-0000-0000D9760000}"/>
    <cellStyle name="Total 5 11" xfId="30419" xr:uid="{00000000-0005-0000-0000-0000DA760000}"/>
    <cellStyle name="Total 5 12" xfId="30420" xr:uid="{00000000-0005-0000-0000-0000DB760000}"/>
    <cellStyle name="Total 5 13" xfId="30421" xr:uid="{00000000-0005-0000-0000-0000DC760000}"/>
    <cellStyle name="Total 5 14" xfId="30422" xr:uid="{00000000-0005-0000-0000-0000DD760000}"/>
    <cellStyle name="Total 5 15" xfId="30423" xr:uid="{00000000-0005-0000-0000-0000DE760000}"/>
    <cellStyle name="Total 5 16" xfId="30424" xr:uid="{00000000-0005-0000-0000-0000DF760000}"/>
    <cellStyle name="Total 5 17" xfId="30425" xr:uid="{00000000-0005-0000-0000-0000E0760000}"/>
    <cellStyle name="Total 5 18" xfId="30426" xr:uid="{00000000-0005-0000-0000-0000E1760000}"/>
    <cellStyle name="Total 5 19" xfId="30427" xr:uid="{00000000-0005-0000-0000-0000E2760000}"/>
    <cellStyle name="Total 5 2" xfId="30428" xr:uid="{00000000-0005-0000-0000-0000E3760000}"/>
    <cellStyle name="Total 5 2 10" xfId="30429" xr:uid="{00000000-0005-0000-0000-0000E4760000}"/>
    <cellStyle name="Total 5 2 11" xfId="30430" xr:uid="{00000000-0005-0000-0000-0000E5760000}"/>
    <cellStyle name="Total 5 2 12" xfId="30431" xr:uid="{00000000-0005-0000-0000-0000E6760000}"/>
    <cellStyle name="Total 5 2 13" xfId="30432" xr:uid="{00000000-0005-0000-0000-0000E7760000}"/>
    <cellStyle name="Total 5 2 14" xfId="30433" xr:uid="{00000000-0005-0000-0000-0000E8760000}"/>
    <cellStyle name="Total 5 2 15" xfId="30434" xr:uid="{00000000-0005-0000-0000-0000E9760000}"/>
    <cellStyle name="Total 5 2 16" xfId="30435" xr:uid="{00000000-0005-0000-0000-0000EA760000}"/>
    <cellStyle name="Total 5 2 17" xfId="30436" xr:uid="{00000000-0005-0000-0000-0000EB760000}"/>
    <cellStyle name="Total 5 2 18" xfId="30437" xr:uid="{00000000-0005-0000-0000-0000EC760000}"/>
    <cellStyle name="Total 5 2 19" xfId="30438" xr:uid="{00000000-0005-0000-0000-0000ED760000}"/>
    <cellStyle name="Total 5 2 2" xfId="30439" xr:uid="{00000000-0005-0000-0000-0000EE760000}"/>
    <cellStyle name="Total 5 2 2 10" xfId="30440" xr:uid="{00000000-0005-0000-0000-0000EF760000}"/>
    <cellStyle name="Total 5 2 2 11" xfId="30441" xr:uid="{00000000-0005-0000-0000-0000F0760000}"/>
    <cellStyle name="Total 5 2 2 12" xfId="30442" xr:uid="{00000000-0005-0000-0000-0000F1760000}"/>
    <cellStyle name="Total 5 2 2 13" xfId="30443" xr:uid="{00000000-0005-0000-0000-0000F2760000}"/>
    <cellStyle name="Total 5 2 2 14" xfId="30444" xr:uid="{00000000-0005-0000-0000-0000F3760000}"/>
    <cellStyle name="Total 5 2 2 15" xfId="30445" xr:uid="{00000000-0005-0000-0000-0000F4760000}"/>
    <cellStyle name="Total 5 2 2 16" xfId="30446" xr:uid="{00000000-0005-0000-0000-0000F5760000}"/>
    <cellStyle name="Total 5 2 2 17" xfId="30447" xr:uid="{00000000-0005-0000-0000-0000F6760000}"/>
    <cellStyle name="Total 5 2 2 18" xfId="30448" xr:uid="{00000000-0005-0000-0000-0000F7760000}"/>
    <cellStyle name="Total 5 2 2 19" xfId="30449" xr:uid="{00000000-0005-0000-0000-0000F8760000}"/>
    <cellStyle name="Total 5 2 2 2" xfId="30450" xr:uid="{00000000-0005-0000-0000-0000F9760000}"/>
    <cellStyle name="Total 5 2 2 20" xfId="30451" xr:uid="{00000000-0005-0000-0000-0000FA760000}"/>
    <cellStyle name="Total 5 2 2 21" xfId="30452" xr:uid="{00000000-0005-0000-0000-0000FB760000}"/>
    <cellStyle name="Total 5 2 2 22" xfId="30453" xr:uid="{00000000-0005-0000-0000-0000FC760000}"/>
    <cellStyle name="Total 5 2 2 23" xfId="30454" xr:uid="{00000000-0005-0000-0000-0000FD760000}"/>
    <cellStyle name="Total 5 2 2 24" xfId="30455" xr:uid="{00000000-0005-0000-0000-0000FE760000}"/>
    <cellStyle name="Total 5 2 2 25" xfId="30456" xr:uid="{00000000-0005-0000-0000-0000FF760000}"/>
    <cellStyle name="Total 5 2 2 26" xfId="30457" xr:uid="{00000000-0005-0000-0000-000000770000}"/>
    <cellStyle name="Total 5 2 2 27" xfId="30458" xr:uid="{00000000-0005-0000-0000-000001770000}"/>
    <cellStyle name="Total 5 2 2 28" xfId="30459" xr:uid="{00000000-0005-0000-0000-000002770000}"/>
    <cellStyle name="Total 5 2 2 29" xfId="30460" xr:uid="{00000000-0005-0000-0000-000003770000}"/>
    <cellStyle name="Total 5 2 2 3" xfId="30461" xr:uid="{00000000-0005-0000-0000-000004770000}"/>
    <cellStyle name="Total 5 2 2 30" xfId="30462" xr:uid="{00000000-0005-0000-0000-000005770000}"/>
    <cellStyle name="Total 5 2 2 31" xfId="30463" xr:uid="{00000000-0005-0000-0000-000006770000}"/>
    <cellStyle name="Total 5 2 2 32" xfId="30464" xr:uid="{00000000-0005-0000-0000-000007770000}"/>
    <cellStyle name="Total 5 2 2 33" xfId="30465" xr:uid="{00000000-0005-0000-0000-000008770000}"/>
    <cellStyle name="Total 5 2 2 34" xfId="30466" xr:uid="{00000000-0005-0000-0000-000009770000}"/>
    <cellStyle name="Total 5 2 2 4" xfId="30467" xr:uid="{00000000-0005-0000-0000-00000A770000}"/>
    <cellStyle name="Total 5 2 2 5" xfId="30468" xr:uid="{00000000-0005-0000-0000-00000B770000}"/>
    <cellStyle name="Total 5 2 2 6" xfId="30469" xr:uid="{00000000-0005-0000-0000-00000C770000}"/>
    <cellStyle name="Total 5 2 2 7" xfId="30470" xr:uid="{00000000-0005-0000-0000-00000D770000}"/>
    <cellStyle name="Total 5 2 2 8" xfId="30471" xr:uid="{00000000-0005-0000-0000-00000E770000}"/>
    <cellStyle name="Total 5 2 2 9" xfId="30472" xr:uid="{00000000-0005-0000-0000-00000F770000}"/>
    <cellStyle name="Total 5 2 20" xfId="30473" xr:uid="{00000000-0005-0000-0000-000010770000}"/>
    <cellStyle name="Total 5 2 3" xfId="30474" xr:uid="{00000000-0005-0000-0000-000011770000}"/>
    <cellStyle name="Total 5 2 3 2" xfId="30475" xr:uid="{00000000-0005-0000-0000-000012770000}"/>
    <cellStyle name="Total 5 2 3 3" xfId="30476" xr:uid="{00000000-0005-0000-0000-000013770000}"/>
    <cellStyle name="Total 5 2 4" xfId="30477" xr:uid="{00000000-0005-0000-0000-000014770000}"/>
    <cellStyle name="Total 5 2 5" xfId="30478" xr:uid="{00000000-0005-0000-0000-000015770000}"/>
    <cellStyle name="Total 5 2 6" xfId="30479" xr:uid="{00000000-0005-0000-0000-000016770000}"/>
    <cellStyle name="Total 5 2 7" xfId="30480" xr:uid="{00000000-0005-0000-0000-000017770000}"/>
    <cellStyle name="Total 5 2 8" xfId="30481" xr:uid="{00000000-0005-0000-0000-000018770000}"/>
    <cellStyle name="Total 5 2 9" xfId="30482" xr:uid="{00000000-0005-0000-0000-000019770000}"/>
    <cellStyle name="Total 5 20" xfId="30483" xr:uid="{00000000-0005-0000-0000-00001A770000}"/>
    <cellStyle name="Total 5 21" xfId="30484" xr:uid="{00000000-0005-0000-0000-00001B770000}"/>
    <cellStyle name="Total 5 3" xfId="30485" xr:uid="{00000000-0005-0000-0000-00001C770000}"/>
    <cellStyle name="Total 5 3 10" xfId="30486" xr:uid="{00000000-0005-0000-0000-00001D770000}"/>
    <cellStyle name="Total 5 3 11" xfId="30487" xr:uid="{00000000-0005-0000-0000-00001E770000}"/>
    <cellStyle name="Total 5 3 12" xfId="30488" xr:uid="{00000000-0005-0000-0000-00001F770000}"/>
    <cellStyle name="Total 5 3 13" xfId="30489" xr:uid="{00000000-0005-0000-0000-000020770000}"/>
    <cellStyle name="Total 5 3 14" xfId="30490" xr:uid="{00000000-0005-0000-0000-000021770000}"/>
    <cellStyle name="Total 5 3 15" xfId="30491" xr:uid="{00000000-0005-0000-0000-000022770000}"/>
    <cellStyle name="Total 5 3 16" xfId="30492" xr:uid="{00000000-0005-0000-0000-000023770000}"/>
    <cellStyle name="Total 5 3 17" xfId="30493" xr:uid="{00000000-0005-0000-0000-000024770000}"/>
    <cellStyle name="Total 5 3 18" xfId="30494" xr:uid="{00000000-0005-0000-0000-000025770000}"/>
    <cellStyle name="Total 5 3 19" xfId="30495" xr:uid="{00000000-0005-0000-0000-000026770000}"/>
    <cellStyle name="Total 5 3 2" xfId="30496" xr:uid="{00000000-0005-0000-0000-000027770000}"/>
    <cellStyle name="Total 5 3 20" xfId="30497" xr:uid="{00000000-0005-0000-0000-000028770000}"/>
    <cellStyle name="Total 5 3 21" xfId="30498" xr:uid="{00000000-0005-0000-0000-000029770000}"/>
    <cellStyle name="Total 5 3 22" xfId="30499" xr:uid="{00000000-0005-0000-0000-00002A770000}"/>
    <cellStyle name="Total 5 3 23" xfId="30500" xr:uid="{00000000-0005-0000-0000-00002B770000}"/>
    <cellStyle name="Total 5 3 24" xfId="30501" xr:uid="{00000000-0005-0000-0000-00002C770000}"/>
    <cellStyle name="Total 5 3 25" xfId="30502" xr:uid="{00000000-0005-0000-0000-00002D770000}"/>
    <cellStyle name="Total 5 3 26" xfId="30503" xr:uid="{00000000-0005-0000-0000-00002E770000}"/>
    <cellStyle name="Total 5 3 27" xfId="30504" xr:uid="{00000000-0005-0000-0000-00002F770000}"/>
    <cellStyle name="Total 5 3 28" xfId="30505" xr:uid="{00000000-0005-0000-0000-000030770000}"/>
    <cellStyle name="Total 5 3 29" xfId="30506" xr:uid="{00000000-0005-0000-0000-000031770000}"/>
    <cellStyle name="Total 5 3 3" xfId="30507" xr:uid="{00000000-0005-0000-0000-000032770000}"/>
    <cellStyle name="Total 5 3 30" xfId="30508" xr:uid="{00000000-0005-0000-0000-000033770000}"/>
    <cellStyle name="Total 5 3 31" xfId="30509" xr:uid="{00000000-0005-0000-0000-000034770000}"/>
    <cellStyle name="Total 5 3 32" xfId="30510" xr:uid="{00000000-0005-0000-0000-000035770000}"/>
    <cellStyle name="Total 5 3 33" xfId="30511" xr:uid="{00000000-0005-0000-0000-000036770000}"/>
    <cellStyle name="Total 5 3 34" xfId="30512" xr:uid="{00000000-0005-0000-0000-000037770000}"/>
    <cellStyle name="Total 5 3 4" xfId="30513" xr:uid="{00000000-0005-0000-0000-000038770000}"/>
    <cellStyle name="Total 5 3 5" xfId="30514" xr:uid="{00000000-0005-0000-0000-000039770000}"/>
    <cellStyle name="Total 5 3 6" xfId="30515" xr:uid="{00000000-0005-0000-0000-00003A770000}"/>
    <cellStyle name="Total 5 3 7" xfId="30516" xr:uid="{00000000-0005-0000-0000-00003B770000}"/>
    <cellStyle name="Total 5 3 8" xfId="30517" xr:uid="{00000000-0005-0000-0000-00003C770000}"/>
    <cellStyle name="Total 5 3 9" xfId="30518" xr:uid="{00000000-0005-0000-0000-00003D770000}"/>
    <cellStyle name="Total 5 4" xfId="30519" xr:uid="{00000000-0005-0000-0000-00003E770000}"/>
    <cellStyle name="Total 5 4 2" xfId="30520" xr:uid="{00000000-0005-0000-0000-00003F770000}"/>
    <cellStyle name="Total 5 4 3" xfId="30521" xr:uid="{00000000-0005-0000-0000-000040770000}"/>
    <cellStyle name="Total 5 5" xfId="30522" xr:uid="{00000000-0005-0000-0000-000041770000}"/>
    <cellStyle name="Total 5 6" xfId="30523" xr:uid="{00000000-0005-0000-0000-000042770000}"/>
    <cellStyle name="Total 5 7" xfId="30524" xr:uid="{00000000-0005-0000-0000-000043770000}"/>
    <cellStyle name="Total 5 8" xfId="30525" xr:uid="{00000000-0005-0000-0000-000044770000}"/>
    <cellStyle name="Total 5 9" xfId="30526" xr:uid="{00000000-0005-0000-0000-000045770000}"/>
    <cellStyle name="Total 6" xfId="30527" xr:uid="{00000000-0005-0000-0000-000046770000}"/>
    <cellStyle name="Total 6 10" xfId="30528" xr:uid="{00000000-0005-0000-0000-000047770000}"/>
    <cellStyle name="Total 6 11" xfId="30529" xr:uid="{00000000-0005-0000-0000-000048770000}"/>
    <cellStyle name="Total 6 12" xfId="30530" xr:uid="{00000000-0005-0000-0000-000049770000}"/>
    <cellStyle name="Total 6 13" xfId="30531" xr:uid="{00000000-0005-0000-0000-00004A770000}"/>
    <cellStyle name="Total 6 14" xfId="30532" xr:uid="{00000000-0005-0000-0000-00004B770000}"/>
    <cellStyle name="Total 6 15" xfId="30533" xr:uid="{00000000-0005-0000-0000-00004C770000}"/>
    <cellStyle name="Total 6 16" xfId="30534" xr:uid="{00000000-0005-0000-0000-00004D770000}"/>
    <cellStyle name="Total 6 17" xfId="30535" xr:uid="{00000000-0005-0000-0000-00004E770000}"/>
    <cellStyle name="Total 6 18" xfId="30536" xr:uid="{00000000-0005-0000-0000-00004F770000}"/>
    <cellStyle name="Total 6 19" xfId="30537" xr:uid="{00000000-0005-0000-0000-000050770000}"/>
    <cellStyle name="Total 6 2" xfId="30538" xr:uid="{00000000-0005-0000-0000-000051770000}"/>
    <cellStyle name="Total 6 2 10" xfId="30539" xr:uid="{00000000-0005-0000-0000-000052770000}"/>
    <cellStyle name="Total 6 2 11" xfId="30540" xr:uid="{00000000-0005-0000-0000-000053770000}"/>
    <cellStyle name="Total 6 2 12" xfId="30541" xr:uid="{00000000-0005-0000-0000-000054770000}"/>
    <cellStyle name="Total 6 2 13" xfId="30542" xr:uid="{00000000-0005-0000-0000-000055770000}"/>
    <cellStyle name="Total 6 2 14" xfId="30543" xr:uid="{00000000-0005-0000-0000-000056770000}"/>
    <cellStyle name="Total 6 2 15" xfId="30544" xr:uid="{00000000-0005-0000-0000-000057770000}"/>
    <cellStyle name="Total 6 2 16" xfId="30545" xr:uid="{00000000-0005-0000-0000-000058770000}"/>
    <cellStyle name="Total 6 2 17" xfId="30546" xr:uid="{00000000-0005-0000-0000-000059770000}"/>
    <cellStyle name="Total 6 2 18" xfId="30547" xr:uid="{00000000-0005-0000-0000-00005A770000}"/>
    <cellStyle name="Total 6 2 19" xfId="30548" xr:uid="{00000000-0005-0000-0000-00005B770000}"/>
    <cellStyle name="Total 6 2 2" xfId="30549" xr:uid="{00000000-0005-0000-0000-00005C770000}"/>
    <cellStyle name="Total 6 2 2 10" xfId="30550" xr:uid="{00000000-0005-0000-0000-00005D770000}"/>
    <cellStyle name="Total 6 2 2 11" xfId="30551" xr:uid="{00000000-0005-0000-0000-00005E770000}"/>
    <cellStyle name="Total 6 2 2 12" xfId="30552" xr:uid="{00000000-0005-0000-0000-00005F770000}"/>
    <cellStyle name="Total 6 2 2 13" xfId="30553" xr:uid="{00000000-0005-0000-0000-000060770000}"/>
    <cellStyle name="Total 6 2 2 14" xfId="30554" xr:uid="{00000000-0005-0000-0000-000061770000}"/>
    <cellStyle name="Total 6 2 2 15" xfId="30555" xr:uid="{00000000-0005-0000-0000-000062770000}"/>
    <cellStyle name="Total 6 2 2 16" xfId="30556" xr:uid="{00000000-0005-0000-0000-000063770000}"/>
    <cellStyle name="Total 6 2 2 17" xfId="30557" xr:uid="{00000000-0005-0000-0000-000064770000}"/>
    <cellStyle name="Total 6 2 2 18" xfId="30558" xr:uid="{00000000-0005-0000-0000-000065770000}"/>
    <cellStyle name="Total 6 2 2 19" xfId="30559" xr:uid="{00000000-0005-0000-0000-000066770000}"/>
    <cellStyle name="Total 6 2 2 2" xfId="30560" xr:uid="{00000000-0005-0000-0000-000067770000}"/>
    <cellStyle name="Total 6 2 2 20" xfId="30561" xr:uid="{00000000-0005-0000-0000-000068770000}"/>
    <cellStyle name="Total 6 2 2 21" xfId="30562" xr:uid="{00000000-0005-0000-0000-000069770000}"/>
    <cellStyle name="Total 6 2 2 22" xfId="30563" xr:uid="{00000000-0005-0000-0000-00006A770000}"/>
    <cellStyle name="Total 6 2 2 23" xfId="30564" xr:uid="{00000000-0005-0000-0000-00006B770000}"/>
    <cellStyle name="Total 6 2 2 24" xfId="30565" xr:uid="{00000000-0005-0000-0000-00006C770000}"/>
    <cellStyle name="Total 6 2 2 25" xfId="30566" xr:uid="{00000000-0005-0000-0000-00006D770000}"/>
    <cellStyle name="Total 6 2 2 26" xfId="30567" xr:uid="{00000000-0005-0000-0000-00006E770000}"/>
    <cellStyle name="Total 6 2 2 27" xfId="30568" xr:uid="{00000000-0005-0000-0000-00006F770000}"/>
    <cellStyle name="Total 6 2 2 28" xfId="30569" xr:uid="{00000000-0005-0000-0000-000070770000}"/>
    <cellStyle name="Total 6 2 2 29" xfId="30570" xr:uid="{00000000-0005-0000-0000-000071770000}"/>
    <cellStyle name="Total 6 2 2 3" xfId="30571" xr:uid="{00000000-0005-0000-0000-000072770000}"/>
    <cellStyle name="Total 6 2 2 30" xfId="30572" xr:uid="{00000000-0005-0000-0000-000073770000}"/>
    <cellStyle name="Total 6 2 2 31" xfId="30573" xr:uid="{00000000-0005-0000-0000-000074770000}"/>
    <cellStyle name="Total 6 2 2 32" xfId="30574" xr:uid="{00000000-0005-0000-0000-000075770000}"/>
    <cellStyle name="Total 6 2 2 33" xfId="30575" xr:uid="{00000000-0005-0000-0000-000076770000}"/>
    <cellStyle name="Total 6 2 2 34" xfId="30576" xr:uid="{00000000-0005-0000-0000-000077770000}"/>
    <cellStyle name="Total 6 2 2 4" xfId="30577" xr:uid="{00000000-0005-0000-0000-000078770000}"/>
    <cellStyle name="Total 6 2 2 5" xfId="30578" xr:uid="{00000000-0005-0000-0000-000079770000}"/>
    <cellStyle name="Total 6 2 2 6" xfId="30579" xr:uid="{00000000-0005-0000-0000-00007A770000}"/>
    <cellStyle name="Total 6 2 2 7" xfId="30580" xr:uid="{00000000-0005-0000-0000-00007B770000}"/>
    <cellStyle name="Total 6 2 2 8" xfId="30581" xr:uid="{00000000-0005-0000-0000-00007C770000}"/>
    <cellStyle name="Total 6 2 2 9" xfId="30582" xr:uid="{00000000-0005-0000-0000-00007D770000}"/>
    <cellStyle name="Total 6 2 20" xfId="30583" xr:uid="{00000000-0005-0000-0000-00007E770000}"/>
    <cellStyle name="Total 6 2 3" xfId="30584" xr:uid="{00000000-0005-0000-0000-00007F770000}"/>
    <cellStyle name="Total 6 2 3 2" xfId="30585" xr:uid="{00000000-0005-0000-0000-000080770000}"/>
    <cellStyle name="Total 6 2 3 3" xfId="30586" xr:uid="{00000000-0005-0000-0000-000081770000}"/>
    <cellStyle name="Total 6 2 4" xfId="30587" xr:uid="{00000000-0005-0000-0000-000082770000}"/>
    <cellStyle name="Total 6 2 5" xfId="30588" xr:uid="{00000000-0005-0000-0000-000083770000}"/>
    <cellStyle name="Total 6 2 6" xfId="30589" xr:uid="{00000000-0005-0000-0000-000084770000}"/>
    <cellStyle name="Total 6 2 7" xfId="30590" xr:uid="{00000000-0005-0000-0000-000085770000}"/>
    <cellStyle name="Total 6 2 8" xfId="30591" xr:uid="{00000000-0005-0000-0000-000086770000}"/>
    <cellStyle name="Total 6 2 9" xfId="30592" xr:uid="{00000000-0005-0000-0000-000087770000}"/>
    <cellStyle name="Total 6 20" xfId="30593" xr:uid="{00000000-0005-0000-0000-000088770000}"/>
    <cellStyle name="Total 6 21" xfId="30594" xr:uid="{00000000-0005-0000-0000-000089770000}"/>
    <cellStyle name="Total 6 3" xfId="30595" xr:uid="{00000000-0005-0000-0000-00008A770000}"/>
    <cellStyle name="Total 6 3 10" xfId="30596" xr:uid="{00000000-0005-0000-0000-00008B770000}"/>
    <cellStyle name="Total 6 3 11" xfId="30597" xr:uid="{00000000-0005-0000-0000-00008C770000}"/>
    <cellStyle name="Total 6 3 12" xfId="30598" xr:uid="{00000000-0005-0000-0000-00008D770000}"/>
    <cellStyle name="Total 6 3 13" xfId="30599" xr:uid="{00000000-0005-0000-0000-00008E770000}"/>
    <cellStyle name="Total 6 3 14" xfId="30600" xr:uid="{00000000-0005-0000-0000-00008F770000}"/>
    <cellStyle name="Total 6 3 15" xfId="30601" xr:uid="{00000000-0005-0000-0000-000090770000}"/>
    <cellStyle name="Total 6 3 16" xfId="30602" xr:uid="{00000000-0005-0000-0000-000091770000}"/>
    <cellStyle name="Total 6 3 17" xfId="30603" xr:uid="{00000000-0005-0000-0000-000092770000}"/>
    <cellStyle name="Total 6 3 18" xfId="30604" xr:uid="{00000000-0005-0000-0000-000093770000}"/>
    <cellStyle name="Total 6 3 19" xfId="30605" xr:uid="{00000000-0005-0000-0000-000094770000}"/>
    <cellStyle name="Total 6 3 2" xfId="30606" xr:uid="{00000000-0005-0000-0000-000095770000}"/>
    <cellStyle name="Total 6 3 20" xfId="30607" xr:uid="{00000000-0005-0000-0000-000096770000}"/>
    <cellStyle name="Total 6 3 21" xfId="30608" xr:uid="{00000000-0005-0000-0000-000097770000}"/>
    <cellStyle name="Total 6 3 22" xfId="30609" xr:uid="{00000000-0005-0000-0000-000098770000}"/>
    <cellStyle name="Total 6 3 23" xfId="30610" xr:uid="{00000000-0005-0000-0000-000099770000}"/>
    <cellStyle name="Total 6 3 24" xfId="30611" xr:uid="{00000000-0005-0000-0000-00009A770000}"/>
    <cellStyle name="Total 6 3 25" xfId="30612" xr:uid="{00000000-0005-0000-0000-00009B770000}"/>
    <cellStyle name="Total 6 3 26" xfId="30613" xr:uid="{00000000-0005-0000-0000-00009C770000}"/>
    <cellStyle name="Total 6 3 27" xfId="30614" xr:uid="{00000000-0005-0000-0000-00009D770000}"/>
    <cellStyle name="Total 6 3 28" xfId="30615" xr:uid="{00000000-0005-0000-0000-00009E770000}"/>
    <cellStyle name="Total 6 3 29" xfId="30616" xr:uid="{00000000-0005-0000-0000-00009F770000}"/>
    <cellStyle name="Total 6 3 3" xfId="30617" xr:uid="{00000000-0005-0000-0000-0000A0770000}"/>
    <cellStyle name="Total 6 3 30" xfId="30618" xr:uid="{00000000-0005-0000-0000-0000A1770000}"/>
    <cellStyle name="Total 6 3 31" xfId="30619" xr:uid="{00000000-0005-0000-0000-0000A2770000}"/>
    <cellStyle name="Total 6 3 32" xfId="30620" xr:uid="{00000000-0005-0000-0000-0000A3770000}"/>
    <cellStyle name="Total 6 3 33" xfId="30621" xr:uid="{00000000-0005-0000-0000-0000A4770000}"/>
    <cellStyle name="Total 6 3 34" xfId="30622" xr:uid="{00000000-0005-0000-0000-0000A5770000}"/>
    <cellStyle name="Total 6 3 4" xfId="30623" xr:uid="{00000000-0005-0000-0000-0000A6770000}"/>
    <cellStyle name="Total 6 3 5" xfId="30624" xr:uid="{00000000-0005-0000-0000-0000A7770000}"/>
    <cellStyle name="Total 6 3 6" xfId="30625" xr:uid="{00000000-0005-0000-0000-0000A8770000}"/>
    <cellStyle name="Total 6 3 7" xfId="30626" xr:uid="{00000000-0005-0000-0000-0000A9770000}"/>
    <cellStyle name="Total 6 3 8" xfId="30627" xr:uid="{00000000-0005-0000-0000-0000AA770000}"/>
    <cellStyle name="Total 6 3 9" xfId="30628" xr:uid="{00000000-0005-0000-0000-0000AB770000}"/>
    <cellStyle name="Total 6 4" xfId="30629" xr:uid="{00000000-0005-0000-0000-0000AC770000}"/>
    <cellStyle name="Total 6 4 2" xfId="30630" xr:uid="{00000000-0005-0000-0000-0000AD770000}"/>
    <cellStyle name="Total 6 4 3" xfId="30631" xr:uid="{00000000-0005-0000-0000-0000AE770000}"/>
    <cellStyle name="Total 6 5" xfId="30632" xr:uid="{00000000-0005-0000-0000-0000AF770000}"/>
    <cellStyle name="Total 6 6" xfId="30633" xr:uid="{00000000-0005-0000-0000-0000B0770000}"/>
    <cellStyle name="Total 6 7" xfId="30634" xr:uid="{00000000-0005-0000-0000-0000B1770000}"/>
    <cellStyle name="Total 6 8" xfId="30635" xr:uid="{00000000-0005-0000-0000-0000B2770000}"/>
    <cellStyle name="Total 6 9" xfId="30636" xr:uid="{00000000-0005-0000-0000-0000B3770000}"/>
    <cellStyle name="Total 7" xfId="30637" xr:uid="{00000000-0005-0000-0000-0000B4770000}"/>
    <cellStyle name="Total 7 2" xfId="30638" xr:uid="{00000000-0005-0000-0000-0000B5770000}"/>
    <cellStyle name="Total 8" xfId="30639" xr:uid="{00000000-0005-0000-0000-0000B6770000}"/>
    <cellStyle name="Total 8 2" xfId="30640" xr:uid="{00000000-0005-0000-0000-0000B7770000}"/>
    <cellStyle name="Total 9" xfId="30641" xr:uid="{00000000-0005-0000-0000-0000B8770000}"/>
    <cellStyle name="Total 9 2" xfId="30642" xr:uid="{00000000-0005-0000-0000-0000B9770000}"/>
    <cellStyle name="Total row" xfId="30643" xr:uid="{00000000-0005-0000-0000-0000BA770000}"/>
    <cellStyle name="Transfer_same_sheet" xfId="30644" xr:uid="{00000000-0005-0000-0000-0000BB770000}"/>
    <cellStyle name="Tusenskille_Ark1" xfId="30645" xr:uid="{00000000-0005-0000-0000-0000BC770000}"/>
    <cellStyle name="Tusental (0)_Technical Sheet" xfId="30646" xr:uid="{00000000-0005-0000-0000-0000BD770000}"/>
    <cellStyle name="Tusental_A-listan (fixad)" xfId="30647" xr:uid="{00000000-0005-0000-0000-0000BE770000}"/>
    <cellStyle name="Überschrift 1" xfId="30648" xr:uid="{00000000-0005-0000-0000-0000BF770000}"/>
    <cellStyle name="Überschrift 1 2" xfId="30649" xr:uid="{00000000-0005-0000-0000-0000C0770000}"/>
    <cellStyle name="Überschrift 1 2 2" xfId="30650" xr:uid="{00000000-0005-0000-0000-0000C1770000}"/>
    <cellStyle name="Überschrift 1 2 2 2" xfId="30651" xr:uid="{00000000-0005-0000-0000-0000C2770000}"/>
    <cellStyle name="Überschrift 1 2 3" xfId="30652" xr:uid="{00000000-0005-0000-0000-0000C3770000}"/>
    <cellStyle name="Überschrift 1 3" xfId="30653" xr:uid="{00000000-0005-0000-0000-0000C4770000}"/>
    <cellStyle name="Überschrift 1 3 2" xfId="30654" xr:uid="{00000000-0005-0000-0000-0000C5770000}"/>
    <cellStyle name="Überschrift 1 4" xfId="30655" xr:uid="{00000000-0005-0000-0000-0000C6770000}"/>
    <cellStyle name="Überschrift 1 4 2" xfId="30656" xr:uid="{00000000-0005-0000-0000-0000C7770000}"/>
    <cellStyle name="Überschrift 1 5" xfId="30657" xr:uid="{00000000-0005-0000-0000-0000C8770000}"/>
    <cellStyle name="Überschrift 1 5 2" xfId="30658" xr:uid="{00000000-0005-0000-0000-0000C9770000}"/>
    <cellStyle name="Überschrift 1 6" xfId="30659" xr:uid="{00000000-0005-0000-0000-0000CA770000}"/>
    <cellStyle name="Überschrift 1 6 2" xfId="30660" xr:uid="{00000000-0005-0000-0000-0000CB770000}"/>
    <cellStyle name="Überschrift 1 7" xfId="30661" xr:uid="{00000000-0005-0000-0000-0000CC770000}"/>
    <cellStyle name="Überschrift 1 7 2" xfId="30662" xr:uid="{00000000-0005-0000-0000-0000CD770000}"/>
    <cellStyle name="Überschrift 1 8" xfId="30663" xr:uid="{00000000-0005-0000-0000-0000CE770000}"/>
    <cellStyle name="Überschrift 2" xfId="30664" xr:uid="{00000000-0005-0000-0000-0000CF770000}"/>
    <cellStyle name="Überschrift 2 10" xfId="30665" xr:uid="{00000000-0005-0000-0000-0000D0770000}"/>
    <cellStyle name="Überschrift 2 10 2" xfId="30666" xr:uid="{00000000-0005-0000-0000-0000D1770000}"/>
    <cellStyle name="Überschrift 2 11" xfId="30667" xr:uid="{00000000-0005-0000-0000-0000D2770000}"/>
    <cellStyle name="Überschrift 2 2" xfId="30668" xr:uid="{00000000-0005-0000-0000-0000D3770000}"/>
    <cellStyle name="Überschrift 2 2 2" xfId="30669" xr:uid="{00000000-0005-0000-0000-0000D4770000}"/>
    <cellStyle name="Überschrift 2 3" xfId="30670" xr:uid="{00000000-0005-0000-0000-0000D5770000}"/>
    <cellStyle name="Überschrift 2 3 2" xfId="30671" xr:uid="{00000000-0005-0000-0000-0000D6770000}"/>
    <cellStyle name="Überschrift 2 4" xfId="30672" xr:uid="{00000000-0005-0000-0000-0000D7770000}"/>
    <cellStyle name="Überschrift 2 4 2" xfId="30673" xr:uid="{00000000-0005-0000-0000-0000D8770000}"/>
    <cellStyle name="Überschrift 2 5" xfId="30674" xr:uid="{00000000-0005-0000-0000-0000D9770000}"/>
    <cellStyle name="Überschrift 2 5 2" xfId="30675" xr:uid="{00000000-0005-0000-0000-0000DA770000}"/>
    <cellStyle name="Überschrift 2 5 2 2" xfId="30676" xr:uid="{00000000-0005-0000-0000-0000DB770000}"/>
    <cellStyle name="Überschrift 2 5 3" xfId="30677" xr:uid="{00000000-0005-0000-0000-0000DC770000}"/>
    <cellStyle name="Überschrift 2 6" xfId="30678" xr:uid="{00000000-0005-0000-0000-0000DD770000}"/>
    <cellStyle name="Überschrift 2 6 2" xfId="30679" xr:uid="{00000000-0005-0000-0000-0000DE770000}"/>
    <cellStyle name="Überschrift 2 7" xfId="30680" xr:uid="{00000000-0005-0000-0000-0000DF770000}"/>
    <cellStyle name="Überschrift 2 7 2" xfId="30681" xr:uid="{00000000-0005-0000-0000-0000E0770000}"/>
    <cellStyle name="Überschrift 2 8" xfId="30682" xr:uid="{00000000-0005-0000-0000-0000E1770000}"/>
    <cellStyle name="Überschrift 2 8 2" xfId="30683" xr:uid="{00000000-0005-0000-0000-0000E2770000}"/>
    <cellStyle name="Überschrift 2 9" xfId="30684" xr:uid="{00000000-0005-0000-0000-0000E3770000}"/>
    <cellStyle name="Überschrift 2 9 2" xfId="30685" xr:uid="{00000000-0005-0000-0000-0000E4770000}"/>
    <cellStyle name="Überschrift 3" xfId="30686" xr:uid="{00000000-0005-0000-0000-0000E5770000}"/>
    <cellStyle name="Überschrift 3 2" xfId="30687" xr:uid="{00000000-0005-0000-0000-0000E6770000}"/>
    <cellStyle name="Überschrift 3 2 2" xfId="30688" xr:uid="{00000000-0005-0000-0000-0000E7770000}"/>
    <cellStyle name="Überschrift 3 2 2 2" xfId="30689" xr:uid="{00000000-0005-0000-0000-0000E8770000}"/>
    <cellStyle name="Überschrift 3 2 3" xfId="30690" xr:uid="{00000000-0005-0000-0000-0000E9770000}"/>
    <cellStyle name="Überschrift 3 3" xfId="30691" xr:uid="{00000000-0005-0000-0000-0000EA770000}"/>
    <cellStyle name="Überschrift 3 3 2" xfId="30692" xr:uid="{00000000-0005-0000-0000-0000EB770000}"/>
    <cellStyle name="Überschrift 3 4" xfId="30693" xr:uid="{00000000-0005-0000-0000-0000EC770000}"/>
    <cellStyle name="Überschrift 3 4 2" xfId="30694" xr:uid="{00000000-0005-0000-0000-0000ED770000}"/>
    <cellStyle name="Überschrift 3 5" xfId="30695" xr:uid="{00000000-0005-0000-0000-0000EE770000}"/>
    <cellStyle name="Überschrift 3 5 2" xfId="30696" xr:uid="{00000000-0005-0000-0000-0000EF770000}"/>
    <cellStyle name="Überschrift 3 6" xfId="30697" xr:uid="{00000000-0005-0000-0000-0000F0770000}"/>
    <cellStyle name="Überschrift 3 6 2" xfId="30698" xr:uid="{00000000-0005-0000-0000-0000F1770000}"/>
    <cellStyle name="Überschrift 3 7" xfId="30699" xr:uid="{00000000-0005-0000-0000-0000F2770000}"/>
    <cellStyle name="Überschrift 3 7 2" xfId="30700" xr:uid="{00000000-0005-0000-0000-0000F3770000}"/>
    <cellStyle name="Überschrift 3 8" xfId="30701" xr:uid="{00000000-0005-0000-0000-0000F4770000}"/>
    <cellStyle name="Unhighlight" xfId="30702" xr:uid="{00000000-0005-0000-0000-0000F5770000}"/>
    <cellStyle name="Unit" xfId="30703" xr:uid="{00000000-0005-0000-0000-0000F6770000}"/>
    <cellStyle name="Unit 2" xfId="30704" xr:uid="{00000000-0005-0000-0000-0000F7770000}"/>
    <cellStyle name="Unit 2 2" xfId="30705" xr:uid="{00000000-0005-0000-0000-0000F8770000}"/>
    <cellStyle name="Unit 2 2 2" xfId="30706" xr:uid="{00000000-0005-0000-0000-0000F9770000}"/>
    <cellStyle name="Unit 2 3" xfId="30707" xr:uid="{00000000-0005-0000-0000-0000FA770000}"/>
    <cellStyle name="Unit 3" xfId="30708" xr:uid="{00000000-0005-0000-0000-0000FB770000}"/>
    <cellStyle name="Unit 3 2" xfId="30709" xr:uid="{00000000-0005-0000-0000-0000FC770000}"/>
    <cellStyle name="Unit 4" xfId="30710" xr:uid="{00000000-0005-0000-0000-0000FD770000}"/>
    <cellStyle name="Unit 4 2" xfId="30711" xr:uid="{00000000-0005-0000-0000-0000FE770000}"/>
    <cellStyle name="Unit 5" xfId="30712" xr:uid="{00000000-0005-0000-0000-0000FF770000}"/>
    <cellStyle name="Unit 5 2" xfId="30713" xr:uid="{00000000-0005-0000-0000-000000780000}"/>
    <cellStyle name="Unit 6" xfId="30714" xr:uid="{00000000-0005-0000-0000-000001780000}"/>
    <cellStyle name="Unit 6 2" xfId="30715" xr:uid="{00000000-0005-0000-0000-000002780000}"/>
    <cellStyle name="Unit 7" xfId="30716" xr:uid="{00000000-0005-0000-0000-000003780000}"/>
    <cellStyle name="Unit 7 2" xfId="30717" xr:uid="{00000000-0005-0000-0000-000004780000}"/>
    <cellStyle name="Unit 8" xfId="30718" xr:uid="{00000000-0005-0000-0000-000005780000}"/>
    <cellStyle name="Untotal row" xfId="30719" xr:uid="{00000000-0005-0000-0000-000006780000}"/>
    <cellStyle name="UserInputedText" xfId="30720" xr:uid="{00000000-0005-0000-0000-000007780000}"/>
    <cellStyle name="Valuta (0)_Budget 2003 vers L" xfId="30721" xr:uid="{00000000-0005-0000-0000-000008780000}"/>
    <cellStyle name="Valuta [0]_NEGS" xfId="30722" xr:uid="{00000000-0005-0000-0000-000009780000}"/>
    <cellStyle name="Valuta_Ark1" xfId="30723" xr:uid="{00000000-0005-0000-0000-00000A780000}"/>
    <cellStyle name="Var" xfId="30724" xr:uid="{00000000-0005-0000-0000-00000B780000}"/>
    <cellStyle name="Verdi_Normal" xfId="30725" xr:uid="{00000000-0005-0000-0000-00000C780000}"/>
    <cellStyle name="VerdiAreaName" xfId="30726" xr:uid="{00000000-0005-0000-0000-00000D780000}"/>
    <cellStyle name="VerdiColumnHeader" xfId="30727" xr:uid="{00000000-0005-0000-0000-00000E780000}"/>
    <cellStyle name="VerdiColumnHeaders" xfId="30728" xr:uid="{00000000-0005-0000-0000-00000F780000}"/>
    <cellStyle name="VerdiCost" xfId="30729" xr:uid="{00000000-0005-0000-0000-000010780000}"/>
    <cellStyle name="VerdiDescription" xfId="30730" xr:uid="{00000000-0005-0000-0000-000011780000}"/>
    <cellStyle name="VerdiDescription 2" xfId="30731" xr:uid="{00000000-0005-0000-0000-000012780000}"/>
    <cellStyle name="VerdiDescription 2 2" xfId="30732" xr:uid="{00000000-0005-0000-0000-000013780000}"/>
    <cellStyle name="VerdiDescription 3" xfId="30733" xr:uid="{00000000-0005-0000-0000-000014780000}"/>
    <cellStyle name="VerdiDiscount" xfId="30734" xr:uid="{00000000-0005-0000-0000-000015780000}"/>
    <cellStyle name="VerdiEricssonName" xfId="30735" xr:uid="{00000000-0005-0000-0000-000016780000}"/>
    <cellStyle name="VerdiEricssonName 2" xfId="30736" xr:uid="{00000000-0005-0000-0000-000017780000}"/>
    <cellStyle name="VerdiEricssonName 2 2" xfId="30737" xr:uid="{00000000-0005-0000-0000-000018780000}"/>
    <cellStyle name="VerdiEricssonName 3" xfId="30738" xr:uid="{00000000-0005-0000-0000-000019780000}"/>
    <cellStyle name="VerdiFireCode" xfId="30739" xr:uid="{00000000-0005-0000-0000-00001A780000}"/>
    <cellStyle name="VerdiFireCode 2" xfId="30740" xr:uid="{00000000-0005-0000-0000-00001B780000}"/>
    <cellStyle name="VerdiFireCode 2 2" xfId="30741" xr:uid="{00000000-0005-0000-0000-00001C780000}"/>
    <cellStyle name="VerdiFireCode 3" xfId="30742" xr:uid="{00000000-0005-0000-0000-00001D780000}"/>
    <cellStyle name="VerdiFireCodeDescription" xfId="30743" xr:uid="{00000000-0005-0000-0000-00001E780000}"/>
    <cellStyle name="VerdiFireCodeDescription 2" xfId="30744" xr:uid="{00000000-0005-0000-0000-00001F780000}"/>
    <cellStyle name="VerdiFireCodeDescription 2 2" xfId="30745" xr:uid="{00000000-0005-0000-0000-000020780000}"/>
    <cellStyle name="VerdiFireCodeDescription 3" xfId="30746" xr:uid="{00000000-0005-0000-0000-000021780000}"/>
    <cellStyle name="VerdiGAQuantity" xfId="30747" xr:uid="{00000000-0005-0000-0000-000022780000}"/>
    <cellStyle name="VerdiGAQuantity 2" xfId="30748" xr:uid="{00000000-0005-0000-0000-000023780000}"/>
    <cellStyle name="VerdiGAValue" xfId="30749" xr:uid="{00000000-0005-0000-0000-000024780000}"/>
    <cellStyle name="VerdiGrandTotal" xfId="30750" xr:uid="{00000000-0005-0000-0000-000025780000}"/>
    <cellStyle name="VerdiGrossMargin%" xfId="30751" xr:uid="{00000000-0005-0000-0000-000026780000}"/>
    <cellStyle name="VerdiItemNo" xfId="30752" xr:uid="{00000000-0005-0000-0000-000027780000}"/>
    <cellStyle name="VerdiLocalProduct" xfId="30753" xr:uid="{00000000-0005-0000-0000-000028780000}"/>
    <cellStyle name="VerdiLocalProduct 2" xfId="30754" xr:uid="{00000000-0005-0000-0000-000029780000}"/>
    <cellStyle name="VerdiLocalProduct 2 2" xfId="30755" xr:uid="{00000000-0005-0000-0000-00002A780000}"/>
    <cellStyle name="VerdiLocalProduct 3" xfId="30756" xr:uid="{00000000-0005-0000-0000-00002B780000}"/>
    <cellStyle name="VerdiNETRPF" xfId="30757" xr:uid="{00000000-0005-0000-0000-00002C780000}"/>
    <cellStyle name="VerdiNodeDescription" xfId="30758" xr:uid="{00000000-0005-0000-0000-00002D780000}"/>
    <cellStyle name="VerdiPriceErosion" xfId="30759" xr:uid="{00000000-0005-0000-0000-00002E780000}"/>
    <cellStyle name="VerdiPriceObjects" xfId="30760" xr:uid="{00000000-0005-0000-0000-00002F780000}"/>
    <cellStyle name="VerdiPriceObjects 2" xfId="30761" xr:uid="{00000000-0005-0000-0000-000030780000}"/>
    <cellStyle name="VerdiPriceObjects 2 2" xfId="30762" xr:uid="{00000000-0005-0000-0000-000031780000}"/>
    <cellStyle name="VerdiPriceObjects 3" xfId="30763" xr:uid="{00000000-0005-0000-0000-000032780000}"/>
    <cellStyle name="VerdiProductNo" xfId="30764" xr:uid="{00000000-0005-0000-0000-000033780000}"/>
    <cellStyle name="VerdiProductNo 2" xfId="30765" xr:uid="{00000000-0005-0000-0000-000034780000}"/>
    <cellStyle name="VerdiProductNo 2 2" xfId="30766" xr:uid="{00000000-0005-0000-0000-000035780000}"/>
    <cellStyle name="VerdiProductNo 3" xfId="30767" xr:uid="{00000000-0005-0000-0000-000036780000}"/>
    <cellStyle name="VerdiProductType" xfId="30768" xr:uid="{00000000-0005-0000-0000-000037780000}"/>
    <cellStyle name="VerdiProductUnit" xfId="30769" xr:uid="{00000000-0005-0000-0000-000038780000}"/>
    <cellStyle name="VerdiProductUnit 2" xfId="30770" xr:uid="{00000000-0005-0000-0000-000039780000}"/>
    <cellStyle name="VerdiProductUnit 2 2" xfId="30771" xr:uid="{00000000-0005-0000-0000-00003A780000}"/>
    <cellStyle name="VerdiProductUnit 3" xfId="30772" xr:uid="{00000000-0005-0000-0000-00003B780000}"/>
    <cellStyle name="VerdiQuantity" xfId="30773" xr:uid="{00000000-0005-0000-0000-00003C780000}"/>
    <cellStyle name="VerdiQuantity 2" xfId="30774" xr:uid="{00000000-0005-0000-0000-00003D780000}"/>
    <cellStyle name="VerdiQuantity 2 2" xfId="30775" xr:uid="{00000000-0005-0000-0000-00003E780000}"/>
    <cellStyle name="VerdiQuantity 3" xfId="30776" xr:uid="{00000000-0005-0000-0000-00003F780000}"/>
    <cellStyle name="VerdiReleaseCode" xfId="30777" xr:uid="{00000000-0005-0000-0000-000040780000}"/>
    <cellStyle name="VerdiReleaseCode 2" xfId="30778" xr:uid="{00000000-0005-0000-0000-000041780000}"/>
    <cellStyle name="VerdiReleaseCode 2 2" xfId="30779" xr:uid="{00000000-0005-0000-0000-000042780000}"/>
    <cellStyle name="VerdiReleaseCode 3" xfId="30780" xr:uid="{00000000-0005-0000-0000-000043780000}"/>
    <cellStyle name="VerdiReportCaption" xfId="30781" xr:uid="{00000000-0005-0000-0000-000044780000}"/>
    <cellStyle name="VerdiRestrictedCode" xfId="30782" xr:uid="{00000000-0005-0000-0000-000045780000}"/>
    <cellStyle name="VerdiRestrictedCode 2" xfId="30783" xr:uid="{00000000-0005-0000-0000-000046780000}"/>
    <cellStyle name="VerdiRestrictedCode 2 2" xfId="30784" xr:uid="{00000000-0005-0000-0000-000047780000}"/>
    <cellStyle name="VerdiRestrictedCode 3" xfId="30785" xr:uid="{00000000-0005-0000-0000-000048780000}"/>
    <cellStyle name="VerdiRPF" xfId="30786" xr:uid="{00000000-0005-0000-0000-000049780000}"/>
    <cellStyle name="VerdiRPF 2" xfId="30787" xr:uid="{00000000-0005-0000-0000-00004A780000}"/>
    <cellStyle name="VerdiSBS" xfId="30788" xr:uid="{00000000-0005-0000-0000-00004B780000}"/>
    <cellStyle name="VerdiScenarioDiscount" xfId="30789" xr:uid="{00000000-0005-0000-0000-00004C780000}"/>
    <cellStyle name="VerdiShortName" xfId="30790" xr:uid="{00000000-0005-0000-0000-00004D780000}"/>
    <cellStyle name="VerdiShortName 2" xfId="30791" xr:uid="{00000000-0005-0000-0000-00004E780000}"/>
    <cellStyle name="VerdiShortName 2 2" xfId="30792" xr:uid="{00000000-0005-0000-0000-00004F780000}"/>
    <cellStyle name="VerdiShortName 3" xfId="30793" xr:uid="{00000000-0005-0000-0000-000050780000}"/>
    <cellStyle name="VerdiSubTotals" xfId="30794" xr:uid="{00000000-0005-0000-0000-000051780000}"/>
    <cellStyle name="VerdiTotal" xfId="30795" xr:uid="{00000000-0005-0000-0000-000052780000}"/>
    <cellStyle name="VerdiTotalCost" xfId="30796" xr:uid="{00000000-0005-0000-0000-000053780000}"/>
    <cellStyle name="VerdiTotalGross" xfId="30797" xr:uid="{00000000-0005-0000-0000-000054780000}"/>
    <cellStyle name="VerdiTotalGrossMargin" xfId="30798" xr:uid="{00000000-0005-0000-0000-000055780000}"/>
    <cellStyle name="VerdiTotalNetPrice" xfId="30799" xr:uid="{00000000-0005-0000-0000-000056780000}"/>
    <cellStyle name="VerdiTotalPAPE" xfId="30800" xr:uid="{00000000-0005-0000-0000-000057780000}"/>
    <cellStyle name="VerdiTotalReference" xfId="30801" xr:uid="{00000000-0005-0000-0000-000058780000}"/>
    <cellStyle name="VerdiTotGA" xfId="30802" xr:uid="{00000000-0005-0000-0000-000059780000}"/>
    <cellStyle name="VerdiTotGrossPrice" xfId="30803" xr:uid="{00000000-0005-0000-0000-00005A780000}"/>
    <cellStyle name="VerdiTotNetPrice" xfId="30804" xr:uid="{00000000-0005-0000-0000-00005B780000}"/>
    <cellStyle name="VerdiTotPAPE" xfId="30805" xr:uid="{00000000-0005-0000-0000-00005C780000}"/>
    <cellStyle name="VerdiTotRefPrice" xfId="30806" xr:uid="{00000000-0005-0000-0000-00005D780000}"/>
    <cellStyle name="VerdiTypeSiteName" xfId="30807" xr:uid="{00000000-0005-0000-0000-00005E780000}"/>
    <cellStyle name="VerdiUnit" xfId="30808" xr:uid="{00000000-0005-0000-0000-00005F780000}"/>
    <cellStyle name="VerdiUnit 2" xfId="30809" xr:uid="{00000000-0005-0000-0000-000060780000}"/>
    <cellStyle name="VerdiUnit 2 2" xfId="30810" xr:uid="{00000000-0005-0000-0000-000061780000}"/>
    <cellStyle name="VerdiUnit 3" xfId="30811" xr:uid="{00000000-0005-0000-0000-000062780000}"/>
    <cellStyle name="VerdiUnitGrossPrice" xfId="30812" xr:uid="{00000000-0005-0000-0000-000063780000}"/>
    <cellStyle name="VerdiUnitNetPrice" xfId="30813" xr:uid="{00000000-0005-0000-0000-000064780000}"/>
    <cellStyle name="VerdiUnitPAPE" xfId="30814" xr:uid="{00000000-0005-0000-0000-000065780000}"/>
    <cellStyle name="VerdiUnitReference" xfId="30815" xr:uid="{00000000-0005-0000-0000-000066780000}"/>
    <cellStyle name="VerdiUnitRefPrice" xfId="30816" xr:uid="{00000000-0005-0000-0000-000067780000}"/>
    <cellStyle name="Vérification" xfId="30817" xr:uid="{00000000-0005-0000-0000-000068780000}"/>
    <cellStyle name="Vérification 2" xfId="30818" xr:uid="{00000000-0005-0000-0000-000069780000}"/>
    <cellStyle name="Vérification 2 2" xfId="30819" xr:uid="{00000000-0005-0000-0000-00006A780000}"/>
    <cellStyle name="Vérification 2 2 2" xfId="30820" xr:uid="{00000000-0005-0000-0000-00006B780000}"/>
    <cellStyle name="Vérification 2 3" xfId="30821" xr:uid="{00000000-0005-0000-0000-00006C780000}"/>
    <cellStyle name="Vérification 2 4" xfId="30822" xr:uid="{00000000-0005-0000-0000-00006D780000}"/>
    <cellStyle name="Vérification 3" xfId="30823" xr:uid="{00000000-0005-0000-0000-00006E780000}"/>
    <cellStyle name="Vérification 3 2" xfId="30824" xr:uid="{00000000-0005-0000-0000-00006F780000}"/>
    <cellStyle name="Vérification 4" xfId="30825" xr:uid="{00000000-0005-0000-0000-000070780000}"/>
    <cellStyle name="Vérification 5" xfId="30826" xr:uid="{00000000-0005-0000-0000-000071780000}"/>
    <cellStyle name="VERTICAL" xfId="30827" xr:uid="{00000000-0005-0000-0000-000072780000}"/>
    <cellStyle name="VERTICAL 2" xfId="30828" xr:uid="{00000000-0005-0000-0000-000073780000}"/>
    <cellStyle name="VERTICAL 2 2" xfId="30829" xr:uid="{00000000-0005-0000-0000-000074780000}"/>
    <cellStyle name="VERTICAL 2 2 2" xfId="30830" xr:uid="{00000000-0005-0000-0000-000075780000}"/>
    <cellStyle name="VERTICAL 2 2 2 2" xfId="30831" xr:uid="{00000000-0005-0000-0000-000076780000}"/>
    <cellStyle name="VERTICAL 2 2 2 3" xfId="30832" xr:uid="{00000000-0005-0000-0000-000077780000}"/>
    <cellStyle name="VERTICAL 2 2 2 4" xfId="30833" xr:uid="{00000000-0005-0000-0000-000078780000}"/>
    <cellStyle name="VERTICAL 2 2 3" xfId="30834" xr:uid="{00000000-0005-0000-0000-000079780000}"/>
    <cellStyle name="VERTICAL 2 2 3 2" xfId="30835" xr:uid="{00000000-0005-0000-0000-00007A780000}"/>
    <cellStyle name="VERTICAL 2 2 3 3" xfId="30836" xr:uid="{00000000-0005-0000-0000-00007B780000}"/>
    <cellStyle name="VERTICAL 2 2 3 4" xfId="30837" xr:uid="{00000000-0005-0000-0000-00007C780000}"/>
    <cellStyle name="VERTICAL 2 2 4" xfId="30838" xr:uid="{00000000-0005-0000-0000-00007D780000}"/>
    <cellStyle name="VERTICAL 2 2 5" xfId="30839" xr:uid="{00000000-0005-0000-0000-00007E780000}"/>
    <cellStyle name="VERTICAL 2 2 6" xfId="30840" xr:uid="{00000000-0005-0000-0000-00007F780000}"/>
    <cellStyle name="VERTICAL 2 3" xfId="30841" xr:uid="{00000000-0005-0000-0000-000080780000}"/>
    <cellStyle name="VERTICAL 2 3 2" xfId="30842" xr:uid="{00000000-0005-0000-0000-000081780000}"/>
    <cellStyle name="VERTICAL 2 3 2 2" xfId="30843" xr:uid="{00000000-0005-0000-0000-000082780000}"/>
    <cellStyle name="VERTICAL 2 3 2 3" xfId="30844" xr:uid="{00000000-0005-0000-0000-000083780000}"/>
    <cellStyle name="VERTICAL 2 3 2 4" xfId="30845" xr:uid="{00000000-0005-0000-0000-000084780000}"/>
    <cellStyle name="VERTICAL 2 3 3" xfId="30846" xr:uid="{00000000-0005-0000-0000-000085780000}"/>
    <cellStyle name="VERTICAL 2 3 3 2" xfId="30847" xr:uid="{00000000-0005-0000-0000-000086780000}"/>
    <cellStyle name="VERTICAL 2 3 3 3" xfId="30848" xr:uid="{00000000-0005-0000-0000-000087780000}"/>
    <cellStyle name="VERTICAL 2 3 3 4" xfId="30849" xr:uid="{00000000-0005-0000-0000-000088780000}"/>
    <cellStyle name="VERTICAL 2 3 4" xfId="30850" xr:uid="{00000000-0005-0000-0000-000089780000}"/>
    <cellStyle name="VERTICAL 2 3 5" xfId="30851" xr:uid="{00000000-0005-0000-0000-00008A780000}"/>
    <cellStyle name="VERTICAL 2 3 6" xfId="30852" xr:uid="{00000000-0005-0000-0000-00008B780000}"/>
    <cellStyle name="VERTICAL 2 4" xfId="30853" xr:uid="{00000000-0005-0000-0000-00008C780000}"/>
    <cellStyle name="VERTICAL 2 4 2" xfId="30854" xr:uid="{00000000-0005-0000-0000-00008D780000}"/>
    <cellStyle name="VERTICAL 2 4 3" xfId="30855" xr:uid="{00000000-0005-0000-0000-00008E780000}"/>
    <cellStyle name="VERTICAL 2 4 4" xfId="30856" xr:uid="{00000000-0005-0000-0000-00008F780000}"/>
    <cellStyle name="VERTICAL 2 5" xfId="30857" xr:uid="{00000000-0005-0000-0000-000090780000}"/>
    <cellStyle name="VERTICAL 2 5 2" xfId="30858" xr:uid="{00000000-0005-0000-0000-000091780000}"/>
    <cellStyle name="VERTICAL 2 5 3" xfId="30859" xr:uid="{00000000-0005-0000-0000-000092780000}"/>
    <cellStyle name="VERTICAL 2 5 4" xfId="30860" xr:uid="{00000000-0005-0000-0000-000093780000}"/>
    <cellStyle name="VERTICAL 2 6" xfId="30861" xr:uid="{00000000-0005-0000-0000-000094780000}"/>
    <cellStyle name="VERTICAL 2 7" xfId="30862" xr:uid="{00000000-0005-0000-0000-000095780000}"/>
    <cellStyle name="VERTICAL 2 8" xfId="30863" xr:uid="{00000000-0005-0000-0000-000096780000}"/>
    <cellStyle name="VERTICAL 3" xfId="30864" xr:uid="{00000000-0005-0000-0000-000097780000}"/>
    <cellStyle name="VERTICAL 3 2" xfId="30865" xr:uid="{00000000-0005-0000-0000-000098780000}"/>
    <cellStyle name="VERTICAL 3 2 2" xfId="30866" xr:uid="{00000000-0005-0000-0000-000099780000}"/>
    <cellStyle name="VERTICAL 3 2 3" xfId="30867" xr:uid="{00000000-0005-0000-0000-00009A780000}"/>
    <cellStyle name="VERTICAL 3 2 4" xfId="30868" xr:uid="{00000000-0005-0000-0000-00009B780000}"/>
    <cellStyle name="VERTICAL 3 3" xfId="30869" xr:uid="{00000000-0005-0000-0000-00009C780000}"/>
    <cellStyle name="VERTICAL 3 3 2" xfId="30870" xr:uid="{00000000-0005-0000-0000-00009D780000}"/>
    <cellStyle name="VERTICAL 3 3 3" xfId="30871" xr:uid="{00000000-0005-0000-0000-00009E780000}"/>
    <cellStyle name="VERTICAL 3 3 4" xfId="30872" xr:uid="{00000000-0005-0000-0000-00009F780000}"/>
    <cellStyle name="VERTICAL 3 4" xfId="30873" xr:uid="{00000000-0005-0000-0000-0000A0780000}"/>
    <cellStyle name="VERTICAL 3 5" xfId="30874" xr:uid="{00000000-0005-0000-0000-0000A1780000}"/>
    <cellStyle name="VERTICAL 3 6" xfId="30875" xr:uid="{00000000-0005-0000-0000-0000A2780000}"/>
    <cellStyle name="VERTICAL 4" xfId="30876" xr:uid="{00000000-0005-0000-0000-0000A3780000}"/>
    <cellStyle name="VERTICAL 4 2" xfId="30877" xr:uid="{00000000-0005-0000-0000-0000A4780000}"/>
    <cellStyle name="VERTICAL 4 3" xfId="30878" xr:uid="{00000000-0005-0000-0000-0000A5780000}"/>
    <cellStyle name="VERTICAL 4 4" xfId="30879" xr:uid="{00000000-0005-0000-0000-0000A6780000}"/>
    <cellStyle name="VERTICAL 5" xfId="30880" xr:uid="{00000000-0005-0000-0000-0000A7780000}"/>
    <cellStyle name="VERTICAL 5 2" xfId="30881" xr:uid="{00000000-0005-0000-0000-0000A8780000}"/>
    <cellStyle name="VERTICAL 5 3" xfId="30882" xr:uid="{00000000-0005-0000-0000-0000A9780000}"/>
    <cellStyle name="VERTICAL 5 4" xfId="30883" xr:uid="{00000000-0005-0000-0000-0000AA780000}"/>
    <cellStyle name="VERTICAL 6" xfId="30884" xr:uid="{00000000-0005-0000-0000-0000AB780000}"/>
    <cellStyle name="VERTICAL 7" xfId="30885" xr:uid="{00000000-0005-0000-0000-0000AC780000}"/>
    <cellStyle name="VERTICAL 8" xfId="30886" xr:uid="{00000000-0005-0000-0000-0000AD780000}"/>
    <cellStyle name="Vide" xfId="30887" xr:uid="{00000000-0005-0000-0000-0000AE780000}"/>
    <cellStyle name="Vide 2" xfId="30888" xr:uid="{00000000-0005-0000-0000-0000AF780000}"/>
    <cellStyle name="Vide 2 2" xfId="30889" xr:uid="{00000000-0005-0000-0000-0000B0780000}"/>
    <cellStyle name="Vide 2 3" xfId="30890" xr:uid="{00000000-0005-0000-0000-0000B1780000}"/>
    <cellStyle name="Vide 3" xfId="30891" xr:uid="{00000000-0005-0000-0000-0000B2780000}"/>
    <cellStyle name="Virgule fixe" xfId="30892" xr:uid="{00000000-0005-0000-0000-0000B3780000}"/>
    <cellStyle name="Volume" xfId="30893" xr:uid="{00000000-0005-0000-0000-0000B4780000}"/>
    <cellStyle name="Währung [0]_050317_MDRS-Config_10" xfId="30895" xr:uid="{00000000-0005-0000-0000-0000B5780000}"/>
    <cellStyle name="Währung_050317_MDRS-Config_10" xfId="30896" xr:uid="{00000000-0005-0000-0000-0000B6780000}"/>
    <cellStyle name="Walutowy [0]_12" xfId="30897" xr:uid="{00000000-0005-0000-0000-0000B7780000}"/>
    <cellStyle name="Walutowy_12" xfId="30898" xr:uid="{00000000-0005-0000-0000-0000B8780000}"/>
    <cellStyle name="Warning Text 10" xfId="30899" xr:uid="{00000000-0005-0000-0000-0000B9780000}"/>
    <cellStyle name="Warning Text 10 2" xfId="30900" xr:uid="{00000000-0005-0000-0000-0000BA780000}"/>
    <cellStyle name="Warning Text 11" xfId="30901" xr:uid="{00000000-0005-0000-0000-0000BB780000}"/>
    <cellStyle name="Warning Text 11 2" xfId="30902" xr:uid="{00000000-0005-0000-0000-0000BC780000}"/>
    <cellStyle name="Warning Text 12" xfId="30903" xr:uid="{00000000-0005-0000-0000-0000BD780000}"/>
    <cellStyle name="Warning Text 12 2" xfId="30904" xr:uid="{00000000-0005-0000-0000-0000BE780000}"/>
    <cellStyle name="Warning Text 13" xfId="30905" xr:uid="{00000000-0005-0000-0000-0000BF780000}"/>
    <cellStyle name="Warning Text 13 2" xfId="30906" xr:uid="{00000000-0005-0000-0000-0000C0780000}"/>
    <cellStyle name="Warning Text 14" xfId="30907" xr:uid="{00000000-0005-0000-0000-0000C1780000}"/>
    <cellStyle name="Warning Text 14 2" xfId="30908" xr:uid="{00000000-0005-0000-0000-0000C2780000}"/>
    <cellStyle name="Warning Text 15" xfId="30909" xr:uid="{00000000-0005-0000-0000-0000C3780000}"/>
    <cellStyle name="Warning Text 15 2" xfId="30910" xr:uid="{00000000-0005-0000-0000-0000C4780000}"/>
    <cellStyle name="Warning Text 16" xfId="30911" xr:uid="{00000000-0005-0000-0000-0000C5780000}"/>
    <cellStyle name="Warning Text 16 2" xfId="30912" xr:uid="{00000000-0005-0000-0000-0000C6780000}"/>
    <cellStyle name="Warning Text 17" xfId="30913" xr:uid="{00000000-0005-0000-0000-0000C7780000}"/>
    <cellStyle name="Warning Text 17 2" xfId="30914" xr:uid="{00000000-0005-0000-0000-0000C8780000}"/>
    <cellStyle name="Warning Text 18" xfId="30915" xr:uid="{00000000-0005-0000-0000-0000C9780000}"/>
    <cellStyle name="Warning Text 18 2" xfId="30916" xr:uid="{00000000-0005-0000-0000-0000CA780000}"/>
    <cellStyle name="Warning Text 19" xfId="30917" xr:uid="{00000000-0005-0000-0000-0000CB780000}"/>
    <cellStyle name="Warning Text 19 2" xfId="30918" xr:uid="{00000000-0005-0000-0000-0000CC780000}"/>
    <cellStyle name="Warning Text 2" xfId="30919" xr:uid="{00000000-0005-0000-0000-0000CD780000}"/>
    <cellStyle name="Warning Text 2 10" xfId="30920" xr:uid="{00000000-0005-0000-0000-0000CE780000}"/>
    <cellStyle name="Warning Text 2 10 2" xfId="30921" xr:uid="{00000000-0005-0000-0000-0000CF780000}"/>
    <cellStyle name="Warning Text 2 11" xfId="30922" xr:uid="{00000000-0005-0000-0000-0000D0780000}"/>
    <cellStyle name="Warning Text 2 11 2" xfId="30923" xr:uid="{00000000-0005-0000-0000-0000D1780000}"/>
    <cellStyle name="Warning Text 2 12" xfId="30924" xr:uid="{00000000-0005-0000-0000-0000D2780000}"/>
    <cellStyle name="Warning Text 2 12 2" xfId="30925" xr:uid="{00000000-0005-0000-0000-0000D3780000}"/>
    <cellStyle name="Warning Text 2 13" xfId="30926" xr:uid="{00000000-0005-0000-0000-0000D4780000}"/>
    <cellStyle name="Warning Text 2 13 2" xfId="30927" xr:uid="{00000000-0005-0000-0000-0000D5780000}"/>
    <cellStyle name="Warning Text 2 14" xfId="30928" xr:uid="{00000000-0005-0000-0000-0000D6780000}"/>
    <cellStyle name="Warning Text 2 14 2" xfId="30929" xr:uid="{00000000-0005-0000-0000-0000D7780000}"/>
    <cellStyle name="Warning Text 2 15" xfId="30930" xr:uid="{00000000-0005-0000-0000-0000D8780000}"/>
    <cellStyle name="Warning Text 2 15 2" xfId="30931" xr:uid="{00000000-0005-0000-0000-0000D9780000}"/>
    <cellStyle name="Warning Text 2 16" xfId="30932" xr:uid="{00000000-0005-0000-0000-0000DA780000}"/>
    <cellStyle name="Warning Text 2 16 2" xfId="30933" xr:uid="{00000000-0005-0000-0000-0000DB780000}"/>
    <cellStyle name="Warning Text 2 17" xfId="30934" xr:uid="{00000000-0005-0000-0000-0000DC780000}"/>
    <cellStyle name="Warning Text 2 17 2" xfId="30935" xr:uid="{00000000-0005-0000-0000-0000DD780000}"/>
    <cellStyle name="Warning Text 2 18" xfId="30936" xr:uid="{00000000-0005-0000-0000-0000DE780000}"/>
    <cellStyle name="Warning Text 2 18 2" xfId="30937" xr:uid="{00000000-0005-0000-0000-0000DF780000}"/>
    <cellStyle name="Warning Text 2 19" xfId="30938" xr:uid="{00000000-0005-0000-0000-0000E0780000}"/>
    <cellStyle name="Warning Text 2 19 2" xfId="30939" xr:uid="{00000000-0005-0000-0000-0000E1780000}"/>
    <cellStyle name="Warning Text 2 2" xfId="30940" xr:uid="{00000000-0005-0000-0000-0000E2780000}"/>
    <cellStyle name="Warning Text 2 2 2" xfId="30941" xr:uid="{00000000-0005-0000-0000-0000E3780000}"/>
    <cellStyle name="Warning Text 2 2 2 2" xfId="30942" xr:uid="{00000000-0005-0000-0000-0000E4780000}"/>
    <cellStyle name="Warning Text 2 2 3" xfId="30943" xr:uid="{00000000-0005-0000-0000-0000E5780000}"/>
    <cellStyle name="Warning Text 2 20" xfId="30944" xr:uid="{00000000-0005-0000-0000-0000E6780000}"/>
    <cellStyle name="Warning Text 2 3" xfId="30945" xr:uid="{00000000-0005-0000-0000-0000E7780000}"/>
    <cellStyle name="Warning Text 2 3 2" xfId="30946" xr:uid="{00000000-0005-0000-0000-0000E8780000}"/>
    <cellStyle name="Warning Text 2 4" xfId="30947" xr:uid="{00000000-0005-0000-0000-0000E9780000}"/>
    <cellStyle name="Warning Text 2 4 2" xfId="30948" xr:uid="{00000000-0005-0000-0000-0000EA780000}"/>
    <cellStyle name="Warning Text 2 5" xfId="30949" xr:uid="{00000000-0005-0000-0000-0000EB780000}"/>
    <cellStyle name="Warning Text 2 5 2" xfId="30950" xr:uid="{00000000-0005-0000-0000-0000EC780000}"/>
    <cellStyle name="Warning Text 2 6" xfId="30951" xr:uid="{00000000-0005-0000-0000-0000ED780000}"/>
    <cellStyle name="Warning Text 2 6 2" xfId="30952" xr:uid="{00000000-0005-0000-0000-0000EE780000}"/>
    <cellStyle name="Warning Text 2 7" xfId="30953" xr:uid="{00000000-0005-0000-0000-0000EF780000}"/>
    <cellStyle name="Warning Text 2 7 2" xfId="30954" xr:uid="{00000000-0005-0000-0000-0000F0780000}"/>
    <cellStyle name="Warning Text 2 8" xfId="30955" xr:uid="{00000000-0005-0000-0000-0000F1780000}"/>
    <cellStyle name="Warning Text 2 8 2" xfId="30956" xr:uid="{00000000-0005-0000-0000-0000F2780000}"/>
    <cellStyle name="Warning Text 2 9" xfId="30957" xr:uid="{00000000-0005-0000-0000-0000F3780000}"/>
    <cellStyle name="Warning Text 2 9 2" xfId="30958" xr:uid="{00000000-0005-0000-0000-0000F4780000}"/>
    <cellStyle name="Warning Text 20" xfId="30959" xr:uid="{00000000-0005-0000-0000-0000F5780000}"/>
    <cellStyle name="Warning Text 20 2" xfId="30960" xr:uid="{00000000-0005-0000-0000-0000F6780000}"/>
    <cellStyle name="Warning Text 21" xfId="30961" xr:uid="{00000000-0005-0000-0000-0000F7780000}"/>
    <cellStyle name="Warning Text 21 2" xfId="30962" xr:uid="{00000000-0005-0000-0000-0000F8780000}"/>
    <cellStyle name="Warning Text 22" xfId="30963" xr:uid="{00000000-0005-0000-0000-0000F9780000}"/>
    <cellStyle name="Warning Text 22 2" xfId="30964" xr:uid="{00000000-0005-0000-0000-0000FA780000}"/>
    <cellStyle name="Warning Text 23" xfId="30965" xr:uid="{00000000-0005-0000-0000-0000FB780000}"/>
    <cellStyle name="Warning Text 23 2" xfId="30966" xr:uid="{00000000-0005-0000-0000-0000FC780000}"/>
    <cellStyle name="Warning Text 24" xfId="30967" xr:uid="{00000000-0005-0000-0000-0000FD780000}"/>
    <cellStyle name="Warning Text 24 2" xfId="30968" xr:uid="{00000000-0005-0000-0000-0000FE780000}"/>
    <cellStyle name="Warning Text 25" xfId="30969" xr:uid="{00000000-0005-0000-0000-0000FF780000}"/>
    <cellStyle name="Warning Text 25 2" xfId="30970" xr:uid="{00000000-0005-0000-0000-000000790000}"/>
    <cellStyle name="Warning Text 26" xfId="30971" xr:uid="{00000000-0005-0000-0000-000001790000}"/>
    <cellStyle name="Warning Text 26 2" xfId="30972" xr:uid="{00000000-0005-0000-0000-000002790000}"/>
    <cellStyle name="Warning Text 27" xfId="30973" xr:uid="{00000000-0005-0000-0000-000003790000}"/>
    <cellStyle name="Warning Text 27 2" xfId="30974" xr:uid="{00000000-0005-0000-0000-000004790000}"/>
    <cellStyle name="Warning Text 3" xfId="30975" xr:uid="{00000000-0005-0000-0000-000005790000}"/>
    <cellStyle name="Warning Text 3 2" xfId="30976" xr:uid="{00000000-0005-0000-0000-000006790000}"/>
    <cellStyle name="Warning Text 3 2 2" xfId="30977" xr:uid="{00000000-0005-0000-0000-000007790000}"/>
    <cellStyle name="Warning Text 3 3" xfId="30978" xr:uid="{00000000-0005-0000-0000-000008790000}"/>
    <cellStyle name="Warning Text 4" xfId="30979" xr:uid="{00000000-0005-0000-0000-000009790000}"/>
    <cellStyle name="Warning Text 4 2" xfId="30980" xr:uid="{00000000-0005-0000-0000-00000A790000}"/>
    <cellStyle name="Warning Text 4 2 2" xfId="30981" xr:uid="{00000000-0005-0000-0000-00000B790000}"/>
    <cellStyle name="Warning Text 4 3" xfId="30982" xr:uid="{00000000-0005-0000-0000-00000C790000}"/>
    <cellStyle name="Warning Text 5" xfId="30983" xr:uid="{00000000-0005-0000-0000-00000D790000}"/>
    <cellStyle name="Warning Text 5 2" xfId="30984" xr:uid="{00000000-0005-0000-0000-00000E790000}"/>
    <cellStyle name="Warning Text 6" xfId="30985" xr:uid="{00000000-0005-0000-0000-00000F790000}"/>
    <cellStyle name="Warning Text 6 2" xfId="30986" xr:uid="{00000000-0005-0000-0000-000010790000}"/>
    <cellStyle name="Warning Text 7" xfId="30987" xr:uid="{00000000-0005-0000-0000-000011790000}"/>
    <cellStyle name="Warning Text 7 2" xfId="30988" xr:uid="{00000000-0005-0000-0000-000012790000}"/>
    <cellStyle name="Warning Text 8" xfId="30989" xr:uid="{00000000-0005-0000-0000-000013790000}"/>
    <cellStyle name="Warning Text 8 2" xfId="30990" xr:uid="{00000000-0005-0000-0000-000014790000}"/>
    <cellStyle name="Warning Text 9" xfId="30991" xr:uid="{00000000-0005-0000-0000-000015790000}"/>
    <cellStyle name="Warning Text 9 2" xfId="30992" xr:uid="{00000000-0005-0000-0000-000016790000}"/>
    <cellStyle name="WHead - Style2" xfId="30993" xr:uid="{00000000-0005-0000-0000-000017790000}"/>
    <cellStyle name="WHead - Style2 2" xfId="30994" xr:uid="{00000000-0005-0000-0000-000018790000}"/>
    <cellStyle name="White" xfId="30995" xr:uid="{00000000-0005-0000-0000-000019790000}"/>
    <cellStyle name="Yen" xfId="30996" xr:uid="{00000000-0005-0000-0000-00001A790000}"/>
    <cellStyle name="Обычный_Caucas_0" xfId="31001" xr:uid="{00000000-0005-0000-0000-00001B790000}"/>
    <cellStyle name="アクセント 1" xfId="31025" xr:uid="{00000000-0005-0000-0000-00001C790000}"/>
    <cellStyle name="アクセント 2" xfId="31026" xr:uid="{00000000-0005-0000-0000-00001D790000}"/>
    <cellStyle name="アクセント 3" xfId="31027" xr:uid="{00000000-0005-0000-0000-00001E790000}"/>
    <cellStyle name="アクセント 4" xfId="31028" xr:uid="{00000000-0005-0000-0000-00001F790000}"/>
    <cellStyle name="アクセント 5" xfId="31029" xr:uid="{00000000-0005-0000-0000-000020790000}"/>
    <cellStyle name="アクセント 6" xfId="31030" xr:uid="{00000000-0005-0000-0000-000021790000}"/>
    <cellStyle name="タイトル" xfId="31031" xr:uid="{00000000-0005-0000-0000-000022790000}"/>
    <cellStyle name="チェック セル" xfId="31032" xr:uid="{00000000-0005-0000-0000-000023790000}"/>
    <cellStyle name="チェック セル 2" xfId="31033" xr:uid="{00000000-0005-0000-0000-000024790000}"/>
    <cellStyle name="チェック セル 2 2" xfId="31034" xr:uid="{00000000-0005-0000-0000-000025790000}"/>
    <cellStyle name="チェック セル 3" xfId="31035" xr:uid="{00000000-0005-0000-0000-000026790000}"/>
    <cellStyle name="チェック セル 4" xfId="31036" xr:uid="{00000000-0005-0000-0000-000027790000}"/>
    <cellStyle name="どちらでもない" xfId="31037" xr:uid="{00000000-0005-0000-0000-000028790000}"/>
    <cellStyle name="パーセント 15" xfId="31038" xr:uid="{00000000-0005-0000-0000-000029790000}"/>
    <cellStyle name="メモ" xfId="31039" xr:uid="{00000000-0005-0000-0000-00002A790000}"/>
    <cellStyle name="メモ 10" xfId="31040" xr:uid="{00000000-0005-0000-0000-00002B790000}"/>
    <cellStyle name="メモ 11" xfId="31041" xr:uid="{00000000-0005-0000-0000-00002C790000}"/>
    <cellStyle name="メモ 12" xfId="31042" xr:uid="{00000000-0005-0000-0000-00002D790000}"/>
    <cellStyle name="メモ 13" xfId="31043" xr:uid="{00000000-0005-0000-0000-00002E790000}"/>
    <cellStyle name="メモ 14" xfId="31044" xr:uid="{00000000-0005-0000-0000-00002F790000}"/>
    <cellStyle name="メモ 15" xfId="31045" xr:uid="{00000000-0005-0000-0000-000030790000}"/>
    <cellStyle name="メモ 16" xfId="31046" xr:uid="{00000000-0005-0000-0000-000031790000}"/>
    <cellStyle name="メモ 17" xfId="31047" xr:uid="{00000000-0005-0000-0000-000032790000}"/>
    <cellStyle name="メモ 18" xfId="31048" xr:uid="{00000000-0005-0000-0000-000033790000}"/>
    <cellStyle name="メモ 19" xfId="31049" xr:uid="{00000000-0005-0000-0000-000034790000}"/>
    <cellStyle name="メモ 2" xfId="31050" xr:uid="{00000000-0005-0000-0000-000035790000}"/>
    <cellStyle name="メモ 2 10" xfId="31051" xr:uid="{00000000-0005-0000-0000-000036790000}"/>
    <cellStyle name="メモ 2 11" xfId="31052" xr:uid="{00000000-0005-0000-0000-000037790000}"/>
    <cellStyle name="メモ 2 12" xfId="31053" xr:uid="{00000000-0005-0000-0000-000038790000}"/>
    <cellStyle name="メモ 2 13" xfId="31054" xr:uid="{00000000-0005-0000-0000-000039790000}"/>
    <cellStyle name="メモ 2 14" xfId="31055" xr:uid="{00000000-0005-0000-0000-00003A790000}"/>
    <cellStyle name="メモ 2 15" xfId="31056" xr:uid="{00000000-0005-0000-0000-00003B790000}"/>
    <cellStyle name="メモ 2 16" xfId="31057" xr:uid="{00000000-0005-0000-0000-00003C790000}"/>
    <cellStyle name="メモ 2 17" xfId="31058" xr:uid="{00000000-0005-0000-0000-00003D790000}"/>
    <cellStyle name="メモ 2 18" xfId="31059" xr:uid="{00000000-0005-0000-0000-00003E790000}"/>
    <cellStyle name="メモ 2 19" xfId="31060" xr:uid="{00000000-0005-0000-0000-00003F790000}"/>
    <cellStyle name="メモ 2 2" xfId="31061" xr:uid="{00000000-0005-0000-0000-000040790000}"/>
    <cellStyle name="メモ 2 2 2" xfId="31062" xr:uid="{00000000-0005-0000-0000-000041790000}"/>
    <cellStyle name="メモ 2 2 2 2" xfId="31063" xr:uid="{00000000-0005-0000-0000-000042790000}"/>
    <cellStyle name="メモ 2 2 2 3" xfId="31064" xr:uid="{00000000-0005-0000-0000-000043790000}"/>
    <cellStyle name="メモ 2 2 3" xfId="31065" xr:uid="{00000000-0005-0000-0000-000044790000}"/>
    <cellStyle name="メモ 2 2 3 2" xfId="31066" xr:uid="{00000000-0005-0000-0000-000045790000}"/>
    <cellStyle name="メモ 2 2 3 3" xfId="31067" xr:uid="{00000000-0005-0000-0000-000046790000}"/>
    <cellStyle name="メモ 2 2 4" xfId="31068" xr:uid="{00000000-0005-0000-0000-000047790000}"/>
    <cellStyle name="メモ 2 2 5" xfId="31069" xr:uid="{00000000-0005-0000-0000-000048790000}"/>
    <cellStyle name="メモ 2 20" xfId="31070" xr:uid="{00000000-0005-0000-0000-000049790000}"/>
    <cellStyle name="メモ 2 21" xfId="31071" xr:uid="{00000000-0005-0000-0000-00004A790000}"/>
    <cellStyle name="メモ 2 22" xfId="31072" xr:uid="{00000000-0005-0000-0000-00004B790000}"/>
    <cellStyle name="メモ 2 23" xfId="31073" xr:uid="{00000000-0005-0000-0000-00004C790000}"/>
    <cellStyle name="メモ 2 24" xfId="31074" xr:uid="{00000000-0005-0000-0000-00004D790000}"/>
    <cellStyle name="メモ 2 25" xfId="31075" xr:uid="{00000000-0005-0000-0000-00004E790000}"/>
    <cellStyle name="メモ 2 26" xfId="31076" xr:uid="{00000000-0005-0000-0000-00004F790000}"/>
    <cellStyle name="メモ 2 27" xfId="31077" xr:uid="{00000000-0005-0000-0000-000050790000}"/>
    <cellStyle name="メモ 2 28" xfId="31078" xr:uid="{00000000-0005-0000-0000-000051790000}"/>
    <cellStyle name="メモ 2 29" xfId="31079" xr:uid="{00000000-0005-0000-0000-000052790000}"/>
    <cellStyle name="メモ 2 3" xfId="31080" xr:uid="{00000000-0005-0000-0000-000053790000}"/>
    <cellStyle name="メモ 2 3 2" xfId="31081" xr:uid="{00000000-0005-0000-0000-000054790000}"/>
    <cellStyle name="メモ 2 3 2 2" xfId="31082" xr:uid="{00000000-0005-0000-0000-000055790000}"/>
    <cellStyle name="メモ 2 3 2 3" xfId="31083" xr:uid="{00000000-0005-0000-0000-000056790000}"/>
    <cellStyle name="メモ 2 3 3" xfId="31084" xr:uid="{00000000-0005-0000-0000-000057790000}"/>
    <cellStyle name="メモ 2 3 3 2" xfId="31085" xr:uid="{00000000-0005-0000-0000-000058790000}"/>
    <cellStyle name="メモ 2 3 3 3" xfId="31086" xr:uid="{00000000-0005-0000-0000-000059790000}"/>
    <cellStyle name="メモ 2 3 4" xfId="31087" xr:uid="{00000000-0005-0000-0000-00005A790000}"/>
    <cellStyle name="メモ 2 3 5" xfId="31088" xr:uid="{00000000-0005-0000-0000-00005B790000}"/>
    <cellStyle name="メモ 2 30" xfId="31089" xr:uid="{00000000-0005-0000-0000-00005C790000}"/>
    <cellStyle name="メモ 2 31" xfId="31090" xr:uid="{00000000-0005-0000-0000-00005D790000}"/>
    <cellStyle name="メモ 2 32" xfId="31091" xr:uid="{00000000-0005-0000-0000-00005E790000}"/>
    <cellStyle name="メモ 2 33" xfId="31092" xr:uid="{00000000-0005-0000-0000-00005F790000}"/>
    <cellStyle name="メモ 2 34" xfId="31093" xr:uid="{00000000-0005-0000-0000-000060790000}"/>
    <cellStyle name="メモ 2 35" xfId="31094" xr:uid="{00000000-0005-0000-0000-000061790000}"/>
    <cellStyle name="メモ 2 4" xfId="31095" xr:uid="{00000000-0005-0000-0000-000062790000}"/>
    <cellStyle name="メモ 2 4 2" xfId="31096" xr:uid="{00000000-0005-0000-0000-000063790000}"/>
    <cellStyle name="メモ 2 4 3" xfId="31097" xr:uid="{00000000-0005-0000-0000-000064790000}"/>
    <cellStyle name="メモ 2 5" xfId="31098" xr:uid="{00000000-0005-0000-0000-000065790000}"/>
    <cellStyle name="メモ 2 5 2" xfId="31099" xr:uid="{00000000-0005-0000-0000-000066790000}"/>
    <cellStyle name="メモ 2 5 3" xfId="31100" xr:uid="{00000000-0005-0000-0000-000067790000}"/>
    <cellStyle name="メモ 2 6" xfId="31101" xr:uid="{00000000-0005-0000-0000-000068790000}"/>
    <cellStyle name="メモ 2 7" xfId="31102" xr:uid="{00000000-0005-0000-0000-000069790000}"/>
    <cellStyle name="メモ 2 8" xfId="31103" xr:uid="{00000000-0005-0000-0000-00006A790000}"/>
    <cellStyle name="メモ 2 9" xfId="31104" xr:uid="{00000000-0005-0000-0000-00006B790000}"/>
    <cellStyle name="メモ 20" xfId="31105" xr:uid="{00000000-0005-0000-0000-00006C790000}"/>
    <cellStyle name="メモ 21" xfId="31106" xr:uid="{00000000-0005-0000-0000-00006D790000}"/>
    <cellStyle name="メモ 22" xfId="31107" xr:uid="{00000000-0005-0000-0000-00006E790000}"/>
    <cellStyle name="メモ 23" xfId="31108" xr:uid="{00000000-0005-0000-0000-00006F790000}"/>
    <cellStyle name="メモ 24" xfId="31109" xr:uid="{00000000-0005-0000-0000-000070790000}"/>
    <cellStyle name="メモ 25" xfId="31110" xr:uid="{00000000-0005-0000-0000-000071790000}"/>
    <cellStyle name="メモ 26" xfId="31111" xr:uid="{00000000-0005-0000-0000-000072790000}"/>
    <cellStyle name="メモ 27" xfId="31112" xr:uid="{00000000-0005-0000-0000-000073790000}"/>
    <cellStyle name="メモ 28" xfId="31113" xr:uid="{00000000-0005-0000-0000-000074790000}"/>
    <cellStyle name="メモ 29" xfId="31114" xr:uid="{00000000-0005-0000-0000-000075790000}"/>
    <cellStyle name="メモ 3" xfId="31115" xr:uid="{00000000-0005-0000-0000-000076790000}"/>
    <cellStyle name="メモ 3 2" xfId="31116" xr:uid="{00000000-0005-0000-0000-000077790000}"/>
    <cellStyle name="メモ 3 3" xfId="31117" xr:uid="{00000000-0005-0000-0000-000078790000}"/>
    <cellStyle name="メモ 30" xfId="31118" xr:uid="{00000000-0005-0000-0000-000079790000}"/>
    <cellStyle name="メモ 31" xfId="31119" xr:uid="{00000000-0005-0000-0000-00007A790000}"/>
    <cellStyle name="メモ 32" xfId="31120" xr:uid="{00000000-0005-0000-0000-00007B790000}"/>
    <cellStyle name="メモ 33" xfId="31121" xr:uid="{00000000-0005-0000-0000-00007C790000}"/>
    <cellStyle name="メモ 34" xfId="31122" xr:uid="{00000000-0005-0000-0000-00007D790000}"/>
    <cellStyle name="メモ 4" xfId="31123" xr:uid="{00000000-0005-0000-0000-00007E790000}"/>
    <cellStyle name="メモ 4 2" xfId="31124" xr:uid="{00000000-0005-0000-0000-00007F790000}"/>
    <cellStyle name="メモ 4 3" xfId="31125" xr:uid="{00000000-0005-0000-0000-000080790000}"/>
    <cellStyle name="メモ 5" xfId="31126" xr:uid="{00000000-0005-0000-0000-000081790000}"/>
    <cellStyle name="メモ 6" xfId="31127" xr:uid="{00000000-0005-0000-0000-000082790000}"/>
    <cellStyle name="メモ 7" xfId="31128" xr:uid="{00000000-0005-0000-0000-000083790000}"/>
    <cellStyle name="メモ 8" xfId="31129" xr:uid="{00000000-0005-0000-0000-000084790000}"/>
    <cellStyle name="メモ 9" xfId="31130" xr:uid="{00000000-0005-0000-0000-000085790000}"/>
    <cellStyle name="リンク セル" xfId="31131" xr:uid="{00000000-0005-0000-0000-000086790000}"/>
    <cellStyle name="น้บะภฒ_95" xfId="31002" xr:uid="{00000000-0005-0000-0000-000087790000}"/>
    <cellStyle name="ปกติ_11wq42" xfId="31003" xr:uid="{00000000-0005-0000-0000-000088790000}"/>
    <cellStyle name="ม๖มคตวม๖ พสภฝ" xfId="31004" xr:uid="{00000000-0005-0000-0000-000089790000}"/>
    <cellStyle name="ม๖มคตวม๖ พสภฝ 2" xfId="31005" xr:uid="{00000000-0005-0000-0000-00008A790000}"/>
    <cellStyle name="ม๖มคตวม๖ พสภฝ 2 2" xfId="31006" xr:uid="{00000000-0005-0000-0000-00008B790000}"/>
    <cellStyle name="ม๖มคตวม๖ พสภฝ 3" xfId="31007" xr:uid="{00000000-0005-0000-0000-00008C790000}"/>
    <cellStyle name="ฤธถ [0]_12ฟ๙ภศญ" xfId="31008" xr:uid="{00000000-0005-0000-0000-00008D790000}"/>
    <cellStyle name="ฤธถ_12ฟ๙ภศญ" xfId="31009" xr:uid="{00000000-0005-0000-0000-00008E790000}"/>
    <cellStyle name="ล๋ศญ [0]_12ฟ๙ภศญ" xfId="31010" xr:uid="{00000000-0005-0000-0000-00008F790000}"/>
    <cellStyle name="ล๋ศญ_12ฟ๙ภศญ" xfId="31011" xr:uid="{00000000-0005-0000-0000-000090790000}"/>
    <cellStyle name="วฅมุ_4ฟ๙ฝวภ๛" xfId="31012" xr:uid="{00000000-0005-0000-0000-000091790000}"/>
    <cellStyle name="뒤에 오는 하이퍼링크" xfId="31013" xr:uid="{00000000-0005-0000-0000-000092790000}"/>
    <cellStyle name="뒤에 오는 하이퍼링크 2" xfId="31014" xr:uid="{00000000-0005-0000-0000-000093790000}"/>
    <cellStyle name="뒤에 오는 하이퍼링크 2 2" xfId="31015" xr:uid="{00000000-0005-0000-0000-000094790000}"/>
    <cellStyle name="뒤에 오는 하이퍼링크 3" xfId="31016" xr:uid="{00000000-0005-0000-0000-000095790000}"/>
    <cellStyle name="뷭?_BOOKSHIP" xfId="31017" xr:uid="{00000000-0005-0000-0000-000096790000}"/>
    <cellStyle name="븿뗦먛귟_PRODUCT DETAIL Q1" xfId="31018" xr:uid="{00000000-0005-0000-0000-000097790000}"/>
    <cellStyle name="쉼표 [0]_tower price and foundation price" xfId="31019" xr:uid="{00000000-0005-0000-0000-000098790000}"/>
    <cellStyle name="콤마 [0]_10월2주 " xfId="31020" xr:uid="{00000000-0005-0000-0000-000099790000}"/>
    <cellStyle name="콤마_10월2주 " xfId="31021" xr:uid="{00000000-0005-0000-0000-00009A790000}"/>
    <cellStyle name="통화 [0]_BID" xfId="31022" xr:uid="{00000000-0005-0000-0000-00009B790000}"/>
    <cellStyle name="통화_BID" xfId="31023" xr:uid="{00000000-0005-0000-0000-00009C790000}"/>
    <cellStyle name="표준_030331MM_JB_030424MM_1mileswitch_config_06092005_FINNET" xfId="31024" xr:uid="{00000000-0005-0000-0000-00009D790000}"/>
    <cellStyle name="入力" xfId="31132" xr:uid="{00000000-0005-0000-0000-00009E790000}"/>
    <cellStyle name="入力 10" xfId="31133" xr:uid="{00000000-0005-0000-0000-00009F790000}"/>
    <cellStyle name="入力 11" xfId="31134" xr:uid="{00000000-0005-0000-0000-0000A0790000}"/>
    <cellStyle name="入力 12" xfId="31135" xr:uid="{00000000-0005-0000-0000-0000A1790000}"/>
    <cellStyle name="入力 13" xfId="31136" xr:uid="{00000000-0005-0000-0000-0000A2790000}"/>
    <cellStyle name="入力 14" xfId="31137" xr:uid="{00000000-0005-0000-0000-0000A3790000}"/>
    <cellStyle name="入力 2" xfId="31138" xr:uid="{00000000-0005-0000-0000-0000A4790000}"/>
    <cellStyle name="入力 2 10" xfId="31139" xr:uid="{00000000-0005-0000-0000-0000A5790000}"/>
    <cellStyle name="入力 2 11" xfId="31140" xr:uid="{00000000-0005-0000-0000-0000A6790000}"/>
    <cellStyle name="入力 2 12" xfId="31141" xr:uid="{00000000-0005-0000-0000-0000A7790000}"/>
    <cellStyle name="入力 2 13" xfId="31142" xr:uid="{00000000-0005-0000-0000-0000A8790000}"/>
    <cellStyle name="入力 2 14" xfId="31143" xr:uid="{00000000-0005-0000-0000-0000A9790000}"/>
    <cellStyle name="入力 2 15" xfId="31144" xr:uid="{00000000-0005-0000-0000-0000AA790000}"/>
    <cellStyle name="入力 2 16" xfId="31145" xr:uid="{00000000-0005-0000-0000-0000AB790000}"/>
    <cellStyle name="入力 2 17" xfId="31146" xr:uid="{00000000-0005-0000-0000-0000AC790000}"/>
    <cellStyle name="入力 2 18" xfId="31147" xr:uid="{00000000-0005-0000-0000-0000AD790000}"/>
    <cellStyle name="入力 2 19" xfId="31148" xr:uid="{00000000-0005-0000-0000-0000AE790000}"/>
    <cellStyle name="入力 2 2" xfId="31149" xr:uid="{00000000-0005-0000-0000-0000AF790000}"/>
    <cellStyle name="入力 2 2 2" xfId="31150" xr:uid="{00000000-0005-0000-0000-0000B0790000}"/>
    <cellStyle name="入力 2 2 2 2" xfId="31151" xr:uid="{00000000-0005-0000-0000-0000B1790000}"/>
    <cellStyle name="入力 2 2 2 3" xfId="31152" xr:uid="{00000000-0005-0000-0000-0000B2790000}"/>
    <cellStyle name="入力 2 2 3" xfId="31153" xr:uid="{00000000-0005-0000-0000-0000B3790000}"/>
    <cellStyle name="入力 2 2 3 2" xfId="31154" xr:uid="{00000000-0005-0000-0000-0000B4790000}"/>
    <cellStyle name="入力 2 2 3 3" xfId="31155" xr:uid="{00000000-0005-0000-0000-0000B5790000}"/>
    <cellStyle name="入力 2 2 4" xfId="31156" xr:uid="{00000000-0005-0000-0000-0000B6790000}"/>
    <cellStyle name="入力 2 2 5" xfId="31157" xr:uid="{00000000-0005-0000-0000-0000B7790000}"/>
    <cellStyle name="入力 2 20" xfId="31158" xr:uid="{00000000-0005-0000-0000-0000B8790000}"/>
    <cellStyle name="入力 2 21" xfId="31159" xr:uid="{00000000-0005-0000-0000-0000B9790000}"/>
    <cellStyle name="入力 2 22" xfId="31160" xr:uid="{00000000-0005-0000-0000-0000BA790000}"/>
    <cellStyle name="入力 2 23" xfId="31161" xr:uid="{00000000-0005-0000-0000-0000BB790000}"/>
    <cellStyle name="入力 2 24" xfId="31162" xr:uid="{00000000-0005-0000-0000-0000BC790000}"/>
    <cellStyle name="入力 2 25" xfId="31163" xr:uid="{00000000-0005-0000-0000-0000BD790000}"/>
    <cellStyle name="入力 2 26" xfId="31164" xr:uid="{00000000-0005-0000-0000-0000BE790000}"/>
    <cellStyle name="入力 2 27" xfId="31165" xr:uid="{00000000-0005-0000-0000-0000BF790000}"/>
    <cellStyle name="入力 2 28" xfId="31166" xr:uid="{00000000-0005-0000-0000-0000C0790000}"/>
    <cellStyle name="入力 2 29" xfId="31167" xr:uid="{00000000-0005-0000-0000-0000C1790000}"/>
    <cellStyle name="入力 2 3" xfId="31168" xr:uid="{00000000-0005-0000-0000-0000C2790000}"/>
    <cellStyle name="入力 2 3 2" xfId="31169" xr:uid="{00000000-0005-0000-0000-0000C3790000}"/>
    <cellStyle name="入力 2 3 2 2" xfId="31170" xr:uid="{00000000-0005-0000-0000-0000C4790000}"/>
    <cellStyle name="入力 2 3 2 3" xfId="31171" xr:uid="{00000000-0005-0000-0000-0000C5790000}"/>
    <cellStyle name="入力 2 3 3" xfId="31172" xr:uid="{00000000-0005-0000-0000-0000C6790000}"/>
    <cellStyle name="入力 2 3 3 2" xfId="31173" xr:uid="{00000000-0005-0000-0000-0000C7790000}"/>
    <cellStyle name="入力 2 3 3 3" xfId="31174" xr:uid="{00000000-0005-0000-0000-0000C8790000}"/>
    <cellStyle name="入力 2 3 4" xfId="31175" xr:uid="{00000000-0005-0000-0000-0000C9790000}"/>
    <cellStyle name="入力 2 3 5" xfId="31176" xr:uid="{00000000-0005-0000-0000-0000CA790000}"/>
    <cellStyle name="入力 2 30" xfId="31177" xr:uid="{00000000-0005-0000-0000-0000CB790000}"/>
    <cellStyle name="入力 2 31" xfId="31178" xr:uid="{00000000-0005-0000-0000-0000CC790000}"/>
    <cellStyle name="入力 2 32" xfId="31179" xr:uid="{00000000-0005-0000-0000-0000CD790000}"/>
    <cellStyle name="入力 2 33" xfId="31180" xr:uid="{00000000-0005-0000-0000-0000CE790000}"/>
    <cellStyle name="入力 2 34" xfId="31181" xr:uid="{00000000-0005-0000-0000-0000CF790000}"/>
    <cellStyle name="入力 2 35" xfId="31182" xr:uid="{00000000-0005-0000-0000-0000D0790000}"/>
    <cellStyle name="入力 2 4" xfId="31183" xr:uid="{00000000-0005-0000-0000-0000D1790000}"/>
    <cellStyle name="入力 2 4 2" xfId="31184" xr:uid="{00000000-0005-0000-0000-0000D2790000}"/>
    <cellStyle name="入力 2 4 3" xfId="31185" xr:uid="{00000000-0005-0000-0000-0000D3790000}"/>
    <cellStyle name="入力 2 5" xfId="31186" xr:uid="{00000000-0005-0000-0000-0000D4790000}"/>
    <cellStyle name="入力 2 5 2" xfId="31187" xr:uid="{00000000-0005-0000-0000-0000D5790000}"/>
    <cellStyle name="入力 2 5 3" xfId="31188" xr:uid="{00000000-0005-0000-0000-0000D6790000}"/>
    <cellStyle name="入力 2 6" xfId="31189" xr:uid="{00000000-0005-0000-0000-0000D7790000}"/>
    <cellStyle name="入力 2 7" xfId="31190" xr:uid="{00000000-0005-0000-0000-0000D8790000}"/>
    <cellStyle name="入力 2 8" xfId="31191" xr:uid="{00000000-0005-0000-0000-0000D9790000}"/>
    <cellStyle name="入力 2 9" xfId="31192" xr:uid="{00000000-0005-0000-0000-0000DA790000}"/>
    <cellStyle name="入力 3" xfId="31193" xr:uid="{00000000-0005-0000-0000-0000DB790000}"/>
    <cellStyle name="入力 3 2" xfId="31194" xr:uid="{00000000-0005-0000-0000-0000DC790000}"/>
    <cellStyle name="入力 3 2 2" xfId="31195" xr:uid="{00000000-0005-0000-0000-0000DD790000}"/>
    <cellStyle name="入力 3 2 3" xfId="31196" xr:uid="{00000000-0005-0000-0000-0000DE790000}"/>
    <cellStyle name="入力 3 3" xfId="31197" xr:uid="{00000000-0005-0000-0000-0000DF790000}"/>
    <cellStyle name="入力 3 3 2" xfId="31198" xr:uid="{00000000-0005-0000-0000-0000E0790000}"/>
    <cellStyle name="入力 3 3 3" xfId="31199" xr:uid="{00000000-0005-0000-0000-0000E1790000}"/>
    <cellStyle name="入力 3 4" xfId="31200" xr:uid="{00000000-0005-0000-0000-0000E2790000}"/>
    <cellStyle name="入力 3 5" xfId="31201" xr:uid="{00000000-0005-0000-0000-0000E3790000}"/>
    <cellStyle name="入力 4" xfId="31202" xr:uid="{00000000-0005-0000-0000-0000E4790000}"/>
    <cellStyle name="入力 4 2" xfId="31203" xr:uid="{00000000-0005-0000-0000-0000E5790000}"/>
    <cellStyle name="入力 4 3" xfId="31204" xr:uid="{00000000-0005-0000-0000-0000E6790000}"/>
    <cellStyle name="入力 5" xfId="31205" xr:uid="{00000000-0005-0000-0000-0000E7790000}"/>
    <cellStyle name="入力 5 2" xfId="31206" xr:uid="{00000000-0005-0000-0000-0000E8790000}"/>
    <cellStyle name="入力 5 3" xfId="31207" xr:uid="{00000000-0005-0000-0000-0000E9790000}"/>
    <cellStyle name="入力 6" xfId="31208" xr:uid="{00000000-0005-0000-0000-0000EA790000}"/>
    <cellStyle name="入力 7" xfId="31209" xr:uid="{00000000-0005-0000-0000-0000EB790000}"/>
    <cellStyle name="入力 8" xfId="31210" xr:uid="{00000000-0005-0000-0000-0000EC790000}"/>
    <cellStyle name="入力 9" xfId="31211" xr:uid="{00000000-0005-0000-0000-0000ED790000}"/>
    <cellStyle name="出力" xfId="31212" xr:uid="{00000000-0005-0000-0000-0000EE790000}"/>
    <cellStyle name="出力 10" xfId="31213" xr:uid="{00000000-0005-0000-0000-0000EF790000}"/>
    <cellStyle name="出力 11" xfId="31214" xr:uid="{00000000-0005-0000-0000-0000F0790000}"/>
    <cellStyle name="出力 12" xfId="31215" xr:uid="{00000000-0005-0000-0000-0000F1790000}"/>
    <cellStyle name="出力 13" xfId="31216" xr:uid="{00000000-0005-0000-0000-0000F2790000}"/>
    <cellStyle name="出力 14" xfId="31217" xr:uid="{00000000-0005-0000-0000-0000F3790000}"/>
    <cellStyle name="出力 15" xfId="31218" xr:uid="{00000000-0005-0000-0000-0000F4790000}"/>
    <cellStyle name="出力 16" xfId="31219" xr:uid="{00000000-0005-0000-0000-0000F5790000}"/>
    <cellStyle name="出力 17" xfId="31220" xr:uid="{00000000-0005-0000-0000-0000F6790000}"/>
    <cellStyle name="出力 18" xfId="31221" xr:uid="{00000000-0005-0000-0000-0000F7790000}"/>
    <cellStyle name="出力 19" xfId="31222" xr:uid="{00000000-0005-0000-0000-0000F8790000}"/>
    <cellStyle name="出力 2" xfId="31223" xr:uid="{00000000-0005-0000-0000-0000F9790000}"/>
    <cellStyle name="出力 2 10" xfId="31224" xr:uid="{00000000-0005-0000-0000-0000FA790000}"/>
    <cellStyle name="出力 2 11" xfId="31225" xr:uid="{00000000-0005-0000-0000-0000FB790000}"/>
    <cellStyle name="出力 2 12" xfId="31226" xr:uid="{00000000-0005-0000-0000-0000FC790000}"/>
    <cellStyle name="出力 2 13" xfId="31227" xr:uid="{00000000-0005-0000-0000-0000FD790000}"/>
    <cellStyle name="出力 2 14" xfId="31228" xr:uid="{00000000-0005-0000-0000-0000FE790000}"/>
    <cellStyle name="出力 2 15" xfId="31229" xr:uid="{00000000-0005-0000-0000-0000FF790000}"/>
    <cellStyle name="出力 2 16" xfId="31230" xr:uid="{00000000-0005-0000-0000-0000007A0000}"/>
    <cellStyle name="出力 2 17" xfId="31231" xr:uid="{00000000-0005-0000-0000-0000017A0000}"/>
    <cellStyle name="出力 2 18" xfId="31232" xr:uid="{00000000-0005-0000-0000-0000027A0000}"/>
    <cellStyle name="出力 2 19" xfId="31233" xr:uid="{00000000-0005-0000-0000-0000037A0000}"/>
    <cellStyle name="出力 2 2" xfId="31234" xr:uid="{00000000-0005-0000-0000-0000047A0000}"/>
    <cellStyle name="出力 2 20" xfId="31235" xr:uid="{00000000-0005-0000-0000-0000057A0000}"/>
    <cellStyle name="出力 2 21" xfId="31236" xr:uid="{00000000-0005-0000-0000-0000067A0000}"/>
    <cellStyle name="出力 2 22" xfId="31237" xr:uid="{00000000-0005-0000-0000-0000077A0000}"/>
    <cellStyle name="出力 2 23" xfId="31238" xr:uid="{00000000-0005-0000-0000-0000087A0000}"/>
    <cellStyle name="出力 2 24" xfId="31239" xr:uid="{00000000-0005-0000-0000-0000097A0000}"/>
    <cellStyle name="出力 2 25" xfId="31240" xr:uid="{00000000-0005-0000-0000-00000A7A0000}"/>
    <cellStyle name="出力 2 26" xfId="31241" xr:uid="{00000000-0005-0000-0000-00000B7A0000}"/>
    <cellStyle name="出力 2 27" xfId="31242" xr:uid="{00000000-0005-0000-0000-00000C7A0000}"/>
    <cellStyle name="出力 2 28" xfId="31243" xr:uid="{00000000-0005-0000-0000-00000D7A0000}"/>
    <cellStyle name="出力 2 29" xfId="31244" xr:uid="{00000000-0005-0000-0000-00000E7A0000}"/>
    <cellStyle name="出力 2 3" xfId="31245" xr:uid="{00000000-0005-0000-0000-00000F7A0000}"/>
    <cellStyle name="出力 2 30" xfId="31246" xr:uid="{00000000-0005-0000-0000-0000107A0000}"/>
    <cellStyle name="出力 2 31" xfId="31247" xr:uid="{00000000-0005-0000-0000-0000117A0000}"/>
    <cellStyle name="出力 2 32" xfId="31248" xr:uid="{00000000-0005-0000-0000-0000127A0000}"/>
    <cellStyle name="出力 2 33" xfId="31249" xr:uid="{00000000-0005-0000-0000-0000137A0000}"/>
    <cellStyle name="出力 2 34" xfId="31250" xr:uid="{00000000-0005-0000-0000-0000147A0000}"/>
    <cellStyle name="出力 2 4" xfId="31251" xr:uid="{00000000-0005-0000-0000-0000157A0000}"/>
    <cellStyle name="出力 2 5" xfId="31252" xr:uid="{00000000-0005-0000-0000-0000167A0000}"/>
    <cellStyle name="出力 2 6" xfId="31253" xr:uid="{00000000-0005-0000-0000-0000177A0000}"/>
    <cellStyle name="出力 2 7" xfId="31254" xr:uid="{00000000-0005-0000-0000-0000187A0000}"/>
    <cellStyle name="出力 2 8" xfId="31255" xr:uid="{00000000-0005-0000-0000-0000197A0000}"/>
    <cellStyle name="出力 2 9" xfId="31256" xr:uid="{00000000-0005-0000-0000-00001A7A0000}"/>
    <cellStyle name="出力 20" xfId="31257" xr:uid="{00000000-0005-0000-0000-00001B7A0000}"/>
    <cellStyle name="出力 3" xfId="31258" xr:uid="{00000000-0005-0000-0000-00001C7A0000}"/>
    <cellStyle name="出力 3 2" xfId="31259" xr:uid="{00000000-0005-0000-0000-00001D7A0000}"/>
    <cellStyle name="出力 3 3" xfId="31260" xr:uid="{00000000-0005-0000-0000-00001E7A0000}"/>
    <cellStyle name="出力 4" xfId="31261" xr:uid="{00000000-0005-0000-0000-00001F7A0000}"/>
    <cellStyle name="出力 5" xfId="31262" xr:uid="{00000000-0005-0000-0000-0000207A0000}"/>
    <cellStyle name="出力 6" xfId="31263" xr:uid="{00000000-0005-0000-0000-0000217A0000}"/>
    <cellStyle name="出力 7" xfId="31264" xr:uid="{00000000-0005-0000-0000-0000227A0000}"/>
    <cellStyle name="出力 8" xfId="31265" xr:uid="{00000000-0005-0000-0000-0000237A0000}"/>
    <cellStyle name="出力 9" xfId="31266" xr:uid="{00000000-0005-0000-0000-0000247A0000}"/>
    <cellStyle name="千位[0]_laroux" xfId="31268" xr:uid="{00000000-0005-0000-0000-0000257A0000}"/>
    <cellStyle name="千位_laroux" xfId="31267" xr:uid="{00000000-0005-0000-0000-0000267A0000}"/>
    <cellStyle name="千位分隔 10" xfId="31269" xr:uid="{00000000-0005-0000-0000-0000277A0000}"/>
    <cellStyle name="千位分隔 11" xfId="31270" xr:uid="{00000000-0005-0000-0000-0000287A0000}"/>
    <cellStyle name="千位分隔 2" xfId="31271" xr:uid="{00000000-0005-0000-0000-0000297A0000}"/>
    <cellStyle name="千位分隔 2 2" xfId="31272" xr:uid="{00000000-0005-0000-0000-00002A7A0000}"/>
    <cellStyle name="千位分隔 2 2 2" xfId="31273" xr:uid="{00000000-0005-0000-0000-00002B7A0000}"/>
    <cellStyle name="千位分隔 2 2 3" xfId="31274" xr:uid="{00000000-0005-0000-0000-00002C7A0000}"/>
    <cellStyle name="千位分隔 2 2 4" xfId="31275" xr:uid="{00000000-0005-0000-0000-00002D7A0000}"/>
    <cellStyle name="千位分隔 2 3" xfId="31276" xr:uid="{00000000-0005-0000-0000-00002E7A0000}"/>
    <cellStyle name="千位分隔 2 4" xfId="31277" xr:uid="{00000000-0005-0000-0000-00002F7A0000}"/>
    <cellStyle name="千位分隔 2 5" xfId="31278" xr:uid="{00000000-0005-0000-0000-0000307A0000}"/>
    <cellStyle name="千位分隔 3" xfId="31279" xr:uid="{00000000-0005-0000-0000-0000317A0000}"/>
    <cellStyle name="千位分隔 3 2" xfId="31280" xr:uid="{00000000-0005-0000-0000-0000327A0000}"/>
    <cellStyle name="千位分隔 3 3" xfId="31281" xr:uid="{00000000-0005-0000-0000-0000337A0000}"/>
    <cellStyle name="千位分隔 4" xfId="31282" xr:uid="{00000000-0005-0000-0000-0000347A0000}"/>
    <cellStyle name="千位分隔 4 2" xfId="31283" xr:uid="{00000000-0005-0000-0000-0000357A0000}"/>
    <cellStyle name="千位分隔 4 3" xfId="31284" xr:uid="{00000000-0005-0000-0000-0000367A0000}"/>
    <cellStyle name="千位分隔 5" xfId="31285" xr:uid="{00000000-0005-0000-0000-0000377A0000}"/>
    <cellStyle name="千位分隔 5 2" xfId="31286" xr:uid="{00000000-0005-0000-0000-0000387A0000}"/>
    <cellStyle name="千位分隔 6" xfId="31287" xr:uid="{00000000-0005-0000-0000-0000397A0000}"/>
    <cellStyle name="千位分隔 6 2" xfId="31288" xr:uid="{00000000-0005-0000-0000-00003A7A0000}"/>
    <cellStyle name="千位分隔 7" xfId="31289" xr:uid="{00000000-0005-0000-0000-00003B7A0000}"/>
    <cellStyle name="千位分隔 8" xfId="31290" xr:uid="{00000000-0005-0000-0000-00003C7A0000}"/>
    <cellStyle name="千位分隔 9" xfId="31291" xr:uid="{00000000-0005-0000-0000-00003D7A0000}"/>
    <cellStyle name="千位分隔[0] 2" xfId="31293" xr:uid="{00000000-0005-0000-0000-00003E7A0000}"/>
    <cellStyle name="千位分隔[0] 3" xfId="31294" xr:uid="{00000000-0005-0000-0000-00003F7A0000}"/>
    <cellStyle name="千位分隔[0] 4" xfId="31295" xr:uid="{00000000-0005-0000-0000-0000407A0000}"/>
    <cellStyle name="千位分隔[0]_2.5G报价模板" xfId="31296" xr:uid="{00000000-0005-0000-0000-0000417A0000}"/>
    <cellStyle name="千位分隔_2.5G报价模板" xfId="31292" xr:uid="{00000000-0005-0000-0000-0000427A0000}"/>
    <cellStyle name="千分位[0]_ 白土" xfId="31298" xr:uid="{00000000-0005-0000-0000-0000437A0000}"/>
    <cellStyle name="千分位_ 白土" xfId="31297" xr:uid="{00000000-0005-0000-0000-0000447A0000}"/>
    <cellStyle name="后继超级链接_~0055202" xfId="31299" xr:uid="{00000000-0005-0000-0000-0000457A0000}"/>
    <cellStyle name="好" xfId="31300" xr:uid="{00000000-0005-0000-0000-0000467A0000}"/>
    <cellStyle name="好 2" xfId="31301" xr:uid="{00000000-0005-0000-0000-0000477A0000}"/>
    <cellStyle name="好 3" xfId="31302" xr:uid="{00000000-0005-0000-0000-0000487A0000}"/>
    <cellStyle name="好 4" xfId="31303" xr:uid="{00000000-0005-0000-0000-0000497A0000}"/>
    <cellStyle name="好 5" xfId="31304" xr:uid="{00000000-0005-0000-0000-00004A7A0000}"/>
    <cellStyle name="好 6" xfId="31305" xr:uid="{00000000-0005-0000-0000-00004B7A0000}"/>
    <cellStyle name="好_Annex 27 Part 2 Prices-2010.09.17-V1.0" xfId="31306" xr:uid="{00000000-0005-0000-0000-00004C7A0000}"/>
    <cellStyle name="好_BoQ-Bill of Quantity" xfId="31307" xr:uid="{00000000-0005-0000-0000-00004D7A0000}"/>
    <cellStyle name="好_Optical" xfId="31308" xr:uid="{00000000-0005-0000-0000-00004E7A0000}"/>
    <cellStyle name="好_Sheet3" xfId="31309" xr:uid="{00000000-0005-0000-0000-00004F7A0000}"/>
    <cellStyle name="好_VAS 软件单价表" xfId="31310" xr:uid="{00000000-0005-0000-0000-0000507A0000}"/>
    <cellStyle name="好_固网单价" xfId="31311" xr:uid="{00000000-0005-0000-0000-0000517A0000}"/>
    <cellStyle name="差" xfId="31312" xr:uid="{00000000-0005-0000-0000-0000527A0000}"/>
    <cellStyle name="差 2" xfId="31313" xr:uid="{00000000-0005-0000-0000-0000537A0000}"/>
    <cellStyle name="差 3" xfId="31314" xr:uid="{00000000-0005-0000-0000-0000547A0000}"/>
    <cellStyle name="差 4" xfId="31315" xr:uid="{00000000-0005-0000-0000-0000557A0000}"/>
    <cellStyle name="差 5" xfId="31316" xr:uid="{00000000-0005-0000-0000-0000567A0000}"/>
    <cellStyle name="差 6" xfId="31317" xr:uid="{00000000-0005-0000-0000-0000577A0000}"/>
    <cellStyle name="差_Annex 27 Part 2 Prices-2010.09.17-V1.0" xfId="31318" xr:uid="{00000000-0005-0000-0000-0000587A0000}"/>
    <cellStyle name="差_BoQ-Bill of Quantity" xfId="31319" xr:uid="{00000000-0005-0000-0000-0000597A0000}"/>
    <cellStyle name="差_Optical" xfId="31320" xr:uid="{00000000-0005-0000-0000-00005A7A0000}"/>
    <cellStyle name="差_Sheet3" xfId="31321" xr:uid="{00000000-0005-0000-0000-00005B7A0000}"/>
    <cellStyle name="差_VAS 软件单价表" xfId="31322" xr:uid="{00000000-0005-0000-0000-00005C7A0000}"/>
    <cellStyle name="差_固网单价" xfId="31323" xr:uid="{00000000-0005-0000-0000-00005D7A0000}"/>
    <cellStyle name="常规 10" xfId="31324" xr:uid="{00000000-0005-0000-0000-00005E7A0000}"/>
    <cellStyle name="常规 11" xfId="31325" xr:uid="{00000000-0005-0000-0000-00005F7A0000}"/>
    <cellStyle name="常规 11 2" xfId="31326" xr:uid="{00000000-0005-0000-0000-0000607A0000}"/>
    <cellStyle name="常规 12" xfId="31327" xr:uid="{00000000-0005-0000-0000-0000617A0000}"/>
    <cellStyle name="常规 13" xfId="31328" xr:uid="{00000000-0005-0000-0000-0000627A0000}"/>
    <cellStyle name="常规 14" xfId="31329" xr:uid="{00000000-0005-0000-0000-0000637A0000}"/>
    <cellStyle name="常规 14 2" xfId="31330" xr:uid="{00000000-0005-0000-0000-0000647A0000}"/>
    <cellStyle name="常规 14 3" xfId="31331" xr:uid="{00000000-0005-0000-0000-0000657A0000}"/>
    <cellStyle name="常规 15" xfId="31332" xr:uid="{00000000-0005-0000-0000-0000667A0000}"/>
    <cellStyle name="常规 16" xfId="31333" xr:uid="{00000000-0005-0000-0000-0000677A0000}"/>
    <cellStyle name="常规 17" xfId="31334" xr:uid="{00000000-0005-0000-0000-0000687A0000}"/>
    <cellStyle name="常规 2" xfId="31335" xr:uid="{00000000-0005-0000-0000-0000697A0000}"/>
    <cellStyle name="常规 2 2" xfId="31336" xr:uid="{00000000-0005-0000-0000-00006A7A0000}"/>
    <cellStyle name="常规 2 2 2" xfId="31337" xr:uid="{00000000-0005-0000-0000-00006B7A0000}"/>
    <cellStyle name="常规 2 3" xfId="31338" xr:uid="{00000000-0005-0000-0000-00006C7A0000}"/>
    <cellStyle name="常规 2_Discounts(Ran)" xfId="31339" xr:uid="{00000000-0005-0000-0000-00006D7A0000}"/>
    <cellStyle name="常规 3" xfId="31340" xr:uid="{00000000-0005-0000-0000-00006E7A0000}"/>
    <cellStyle name="常规 3 2" xfId="31341" xr:uid="{00000000-0005-0000-0000-00006F7A0000}"/>
    <cellStyle name="常规 3 3" xfId="31342" xr:uid="{00000000-0005-0000-0000-0000707A0000}"/>
    <cellStyle name="常规 3 4" xfId="31343" xr:uid="{00000000-0005-0000-0000-0000717A0000}"/>
    <cellStyle name="常规 3_Discounts(Core)" xfId="31344" xr:uid="{00000000-0005-0000-0000-0000727A0000}"/>
    <cellStyle name="常规 4" xfId="31345" xr:uid="{00000000-0005-0000-0000-0000737A0000}"/>
    <cellStyle name="常规 4 2" xfId="31346" xr:uid="{00000000-0005-0000-0000-0000747A0000}"/>
    <cellStyle name="常规 5" xfId="31347" xr:uid="{00000000-0005-0000-0000-0000757A0000}"/>
    <cellStyle name="常规 6" xfId="31348" xr:uid="{00000000-0005-0000-0000-0000767A0000}"/>
    <cellStyle name="常规 6 2" xfId="31349" xr:uid="{00000000-0005-0000-0000-0000777A0000}"/>
    <cellStyle name="常规 7" xfId="31350" xr:uid="{00000000-0005-0000-0000-0000787A0000}"/>
    <cellStyle name="常规 7 2" xfId="31351" xr:uid="{00000000-0005-0000-0000-0000797A0000}"/>
    <cellStyle name="常规 8" xfId="31352" xr:uid="{00000000-0005-0000-0000-00007A7A0000}"/>
    <cellStyle name="常规 8 2" xfId="31353" xr:uid="{00000000-0005-0000-0000-00007B7A0000}"/>
    <cellStyle name="常规 8 3" xfId="31354" xr:uid="{00000000-0005-0000-0000-00007C7A0000}"/>
    <cellStyle name="常规 9" xfId="31355" xr:uid="{00000000-0005-0000-0000-00007D7A0000}"/>
    <cellStyle name="常规_~5333370" xfId="31356" xr:uid="{00000000-0005-0000-0000-00007E7A0000}"/>
    <cellStyle name="强调文字颜色 1" xfId="31357" xr:uid="{00000000-0005-0000-0000-00007F7A0000}"/>
    <cellStyle name="强调文字颜色 1 2" xfId="31358" xr:uid="{00000000-0005-0000-0000-0000807A0000}"/>
    <cellStyle name="强调文字颜色 1 3" xfId="31359" xr:uid="{00000000-0005-0000-0000-0000817A0000}"/>
    <cellStyle name="强调文字颜色 1 4" xfId="31360" xr:uid="{00000000-0005-0000-0000-0000827A0000}"/>
    <cellStyle name="强调文字颜色 1 5" xfId="31361" xr:uid="{00000000-0005-0000-0000-0000837A0000}"/>
    <cellStyle name="强调文字颜色 1 6" xfId="31362" xr:uid="{00000000-0005-0000-0000-0000847A0000}"/>
    <cellStyle name="强调文字颜色 2" xfId="31363" xr:uid="{00000000-0005-0000-0000-0000857A0000}"/>
    <cellStyle name="强调文字颜色 2 2" xfId="31364" xr:uid="{00000000-0005-0000-0000-0000867A0000}"/>
    <cellStyle name="强调文字颜色 2 3" xfId="31365" xr:uid="{00000000-0005-0000-0000-0000877A0000}"/>
    <cellStyle name="强调文字颜色 2 4" xfId="31366" xr:uid="{00000000-0005-0000-0000-0000887A0000}"/>
    <cellStyle name="强调文字颜色 2 5" xfId="31367" xr:uid="{00000000-0005-0000-0000-0000897A0000}"/>
    <cellStyle name="强调文字颜色 2 6" xfId="31368" xr:uid="{00000000-0005-0000-0000-00008A7A0000}"/>
    <cellStyle name="强调文字颜色 3" xfId="31369" xr:uid="{00000000-0005-0000-0000-00008B7A0000}"/>
    <cellStyle name="强调文字颜色 3 2" xfId="31370" xr:uid="{00000000-0005-0000-0000-00008C7A0000}"/>
    <cellStyle name="强调文字颜色 3 3" xfId="31371" xr:uid="{00000000-0005-0000-0000-00008D7A0000}"/>
    <cellStyle name="强调文字颜色 3 4" xfId="31372" xr:uid="{00000000-0005-0000-0000-00008E7A0000}"/>
    <cellStyle name="强调文字颜色 3 5" xfId="31373" xr:uid="{00000000-0005-0000-0000-00008F7A0000}"/>
    <cellStyle name="强调文字颜色 3 6" xfId="31374" xr:uid="{00000000-0005-0000-0000-0000907A0000}"/>
    <cellStyle name="强调文字颜色 4" xfId="31375" xr:uid="{00000000-0005-0000-0000-0000917A0000}"/>
    <cellStyle name="强调文字颜色 4 2" xfId="31376" xr:uid="{00000000-0005-0000-0000-0000927A0000}"/>
    <cellStyle name="强调文字颜色 4 3" xfId="31377" xr:uid="{00000000-0005-0000-0000-0000937A0000}"/>
    <cellStyle name="强调文字颜色 4 4" xfId="31378" xr:uid="{00000000-0005-0000-0000-0000947A0000}"/>
    <cellStyle name="强调文字颜色 4 5" xfId="31379" xr:uid="{00000000-0005-0000-0000-0000957A0000}"/>
    <cellStyle name="强调文字颜色 4 6" xfId="31380" xr:uid="{00000000-0005-0000-0000-0000967A0000}"/>
    <cellStyle name="强调文字颜色 5" xfId="31381" xr:uid="{00000000-0005-0000-0000-0000977A0000}"/>
    <cellStyle name="强调文字颜色 5 2" xfId="31382" xr:uid="{00000000-0005-0000-0000-0000987A0000}"/>
    <cellStyle name="强调文字颜色 5 3" xfId="31383" xr:uid="{00000000-0005-0000-0000-0000997A0000}"/>
    <cellStyle name="强调文字颜色 5 4" xfId="31384" xr:uid="{00000000-0005-0000-0000-00009A7A0000}"/>
    <cellStyle name="强调文字颜色 5 5" xfId="31385" xr:uid="{00000000-0005-0000-0000-00009B7A0000}"/>
    <cellStyle name="强调文字颜色 5 6" xfId="31386" xr:uid="{00000000-0005-0000-0000-00009C7A0000}"/>
    <cellStyle name="强调文字颜色 6" xfId="31387" xr:uid="{00000000-0005-0000-0000-00009D7A0000}"/>
    <cellStyle name="强调文字颜色 6 2" xfId="31388" xr:uid="{00000000-0005-0000-0000-00009E7A0000}"/>
    <cellStyle name="强调文字颜色 6 3" xfId="31389" xr:uid="{00000000-0005-0000-0000-00009F7A0000}"/>
    <cellStyle name="强调文字颜色 6 4" xfId="31390" xr:uid="{00000000-0005-0000-0000-0000A07A0000}"/>
    <cellStyle name="强调文字颜色 6 5" xfId="31391" xr:uid="{00000000-0005-0000-0000-0000A17A0000}"/>
    <cellStyle name="强调文字颜色 6 6" xfId="31392" xr:uid="{00000000-0005-0000-0000-0000A27A0000}"/>
    <cellStyle name="悪い" xfId="31393" xr:uid="{00000000-0005-0000-0000-0000A37A0000}"/>
    <cellStyle name="普通_ 白土" xfId="31394" xr:uid="{00000000-0005-0000-0000-0000A47A0000}"/>
    <cellStyle name="未定義" xfId="31395" xr:uid="{00000000-0005-0000-0000-0000A57A0000}"/>
    <cellStyle name="未定義 2" xfId="31396" xr:uid="{00000000-0005-0000-0000-0000A67A0000}"/>
    <cellStyle name="未定義 2 2" xfId="31397" xr:uid="{00000000-0005-0000-0000-0000A77A0000}"/>
    <cellStyle name="未定義 3" xfId="31398" xr:uid="{00000000-0005-0000-0000-0000A87A0000}"/>
    <cellStyle name="标题" xfId="31399" xr:uid="{00000000-0005-0000-0000-0000A97A0000}"/>
    <cellStyle name="标题 1" xfId="31400" xr:uid="{00000000-0005-0000-0000-0000AA7A0000}"/>
    <cellStyle name="标题 1 2" xfId="31401" xr:uid="{00000000-0005-0000-0000-0000AB7A0000}"/>
    <cellStyle name="标题 1 3" xfId="31402" xr:uid="{00000000-0005-0000-0000-0000AC7A0000}"/>
    <cellStyle name="标题 1 4" xfId="31403" xr:uid="{00000000-0005-0000-0000-0000AD7A0000}"/>
    <cellStyle name="标题 1 5" xfId="31404" xr:uid="{00000000-0005-0000-0000-0000AE7A0000}"/>
    <cellStyle name="标题 1 6" xfId="31405" xr:uid="{00000000-0005-0000-0000-0000AF7A0000}"/>
    <cellStyle name="标题 2" xfId="31406" xr:uid="{00000000-0005-0000-0000-0000B07A0000}"/>
    <cellStyle name="标题 2 2" xfId="31407" xr:uid="{00000000-0005-0000-0000-0000B17A0000}"/>
    <cellStyle name="标题 2 3" xfId="31408" xr:uid="{00000000-0005-0000-0000-0000B27A0000}"/>
    <cellStyle name="标题 2 4" xfId="31409" xr:uid="{00000000-0005-0000-0000-0000B37A0000}"/>
    <cellStyle name="标题 2 5" xfId="31410" xr:uid="{00000000-0005-0000-0000-0000B47A0000}"/>
    <cellStyle name="标题 2 6" xfId="31411" xr:uid="{00000000-0005-0000-0000-0000B57A0000}"/>
    <cellStyle name="标题 3" xfId="31412" xr:uid="{00000000-0005-0000-0000-0000B67A0000}"/>
    <cellStyle name="标题 3 2" xfId="31413" xr:uid="{00000000-0005-0000-0000-0000B77A0000}"/>
    <cellStyle name="标题 3 3" xfId="31414" xr:uid="{00000000-0005-0000-0000-0000B87A0000}"/>
    <cellStyle name="标题 3 4" xfId="31415" xr:uid="{00000000-0005-0000-0000-0000B97A0000}"/>
    <cellStyle name="标题 3 5" xfId="31416" xr:uid="{00000000-0005-0000-0000-0000BA7A0000}"/>
    <cellStyle name="标题 3 6" xfId="31417" xr:uid="{00000000-0005-0000-0000-0000BB7A0000}"/>
    <cellStyle name="标题 4" xfId="31418" xr:uid="{00000000-0005-0000-0000-0000BC7A0000}"/>
    <cellStyle name="标题 4 2" xfId="31419" xr:uid="{00000000-0005-0000-0000-0000BD7A0000}"/>
    <cellStyle name="标题 4 3" xfId="31420" xr:uid="{00000000-0005-0000-0000-0000BE7A0000}"/>
    <cellStyle name="标题 4 4" xfId="31421" xr:uid="{00000000-0005-0000-0000-0000BF7A0000}"/>
    <cellStyle name="标题 4 5" xfId="31422" xr:uid="{00000000-0005-0000-0000-0000C07A0000}"/>
    <cellStyle name="标题 4 6" xfId="31423" xr:uid="{00000000-0005-0000-0000-0000C17A0000}"/>
    <cellStyle name="标题 5" xfId="31424" xr:uid="{00000000-0005-0000-0000-0000C27A0000}"/>
    <cellStyle name="标题 6" xfId="31425" xr:uid="{00000000-0005-0000-0000-0000C37A0000}"/>
    <cellStyle name="标题 7" xfId="31426" xr:uid="{00000000-0005-0000-0000-0000C47A0000}"/>
    <cellStyle name="标题 8" xfId="31427" xr:uid="{00000000-0005-0000-0000-0000C57A0000}"/>
    <cellStyle name="标题 9" xfId="31428" xr:uid="{00000000-0005-0000-0000-0000C67A0000}"/>
    <cellStyle name="样式 1" xfId="31429" xr:uid="{00000000-0005-0000-0000-0000C77A0000}"/>
    <cellStyle name="样式 1 2" xfId="31430" xr:uid="{00000000-0005-0000-0000-0000C87A0000}"/>
    <cellStyle name="样式 1 2 2" xfId="31431" xr:uid="{00000000-0005-0000-0000-0000C97A0000}"/>
    <cellStyle name="样式 1 3" xfId="31432" xr:uid="{00000000-0005-0000-0000-0000CA7A0000}"/>
    <cellStyle name="样式 1_Discounts(Ran)" xfId="31433" xr:uid="{00000000-0005-0000-0000-0000CB7A0000}"/>
    <cellStyle name="桁区切り [0.00] 2" xfId="31434" xr:uid="{00000000-0005-0000-0000-0000CC7A0000}"/>
    <cellStyle name="桁区切り [0.00] 3" xfId="31435" xr:uid="{00000000-0005-0000-0000-0000CD7A0000}"/>
    <cellStyle name="桁区切り [0.00]_laroux" xfId="31436" xr:uid="{00000000-0005-0000-0000-0000CE7A0000}"/>
    <cellStyle name="桁区切り 2" xfId="31437" xr:uid="{00000000-0005-0000-0000-0000CF7A0000}"/>
    <cellStyle name="桁区切り_20111219_1500人事⑲_社員個人別データ_3_TW_TM2" xfId="31438" xr:uid="{00000000-0005-0000-0000-0000D07A0000}"/>
    <cellStyle name="检查单元格" xfId="31439" xr:uid="{00000000-0005-0000-0000-0000D17A0000}"/>
    <cellStyle name="检查单元格 2" xfId="31440" xr:uid="{00000000-0005-0000-0000-0000D27A0000}"/>
    <cellStyle name="检查单元格 2 2" xfId="31441" xr:uid="{00000000-0005-0000-0000-0000D37A0000}"/>
    <cellStyle name="检查单元格 2 2 2" xfId="31442" xr:uid="{00000000-0005-0000-0000-0000D47A0000}"/>
    <cellStyle name="检查单元格 2 3" xfId="31443" xr:uid="{00000000-0005-0000-0000-0000D57A0000}"/>
    <cellStyle name="检查单元格 2 4" xfId="31444" xr:uid="{00000000-0005-0000-0000-0000D67A0000}"/>
    <cellStyle name="检查单元格 3" xfId="31445" xr:uid="{00000000-0005-0000-0000-0000D77A0000}"/>
    <cellStyle name="检查单元格 3 2" xfId="31446" xr:uid="{00000000-0005-0000-0000-0000D87A0000}"/>
    <cellStyle name="检查单元格 3 2 2" xfId="31447" xr:uid="{00000000-0005-0000-0000-0000D97A0000}"/>
    <cellStyle name="检查单元格 3 3" xfId="31448" xr:uid="{00000000-0005-0000-0000-0000DA7A0000}"/>
    <cellStyle name="检查单元格 3 4" xfId="31449" xr:uid="{00000000-0005-0000-0000-0000DB7A0000}"/>
    <cellStyle name="检查单元格 4" xfId="31450" xr:uid="{00000000-0005-0000-0000-0000DC7A0000}"/>
    <cellStyle name="检查单元格 4 2" xfId="31451" xr:uid="{00000000-0005-0000-0000-0000DD7A0000}"/>
    <cellStyle name="检查单元格 4 2 2" xfId="31452" xr:uid="{00000000-0005-0000-0000-0000DE7A0000}"/>
    <cellStyle name="检查单元格 4 3" xfId="31453" xr:uid="{00000000-0005-0000-0000-0000DF7A0000}"/>
    <cellStyle name="检查单元格 4 4" xfId="31454" xr:uid="{00000000-0005-0000-0000-0000E07A0000}"/>
    <cellStyle name="检查单元格 5" xfId="31455" xr:uid="{00000000-0005-0000-0000-0000E17A0000}"/>
    <cellStyle name="检查单元格 5 2" xfId="31456" xr:uid="{00000000-0005-0000-0000-0000E27A0000}"/>
    <cellStyle name="检查单元格 5 2 2" xfId="31457" xr:uid="{00000000-0005-0000-0000-0000E37A0000}"/>
    <cellStyle name="检查单元格 5 3" xfId="31458" xr:uid="{00000000-0005-0000-0000-0000E47A0000}"/>
    <cellStyle name="检查单元格 5 4" xfId="31459" xr:uid="{00000000-0005-0000-0000-0000E57A0000}"/>
    <cellStyle name="检查单元格 6" xfId="31460" xr:uid="{00000000-0005-0000-0000-0000E67A0000}"/>
    <cellStyle name="检查单元格 6 2" xfId="31461" xr:uid="{00000000-0005-0000-0000-0000E77A0000}"/>
    <cellStyle name="检查单元格 6 2 2" xfId="31462" xr:uid="{00000000-0005-0000-0000-0000E87A0000}"/>
    <cellStyle name="检查单元格 6 3" xfId="31463" xr:uid="{00000000-0005-0000-0000-0000E97A0000}"/>
    <cellStyle name="检查单元格 6 4" xfId="31464" xr:uid="{00000000-0005-0000-0000-0000EA7A0000}"/>
    <cellStyle name="检查单元格 7" xfId="31465" xr:uid="{00000000-0005-0000-0000-0000EB7A0000}"/>
    <cellStyle name="检查单元格 7 2" xfId="31466" xr:uid="{00000000-0005-0000-0000-0000EC7A0000}"/>
    <cellStyle name="检查单元格 8" xfId="31467" xr:uid="{00000000-0005-0000-0000-0000ED7A0000}"/>
    <cellStyle name="检查单元格 9" xfId="31468" xr:uid="{00000000-0005-0000-0000-0000EE7A0000}"/>
    <cellStyle name="標準 2" xfId="31469" xr:uid="{00000000-0005-0000-0000-0000EF7A0000}"/>
    <cellStyle name="標準 3" xfId="31470" xr:uid="{00000000-0005-0000-0000-0000F07A0000}"/>
    <cellStyle name="標準 33" xfId="31471" xr:uid="{00000000-0005-0000-0000-0000F17A0000}"/>
    <cellStyle name="標準_20111219_1500人事⑲_社員個人別データ_3_TW_TM2" xfId="31472" xr:uid="{00000000-0005-0000-0000-0000F27A0000}"/>
    <cellStyle name="汇总" xfId="31473" xr:uid="{00000000-0005-0000-0000-0000F37A0000}"/>
    <cellStyle name="汇总 10" xfId="31474" xr:uid="{00000000-0005-0000-0000-0000F47A0000}"/>
    <cellStyle name="汇总 11" xfId="31475" xr:uid="{00000000-0005-0000-0000-0000F57A0000}"/>
    <cellStyle name="汇总 12" xfId="31476" xr:uid="{00000000-0005-0000-0000-0000F67A0000}"/>
    <cellStyle name="汇总 13" xfId="31477" xr:uid="{00000000-0005-0000-0000-0000F77A0000}"/>
    <cellStyle name="汇总 14" xfId="31478" xr:uid="{00000000-0005-0000-0000-0000F87A0000}"/>
    <cellStyle name="汇总 15" xfId="31479" xr:uid="{00000000-0005-0000-0000-0000F97A0000}"/>
    <cellStyle name="汇总 16" xfId="31480" xr:uid="{00000000-0005-0000-0000-0000FA7A0000}"/>
    <cellStyle name="汇总 17" xfId="31481" xr:uid="{00000000-0005-0000-0000-0000FB7A0000}"/>
    <cellStyle name="汇总 18" xfId="31482" xr:uid="{00000000-0005-0000-0000-0000FC7A0000}"/>
    <cellStyle name="汇总 19" xfId="31483" xr:uid="{00000000-0005-0000-0000-0000FD7A0000}"/>
    <cellStyle name="汇总 2" xfId="31484" xr:uid="{00000000-0005-0000-0000-0000FE7A0000}"/>
    <cellStyle name="汇总 2 10" xfId="31485" xr:uid="{00000000-0005-0000-0000-0000FF7A0000}"/>
    <cellStyle name="汇总 2 11" xfId="31486" xr:uid="{00000000-0005-0000-0000-0000007B0000}"/>
    <cellStyle name="汇总 2 12" xfId="31487" xr:uid="{00000000-0005-0000-0000-0000017B0000}"/>
    <cellStyle name="汇总 2 13" xfId="31488" xr:uid="{00000000-0005-0000-0000-0000027B0000}"/>
    <cellStyle name="汇总 2 14" xfId="31489" xr:uid="{00000000-0005-0000-0000-0000037B0000}"/>
    <cellStyle name="汇总 2 15" xfId="31490" xr:uid="{00000000-0005-0000-0000-0000047B0000}"/>
    <cellStyle name="汇总 2 16" xfId="31491" xr:uid="{00000000-0005-0000-0000-0000057B0000}"/>
    <cellStyle name="汇总 2 17" xfId="31492" xr:uid="{00000000-0005-0000-0000-0000067B0000}"/>
    <cellStyle name="汇总 2 18" xfId="31493" xr:uid="{00000000-0005-0000-0000-0000077B0000}"/>
    <cellStyle name="汇总 2 19" xfId="31494" xr:uid="{00000000-0005-0000-0000-0000087B0000}"/>
    <cellStyle name="汇总 2 2" xfId="31495" xr:uid="{00000000-0005-0000-0000-0000097B0000}"/>
    <cellStyle name="汇总 2 2 10" xfId="31496" xr:uid="{00000000-0005-0000-0000-00000A7B0000}"/>
    <cellStyle name="汇总 2 2 11" xfId="31497" xr:uid="{00000000-0005-0000-0000-00000B7B0000}"/>
    <cellStyle name="汇总 2 2 12" xfId="31498" xr:uid="{00000000-0005-0000-0000-00000C7B0000}"/>
    <cellStyle name="汇总 2 2 13" xfId="31499" xr:uid="{00000000-0005-0000-0000-00000D7B0000}"/>
    <cellStyle name="汇总 2 2 14" xfId="31500" xr:uid="{00000000-0005-0000-0000-00000E7B0000}"/>
    <cellStyle name="汇总 2 2 15" xfId="31501" xr:uid="{00000000-0005-0000-0000-00000F7B0000}"/>
    <cellStyle name="汇总 2 2 16" xfId="31502" xr:uid="{00000000-0005-0000-0000-0000107B0000}"/>
    <cellStyle name="汇总 2 2 17" xfId="31503" xr:uid="{00000000-0005-0000-0000-0000117B0000}"/>
    <cellStyle name="汇总 2 2 18" xfId="31504" xr:uid="{00000000-0005-0000-0000-0000127B0000}"/>
    <cellStyle name="汇总 2 2 19" xfId="31505" xr:uid="{00000000-0005-0000-0000-0000137B0000}"/>
    <cellStyle name="汇总 2 2 2" xfId="31506" xr:uid="{00000000-0005-0000-0000-0000147B0000}"/>
    <cellStyle name="汇总 2 2 20" xfId="31507" xr:uid="{00000000-0005-0000-0000-0000157B0000}"/>
    <cellStyle name="汇总 2 2 21" xfId="31508" xr:uid="{00000000-0005-0000-0000-0000167B0000}"/>
    <cellStyle name="汇总 2 2 22" xfId="31509" xr:uid="{00000000-0005-0000-0000-0000177B0000}"/>
    <cellStyle name="汇总 2 2 23" xfId="31510" xr:uid="{00000000-0005-0000-0000-0000187B0000}"/>
    <cellStyle name="汇总 2 2 24" xfId="31511" xr:uid="{00000000-0005-0000-0000-0000197B0000}"/>
    <cellStyle name="汇总 2 2 25" xfId="31512" xr:uid="{00000000-0005-0000-0000-00001A7B0000}"/>
    <cellStyle name="汇总 2 2 26" xfId="31513" xr:uid="{00000000-0005-0000-0000-00001B7B0000}"/>
    <cellStyle name="汇总 2 2 27" xfId="31514" xr:uid="{00000000-0005-0000-0000-00001C7B0000}"/>
    <cellStyle name="汇总 2 2 28" xfId="31515" xr:uid="{00000000-0005-0000-0000-00001D7B0000}"/>
    <cellStyle name="汇总 2 2 29" xfId="31516" xr:uid="{00000000-0005-0000-0000-00001E7B0000}"/>
    <cellStyle name="汇总 2 2 3" xfId="31517" xr:uid="{00000000-0005-0000-0000-00001F7B0000}"/>
    <cellStyle name="汇总 2 2 30" xfId="31518" xr:uid="{00000000-0005-0000-0000-0000207B0000}"/>
    <cellStyle name="汇总 2 2 31" xfId="31519" xr:uid="{00000000-0005-0000-0000-0000217B0000}"/>
    <cellStyle name="汇总 2 2 32" xfId="31520" xr:uid="{00000000-0005-0000-0000-0000227B0000}"/>
    <cellStyle name="汇总 2 2 33" xfId="31521" xr:uid="{00000000-0005-0000-0000-0000237B0000}"/>
    <cellStyle name="汇总 2 2 34" xfId="31522" xr:uid="{00000000-0005-0000-0000-0000247B0000}"/>
    <cellStyle name="汇总 2 2 4" xfId="31523" xr:uid="{00000000-0005-0000-0000-0000257B0000}"/>
    <cellStyle name="汇总 2 2 5" xfId="31524" xr:uid="{00000000-0005-0000-0000-0000267B0000}"/>
    <cellStyle name="汇总 2 2 6" xfId="31525" xr:uid="{00000000-0005-0000-0000-0000277B0000}"/>
    <cellStyle name="汇总 2 2 7" xfId="31526" xr:uid="{00000000-0005-0000-0000-0000287B0000}"/>
    <cellStyle name="汇总 2 2 8" xfId="31527" xr:uid="{00000000-0005-0000-0000-0000297B0000}"/>
    <cellStyle name="汇总 2 2 9" xfId="31528" xr:uid="{00000000-0005-0000-0000-00002A7B0000}"/>
    <cellStyle name="汇总 2 20" xfId="31529" xr:uid="{00000000-0005-0000-0000-00002B7B0000}"/>
    <cellStyle name="汇总 2 3" xfId="31530" xr:uid="{00000000-0005-0000-0000-00002C7B0000}"/>
    <cellStyle name="汇总 2 3 2" xfId="31531" xr:uid="{00000000-0005-0000-0000-00002D7B0000}"/>
    <cellStyle name="汇总 2 3 3" xfId="31532" xr:uid="{00000000-0005-0000-0000-00002E7B0000}"/>
    <cellStyle name="汇总 2 4" xfId="31533" xr:uid="{00000000-0005-0000-0000-00002F7B0000}"/>
    <cellStyle name="汇总 2 5" xfId="31534" xr:uid="{00000000-0005-0000-0000-0000307B0000}"/>
    <cellStyle name="汇总 2 6" xfId="31535" xr:uid="{00000000-0005-0000-0000-0000317B0000}"/>
    <cellStyle name="汇总 2 7" xfId="31536" xr:uid="{00000000-0005-0000-0000-0000327B0000}"/>
    <cellStyle name="汇总 2 8" xfId="31537" xr:uid="{00000000-0005-0000-0000-0000337B0000}"/>
    <cellStyle name="汇总 2 9" xfId="31538" xr:uid="{00000000-0005-0000-0000-0000347B0000}"/>
    <cellStyle name="汇总 20" xfId="31539" xr:uid="{00000000-0005-0000-0000-0000357B0000}"/>
    <cellStyle name="汇总 21" xfId="31540" xr:uid="{00000000-0005-0000-0000-0000367B0000}"/>
    <cellStyle name="汇总 22" xfId="31541" xr:uid="{00000000-0005-0000-0000-0000377B0000}"/>
    <cellStyle name="汇总 23" xfId="31542" xr:uid="{00000000-0005-0000-0000-0000387B0000}"/>
    <cellStyle name="汇总 24" xfId="31543" xr:uid="{00000000-0005-0000-0000-0000397B0000}"/>
    <cellStyle name="汇总 25" xfId="31544" xr:uid="{00000000-0005-0000-0000-00003A7B0000}"/>
    <cellStyle name="汇总 3" xfId="31545" xr:uid="{00000000-0005-0000-0000-00003B7B0000}"/>
    <cellStyle name="汇总 3 10" xfId="31546" xr:uid="{00000000-0005-0000-0000-00003C7B0000}"/>
    <cellStyle name="汇总 3 11" xfId="31547" xr:uid="{00000000-0005-0000-0000-00003D7B0000}"/>
    <cellStyle name="汇总 3 12" xfId="31548" xr:uid="{00000000-0005-0000-0000-00003E7B0000}"/>
    <cellStyle name="汇总 3 13" xfId="31549" xr:uid="{00000000-0005-0000-0000-00003F7B0000}"/>
    <cellStyle name="汇总 3 14" xfId="31550" xr:uid="{00000000-0005-0000-0000-0000407B0000}"/>
    <cellStyle name="汇总 3 15" xfId="31551" xr:uid="{00000000-0005-0000-0000-0000417B0000}"/>
    <cellStyle name="汇总 3 16" xfId="31552" xr:uid="{00000000-0005-0000-0000-0000427B0000}"/>
    <cellStyle name="汇总 3 17" xfId="31553" xr:uid="{00000000-0005-0000-0000-0000437B0000}"/>
    <cellStyle name="汇总 3 18" xfId="31554" xr:uid="{00000000-0005-0000-0000-0000447B0000}"/>
    <cellStyle name="汇总 3 19" xfId="31555" xr:uid="{00000000-0005-0000-0000-0000457B0000}"/>
    <cellStyle name="汇总 3 2" xfId="31556" xr:uid="{00000000-0005-0000-0000-0000467B0000}"/>
    <cellStyle name="汇总 3 2 10" xfId="31557" xr:uid="{00000000-0005-0000-0000-0000477B0000}"/>
    <cellStyle name="汇总 3 2 11" xfId="31558" xr:uid="{00000000-0005-0000-0000-0000487B0000}"/>
    <cellStyle name="汇总 3 2 12" xfId="31559" xr:uid="{00000000-0005-0000-0000-0000497B0000}"/>
    <cellStyle name="汇总 3 2 13" xfId="31560" xr:uid="{00000000-0005-0000-0000-00004A7B0000}"/>
    <cellStyle name="汇总 3 2 14" xfId="31561" xr:uid="{00000000-0005-0000-0000-00004B7B0000}"/>
    <cellStyle name="汇总 3 2 15" xfId="31562" xr:uid="{00000000-0005-0000-0000-00004C7B0000}"/>
    <cellStyle name="汇总 3 2 16" xfId="31563" xr:uid="{00000000-0005-0000-0000-00004D7B0000}"/>
    <cellStyle name="汇总 3 2 17" xfId="31564" xr:uid="{00000000-0005-0000-0000-00004E7B0000}"/>
    <cellStyle name="汇总 3 2 18" xfId="31565" xr:uid="{00000000-0005-0000-0000-00004F7B0000}"/>
    <cellStyle name="汇总 3 2 19" xfId="31566" xr:uid="{00000000-0005-0000-0000-0000507B0000}"/>
    <cellStyle name="汇总 3 2 2" xfId="31567" xr:uid="{00000000-0005-0000-0000-0000517B0000}"/>
    <cellStyle name="汇总 3 2 20" xfId="31568" xr:uid="{00000000-0005-0000-0000-0000527B0000}"/>
    <cellStyle name="汇总 3 2 21" xfId="31569" xr:uid="{00000000-0005-0000-0000-0000537B0000}"/>
    <cellStyle name="汇总 3 2 22" xfId="31570" xr:uid="{00000000-0005-0000-0000-0000547B0000}"/>
    <cellStyle name="汇总 3 2 23" xfId="31571" xr:uid="{00000000-0005-0000-0000-0000557B0000}"/>
    <cellStyle name="汇总 3 2 24" xfId="31572" xr:uid="{00000000-0005-0000-0000-0000567B0000}"/>
    <cellStyle name="汇总 3 2 25" xfId="31573" xr:uid="{00000000-0005-0000-0000-0000577B0000}"/>
    <cellStyle name="汇总 3 2 26" xfId="31574" xr:uid="{00000000-0005-0000-0000-0000587B0000}"/>
    <cellStyle name="汇总 3 2 27" xfId="31575" xr:uid="{00000000-0005-0000-0000-0000597B0000}"/>
    <cellStyle name="汇总 3 2 28" xfId="31576" xr:uid="{00000000-0005-0000-0000-00005A7B0000}"/>
    <cellStyle name="汇总 3 2 29" xfId="31577" xr:uid="{00000000-0005-0000-0000-00005B7B0000}"/>
    <cellStyle name="汇总 3 2 3" xfId="31578" xr:uid="{00000000-0005-0000-0000-00005C7B0000}"/>
    <cellStyle name="汇总 3 2 30" xfId="31579" xr:uid="{00000000-0005-0000-0000-00005D7B0000}"/>
    <cellStyle name="汇总 3 2 31" xfId="31580" xr:uid="{00000000-0005-0000-0000-00005E7B0000}"/>
    <cellStyle name="汇总 3 2 32" xfId="31581" xr:uid="{00000000-0005-0000-0000-00005F7B0000}"/>
    <cellStyle name="汇总 3 2 33" xfId="31582" xr:uid="{00000000-0005-0000-0000-0000607B0000}"/>
    <cellStyle name="汇总 3 2 34" xfId="31583" xr:uid="{00000000-0005-0000-0000-0000617B0000}"/>
    <cellStyle name="汇总 3 2 4" xfId="31584" xr:uid="{00000000-0005-0000-0000-0000627B0000}"/>
    <cellStyle name="汇总 3 2 5" xfId="31585" xr:uid="{00000000-0005-0000-0000-0000637B0000}"/>
    <cellStyle name="汇总 3 2 6" xfId="31586" xr:uid="{00000000-0005-0000-0000-0000647B0000}"/>
    <cellStyle name="汇总 3 2 7" xfId="31587" xr:uid="{00000000-0005-0000-0000-0000657B0000}"/>
    <cellStyle name="汇总 3 2 8" xfId="31588" xr:uid="{00000000-0005-0000-0000-0000667B0000}"/>
    <cellStyle name="汇总 3 2 9" xfId="31589" xr:uid="{00000000-0005-0000-0000-0000677B0000}"/>
    <cellStyle name="汇总 3 20" xfId="31590" xr:uid="{00000000-0005-0000-0000-0000687B0000}"/>
    <cellStyle name="汇总 3 3" xfId="31591" xr:uid="{00000000-0005-0000-0000-0000697B0000}"/>
    <cellStyle name="汇总 3 3 2" xfId="31592" xr:uid="{00000000-0005-0000-0000-00006A7B0000}"/>
    <cellStyle name="汇总 3 3 3" xfId="31593" xr:uid="{00000000-0005-0000-0000-00006B7B0000}"/>
    <cellStyle name="汇总 3 4" xfId="31594" xr:uid="{00000000-0005-0000-0000-00006C7B0000}"/>
    <cellStyle name="汇总 3 5" xfId="31595" xr:uid="{00000000-0005-0000-0000-00006D7B0000}"/>
    <cellStyle name="汇总 3 6" xfId="31596" xr:uid="{00000000-0005-0000-0000-00006E7B0000}"/>
    <cellStyle name="汇总 3 7" xfId="31597" xr:uid="{00000000-0005-0000-0000-00006F7B0000}"/>
    <cellStyle name="汇总 3 8" xfId="31598" xr:uid="{00000000-0005-0000-0000-0000707B0000}"/>
    <cellStyle name="汇总 3 9" xfId="31599" xr:uid="{00000000-0005-0000-0000-0000717B0000}"/>
    <cellStyle name="汇总 4" xfId="31600" xr:uid="{00000000-0005-0000-0000-0000727B0000}"/>
    <cellStyle name="汇总 4 10" xfId="31601" xr:uid="{00000000-0005-0000-0000-0000737B0000}"/>
    <cellStyle name="汇总 4 11" xfId="31602" xr:uid="{00000000-0005-0000-0000-0000747B0000}"/>
    <cellStyle name="汇总 4 12" xfId="31603" xr:uid="{00000000-0005-0000-0000-0000757B0000}"/>
    <cellStyle name="汇总 4 13" xfId="31604" xr:uid="{00000000-0005-0000-0000-0000767B0000}"/>
    <cellStyle name="汇总 4 14" xfId="31605" xr:uid="{00000000-0005-0000-0000-0000777B0000}"/>
    <cellStyle name="汇总 4 15" xfId="31606" xr:uid="{00000000-0005-0000-0000-0000787B0000}"/>
    <cellStyle name="汇总 4 16" xfId="31607" xr:uid="{00000000-0005-0000-0000-0000797B0000}"/>
    <cellStyle name="汇总 4 17" xfId="31608" xr:uid="{00000000-0005-0000-0000-00007A7B0000}"/>
    <cellStyle name="汇总 4 18" xfId="31609" xr:uid="{00000000-0005-0000-0000-00007B7B0000}"/>
    <cellStyle name="汇总 4 19" xfId="31610" xr:uid="{00000000-0005-0000-0000-00007C7B0000}"/>
    <cellStyle name="汇总 4 2" xfId="31611" xr:uid="{00000000-0005-0000-0000-00007D7B0000}"/>
    <cellStyle name="汇总 4 2 10" xfId="31612" xr:uid="{00000000-0005-0000-0000-00007E7B0000}"/>
    <cellStyle name="汇总 4 2 11" xfId="31613" xr:uid="{00000000-0005-0000-0000-00007F7B0000}"/>
    <cellStyle name="汇总 4 2 12" xfId="31614" xr:uid="{00000000-0005-0000-0000-0000807B0000}"/>
    <cellStyle name="汇总 4 2 13" xfId="31615" xr:uid="{00000000-0005-0000-0000-0000817B0000}"/>
    <cellStyle name="汇总 4 2 14" xfId="31616" xr:uid="{00000000-0005-0000-0000-0000827B0000}"/>
    <cellStyle name="汇总 4 2 15" xfId="31617" xr:uid="{00000000-0005-0000-0000-0000837B0000}"/>
    <cellStyle name="汇总 4 2 16" xfId="31618" xr:uid="{00000000-0005-0000-0000-0000847B0000}"/>
    <cellStyle name="汇总 4 2 17" xfId="31619" xr:uid="{00000000-0005-0000-0000-0000857B0000}"/>
    <cellStyle name="汇总 4 2 18" xfId="31620" xr:uid="{00000000-0005-0000-0000-0000867B0000}"/>
    <cellStyle name="汇总 4 2 19" xfId="31621" xr:uid="{00000000-0005-0000-0000-0000877B0000}"/>
    <cellStyle name="汇总 4 2 2" xfId="31622" xr:uid="{00000000-0005-0000-0000-0000887B0000}"/>
    <cellStyle name="汇总 4 2 20" xfId="31623" xr:uid="{00000000-0005-0000-0000-0000897B0000}"/>
    <cellStyle name="汇总 4 2 21" xfId="31624" xr:uid="{00000000-0005-0000-0000-00008A7B0000}"/>
    <cellStyle name="汇总 4 2 22" xfId="31625" xr:uid="{00000000-0005-0000-0000-00008B7B0000}"/>
    <cellStyle name="汇总 4 2 23" xfId="31626" xr:uid="{00000000-0005-0000-0000-00008C7B0000}"/>
    <cellStyle name="汇总 4 2 24" xfId="31627" xr:uid="{00000000-0005-0000-0000-00008D7B0000}"/>
    <cellStyle name="汇总 4 2 25" xfId="31628" xr:uid="{00000000-0005-0000-0000-00008E7B0000}"/>
    <cellStyle name="汇总 4 2 26" xfId="31629" xr:uid="{00000000-0005-0000-0000-00008F7B0000}"/>
    <cellStyle name="汇总 4 2 27" xfId="31630" xr:uid="{00000000-0005-0000-0000-0000907B0000}"/>
    <cellStyle name="汇总 4 2 28" xfId="31631" xr:uid="{00000000-0005-0000-0000-0000917B0000}"/>
    <cellStyle name="汇总 4 2 29" xfId="31632" xr:uid="{00000000-0005-0000-0000-0000927B0000}"/>
    <cellStyle name="汇总 4 2 3" xfId="31633" xr:uid="{00000000-0005-0000-0000-0000937B0000}"/>
    <cellStyle name="汇总 4 2 30" xfId="31634" xr:uid="{00000000-0005-0000-0000-0000947B0000}"/>
    <cellStyle name="汇总 4 2 31" xfId="31635" xr:uid="{00000000-0005-0000-0000-0000957B0000}"/>
    <cellStyle name="汇总 4 2 32" xfId="31636" xr:uid="{00000000-0005-0000-0000-0000967B0000}"/>
    <cellStyle name="汇总 4 2 33" xfId="31637" xr:uid="{00000000-0005-0000-0000-0000977B0000}"/>
    <cellStyle name="汇总 4 2 34" xfId="31638" xr:uid="{00000000-0005-0000-0000-0000987B0000}"/>
    <cellStyle name="汇总 4 2 4" xfId="31639" xr:uid="{00000000-0005-0000-0000-0000997B0000}"/>
    <cellStyle name="汇总 4 2 5" xfId="31640" xr:uid="{00000000-0005-0000-0000-00009A7B0000}"/>
    <cellStyle name="汇总 4 2 6" xfId="31641" xr:uid="{00000000-0005-0000-0000-00009B7B0000}"/>
    <cellStyle name="汇总 4 2 7" xfId="31642" xr:uid="{00000000-0005-0000-0000-00009C7B0000}"/>
    <cellStyle name="汇总 4 2 8" xfId="31643" xr:uid="{00000000-0005-0000-0000-00009D7B0000}"/>
    <cellStyle name="汇总 4 2 9" xfId="31644" xr:uid="{00000000-0005-0000-0000-00009E7B0000}"/>
    <cellStyle name="汇总 4 20" xfId="31645" xr:uid="{00000000-0005-0000-0000-00009F7B0000}"/>
    <cellStyle name="汇总 4 3" xfId="31646" xr:uid="{00000000-0005-0000-0000-0000A07B0000}"/>
    <cellStyle name="汇总 4 3 2" xfId="31647" xr:uid="{00000000-0005-0000-0000-0000A17B0000}"/>
    <cellStyle name="汇总 4 3 3" xfId="31648" xr:uid="{00000000-0005-0000-0000-0000A27B0000}"/>
    <cellStyle name="汇总 4 4" xfId="31649" xr:uid="{00000000-0005-0000-0000-0000A37B0000}"/>
    <cellStyle name="汇总 4 5" xfId="31650" xr:uid="{00000000-0005-0000-0000-0000A47B0000}"/>
    <cellStyle name="汇总 4 6" xfId="31651" xr:uid="{00000000-0005-0000-0000-0000A57B0000}"/>
    <cellStyle name="汇总 4 7" xfId="31652" xr:uid="{00000000-0005-0000-0000-0000A67B0000}"/>
    <cellStyle name="汇总 4 8" xfId="31653" xr:uid="{00000000-0005-0000-0000-0000A77B0000}"/>
    <cellStyle name="汇总 4 9" xfId="31654" xr:uid="{00000000-0005-0000-0000-0000A87B0000}"/>
    <cellStyle name="汇总 5" xfId="31655" xr:uid="{00000000-0005-0000-0000-0000A97B0000}"/>
    <cellStyle name="汇总 5 10" xfId="31656" xr:uid="{00000000-0005-0000-0000-0000AA7B0000}"/>
    <cellStyle name="汇总 5 11" xfId="31657" xr:uid="{00000000-0005-0000-0000-0000AB7B0000}"/>
    <cellStyle name="汇总 5 12" xfId="31658" xr:uid="{00000000-0005-0000-0000-0000AC7B0000}"/>
    <cellStyle name="汇总 5 13" xfId="31659" xr:uid="{00000000-0005-0000-0000-0000AD7B0000}"/>
    <cellStyle name="汇总 5 14" xfId="31660" xr:uid="{00000000-0005-0000-0000-0000AE7B0000}"/>
    <cellStyle name="汇总 5 15" xfId="31661" xr:uid="{00000000-0005-0000-0000-0000AF7B0000}"/>
    <cellStyle name="汇总 5 16" xfId="31662" xr:uid="{00000000-0005-0000-0000-0000B07B0000}"/>
    <cellStyle name="汇总 5 17" xfId="31663" xr:uid="{00000000-0005-0000-0000-0000B17B0000}"/>
    <cellStyle name="汇总 5 18" xfId="31664" xr:uid="{00000000-0005-0000-0000-0000B27B0000}"/>
    <cellStyle name="汇总 5 19" xfId="31665" xr:uid="{00000000-0005-0000-0000-0000B37B0000}"/>
    <cellStyle name="汇总 5 2" xfId="31666" xr:uid="{00000000-0005-0000-0000-0000B47B0000}"/>
    <cellStyle name="汇总 5 2 10" xfId="31667" xr:uid="{00000000-0005-0000-0000-0000B57B0000}"/>
    <cellStyle name="汇总 5 2 11" xfId="31668" xr:uid="{00000000-0005-0000-0000-0000B67B0000}"/>
    <cellStyle name="汇总 5 2 12" xfId="31669" xr:uid="{00000000-0005-0000-0000-0000B77B0000}"/>
    <cellStyle name="汇总 5 2 13" xfId="31670" xr:uid="{00000000-0005-0000-0000-0000B87B0000}"/>
    <cellStyle name="汇总 5 2 14" xfId="31671" xr:uid="{00000000-0005-0000-0000-0000B97B0000}"/>
    <cellStyle name="汇总 5 2 15" xfId="31672" xr:uid="{00000000-0005-0000-0000-0000BA7B0000}"/>
    <cellStyle name="汇总 5 2 16" xfId="31673" xr:uid="{00000000-0005-0000-0000-0000BB7B0000}"/>
    <cellStyle name="汇总 5 2 17" xfId="31674" xr:uid="{00000000-0005-0000-0000-0000BC7B0000}"/>
    <cellStyle name="汇总 5 2 18" xfId="31675" xr:uid="{00000000-0005-0000-0000-0000BD7B0000}"/>
    <cellStyle name="汇总 5 2 19" xfId="31676" xr:uid="{00000000-0005-0000-0000-0000BE7B0000}"/>
    <cellStyle name="汇总 5 2 2" xfId="31677" xr:uid="{00000000-0005-0000-0000-0000BF7B0000}"/>
    <cellStyle name="汇总 5 2 20" xfId="31678" xr:uid="{00000000-0005-0000-0000-0000C07B0000}"/>
    <cellStyle name="汇总 5 2 21" xfId="31679" xr:uid="{00000000-0005-0000-0000-0000C17B0000}"/>
    <cellStyle name="汇总 5 2 22" xfId="31680" xr:uid="{00000000-0005-0000-0000-0000C27B0000}"/>
    <cellStyle name="汇总 5 2 23" xfId="31681" xr:uid="{00000000-0005-0000-0000-0000C37B0000}"/>
    <cellStyle name="汇总 5 2 24" xfId="31682" xr:uid="{00000000-0005-0000-0000-0000C47B0000}"/>
    <cellStyle name="汇总 5 2 25" xfId="31683" xr:uid="{00000000-0005-0000-0000-0000C57B0000}"/>
    <cellStyle name="汇总 5 2 26" xfId="31684" xr:uid="{00000000-0005-0000-0000-0000C67B0000}"/>
    <cellStyle name="汇总 5 2 27" xfId="31685" xr:uid="{00000000-0005-0000-0000-0000C77B0000}"/>
    <cellStyle name="汇总 5 2 28" xfId="31686" xr:uid="{00000000-0005-0000-0000-0000C87B0000}"/>
    <cellStyle name="汇总 5 2 29" xfId="31687" xr:uid="{00000000-0005-0000-0000-0000C97B0000}"/>
    <cellStyle name="汇总 5 2 3" xfId="31688" xr:uid="{00000000-0005-0000-0000-0000CA7B0000}"/>
    <cellStyle name="汇总 5 2 30" xfId="31689" xr:uid="{00000000-0005-0000-0000-0000CB7B0000}"/>
    <cellStyle name="汇总 5 2 31" xfId="31690" xr:uid="{00000000-0005-0000-0000-0000CC7B0000}"/>
    <cellStyle name="汇总 5 2 32" xfId="31691" xr:uid="{00000000-0005-0000-0000-0000CD7B0000}"/>
    <cellStyle name="汇总 5 2 33" xfId="31692" xr:uid="{00000000-0005-0000-0000-0000CE7B0000}"/>
    <cellStyle name="汇总 5 2 34" xfId="31693" xr:uid="{00000000-0005-0000-0000-0000CF7B0000}"/>
    <cellStyle name="汇总 5 2 4" xfId="31694" xr:uid="{00000000-0005-0000-0000-0000D07B0000}"/>
    <cellStyle name="汇总 5 2 5" xfId="31695" xr:uid="{00000000-0005-0000-0000-0000D17B0000}"/>
    <cellStyle name="汇总 5 2 6" xfId="31696" xr:uid="{00000000-0005-0000-0000-0000D27B0000}"/>
    <cellStyle name="汇总 5 2 7" xfId="31697" xr:uid="{00000000-0005-0000-0000-0000D37B0000}"/>
    <cellStyle name="汇总 5 2 8" xfId="31698" xr:uid="{00000000-0005-0000-0000-0000D47B0000}"/>
    <cellStyle name="汇总 5 2 9" xfId="31699" xr:uid="{00000000-0005-0000-0000-0000D57B0000}"/>
    <cellStyle name="汇总 5 20" xfId="31700" xr:uid="{00000000-0005-0000-0000-0000D67B0000}"/>
    <cellStyle name="汇总 5 3" xfId="31701" xr:uid="{00000000-0005-0000-0000-0000D77B0000}"/>
    <cellStyle name="汇总 5 3 2" xfId="31702" xr:uid="{00000000-0005-0000-0000-0000D87B0000}"/>
    <cellStyle name="汇总 5 3 3" xfId="31703" xr:uid="{00000000-0005-0000-0000-0000D97B0000}"/>
    <cellStyle name="汇总 5 4" xfId="31704" xr:uid="{00000000-0005-0000-0000-0000DA7B0000}"/>
    <cellStyle name="汇总 5 5" xfId="31705" xr:uid="{00000000-0005-0000-0000-0000DB7B0000}"/>
    <cellStyle name="汇总 5 6" xfId="31706" xr:uid="{00000000-0005-0000-0000-0000DC7B0000}"/>
    <cellStyle name="汇总 5 7" xfId="31707" xr:uid="{00000000-0005-0000-0000-0000DD7B0000}"/>
    <cellStyle name="汇总 5 8" xfId="31708" xr:uid="{00000000-0005-0000-0000-0000DE7B0000}"/>
    <cellStyle name="汇总 5 9" xfId="31709" xr:uid="{00000000-0005-0000-0000-0000DF7B0000}"/>
    <cellStyle name="汇总 6" xfId="31710" xr:uid="{00000000-0005-0000-0000-0000E07B0000}"/>
    <cellStyle name="汇总 6 10" xfId="31711" xr:uid="{00000000-0005-0000-0000-0000E17B0000}"/>
    <cellStyle name="汇总 6 11" xfId="31712" xr:uid="{00000000-0005-0000-0000-0000E27B0000}"/>
    <cellStyle name="汇总 6 12" xfId="31713" xr:uid="{00000000-0005-0000-0000-0000E37B0000}"/>
    <cellStyle name="汇总 6 13" xfId="31714" xr:uid="{00000000-0005-0000-0000-0000E47B0000}"/>
    <cellStyle name="汇总 6 14" xfId="31715" xr:uid="{00000000-0005-0000-0000-0000E57B0000}"/>
    <cellStyle name="汇总 6 15" xfId="31716" xr:uid="{00000000-0005-0000-0000-0000E67B0000}"/>
    <cellStyle name="汇总 6 16" xfId="31717" xr:uid="{00000000-0005-0000-0000-0000E77B0000}"/>
    <cellStyle name="汇总 6 17" xfId="31718" xr:uid="{00000000-0005-0000-0000-0000E87B0000}"/>
    <cellStyle name="汇总 6 18" xfId="31719" xr:uid="{00000000-0005-0000-0000-0000E97B0000}"/>
    <cellStyle name="汇总 6 19" xfId="31720" xr:uid="{00000000-0005-0000-0000-0000EA7B0000}"/>
    <cellStyle name="汇总 6 2" xfId="31721" xr:uid="{00000000-0005-0000-0000-0000EB7B0000}"/>
    <cellStyle name="汇总 6 2 10" xfId="31722" xr:uid="{00000000-0005-0000-0000-0000EC7B0000}"/>
    <cellStyle name="汇总 6 2 11" xfId="31723" xr:uid="{00000000-0005-0000-0000-0000ED7B0000}"/>
    <cellStyle name="汇总 6 2 12" xfId="31724" xr:uid="{00000000-0005-0000-0000-0000EE7B0000}"/>
    <cellStyle name="汇总 6 2 13" xfId="31725" xr:uid="{00000000-0005-0000-0000-0000EF7B0000}"/>
    <cellStyle name="汇总 6 2 14" xfId="31726" xr:uid="{00000000-0005-0000-0000-0000F07B0000}"/>
    <cellStyle name="汇总 6 2 15" xfId="31727" xr:uid="{00000000-0005-0000-0000-0000F17B0000}"/>
    <cellStyle name="汇总 6 2 16" xfId="31728" xr:uid="{00000000-0005-0000-0000-0000F27B0000}"/>
    <cellStyle name="汇总 6 2 17" xfId="31729" xr:uid="{00000000-0005-0000-0000-0000F37B0000}"/>
    <cellStyle name="汇总 6 2 18" xfId="31730" xr:uid="{00000000-0005-0000-0000-0000F47B0000}"/>
    <cellStyle name="汇总 6 2 19" xfId="31731" xr:uid="{00000000-0005-0000-0000-0000F57B0000}"/>
    <cellStyle name="汇总 6 2 2" xfId="31732" xr:uid="{00000000-0005-0000-0000-0000F67B0000}"/>
    <cellStyle name="汇总 6 2 20" xfId="31733" xr:uid="{00000000-0005-0000-0000-0000F77B0000}"/>
    <cellStyle name="汇总 6 2 21" xfId="31734" xr:uid="{00000000-0005-0000-0000-0000F87B0000}"/>
    <cellStyle name="汇总 6 2 22" xfId="31735" xr:uid="{00000000-0005-0000-0000-0000F97B0000}"/>
    <cellStyle name="汇总 6 2 23" xfId="31736" xr:uid="{00000000-0005-0000-0000-0000FA7B0000}"/>
    <cellStyle name="汇总 6 2 24" xfId="31737" xr:uid="{00000000-0005-0000-0000-0000FB7B0000}"/>
    <cellStyle name="汇总 6 2 25" xfId="31738" xr:uid="{00000000-0005-0000-0000-0000FC7B0000}"/>
    <cellStyle name="汇总 6 2 26" xfId="31739" xr:uid="{00000000-0005-0000-0000-0000FD7B0000}"/>
    <cellStyle name="汇总 6 2 27" xfId="31740" xr:uid="{00000000-0005-0000-0000-0000FE7B0000}"/>
    <cellStyle name="汇总 6 2 28" xfId="31741" xr:uid="{00000000-0005-0000-0000-0000FF7B0000}"/>
    <cellStyle name="汇总 6 2 29" xfId="31742" xr:uid="{00000000-0005-0000-0000-0000007C0000}"/>
    <cellStyle name="汇总 6 2 3" xfId="31743" xr:uid="{00000000-0005-0000-0000-0000017C0000}"/>
    <cellStyle name="汇总 6 2 30" xfId="31744" xr:uid="{00000000-0005-0000-0000-0000027C0000}"/>
    <cellStyle name="汇总 6 2 31" xfId="31745" xr:uid="{00000000-0005-0000-0000-0000037C0000}"/>
    <cellStyle name="汇总 6 2 32" xfId="31746" xr:uid="{00000000-0005-0000-0000-0000047C0000}"/>
    <cellStyle name="汇总 6 2 33" xfId="31747" xr:uid="{00000000-0005-0000-0000-0000057C0000}"/>
    <cellStyle name="汇总 6 2 34" xfId="31748" xr:uid="{00000000-0005-0000-0000-0000067C0000}"/>
    <cellStyle name="汇总 6 2 4" xfId="31749" xr:uid="{00000000-0005-0000-0000-0000077C0000}"/>
    <cellStyle name="汇总 6 2 5" xfId="31750" xr:uid="{00000000-0005-0000-0000-0000087C0000}"/>
    <cellStyle name="汇总 6 2 6" xfId="31751" xr:uid="{00000000-0005-0000-0000-0000097C0000}"/>
    <cellStyle name="汇总 6 2 7" xfId="31752" xr:uid="{00000000-0005-0000-0000-00000A7C0000}"/>
    <cellStyle name="汇总 6 2 8" xfId="31753" xr:uid="{00000000-0005-0000-0000-00000B7C0000}"/>
    <cellStyle name="汇总 6 2 9" xfId="31754" xr:uid="{00000000-0005-0000-0000-00000C7C0000}"/>
    <cellStyle name="汇总 6 20" xfId="31755" xr:uid="{00000000-0005-0000-0000-00000D7C0000}"/>
    <cellStyle name="汇总 6 3" xfId="31756" xr:uid="{00000000-0005-0000-0000-00000E7C0000}"/>
    <cellStyle name="汇总 6 3 2" xfId="31757" xr:uid="{00000000-0005-0000-0000-00000F7C0000}"/>
    <cellStyle name="汇总 6 3 3" xfId="31758" xr:uid="{00000000-0005-0000-0000-0000107C0000}"/>
    <cellStyle name="汇总 6 4" xfId="31759" xr:uid="{00000000-0005-0000-0000-0000117C0000}"/>
    <cellStyle name="汇总 6 5" xfId="31760" xr:uid="{00000000-0005-0000-0000-0000127C0000}"/>
    <cellStyle name="汇总 6 6" xfId="31761" xr:uid="{00000000-0005-0000-0000-0000137C0000}"/>
    <cellStyle name="汇总 6 7" xfId="31762" xr:uid="{00000000-0005-0000-0000-0000147C0000}"/>
    <cellStyle name="汇总 6 8" xfId="31763" xr:uid="{00000000-0005-0000-0000-0000157C0000}"/>
    <cellStyle name="汇总 6 9" xfId="31764" xr:uid="{00000000-0005-0000-0000-0000167C0000}"/>
    <cellStyle name="汇总 7" xfId="31765" xr:uid="{00000000-0005-0000-0000-0000177C0000}"/>
    <cellStyle name="汇总 7 10" xfId="31766" xr:uid="{00000000-0005-0000-0000-0000187C0000}"/>
    <cellStyle name="汇总 7 11" xfId="31767" xr:uid="{00000000-0005-0000-0000-0000197C0000}"/>
    <cellStyle name="汇总 7 12" xfId="31768" xr:uid="{00000000-0005-0000-0000-00001A7C0000}"/>
    <cellStyle name="汇总 7 13" xfId="31769" xr:uid="{00000000-0005-0000-0000-00001B7C0000}"/>
    <cellStyle name="汇总 7 14" xfId="31770" xr:uid="{00000000-0005-0000-0000-00001C7C0000}"/>
    <cellStyle name="汇总 7 15" xfId="31771" xr:uid="{00000000-0005-0000-0000-00001D7C0000}"/>
    <cellStyle name="汇总 7 16" xfId="31772" xr:uid="{00000000-0005-0000-0000-00001E7C0000}"/>
    <cellStyle name="汇总 7 17" xfId="31773" xr:uid="{00000000-0005-0000-0000-00001F7C0000}"/>
    <cellStyle name="汇总 7 18" xfId="31774" xr:uid="{00000000-0005-0000-0000-0000207C0000}"/>
    <cellStyle name="汇总 7 19" xfId="31775" xr:uid="{00000000-0005-0000-0000-0000217C0000}"/>
    <cellStyle name="汇总 7 2" xfId="31776" xr:uid="{00000000-0005-0000-0000-0000227C0000}"/>
    <cellStyle name="汇总 7 20" xfId="31777" xr:uid="{00000000-0005-0000-0000-0000237C0000}"/>
    <cellStyle name="汇总 7 21" xfId="31778" xr:uid="{00000000-0005-0000-0000-0000247C0000}"/>
    <cellStyle name="汇总 7 22" xfId="31779" xr:uid="{00000000-0005-0000-0000-0000257C0000}"/>
    <cellStyle name="汇总 7 23" xfId="31780" xr:uid="{00000000-0005-0000-0000-0000267C0000}"/>
    <cellStyle name="汇总 7 24" xfId="31781" xr:uid="{00000000-0005-0000-0000-0000277C0000}"/>
    <cellStyle name="汇总 7 25" xfId="31782" xr:uid="{00000000-0005-0000-0000-0000287C0000}"/>
    <cellStyle name="汇总 7 26" xfId="31783" xr:uid="{00000000-0005-0000-0000-0000297C0000}"/>
    <cellStyle name="汇总 7 27" xfId="31784" xr:uid="{00000000-0005-0000-0000-00002A7C0000}"/>
    <cellStyle name="汇总 7 28" xfId="31785" xr:uid="{00000000-0005-0000-0000-00002B7C0000}"/>
    <cellStyle name="汇总 7 29" xfId="31786" xr:uid="{00000000-0005-0000-0000-00002C7C0000}"/>
    <cellStyle name="汇总 7 3" xfId="31787" xr:uid="{00000000-0005-0000-0000-00002D7C0000}"/>
    <cellStyle name="汇总 7 30" xfId="31788" xr:uid="{00000000-0005-0000-0000-00002E7C0000}"/>
    <cellStyle name="汇总 7 31" xfId="31789" xr:uid="{00000000-0005-0000-0000-00002F7C0000}"/>
    <cellStyle name="汇总 7 32" xfId="31790" xr:uid="{00000000-0005-0000-0000-0000307C0000}"/>
    <cellStyle name="汇总 7 33" xfId="31791" xr:uid="{00000000-0005-0000-0000-0000317C0000}"/>
    <cellStyle name="汇总 7 34" xfId="31792" xr:uid="{00000000-0005-0000-0000-0000327C0000}"/>
    <cellStyle name="汇总 7 4" xfId="31793" xr:uid="{00000000-0005-0000-0000-0000337C0000}"/>
    <cellStyle name="汇总 7 5" xfId="31794" xr:uid="{00000000-0005-0000-0000-0000347C0000}"/>
    <cellStyle name="汇总 7 6" xfId="31795" xr:uid="{00000000-0005-0000-0000-0000357C0000}"/>
    <cellStyle name="汇总 7 7" xfId="31796" xr:uid="{00000000-0005-0000-0000-0000367C0000}"/>
    <cellStyle name="汇总 7 8" xfId="31797" xr:uid="{00000000-0005-0000-0000-0000377C0000}"/>
    <cellStyle name="汇总 7 9" xfId="31798" xr:uid="{00000000-0005-0000-0000-0000387C0000}"/>
    <cellStyle name="汇总 8" xfId="31799" xr:uid="{00000000-0005-0000-0000-0000397C0000}"/>
    <cellStyle name="汇总 8 2" xfId="31800" xr:uid="{00000000-0005-0000-0000-00003A7C0000}"/>
    <cellStyle name="汇总 8 3" xfId="31801" xr:uid="{00000000-0005-0000-0000-00003B7C0000}"/>
    <cellStyle name="汇总 9" xfId="31802" xr:uid="{00000000-0005-0000-0000-00003C7C0000}"/>
    <cellStyle name="注释" xfId="31803" xr:uid="{00000000-0005-0000-0000-00003D7C0000}"/>
    <cellStyle name="注释 10" xfId="31804" xr:uid="{00000000-0005-0000-0000-00003E7C0000}"/>
    <cellStyle name="注释 11" xfId="31805" xr:uid="{00000000-0005-0000-0000-00003F7C0000}"/>
    <cellStyle name="注释 12" xfId="31806" xr:uid="{00000000-0005-0000-0000-0000407C0000}"/>
    <cellStyle name="注释 13" xfId="31807" xr:uid="{00000000-0005-0000-0000-0000417C0000}"/>
    <cellStyle name="注释 14" xfId="31808" xr:uid="{00000000-0005-0000-0000-0000427C0000}"/>
    <cellStyle name="注释 15" xfId="31809" xr:uid="{00000000-0005-0000-0000-0000437C0000}"/>
    <cellStyle name="注释 16" xfId="31810" xr:uid="{00000000-0005-0000-0000-0000447C0000}"/>
    <cellStyle name="注释 17" xfId="31811" xr:uid="{00000000-0005-0000-0000-0000457C0000}"/>
    <cellStyle name="注释 18" xfId="31812" xr:uid="{00000000-0005-0000-0000-0000467C0000}"/>
    <cellStyle name="注释 19" xfId="31813" xr:uid="{00000000-0005-0000-0000-0000477C0000}"/>
    <cellStyle name="注释 2" xfId="31814" xr:uid="{00000000-0005-0000-0000-0000487C0000}"/>
    <cellStyle name="注释 2 10" xfId="31815" xr:uid="{00000000-0005-0000-0000-0000497C0000}"/>
    <cellStyle name="注释 2 11" xfId="31816" xr:uid="{00000000-0005-0000-0000-00004A7C0000}"/>
    <cellStyle name="注释 2 12" xfId="31817" xr:uid="{00000000-0005-0000-0000-00004B7C0000}"/>
    <cellStyle name="注释 2 13" xfId="31818" xr:uid="{00000000-0005-0000-0000-00004C7C0000}"/>
    <cellStyle name="注释 2 14" xfId="31819" xr:uid="{00000000-0005-0000-0000-00004D7C0000}"/>
    <cellStyle name="注释 2 15" xfId="31820" xr:uid="{00000000-0005-0000-0000-00004E7C0000}"/>
    <cellStyle name="注释 2 16" xfId="31821" xr:uid="{00000000-0005-0000-0000-00004F7C0000}"/>
    <cellStyle name="注释 2 17" xfId="31822" xr:uid="{00000000-0005-0000-0000-0000507C0000}"/>
    <cellStyle name="注释 2 18" xfId="31823" xr:uid="{00000000-0005-0000-0000-0000517C0000}"/>
    <cellStyle name="注释 2 19" xfId="31824" xr:uid="{00000000-0005-0000-0000-0000527C0000}"/>
    <cellStyle name="注释 2 2" xfId="31825" xr:uid="{00000000-0005-0000-0000-0000537C0000}"/>
    <cellStyle name="注释 2 2 10" xfId="31826" xr:uid="{00000000-0005-0000-0000-0000547C0000}"/>
    <cellStyle name="注释 2 2 11" xfId="31827" xr:uid="{00000000-0005-0000-0000-0000557C0000}"/>
    <cellStyle name="注释 2 2 12" xfId="31828" xr:uid="{00000000-0005-0000-0000-0000567C0000}"/>
    <cellStyle name="注释 2 2 13" xfId="31829" xr:uid="{00000000-0005-0000-0000-0000577C0000}"/>
    <cellStyle name="注释 2 2 14" xfId="31830" xr:uid="{00000000-0005-0000-0000-0000587C0000}"/>
    <cellStyle name="注释 2 2 15" xfId="31831" xr:uid="{00000000-0005-0000-0000-0000597C0000}"/>
    <cellStyle name="注释 2 2 16" xfId="31832" xr:uid="{00000000-0005-0000-0000-00005A7C0000}"/>
    <cellStyle name="注释 2 2 17" xfId="31833" xr:uid="{00000000-0005-0000-0000-00005B7C0000}"/>
    <cellStyle name="注释 2 2 18" xfId="31834" xr:uid="{00000000-0005-0000-0000-00005C7C0000}"/>
    <cellStyle name="注释 2 2 19" xfId="31835" xr:uid="{00000000-0005-0000-0000-00005D7C0000}"/>
    <cellStyle name="注释 2 2 2" xfId="31836" xr:uid="{00000000-0005-0000-0000-00005E7C0000}"/>
    <cellStyle name="注释 2 2 2 2" xfId="31837" xr:uid="{00000000-0005-0000-0000-00005F7C0000}"/>
    <cellStyle name="注释 2 2 2 2 2" xfId="31838" xr:uid="{00000000-0005-0000-0000-0000607C0000}"/>
    <cellStyle name="注释 2 2 2 2 3" xfId="31839" xr:uid="{00000000-0005-0000-0000-0000617C0000}"/>
    <cellStyle name="注释 2 2 2 3" xfId="31840" xr:uid="{00000000-0005-0000-0000-0000627C0000}"/>
    <cellStyle name="注释 2 2 2 3 2" xfId="31841" xr:uid="{00000000-0005-0000-0000-0000637C0000}"/>
    <cellStyle name="注释 2 2 2 3 3" xfId="31842" xr:uid="{00000000-0005-0000-0000-0000647C0000}"/>
    <cellStyle name="注释 2 2 2 4" xfId="31843" xr:uid="{00000000-0005-0000-0000-0000657C0000}"/>
    <cellStyle name="注释 2 2 2 5" xfId="31844" xr:uid="{00000000-0005-0000-0000-0000667C0000}"/>
    <cellStyle name="注释 2 2 20" xfId="31845" xr:uid="{00000000-0005-0000-0000-0000677C0000}"/>
    <cellStyle name="注释 2 2 21" xfId="31846" xr:uid="{00000000-0005-0000-0000-0000687C0000}"/>
    <cellStyle name="注释 2 2 22" xfId="31847" xr:uid="{00000000-0005-0000-0000-0000697C0000}"/>
    <cellStyle name="注释 2 2 23" xfId="31848" xr:uid="{00000000-0005-0000-0000-00006A7C0000}"/>
    <cellStyle name="注释 2 2 24" xfId="31849" xr:uid="{00000000-0005-0000-0000-00006B7C0000}"/>
    <cellStyle name="注释 2 2 25" xfId="31850" xr:uid="{00000000-0005-0000-0000-00006C7C0000}"/>
    <cellStyle name="注释 2 2 26" xfId="31851" xr:uid="{00000000-0005-0000-0000-00006D7C0000}"/>
    <cellStyle name="注释 2 2 27" xfId="31852" xr:uid="{00000000-0005-0000-0000-00006E7C0000}"/>
    <cellStyle name="注释 2 2 28" xfId="31853" xr:uid="{00000000-0005-0000-0000-00006F7C0000}"/>
    <cellStyle name="注释 2 2 29" xfId="31854" xr:uid="{00000000-0005-0000-0000-0000707C0000}"/>
    <cellStyle name="注释 2 2 3" xfId="31855" xr:uid="{00000000-0005-0000-0000-0000717C0000}"/>
    <cellStyle name="注释 2 2 3 2" xfId="31856" xr:uid="{00000000-0005-0000-0000-0000727C0000}"/>
    <cellStyle name="注释 2 2 3 2 2" xfId="31857" xr:uid="{00000000-0005-0000-0000-0000737C0000}"/>
    <cellStyle name="注释 2 2 3 2 3" xfId="31858" xr:uid="{00000000-0005-0000-0000-0000747C0000}"/>
    <cellStyle name="注释 2 2 3 3" xfId="31859" xr:uid="{00000000-0005-0000-0000-0000757C0000}"/>
    <cellStyle name="注释 2 2 3 3 2" xfId="31860" xr:uid="{00000000-0005-0000-0000-0000767C0000}"/>
    <cellStyle name="注释 2 2 3 3 3" xfId="31861" xr:uid="{00000000-0005-0000-0000-0000777C0000}"/>
    <cellStyle name="注释 2 2 3 4" xfId="31862" xr:uid="{00000000-0005-0000-0000-0000787C0000}"/>
    <cellStyle name="注释 2 2 3 5" xfId="31863" xr:uid="{00000000-0005-0000-0000-0000797C0000}"/>
    <cellStyle name="注释 2 2 30" xfId="31864" xr:uid="{00000000-0005-0000-0000-00007A7C0000}"/>
    <cellStyle name="注释 2 2 31" xfId="31865" xr:uid="{00000000-0005-0000-0000-00007B7C0000}"/>
    <cellStyle name="注释 2 2 32" xfId="31866" xr:uid="{00000000-0005-0000-0000-00007C7C0000}"/>
    <cellStyle name="注释 2 2 33" xfId="31867" xr:uid="{00000000-0005-0000-0000-00007D7C0000}"/>
    <cellStyle name="注释 2 2 34" xfId="31868" xr:uid="{00000000-0005-0000-0000-00007E7C0000}"/>
    <cellStyle name="注释 2 2 35" xfId="31869" xr:uid="{00000000-0005-0000-0000-00007F7C0000}"/>
    <cellStyle name="注释 2 2 4" xfId="31870" xr:uid="{00000000-0005-0000-0000-0000807C0000}"/>
    <cellStyle name="注释 2 2 4 2" xfId="31871" xr:uid="{00000000-0005-0000-0000-0000817C0000}"/>
    <cellStyle name="注释 2 2 4 3" xfId="31872" xr:uid="{00000000-0005-0000-0000-0000827C0000}"/>
    <cellStyle name="注释 2 2 5" xfId="31873" xr:uid="{00000000-0005-0000-0000-0000837C0000}"/>
    <cellStyle name="注释 2 2 5 2" xfId="31874" xr:uid="{00000000-0005-0000-0000-0000847C0000}"/>
    <cellStyle name="注释 2 2 5 3" xfId="31875" xr:uid="{00000000-0005-0000-0000-0000857C0000}"/>
    <cellStyle name="注释 2 2 6" xfId="31876" xr:uid="{00000000-0005-0000-0000-0000867C0000}"/>
    <cellStyle name="注释 2 2 7" xfId="31877" xr:uid="{00000000-0005-0000-0000-0000877C0000}"/>
    <cellStyle name="注释 2 2 8" xfId="31878" xr:uid="{00000000-0005-0000-0000-0000887C0000}"/>
    <cellStyle name="注释 2 2 9" xfId="31879" xr:uid="{00000000-0005-0000-0000-0000897C0000}"/>
    <cellStyle name="注释 2 20" xfId="31880" xr:uid="{00000000-0005-0000-0000-00008A7C0000}"/>
    <cellStyle name="注释 2 21" xfId="31881" xr:uid="{00000000-0005-0000-0000-00008B7C0000}"/>
    <cellStyle name="注释 2 22" xfId="31882" xr:uid="{00000000-0005-0000-0000-00008C7C0000}"/>
    <cellStyle name="注释 2 23" xfId="31883" xr:uid="{00000000-0005-0000-0000-00008D7C0000}"/>
    <cellStyle name="注释 2 24" xfId="31884" xr:uid="{00000000-0005-0000-0000-00008E7C0000}"/>
    <cellStyle name="注释 2 25" xfId="31885" xr:uid="{00000000-0005-0000-0000-00008F7C0000}"/>
    <cellStyle name="注释 2 26" xfId="31886" xr:uid="{00000000-0005-0000-0000-0000907C0000}"/>
    <cellStyle name="注释 2 27" xfId="31887" xr:uid="{00000000-0005-0000-0000-0000917C0000}"/>
    <cellStyle name="注释 2 28" xfId="31888" xr:uid="{00000000-0005-0000-0000-0000927C0000}"/>
    <cellStyle name="注释 2 29" xfId="31889" xr:uid="{00000000-0005-0000-0000-0000937C0000}"/>
    <cellStyle name="注释 2 3" xfId="31890" xr:uid="{00000000-0005-0000-0000-0000947C0000}"/>
    <cellStyle name="注释 2 3 2" xfId="31891" xr:uid="{00000000-0005-0000-0000-0000957C0000}"/>
    <cellStyle name="注释 2 3 3" xfId="31892" xr:uid="{00000000-0005-0000-0000-0000967C0000}"/>
    <cellStyle name="注释 2 30" xfId="31893" xr:uid="{00000000-0005-0000-0000-0000977C0000}"/>
    <cellStyle name="注释 2 31" xfId="31894" xr:uid="{00000000-0005-0000-0000-0000987C0000}"/>
    <cellStyle name="注释 2 32" xfId="31895" xr:uid="{00000000-0005-0000-0000-0000997C0000}"/>
    <cellStyle name="注释 2 33" xfId="31896" xr:uid="{00000000-0005-0000-0000-00009A7C0000}"/>
    <cellStyle name="注释 2 34" xfId="31897" xr:uid="{00000000-0005-0000-0000-00009B7C0000}"/>
    <cellStyle name="注释 2 4" xfId="31898" xr:uid="{00000000-0005-0000-0000-00009C7C0000}"/>
    <cellStyle name="注释 2 4 2" xfId="31899" xr:uid="{00000000-0005-0000-0000-00009D7C0000}"/>
    <cellStyle name="注释 2 4 3" xfId="31900" xr:uid="{00000000-0005-0000-0000-00009E7C0000}"/>
    <cellStyle name="注释 2 5" xfId="31901" xr:uid="{00000000-0005-0000-0000-00009F7C0000}"/>
    <cellStyle name="注释 2 6" xfId="31902" xr:uid="{00000000-0005-0000-0000-0000A07C0000}"/>
    <cellStyle name="注释 2 7" xfId="31903" xr:uid="{00000000-0005-0000-0000-0000A17C0000}"/>
    <cellStyle name="注释 2 8" xfId="31904" xr:uid="{00000000-0005-0000-0000-0000A27C0000}"/>
    <cellStyle name="注释 2 9" xfId="31905" xr:uid="{00000000-0005-0000-0000-0000A37C0000}"/>
    <cellStyle name="注释 20" xfId="31906" xr:uid="{00000000-0005-0000-0000-0000A47C0000}"/>
    <cellStyle name="注释 21" xfId="31907" xr:uid="{00000000-0005-0000-0000-0000A57C0000}"/>
    <cellStyle name="注释 22" xfId="31908" xr:uid="{00000000-0005-0000-0000-0000A67C0000}"/>
    <cellStyle name="注释 23" xfId="31909" xr:uid="{00000000-0005-0000-0000-0000A77C0000}"/>
    <cellStyle name="注释 24" xfId="31910" xr:uid="{00000000-0005-0000-0000-0000A87C0000}"/>
    <cellStyle name="注释 25" xfId="31911" xr:uid="{00000000-0005-0000-0000-0000A97C0000}"/>
    <cellStyle name="注释 26" xfId="31912" xr:uid="{00000000-0005-0000-0000-0000AA7C0000}"/>
    <cellStyle name="注释 27" xfId="31913" xr:uid="{00000000-0005-0000-0000-0000AB7C0000}"/>
    <cellStyle name="注释 28" xfId="31914" xr:uid="{00000000-0005-0000-0000-0000AC7C0000}"/>
    <cellStyle name="注释 29" xfId="31915" xr:uid="{00000000-0005-0000-0000-0000AD7C0000}"/>
    <cellStyle name="注释 3" xfId="31916" xr:uid="{00000000-0005-0000-0000-0000AE7C0000}"/>
    <cellStyle name="注释 3 10" xfId="31917" xr:uid="{00000000-0005-0000-0000-0000AF7C0000}"/>
    <cellStyle name="注释 3 11" xfId="31918" xr:uid="{00000000-0005-0000-0000-0000B07C0000}"/>
    <cellStyle name="注释 3 12" xfId="31919" xr:uid="{00000000-0005-0000-0000-0000B17C0000}"/>
    <cellStyle name="注释 3 13" xfId="31920" xr:uid="{00000000-0005-0000-0000-0000B27C0000}"/>
    <cellStyle name="注释 3 14" xfId="31921" xr:uid="{00000000-0005-0000-0000-0000B37C0000}"/>
    <cellStyle name="注释 3 15" xfId="31922" xr:uid="{00000000-0005-0000-0000-0000B47C0000}"/>
    <cellStyle name="注释 3 16" xfId="31923" xr:uid="{00000000-0005-0000-0000-0000B57C0000}"/>
    <cellStyle name="注释 3 17" xfId="31924" xr:uid="{00000000-0005-0000-0000-0000B67C0000}"/>
    <cellStyle name="注释 3 18" xfId="31925" xr:uid="{00000000-0005-0000-0000-0000B77C0000}"/>
    <cellStyle name="注释 3 19" xfId="31926" xr:uid="{00000000-0005-0000-0000-0000B87C0000}"/>
    <cellStyle name="注释 3 2" xfId="31927" xr:uid="{00000000-0005-0000-0000-0000B97C0000}"/>
    <cellStyle name="注释 3 2 10" xfId="31928" xr:uid="{00000000-0005-0000-0000-0000BA7C0000}"/>
    <cellStyle name="注释 3 2 11" xfId="31929" xr:uid="{00000000-0005-0000-0000-0000BB7C0000}"/>
    <cellStyle name="注释 3 2 12" xfId="31930" xr:uid="{00000000-0005-0000-0000-0000BC7C0000}"/>
    <cellStyle name="注释 3 2 13" xfId="31931" xr:uid="{00000000-0005-0000-0000-0000BD7C0000}"/>
    <cellStyle name="注释 3 2 14" xfId="31932" xr:uid="{00000000-0005-0000-0000-0000BE7C0000}"/>
    <cellStyle name="注释 3 2 15" xfId="31933" xr:uid="{00000000-0005-0000-0000-0000BF7C0000}"/>
    <cellStyle name="注释 3 2 16" xfId="31934" xr:uid="{00000000-0005-0000-0000-0000C07C0000}"/>
    <cellStyle name="注释 3 2 17" xfId="31935" xr:uid="{00000000-0005-0000-0000-0000C17C0000}"/>
    <cellStyle name="注释 3 2 18" xfId="31936" xr:uid="{00000000-0005-0000-0000-0000C27C0000}"/>
    <cellStyle name="注释 3 2 19" xfId="31937" xr:uid="{00000000-0005-0000-0000-0000C37C0000}"/>
    <cellStyle name="注释 3 2 2" xfId="31938" xr:uid="{00000000-0005-0000-0000-0000C47C0000}"/>
    <cellStyle name="注释 3 2 2 2" xfId="31939" xr:uid="{00000000-0005-0000-0000-0000C57C0000}"/>
    <cellStyle name="注释 3 2 2 2 2" xfId="31940" xr:uid="{00000000-0005-0000-0000-0000C67C0000}"/>
    <cellStyle name="注释 3 2 2 2 3" xfId="31941" xr:uid="{00000000-0005-0000-0000-0000C77C0000}"/>
    <cellStyle name="注释 3 2 2 3" xfId="31942" xr:uid="{00000000-0005-0000-0000-0000C87C0000}"/>
    <cellStyle name="注释 3 2 2 3 2" xfId="31943" xr:uid="{00000000-0005-0000-0000-0000C97C0000}"/>
    <cellStyle name="注释 3 2 2 3 3" xfId="31944" xr:uid="{00000000-0005-0000-0000-0000CA7C0000}"/>
    <cellStyle name="注释 3 2 2 4" xfId="31945" xr:uid="{00000000-0005-0000-0000-0000CB7C0000}"/>
    <cellStyle name="注释 3 2 2 5" xfId="31946" xr:uid="{00000000-0005-0000-0000-0000CC7C0000}"/>
    <cellStyle name="注释 3 2 20" xfId="31947" xr:uid="{00000000-0005-0000-0000-0000CD7C0000}"/>
    <cellStyle name="注释 3 2 21" xfId="31948" xr:uid="{00000000-0005-0000-0000-0000CE7C0000}"/>
    <cellStyle name="注释 3 2 22" xfId="31949" xr:uid="{00000000-0005-0000-0000-0000CF7C0000}"/>
    <cellStyle name="注释 3 2 23" xfId="31950" xr:uid="{00000000-0005-0000-0000-0000D07C0000}"/>
    <cellStyle name="注释 3 2 24" xfId="31951" xr:uid="{00000000-0005-0000-0000-0000D17C0000}"/>
    <cellStyle name="注释 3 2 25" xfId="31952" xr:uid="{00000000-0005-0000-0000-0000D27C0000}"/>
    <cellStyle name="注释 3 2 26" xfId="31953" xr:uid="{00000000-0005-0000-0000-0000D37C0000}"/>
    <cellStyle name="注释 3 2 27" xfId="31954" xr:uid="{00000000-0005-0000-0000-0000D47C0000}"/>
    <cellStyle name="注释 3 2 28" xfId="31955" xr:uid="{00000000-0005-0000-0000-0000D57C0000}"/>
    <cellStyle name="注释 3 2 29" xfId="31956" xr:uid="{00000000-0005-0000-0000-0000D67C0000}"/>
    <cellStyle name="注释 3 2 3" xfId="31957" xr:uid="{00000000-0005-0000-0000-0000D77C0000}"/>
    <cellStyle name="注释 3 2 3 2" xfId="31958" xr:uid="{00000000-0005-0000-0000-0000D87C0000}"/>
    <cellStyle name="注释 3 2 3 2 2" xfId="31959" xr:uid="{00000000-0005-0000-0000-0000D97C0000}"/>
    <cellStyle name="注释 3 2 3 2 3" xfId="31960" xr:uid="{00000000-0005-0000-0000-0000DA7C0000}"/>
    <cellStyle name="注释 3 2 3 3" xfId="31961" xr:uid="{00000000-0005-0000-0000-0000DB7C0000}"/>
    <cellStyle name="注释 3 2 3 3 2" xfId="31962" xr:uid="{00000000-0005-0000-0000-0000DC7C0000}"/>
    <cellStyle name="注释 3 2 3 3 3" xfId="31963" xr:uid="{00000000-0005-0000-0000-0000DD7C0000}"/>
    <cellStyle name="注释 3 2 3 4" xfId="31964" xr:uid="{00000000-0005-0000-0000-0000DE7C0000}"/>
    <cellStyle name="注释 3 2 3 5" xfId="31965" xr:uid="{00000000-0005-0000-0000-0000DF7C0000}"/>
    <cellStyle name="注释 3 2 30" xfId="31966" xr:uid="{00000000-0005-0000-0000-0000E07C0000}"/>
    <cellStyle name="注释 3 2 31" xfId="31967" xr:uid="{00000000-0005-0000-0000-0000E17C0000}"/>
    <cellStyle name="注释 3 2 32" xfId="31968" xr:uid="{00000000-0005-0000-0000-0000E27C0000}"/>
    <cellStyle name="注释 3 2 33" xfId="31969" xr:uid="{00000000-0005-0000-0000-0000E37C0000}"/>
    <cellStyle name="注释 3 2 34" xfId="31970" xr:uid="{00000000-0005-0000-0000-0000E47C0000}"/>
    <cellStyle name="注释 3 2 35" xfId="31971" xr:uid="{00000000-0005-0000-0000-0000E57C0000}"/>
    <cellStyle name="注释 3 2 4" xfId="31972" xr:uid="{00000000-0005-0000-0000-0000E67C0000}"/>
    <cellStyle name="注释 3 2 4 2" xfId="31973" xr:uid="{00000000-0005-0000-0000-0000E77C0000}"/>
    <cellStyle name="注释 3 2 4 3" xfId="31974" xr:uid="{00000000-0005-0000-0000-0000E87C0000}"/>
    <cellStyle name="注释 3 2 5" xfId="31975" xr:uid="{00000000-0005-0000-0000-0000E97C0000}"/>
    <cellStyle name="注释 3 2 5 2" xfId="31976" xr:uid="{00000000-0005-0000-0000-0000EA7C0000}"/>
    <cellStyle name="注释 3 2 5 3" xfId="31977" xr:uid="{00000000-0005-0000-0000-0000EB7C0000}"/>
    <cellStyle name="注释 3 2 6" xfId="31978" xr:uid="{00000000-0005-0000-0000-0000EC7C0000}"/>
    <cellStyle name="注释 3 2 7" xfId="31979" xr:uid="{00000000-0005-0000-0000-0000ED7C0000}"/>
    <cellStyle name="注释 3 2 8" xfId="31980" xr:uid="{00000000-0005-0000-0000-0000EE7C0000}"/>
    <cellStyle name="注释 3 2 9" xfId="31981" xr:uid="{00000000-0005-0000-0000-0000EF7C0000}"/>
    <cellStyle name="注释 3 20" xfId="31982" xr:uid="{00000000-0005-0000-0000-0000F07C0000}"/>
    <cellStyle name="注释 3 21" xfId="31983" xr:uid="{00000000-0005-0000-0000-0000F17C0000}"/>
    <cellStyle name="注释 3 22" xfId="31984" xr:uid="{00000000-0005-0000-0000-0000F27C0000}"/>
    <cellStyle name="注释 3 23" xfId="31985" xr:uid="{00000000-0005-0000-0000-0000F37C0000}"/>
    <cellStyle name="注释 3 24" xfId="31986" xr:uid="{00000000-0005-0000-0000-0000F47C0000}"/>
    <cellStyle name="注释 3 25" xfId="31987" xr:uid="{00000000-0005-0000-0000-0000F57C0000}"/>
    <cellStyle name="注释 3 26" xfId="31988" xr:uid="{00000000-0005-0000-0000-0000F67C0000}"/>
    <cellStyle name="注释 3 27" xfId="31989" xr:uid="{00000000-0005-0000-0000-0000F77C0000}"/>
    <cellStyle name="注释 3 28" xfId="31990" xr:uid="{00000000-0005-0000-0000-0000F87C0000}"/>
    <cellStyle name="注释 3 29" xfId="31991" xr:uid="{00000000-0005-0000-0000-0000F97C0000}"/>
    <cellStyle name="注释 3 3" xfId="31992" xr:uid="{00000000-0005-0000-0000-0000FA7C0000}"/>
    <cellStyle name="注释 3 3 2" xfId="31993" xr:uid="{00000000-0005-0000-0000-0000FB7C0000}"/>
    <cellStyle name="注释 3 3 3" xfId="31994" xr:uid="{00000000-0005-0000-0000-0000FC7C0000}"/>
    <cellStyle name="注释 3 30" xfId="31995" xr:uid="{00000000-0005-0000-0000-0000FD7C0000}"/>
    <cellStyle name="注释 3 31" xfId="31996" xr:uid="{00000000-0005-0000-0000-0000FE7C0000}"/>
    <cellStyle name="注释 3 32" xfId="31997" xr:uid="{00000000-0005-0000-0000-0000FF7C0000}"/>
    <cellStyle name="注释 3 33" xfId="31998" xr:uid="{00000000-0005-0000-0000-0000007D0000}"/>
    <cellStyle name="注释 3 34" xfId="31999" xr:uid="{00000000-0005-0000-0000-0000017D0000}"/>
    <cellStyle name="注释 3 4" xfId="32000" xr:uid="{00000000-0005-0000-0000-0000027D0000}"/>
    <cellStyle name="注释 3 4 2" xfId="32001" xr:uid="{00000000-0005-0000-0000-0000037D0000}"/>
    <cellStyle name="注释 3 4 3" xfId="32002" xr:uid="{00000000-0005-0000-0000-0000047D0000}"/>
    <cellStyle name="注释 3 5" xfId="32003" xr:uid="{00000000-0005-0000-0000-0000057D0000}"/>
    <cellStyle name="注释 3 6" xfId="32004" xr:uid="{00000000-0005-0000-0000-0000067D0000}"/>
    <cellStyle name="注释 3 7" xfId="32005" xr:uid="{00000000-0005-0000-0000-0000077D0000}"/>
    <cellStyle name="注释 3 8" xfId="32006" xr:uid="{00000000-0005-0000-0000-0000087D0000}"/>
    <cellStyle name="注释 3 9" xfId="32007" xr:uid="{00000000-0005-0000-0000-0000097D0000}"/>
    <cellStyle name="注释 30" xfId="32008" xr:uid="{00000000-0005-0000-0000-00000A7D0000}"/>
    <cellStyle name="注释 31" xfId="32009" xr:uid="{00000000-0005-0000-0000-00000B7D0000}"/>
    <cellStyle name="注释 32" xfId="32010" xr:uid="{00000000-0005-0000-0000-00000C7D0000}"/>
    <cellStyle name="注释 33" xfId="32011" xr:uid="{00000000-0005-0000-0000-00000D7D0000}"/>
    <cellStyle name="注释 34" xfId="32012" xr:uid="{00000000-0005-0000-0000-00000E7D0000}"/>
    <cellStyle name="注释 35" xfId="32013" xr:uid="{00000000-0005-0000-0000-00000F7D0000}"/>
    <cellStyle name="注释 36" xfId="32014" xr:uid="{00000000-0005-0000-0000-0000107D0000}"/>
    <cellStyle name="注释 37" xfId="32015" xr:uid="{00000000-0005-0000-0000-0000117D0000}"/>
    <cellStyle name="注释 38" xfId="32016" xr:uid="{00000000-0005-0000-0000-0000127D0000}"/>
    <cellStyle name="注释 39" xfId="32017" xr:uid="{00000000-0005-0000-0000-0000137D0000}"/>
    <cellStyle name="注释 4" xfId="32018" xr:uid="{00000000-0005-0000-0000-0000147D0000}"/>
    <cellStyle name="注释 4 10" xfId="32019" xr:uid="{00000000-0005-0000-0000-0000157D0000}"/>
    <cellStyle name="注释 4 11" xfId="32020" xr:uid="{00000000-0005-0000-0000-0000167D0000}"/>
    <cellStyle name="注释 4 12" xfId="32021" xr:uid="{00000000-0005-0000-0000-0000177D0000}"/>
    <cellStyle name="注释 4 13" xfId="32022" xr:uid="{00000000-0005-0000-0000-0000187D0000}"/>
    <cellStyle name="注释 4 14" xfId="32023" xr:uid="{00000000-0005-0000-0000-0000197D0000}"/>
    <cellStyle name="注释 4 15" xfId="32024" xr:uid="{00000000-0005-0000-0000-00001A7D0000}"/>
    <cellStyle name="注释 4 16" xfId="32025" xr:uid="{00000000-0005-0000-0000-00001B7D0000}"/>
    <cellStyle name="注释 4 17" xfId="32026" xr:uid="{00000000-0005-0000-0000-00001C7D0000}"/>
    <cellStyle name="注释 4 18" xfId="32027" xr:uid="{00000000-0005-0000-0000-00001D7D0000}"/>
    <cellStyle name="注释 4 19" xfId="32028" xr:uid="{00000000-0005-0000-0000-00001E7D0000}"/>
    <cellStyle name="注释 4 2" xfId="32029" xr:uid="{00000000-0005-0000-0000-00001F7D0000}"/>
    <cellStyle name="注释 4 2 10" xfId="32030" xr:uid="{00000000-0005-0000-0000-0000207D0000}"/>
    <cellStyle name="注释 4 2 11" xfId="32031" xr:uid="{00000000-0005-0000-0000-0000217D0000}"/>
    <cellStyle name="注释 4 2 12" xfId="32032" xr:uid="{00000000-0005-0000-0000-0000227D0000}"/>
    <cellStyle name="注释 4 2 13" xfId="32033" xr:uid="{00000000-0005-0000-0000-0000237D0000}"/>
    <cellStyle name="注释 4 2 14" xfId="32034" xr:uid="{00000000-0005-0000-0000-0000247D0000}"/>
    <cellStyle name="注释 4 2 15" xfId="32035" xr:uid="{00000000-0005-0000-0000-0000257D0000}"/>
    <cellStyle name="注释 4 2 16" xfId="32036" xr:uid="{00000000-0005-0000-0000-0000267D0000}"/>
    <cellStyle name="注释 4 2 17" xfId="32037" xr:uid="{00000000-0005-0000-0000-0000277D0000}"/>
    <cellStyle name="注释 4 2 18" xfId="32038" xr:uid="{00000000-0005-0000-0000-0000287D0000}"/>
    <cellStyle name="注释 4 2 19" xfId="32039" xr:uid="{00000000-0005-0000-0000-0000297D0000}"/>
    <cellStyle name="注释 4 2 2" xfId="32040" xr:uid="{00000000-0005-0000-0000-00002A7D0000}"/>
    <cellStyle name="注释 4 2 2 2" xfId="32041" xr:uid="{00000000-0005-0000-0000-00002B7D0000}"/>
    <cellStyle name="注释 4 2 2 2 2" xfId="32042" xr:uid="{00000000-0005-0000-0000-00002C7D0000}"/>
    <cellStyle name="注释 4 2 2 2 3" xfId="32043" xr:uid="{00000000-0005-0000-0000-00002D7D0000}"/>
    <cellStyle name="注释 4 2 2 3" xfId="32044" xr:uid="{00000000-0005-0000-0000-00002E7D0000}"/>
    <cellStyle name="注释 4 2 2 3 2" xfId="32045" xr:uid="{00000000-0005-0000-0000-00002F7D0000}"/>
    <cellStyle name="注释 4 2 2 3 3" xfId="32046" xr:uid="{00000000-0005-0000-0000-0000307D0000}"/>
    <cellStyle name="注释 4 2 2 4" xfId="32047" xr:uid="{00000000-0005-0000-0000-0000317D0000}"/>
    <cellStyle name="注释 4 2 2 5" xfId="32048" xr:uid="{00000000-0005-0000-0000-0000327D0000}"/>
    <cellStyle name="注释 4 2 20" xfId="32049" xr:uid="{00000000-0005-0000-0000-0000337D0000}"/>
    <cellStyle name="注释 4 2 21" xfId="32050" xr:uid="{00000000-0005-0000-0000-0000347D0000}"/>
    <cellStyle name="注释 4 2 22" xfId="32051" xr:uid="{00000000-0005-0000-0000-0000357D0000}"/>
    <cellStyle name="注释 4 2 23" xfId="32052" xr:uid="{00000000-0005-0000-0000-0000367D0000}"/>
    <cellStyle name="注释 4 2 24" xfId="32053" xr:uid="{00000000-0005-0000-0000-0000377D0000}"/>
    <cellStyle name="注释 4 2 25" xfId="32054" xr:uid="{00000000-0005-0000-0000-0000387D0000}"/>
    <cellStyle name="注释 4 2 26" xfId="32055" xr:uid="{00000000-0005-0000-0000-0000397D0000}"/>
    <cellStyle name="注释 4 2 27" xfId="32056" xr:uid="{00000000-0005-0000-0000-00003A7D0000}"/>
    <cellStyle name="注释 4 2 28" xfId="32057" xr:uid="{00000000-0005-0000-0000-00003B7D0000}"/>
    <cellStyle name="注释 4 2 29" xfId="32058" xr:uid="{00000000-0005-0000-0000-00003C7D0000}"/>
    <cellStyle name="注释 4 2 3" xfId="32059" xr:uid="{00000000-0005-0000-0000-00003D7D0000}"/>
    <cellStyle name="注释 4 2 3 2" xfId="32060" xr:uid="{00000000-0005-0000-0000-00003E7D0000}"/>
    <cellStyle name="注释 4 2 3 2 2" xfId="32061" xr:uid="{00000000-0005-0000-0000-00003F7D0000}"/>
    <cellStyle name="注释 4 2 3 2 3" xfId="32062" xr:uid="{00000000-0005-0000-0000-0000407D0000}"/>
    <cellStyle name="注释 4 2 3 3" xfId="32063" xr:uid="{00000000-0005-0000-0000-0000417D0000}"/>
    <cellStyle name="注释 4 2 3 3 2" xfId="32064" xr:uid="{00000000-0005-0000-0000-0000427D0000}"/>
    <cellStyle name="注释 4 2 3 3 3" xfId="32065" xr:uid="{00000000-0005-0000-0000-0000437D0000}"/>
    <cellStyle name="注释 4 2 3 4" xfId="32066" xr:uid="{00000000-0005-0000-0000-0000447D0000}"/>
    <cellStyle name="注释 4 2 3 5" xfId="32067" xr:uid="{00000000-0005-0000-0000-0000457D0000}"/>
    <cellStyle name="注释 4 2 30" xfId="32068" xr:uid="{00000000-0005-0000-0000-0000467D0000}"/>
    <cellStyle name="注释 4 2 31" xfId="32069" xr:uid="{00000000-0005-0000-0000-0000477D0000}"/>
    <cellStyle name="注释 4 2 32" xfId="32070" xr:uid="{00000000-0005-0000-0000-0000487D0000}"/>
    <cellStyle name="注释 4 2 33" xfId="32071" xr:uid="{00000000-0005-0000-0000-0000497D0000}"/>
    <cellStyle name="注释 4 2 34" xfId="32072" xr:uid="{00000000-0005-0000-0000-00004A7D0000}"/>
    <cellStyle name="注释 4 2 35" xfId="32073" xr:uid="{00000000-0005-0000-0000-00004B7D0000}"/>
    <cellStyle name="注释 4 2 4" xfId="32074" xr:uid="{00000000-0005-0000-0000-00004C7D0000}"/>
    <cellStyle name="注释 4 2 4 2" xfId="32075" xr:uid="{00000000-0005-0000-0000-00004D7D0000}"/>
    <cellStyle name="注释 4 2 4 3" xfId="32076" xr:uid="{00000000-0005-0000-0000-00004E7D0000}"/>
    <cellStyle name="注释 4 2 5" xfId="32077" xr:uid="{00000000-0005-0000-0000-00004F7D0000}"/>
    <cellStyle name="注释 4 2 5 2" xfId="32078" xr:uid="{00000000-0005-0000-0000-0000507D0000}"/>
    <cellStyle name="注释 4 2 5 3" xfId="32079" xr:uid="{00000000-0005-0000-0000-0000517D0000}"/>
    <cellStyle name="注释 4 2 6" xfId="32080" xr:uid="{00000000-0005-0000-0000-0000527D0000}"/>
    <cellStyle name="注释 4 2 7" xfId="32081" xr:uid="{00000000-0005-0000-0000-0000537D0000}"/>
    <cellStyle name="注释 4 2 8" xfId="32082" xr:uid="{00000000-0005-0000-0000-0000547D0000}"/>
    <cellStyle name="注释 4 2 9" xfId="32083" xr:uid="{00000000-0005-0000-0000-0000557D0000}"/>
    <cellStyle name="注释 4 20" xfId="32084" xr:uid="{00000000-0005-0000-0000-0000567D0000}"/>
    <cellStyle name="注释 4 21" xfId="32085" xr:uid="{00000000-0005-0000-0000-0000577D0000}"/>
    <cellStyle name="注释 4 22" xfId="32086" xr:uid="{00000000-0005-0000-0000-0000587D0000}"/>
    <cellStyle name="注释 4 23" xfId="32087" xr:uid="{00000000-0005-0000-0000-0000597D0000}"/>
    <cellStyle name="注释 4 24" xfId="32088" xr:uid="{00000000-0005-0000-0000-00005A7D0000}"/>
    <cellStyle name="注释 4 25" xfId="32089" xr:uid="{00000000-0005-0000-0000-00005B7D0000}"/>
    <cellStyle name="注释 4 26" xfId="32090" xr:uid="{00000000-0005-0000-0000-00005C7D0000}"/>
    <cellStyle name="注释 4 27" xfId="32091" xr:uid="{00000000-0005-0000-0000-00005D7D0000}"/>
    <cellStyle name="注释 4 28" xfId="32092" xr:uid="{00000000-0005-0000-0000-00005E7D0000}"/>
    <cellStyle name="注释 4 29" xfId="32093" xr:uid="{00000000-0005-0000-0000-00005F7D0000}"/>
    <cellStyle name="注释 4 3" xfId="32094" xr:uid="{00000000-0005-0000-0000-0000607D0000}"/>
    <cellStyle name="注释 4 3 2" xfId="32095" xr:uid="{00000000-0005-0000-0000-0000617D0000}"/>
    <cellStyle name="注释 4 3 3" xfId="32096" xr:uid="{00000000-0005-0000-0000-0000627D0000}"/>
    <cellStyle name="注释 4 30" xfId="32097" xr:uid="{00000000-0005-0000-0000-0000637D0000}"/>
    <cellStyle name="注释 4 31" xfId="32098" xr:uid="{00000000-0005-0000-0000-0000647D0000}"/>
    <cellStyle name="注释 4 32" xfId="32099" xr:uid="{00000000-0005-0000-0000-0000657D0000}"/>
    <cellStyle name="注释 4 33" xfId="32100" xr:uid="{00000000-0005-0000-0000-0000667D0000}"/>
    <cellStyle name="注释 4 34" xfId="32101" xr:uid="{00000000-0005-0000-0000-0000677D0000}"/>
    <cellStyle name="注释 4 4" xfId="32102" xr:uid="{00000000-0005-0000-0000-0000687D0000}"/>
    <cellStyle name="注释 4 4 2" xfId="32103" xr:uid="{00000000-0005-0000-0000-0000697D0000}"/>
    <cellStyle name="注释 4 4 3" xfId="32104" xr:uid="{00000000-0005-0000-0000-00006A7D0000}"/>
    <cellStyle name="注释 4 5" xfId="32105" xr:uid="{00000000-0005-0000-0000-00006B7D0000}"/>
    <cellStyle name="注释 4 6" xfId="32106" xr:uid="{00000000-0005-0000-0000-00006C7D0000}"/>
    <cellStyle name="注释 4 7" xfId="32107" xr:uid="{00000000-0005-0000-0000-00006D7D0000}"/>
    <cellStyle name="注释 4 8" xfId="32108" xr:uid="{00000000-0005-0000-0000-00006E7D0000}"/>
    <cellStyle name="注释 4 9" xfId="32109" xr:uid="{00000000-0005-0000-0000-00006F7D0000}"/>
    <cellStyle name="注释 5" xfId="32110" xr:uid="{00000000-0005-0000-0000-0000707D0000}"/>
    <cellStyle name="注释 5 10" xfId="32111" xr:uid="{00000000-0005-0000-0000-0000717D0000}"/>
    <cellStyle name="注释 5 11" xfId="32112" xr:uid="{00000000-0005-0000-0000-0000727D0000}"/>
    <cellStyle name="注释 5 12" xfId="32113" xr:uid="{00000000-0005-0000-0000-0000737D0000}"/>
    <cellStyle name="注释 5 13" xfId="32114" xr:uid="{00000000-0005-0000-0000-0000747D0000}"/>
    <cellStyle name="注释 5 14" xfId="32115" xr:uid="{00000000-0005-0000-0000-0000757D0000}"/>
    <cellStyle name="注释 5 15" xfId="32116" xr:uid="{00000000-0005-0000-0000-0000767D0000}"/>
    <cellStyle name="注释 5 16" xfId="32117" xr:uid="{00000000-0005-0000-0000-0000777D0000}"/>
    <cellStyle name="注释 5 17" xfId="32118" xr:uid="{00000000-0005-0000-0000-0000787D0000}"/>
    <cellStyle name="注释 5 18" xfId="32119" xr:uid="{00000000-0005-0000-0000-0000797D0000}"/>
    <cellStyle name="注释 5 19" xfId="32120" xr:uid="{00000000-0005-0000-0000-00007A7D0000}"/>
    <cellStyle name="注释 5 2" xfId="32121" xr:uid="{00000000-0005-0000-0000-00007B7D0000}"/>
    <cellStyle name="注释 5 2 10" xfId="32122" xr:uid="{00000000-0005-0000-0000-00007C7D0000}"/>
    <cellStyle name="注释 5 2 11" xfId="32123" xr:uid="{00000000-0005-0000-0000-00007D7D0000}"/>
    <cellStyle name="注释 5 2 12" xfId="32124" xr:uid="{00000000-0005-0000-0000-00007E7D0000}"/>
    <cellStyle name="注释 5 2 13" xfId="32125" xr:uid="{00000000-0005-0000-0000-00007F7D0000}"/>
    <cellStyle name="注释 5 2 14" xfId="32126" xr:uid="{00000000-0005-0000-0000-0000807D0000}"/>
    <cellStyle name="注释 5 2 15" xfId="32127" xr:uid="{00000000-0005-0000-0000-0000817D0000}"/>
    <cellStyle name="注释 5 2 16" xfId="32128" xr:uid="{00000000-0005-0000-0000-0000827D0000}"/>
    <cellStyle name="注释 5 2 17" xfId="32129" xr:uid="{00000000-0005-0000-0000-0000837D0000}"/>
    <cellStyle name="注释 5 2 18" xfId="32130" xr:uid="{00000000-0005-0000-0000-0000847D0000}"/>
    <cellStyle name="注释 5 2 19" xfId="32131" xr:uid="{00000000-0005-0000-0000-0000857D0000}"/>
    <cellStyle name="注释 5 2 2" xfId="32132" xr:uid="{00000000-0005-0000-0000-0000867D0000}"/>
    <cellStyle name="注释 5 2 2 2" xfId="32133" xr:uid="{00000000-0005-0000-0000-0000877D0000}"/>
    <cellStyle name="注释 5 2 2 2 2" xfId="32134" xr:uid="{00000000-0005-0000-0000-0000887D0000}"/>
    <cellStyle name="注释 5 2 2 2 3" xfId="32135" xr:uid="{00000000-0005-0000-0000-0000897D0000}"/>
    <cellStyle name="注释 5 2 2 3" xfId="32136" xr:uid="{00000000-0005-0000-0000-00008A7D0000}"/>
    <cellStyle name="注释 5 2 2 3 2" xfId="32137" xr:uid="{00000000-0005-0000-0000-00008B7D0000}"/>
    <cellStyle name="注释 5 2 2 3 3" xfId="32138" xr:uid="{00000000-0005-0000-0000-00008C7D0000}"/>
    <cellStyle name="注释 5 2 2 4" xfId="32139" xr:uid="{00000000-0005-0000-0000-00008D7D0000}"/>
    <cellStyle name="注释 5 2 2 5" xfId="32140" xr:uid="{00000000-0005-0000-0000-00008E7D0000}"/>
    <cellStyle name="注释 5 2 20" xfId="32141" xr:uid="{00000000-0005-0000-0000-00008F7D0000}"/>
    <cellStyle name="注释 5 2 21" xfId="32142" xr:uid="{00000000-0005-0000-0000-0000907D0000}"/>
    <cellStyle name="注释 5 2 22" xfId="32143" xr:uid="{00000000-0005-0000-0000-0000917D0000}"/>
    <cellStyle name="注释 5 2 23" xfId="32144" xr:uid="{00000000-0005-0000-0000-0000927D0000}"/>
    <cellStyle name="注释 5 2 24" xfId="32145" xr:uid="{00000000-0005-0000-0000-0000937D0000}"/>
    <cellStyle name="注释 5 2 25" xfId="32146" xr:uid="{00000000-0005-0000-0000-0000947D0000}"/>
    <cellStyle name="注释 5 2 26" xfId="32147" xr:uid="{00000000-0005-0000-0000-0000957D0000}"/>
    <cellStyle name="注释 5 2 27" xfId="32148" xr:uid="{00000000-0005-0000-0000-0000967D0000}"/>
    <cellStyle name="注释 5 2 28" xfId="32149" xr:uid="{00000000-0005-0000-0000-0000977D0000}"/>
    <cellStyle name="注释 5 2 29" xfId="32150" xr:uid="{00000000-0005-0000-0000-0000987D0000}"/>
    <cellStyle name="注释 5 2 3" xfId="32151" xr:uid="{00000000-0005-0000-0000-0000997D0000}"/>
    <cellStyle name="注释 5 2 3 2" xfId="32152" xr:uid="{00000000-0005-0000-0000-00009A7D0000}"/>
    <cellStyle name="注释 5 2 3 2 2" xfId="32153" xr:uid="{00000000-0005-0000-0000-00009B7D0000}"/>
    <cellStyle name="注释 5 2 3 2 3" xfId="32154" xr:uid="{00000000-0005-0000-0000-00009C7D0000}"/>
    <cellStyle name="注释 5 2 3 3" xfId="32155" xr:uid="{00000000-0005-0000-0000-00009D7D0000}"/>
    <cellStyle name="注释 5 2 3 3 2" xfId="32156" xr:uid="{00000000-0005-0000-0000-00009E7D0000}"/>
    <cellStyle name="注释 5 2 3 3 3" xfId="32157" xr:uid="{00000000-0005-0000-0000-00009F7D0000}"/>
    <cellStyle name="注释 5 2 3 4" xfId="32158" xr:uid="{00000000-0005-0000-0000-0000A07D0000}"/>
    <cellStyle name="注释 5 2 3 5" xfId="32159" xr:uid="{00000000-0005-0000-0000-0000A17D0000}"/>
    <cellStyle name="注释 5 2 30" xfId="32160" xr:uid="{00000000-0005-0000-0000-0000A27D0000}"/>
    <cellStyle name="注释 5 2 31" xfId="32161" xr:uid="{00000000-0005-0000-0000-0000A37D0000}"/>
    <cellStyle name="注释 5 2 32" xfId="32162" xr:uid="{00000000-0005-0000-0000-0000A47D0000}"/>
    <cellStyle name="注释 5 2 33" xfId="32163" xr:uid="{00000000-0005-0000-0000-0000A57D0000}"/>
    <cellStyle name="注释 5 2 34" xfId="32164" xr:uid="{00000000-0005-0000-0000-0000A67D0000}"/>
    <cellStyle name="注释 5 2 35" xfId="32165" xr:uid="{00000000-0005-0000-0000-0000A77D0000}"/>
    <cellStyle name="注释 5 2 4" xfId="32166" xr:uid="{00000000-0005-0000-0000-0000A87D0000}"/>
    <cellStyle name="注释 5 2 4 2" xfId="32167" xr:uid="{00000000-0005-0000-0000-0000A97D0000}"/>
    <cellStyle name="注释 5 2 4 3" xfId="32168" xr:uid="{00000000-0005-0000-0000-0000AA7D0000}"/>
    <cellStyle name="注释 5 2 5" xfId="32169" xr:uid="{00000000-0005-0000-0000-0000AB7D0000}"/>
    <cellStyle name="注释 5 2 5 2" xfId="32170" xr:uid="{00000000-0005-0000-0000-0000AC7D0000}"/>
    <cellStyle name="注释 5 2 5 3" xfId="32171" xr:uid="{00000000-0005-0000-0000-0000AD7D0000}"/>
    <cellStyle name="注释 5 2 6" xfId="32172" xr:uid="{00000000-0005-0000-0000-0000AE7D0000}"/>
    <cellStyle name="注释 5 2 7" xfId="32173" xr:uid="{00000000-0005-0000-0000-0000AF7D0000}"/>
    <cellStyle name="注释 5 2 8" xfId="32174" xr:uid="{00000000-0005-0000-0000-0000B07D0000}"/>
    <cellStyle name="注释 5 2 9" xfId="32175" xr:uid="{00000000-0005-0000-0000-0000B17D0000}"/>
    <cellStyle name="注释 5 20" xfId="32176" xr:uid="{00000000-0005-0000-0000-0000B27D0000}"/>
    <cellStyle name="注释 5 21" xfId="32177" xr:uid="{00000000-0005-0000-0000-0000B37D0000}"/>
    <cellStyle name="注释 5 22" xfId="32178" xr:uid="{00000000-0005-0000-0000-0000B47D0000}"/>
    <cellStyle name="注释 5 23" xfId="32179" xr:uid="{00000000-0005-0000-0000-0000B57D0000}"/>
    <cellStyle name="注释 5 24" xfId="32180" xr:uid="{00000000-0005-0000-0000-0000B67D0000}"/>
    <cellStyle name="注释 5 25" xfId="32181" xr:uid="{00000000-0005-0000-0000-0000B77D0000}"/>
    <cellStyle name="注释 5 26" xfId="32182" xr:uid="{00000000-0005-0000-0000-0000B87D0000}"/>
    <cellStyle name="注释 5 27" xfId="32183" xr:uid="{00000000-0005-0000-0000-0000B97D0000}"/>
    <cellStyle name="注释 5 28" xfId="32184" xr:uid="{00000000-0005-0000-0000-0000BA7D0000}"/>
    <cellStyle name="注释 5 29" xfId="32185" xr:uid="{00000000-0005-0000-0000-0000BB7D0000}"/>
    <cellStyle name="注释 5 3" xfId="32186" xr:uid="{00000000-0005-0000-0000-0000BC7D0000}"/>
    <cellStyle name="注释 5 3 2" xfId="32187" xr:uid="{00000000-0005-0000-0000-0000BD7D0000}"/>
    <cellStyle name="注释 5 3 3" xfId="32188" xr:uid="{00000000-0005-0000-0000-0000BE7D0000}"/>
    <cellStyle name="注释 5 30" xfId="32189" xr:uid="{00000000-0005-0000-0000-0000BF7D0000}"/>
    <cellStyle name="注释 5 31" xfId="32190" xr:uid="{00000000-0005-0000-0000-0000C07D0000}"/>
    <cellStyle name="注释 5 32" xfId="32191" xr:uid="{00000000-0005-0000-0000-0000C17D0000}"/>
    <cellStyle name="注释 5 33" xfId="32192" xr:uid="{00000000-0005-0000-0000-0000C27D0000}"/>
    <cellStyle name="注释 5 34" xfId="32193" xr:uid="{00000000-0005-0000-0000-0000C37D0000}"/>
    <cellStyle name="注释 5 4" xfId="32194" xr:uid="{00000000-0005-0000-0000-0000C47D0000}"/>
    <cellStyle name="注释 5 4 2" xfId="32195" xr:uid="{00000000-0005-0000-0000-0000C57D0000}"/>
    <cellStyle name="注释 5 4 3" xfId="32196" xr:uid="{00000000-0005-0000-0000-0000C67D0000}"/>
    <cellStyle name="注释 5 5" xfId="32197" xr:uid="{00000000-0005-0000-0000-0000C77D0000}"/>
    <cellStyle name="注释 5 6" xfId="32198" xr:uid="{00000000-0005-0000-0000-0000C87D0000}"/>
    <cellStyle name="注释 5 7" xfId="32199" xr:uid="{00000000-0005-0000-0000-0000C97D0000}"/>
    <cellStyle name="注释 5 8" xfId="32200" xr:uid="{00000000-0005-0000-0000-0000CA7D0000}"/>
    <cellStyle name="注释 5 9" xfId="32201" xr:uid="{00000000-0005-0000-0000-0000CB7D0000}"/>
    <cellStyle name="注释 6" xfId="32202" xr:uid="{00000000-0005-0000-0000-0000CC7D0000}"/>
    <cellStyle name="注释 6 10" xfId="32203" xr:uid="{00000000-0005-0000-0000-0000CD7D0000}"/>
    <cellStyle name="注释 6 11" xfId="32204" xr:uid="{00000000-0005-0000-0000-0000CE7D0000}"/>
    <cellStyle name="注释 6 12" xfId="32205" xr:uid="{00000000-0005-0000-0000-0000CF7D0000}"/>
    <cellStyle name="注释 6 13" xfId="32206" xr:uid="{00000000-0005-0000-0000-0000D07D0000}"/>
    <cellStyle name="注释 6 14" xfId="32207" xr:uid="{00000000-0005-0000-0000-0000D17D0000}"/>
    <cellStyle name="注释 6 15" xfId="32208" xr:uid="{00000000-0005-0000-0000-0000D27D0000}"/>
    <cellStyle name="注释 6 16" xfId="32209" xr:uid="{00000000-0005-0000-0000-0000D37D0000}"/>
    <cellStyle name="注释 6 17" xfId="32210" xr:uid="{00000000-0005-0000-0000-0000D47D0000}"/>
    <cellStyle name="注释 6 18" xfId="32211" xr:uid="{00000000-0005-0000-0000-0000D57D0000}"/>
    <cellStyle name="注释 6 19" xfId="32212" xr:uid="{00000000-0005-0000-0000-0000D67D0000}"/>
    <cellStyle name="注释 6 2" xfId="32213" xr:uid="{00000000-0005-0000-0000-0000D77D0000}"/>
    <cellStyle name="注释 6 2 10" xfId="32214" xr:uid="{00000000-0005-0000-0000-0000D87D0000}"/>
    <cellStyle name="注释 6 2 11" xfId="32215" xr:uid="{00000000-0005-0000-0000-0000D97D0000}"/>
    <cellStyle name="注释 6 2 12" xfId="32216" xr:uid="{00000000-0005-0000-0000-0000DA7D0000}"/>
    <cellStyle name="注释 6 2 13" xfId="32217" xr:uid="{00000000-0005-0000-0000-0000DB7D0000}"/>
    <cellStyle name="注释 6 2 14" xfId="32218" xr:uid="{00000000-0005-0000-0000-0000DC7D0000}"/>
    <cellStyle name="注释 6 2 15" xfId="32219" xr:uid="{00000000-0005-0000-0000-0000DD7D0000}"/>
    <cellStyle name="注释 6 2 16" xfId="32220" xr:uid="{00000000-0005-0000-0000-0000DE7D0000}"/>
    <cellStyle name="注释 6 2 17" xfId="32221" xr:uid="{00000000-0005-0000-0000-0000DF7D0000}"/>
    <cellStyle name="注释 6 2 18" xfId="32222" xr:uid="{00000000-0005-0000-0000-0000E07D0000}"/>
    <cellStyle name="注释 6 2 19" xfId="32223" xr:uid="{00000000-0005-0000-0000-0000E17D0000}"/>
    <cellStyle name="注释 6 2 2" xfId="32224" xr:uid="{00000000-0005-0000-0000-0000E27D0000}"/>
    <cellStyle name="注释 6 2 2 2" xfId="32225" xr:uid="{00000000-0005-0000-0000-0000E37D0000}"/>
    <cellStyle name="注释 6 2 2 2 2" xfId="32226" xr:uid="{00000000-0005-0000-0000-0000E47D0000}"/>
    <cellStyle name="注释 6 2 2 2 3" xfId="32227" xr:uid="{00000000-0005-0000-0000-0000E57D0000}"/>
    <cellStyle name="注释 6 2 2 3" xfId="32228" xr:uid="{00000000-0005-0000-0000-0000E67D0000}"/>
    <cellStyle name="注释 6 2 2 3 2" xfId="32229" xr:uid="{00000000-0005-0000-0000-0000E77D0000}"/>
    <cellStyle name="注释 6 2 2 3 3" xfId="32230" xr:uid="{00000000-0005-0000-0000-0000E87D0000}"/>
    <cellStyle name="注释 6 2 2 4" xfId="32231" xr:uid="{00000000-0005-0000-0000-0000E97D0000}"/>
    <cellStyle name="注释 6 2 2 5" xfId="32232" xr:uid="{00000000-0005-0000-0000-0000EA7D0000}"/>
    <cellStyle name="注释 6 2 20" xfId="32233" xr:uid="{00000000-0005-0000-0000-0000EB7D0000}"/>
    <cellStyle name="注释 6 2 21" xfId="32234" xr:uid="{00000000-0005-0000-0000-0000EC7D0000}"/>
    <cellStyle name="注释 6 2 22" xfId="32235" xr:uid="{00000000-0005-0000-0000-0000ED7D0000}"/>
    <cellStyle name="注释 6 2 23" xfId="32236" xr:uid="{00000000-0005-0000-0000-0000EE7D0000}"/>
    <cellStyle name="注释 6 2 24" xfId="32237" xr:uid="{00000000-0005-0000-0000-0000EF7D0000}"/>
    <cellStyle name="注释 6 2 25" xfId="32238" xr:uid="{00000000-0005-0000-0000-0000F07D0000}"/>
    <cellStyle name="注释 6 2 26" xfId="32239" xr:uid="{00000000-0005-0000-0000-0000F17D0000}"/>
    <cellStyle name="注释 6 2 27" xfId="32240" xr:uid="{00000000-0005-0000-0000-0000F27D0000}"/>
    <cellStyle name="注释 6 2 28" xfId="32241" xr:uid="{00000000-0005-0000-0000-0000F37D0000}"/>
    <cellStyle name="注释 6 2 29" xfId="32242" xr:uid="{00000000-0005-0000-0000-0000F47D0000}"/>
    <cellStyle name="注释 6 2 3" xfId="32243" xr:uid="{00000000-0005-0000-0000-0000F57D0000}"/>
    <cellStyle name="注释 6 2 3 2" xfId="32244" xr:uid="{00000000-0005-0000-0000-0000F67D0000}"/>
    <cellStyle name="注释 6 2 3 2 2" xfId="32245" xr:uid="{00000000-0005-0000-0000-0000F77D0000}"/>
    <cellStyle name="注释 6 2 3 2 3" xfId="32246" xr:uid="{00000000-0005-0000-0000-0000F87D0000}"/>
    <cellStyle name="注释 6 2 3 3" xfId="32247" xr:uid="{00000000-0005-0000-0000-0000F97D0000}"/>
    <cellStyle name="注释 6 2 3 3 2" xfId="32248" xr:uid="{00000000-0005-0000-0000-0000FA7D0000}"/>
    <cellStyle name="注释 6 2 3 3 3" xfId="32249" xr:uid="{00000000-0005-0000-0000-0000FB7D0000}"/>
    <cellStyle name="注释 6 2 3 4" xfId="32250" xr:uid="{00000000-0005-0000-0000-0000FC7D0000}"/>
    <cellStyle name="注释 6 2 3 5" xfId="32251" xr:uid="{00000000-0005-0000-0000-0000FD7D0000}"/>
    <cellStyle name="注释 6 2 30" xfId="32252" xr:uid="{00000000-0005-0000-0000-0000FE7D0000}"/>
    <cellStyle name="注释 6 2 31" xfId="32253" xr:uid="{00000000-0005-0000-0000-0000FF7D0000}"/>
    <cellStyle name="注释 6 2 32" xfId="32254" xr:uid="{00000000-0005-0000-0000-0000007E0000}"/>
    <cellStyle name="注释 6 2 33" xfId="32255" xr:uid="{00000000-0005-0000-0000-0000017E0000}"/>
    <cellStyle name="注释 6 2 34" xfId="32256" xr:uid="{00000000-0005-0000-0000-0000027E0000}"/>
    <cellStyle name="注释 6 2 35" xfId="32257" xr:uid="{00000000-0005-0000-0000-0000037E0000}"/>
    <cellStyle name="注释 6 2 4" xfId="32258" xr:uid="{00000000-0005-0000-0000-0000047E0000}"/>
    <cellStyle name="注释 6 2 4 2" xfId="32259" xr:uid="{00000000-0005-0000-0000-0000057E0000}"/>
    <cellStyle name="注释 6 2 4 3" xfId="32260" xr:uid="{00000000-0005-0000-0000-0000067E0000}"/>
    <cellStyle name="注释 6 2 5" xfId="32261" xr:uid="{00000000-0005-0000-0000-0000077E0000}"/>
    <cellStyle name="注释 6 2 5 2" xfId="32262" xr:uid="{00000000-0005-0000-0000-0000087E0000}"/>
    <cellStyle name="注释 6 2 5 3" xfId="32263" xr:uid="{00000000-0005-0000-0000-0000097E0000}"/>
    <cellStyle name="注释 6 2 6" xfId="32264" xr:uid="{00000000-0005-0000-0000-00000A7E0000}"/>
    <cellStyle name="注释 6 2 7" xfId="32265" xr:uid="{00000000-0005-0000-0000-00000B7E0000}"/>
    <cellStyle name="注释 6 2 8" xfId="32266" xr:uid="{00000000-0005-0000-0000-00000C7E0000}"/>
    <cellStyle name="注释 6 2 9" xfId="32267" xr:uid="{00000000-0005-0000-0000-00000D7E0000}"/>
    <cellStyle name="注释 6 20" xfId="32268" xr:uid="{00000000-0005-0000-0000-00000E7E0000}"/>
    <cellStyle name="注释 6 21" xfId="32269" xr:uid="{00000000-0005-0000-0000-00000F7E0000}"/>
    <cellStyle name="注释 6 22" xfId="32270" xr:uid="{00000000-0005-0000-0000-0000107E0000}"/>
    <cellStyle name="注释 6 23" xfId="32271" xr:uid="{00000000-0005-0000-0000-0000117E0000}"/>
    <cellStyle name="注释 6 24" xfId="32272" xr:uid="{00000000-0005-0000-0000-0000127E0000}"/>
    <cellStyle name="注释 6 25" xfId="32273" xr:uid="{00000000-0005-0000-0000-0000137E0000}"/>
    <cellStyle name="注释 6 26" xfId="32274" xr:uid="{00000000-0005-0000-0000-0000147E0000}"/>
    <cellStyle name="注释 6 27" xfId="32275" xr:uid="{00000000-0005-0000-0000-0000157E0000}"/>
    <cellStyle name="注释 6 28" xfId="32276" xr:uid="{00000000-0005-0000-0000-0000167E0000}"/>
    <cellStyle name="注释 6 29" xfId="32277" xr:uid="{00000000-0005-0000-0000-0000177E0000}"/>
    <cellStyle name="注释 6 3" xfId="32278" xr:uid="{00000000-0005-0000-0000-0000187E0000}"/>
    <cellStyle name="注释 6 3 2" xfId="32279" xr:uid="{00000000-0005-0000-0000-0000197E0000}"/>
    <cellStyle name="注释 6 3 3" xfId="32280" xr:uid="{00000000-0005-0000-0000-00001A7E0000}"/>
    <cellStyle name="注释 6 30" xfId="32281" xr:uid="{00000000-0005-0000-0000-00001B7E0000}"/>
    <cellStyle name="注释 6 31" xfId="32282" xr:uid="{00000000-0005-0000-0000-00001C7E0000}"/>
    <cellStyle name="注释 6 32" xfId="32283" xr:uid="{00000000-0005-0000-0000-00001D7E0000}"/>
    <cellStyle name="注释 6 33" xfId="32284" xr:uid="{00000000-0005-0000-0000-00001E7E0000}"/>
    <cellStyle name="注释 6 34" xfId="32285" xr:uid="{00000000-0005-0000-0000-00001F7E0000}"/>
    <cellStyle name="注释 6 4" xfId="32286" xr:uid="{00000000-0005-0000-0000-0000207E0000}"/>
    <cellStyle name="注释 6 4 2" xfId="32287" xr:uid="{00000000-0005-0000-0000-0000217E0000}"/>
    <cellStyle name="注释 6 4 3" xfId="32288" xr:uid="{00000000-0005-0000-0000-0000227E0000}"/>
    <cellStyle name="注释 6 5" xfId="32289" xr:uid="{00000000-0005-0000-0000-0000237E0000}"/>
    <cellStyle name="注释 6 6" xfId="32290" xr:uid="{00000000-0005-0000-0000-0000247E0000}"/>
    <cellStyle name="注释 6 7" xfId="32291" xr:uid="{00000000-0005-0000-0000-0000257E0000}"/>
    <cellStyle name="注释 6 8" xfId="32292" xr:uid="{00000000-0005-0000-0000-0000267E0000}"/>
    <cellStyle name="注释 6 9" xfId="32293" xr:uid="{00000000-0005-0000-0000-0000277E0000}"/>
    <cellStyle name="注释 7" xfId="32294" xr:uid="{00000000-0005-0000-0000-0000287E0000}"/>
    <cellStyle name="注释 7 10" xfId="32295" xr:uid="{00000000-0005-0000-0000-0000297E0000}"/>
    <cellStyle name="注释 7 11" xfId="32296" xr:uid="{00000000-0005-0000-0000-00002A7E0000}"/>
    <cellStyle name="注释 7 12" xfId="32297" xr:uid="{00000000-0005-0000-0000-00002B7E0000}"/>
    <cellStyle name="注释 7 13" xfId="32298" xr:uid="{00000000-0005-0000-0000-00002C7E0000}"/>
    <cellStyle name="注释 7 14" xfId="32299" xr:uid="{00000000-0005-0000-0000-00002D7E0000}"/>
    <cellStyle name="注释 7 15" xfId="32300" xr:uid="{00000000-0005-0000-0000-00002E7E0000}"/>
    <cellStyle name="注释 7 16" xfId="32301" xr:uid="{00000000-0005-0000-0000-00002F7E0000}"/>
    <cellStyle name="注释 7 17" xfId="32302" xr:uid="{00000000-0005-0000-0000-0000307E0000}"/>
    <cellStyle name="注释 7 18" xfId="32303" xr:uid="{00000000-0005-0000-0000-0000317E0000}"/>
    <cellStyle name="注释 7 19" xfId="32304" xr:uid="{00000000-0005-0000-0000-0000327E0000}"/>
    <cellStyle name="注释 7 2" xfId="32305" xr:uid="{00000000-0005-0000-0000-0000337E0000}"/>
    <cellStyle name="注释 7 2 2" xfId="32306" xr:uid="{00000000-0005-0000-0000-0000347E0000}"/>
    <cellStyle name="注释 7 2 2 2" xfId="32307" xr:uid="{00000000-0005-0000-0000-0000357E0000}"/>
    <cellStyle name="注释 7 2 2 3" xfId="32308" xr:uid="{00000000-0005-0000-0000-0000367E0000}"/>
    <cellStyle name="注释 7 2 3" xfId="32309" xr:uid="{00000000-0005-0000-0000-0000377E0000}"/>
    <cellStyle name="注释 7 2 3 2" xfId="32310" xr:uid="{00000000-0005-0000-0000-0000387E0000}"/>
    <cellStyle name="注释 7 2 3 3" xfId="32311" xr:uid="{00000000-0005-0000-0000-0000397E0000}"/>
    <cellStyle name="注释 7 2 4" xfId="32312" xr:uid="{00000000-0005-0000-0000-00003A7E0000}"/>
    <cellStyle name="注释 7 2 5" xfId="32313" xr:uid="{00000000-0005-0000-0000-00003B7E0000}"/>
    <cellStyle name="注释 7 20" xfId="32314" xr:uid="{00000000-0005-0000-0000-00003C7E0000}"/>
    <cellStyle name="注释 7 21" xfId="32315" xr:uid="{00000000-0005-0000-0000-00003D7E0000}"/>
    <cellStyle name="注释 7 22" xfId="32316" xr:uid="{00000000-0005-0000-0000-00003E7E0000}"/>
    <cellStyle name="注释 7 23" xfId="32317" xr:uid="{00000000-0005-0000-0000-00003F7E0000}"/>
    <cellStyle name="注释 7 24" xfId="32318" xr:uid="{00000000-0005-0000-0000-0000407E0000}"/>
    <cellStyle name="注释 7 25" xfId="32319" xr:uid="{00000000-0005-0000-0000-0000417E0000}"/>
    <cellStyle name="注释 7 26" xfId="32320" xr:uid="{00000000-0005-0000-0000-0000427E0000}"/>
    <cellStyle name="注释 7 27" xfId="32321" xr:uid="{00000000-0005-0000-0000-0000437E0000}"/>
    <cellStyle name="注释 7 28" xfId="32322" xr:uid="{00000000-0005-0000-0000-0000447E0000}"/>
    <cellStyle name="注释 7 29" xfId="32323" xr:uid="{00000000-0005-0000-0000-0000457E0000}"/>
    <cellStyle name="注释 7 3" xfId="32324" xr:uid="{00000000-0005-0000-0000-0000467E0000}"/>
    <cellStyle name="注释 7 3 2" xfId="32325" xr:uid="{00000000-0005-0000-0000-0000477E0000}"/>
    <cellStyle name="注释 7 3 2 2" xfId="32326" xr:uid="{00000000-0005-0000-0000-0000487E0000}"/>
    <cellStyle name="注释 7 3 2 3" xfId="32327" xr:uid="{00000000-0005-0000-0000-0000497E0000}"/>
    <cellStyle name="注释 7 3 3" xfId="32328" xr:uid="{00000000-0005-0000-0000-00004A7E0000}"/>
    <cellStyle name="注释 7 3 3 2" xfId="32329" xr:uid="{00000000-0005-0000-0000-00004B7E0000}"/>
    <cellStyle name="注释 7 3 3 3" xfId="32330" xr:uid="{00000000-0005-0000-0000-00004C7E0000}"/>
    <cellStyle name="注释 7 3 4" xfId="32331" xr:uid="{00000000-0005-0000-0000-00004D7E0000}"/>
    <cellStyle name="注释 7 3 5" xfId="32332" xr:uid="{00000000-0005-0000-0000-00004E7E0000}"/>
    <cellStyle name="注释 7 30" xfId="32333" xr:uid="{00000000-0005-0000-0000-00004F7E0000}"/>
    <cellStyle name="注释 7 31" xfId="32334" xr:uid="{00000000-0005-0000-0000-0000507E0000}"/>
    <cellStyle name="注释 7 32" xfId="32335" xr:uid="{00000000-0005-0000-0000-0000517E0000}"/>
    <cellStyle name="注释 7 33" xfId="32336" xr:uid="{00000000-0005-0000-0000-0000527E0000}"/>
    <cellStyle name="注释 7 34" xfId="32337" xr:uid="{00000000-0005-0000-0000-0000537E0000}"/>
    <cellStyle name="注释 7 35" xfId="32338" xr:uid="{00000000-0005-0000-0000-0000547E0000}"/>
    <cellStyle name="注释 7 4" xfId="32339" xr:uid="{00000000-0005-0000-0000-0000557E0000}"/>
    <cellStyle name="注释 7 4 2" xfId="32340" xr:uid="{00000000-0005-0000-0000-0000567E0000}"/>
    <cellStyle name="注释 7 4 3" xfId="32341" xr:uid="{00000000-0005-0000-0000-0000577E0000}"/>
    <cellStyle name="注释 7 5" xfId="32342" xr:uid="{00000000-0005-0000-0000-0000587E0000}"/>
    <cellStyle name="注释 7 5 2" xfId="32343" xr:uid="{00000000-0005-0000-0000-0000597E0000}"/>
    <cellStyle name="注释 7 5 3" xfId="32344" xr:uid="{00000000-0005-0000-0000-00005A7E0000}"/>
    <cellStyle name="注释 7 6" xfId="32345" xr:uid="{00000000-0005-0000-0000-00005B7E0000}"/>
    <cellStyle name="注释 7 7" xfId="32346" xr:uid="{00000000-0005-0000-0000-00005C7E0000}"/>
    <cellStyle name="注释 7 8" xfId="32347" xr:uid="{00000000-0005-0000-0000-00005D7E0000}"/>
    <cellStyle name="注释 7 9" xfId="32348" xr:uid="{00000000-0005-0000-0000-00005E7E0000}"/>
    <cellStyle name="注释 8" xfId="32349" xr:uid="{00000000-0005-0000-0000-00005F7E0000}"/>
    <cellStyle name="注释 8 2" xfId="32350" xr:uid="{00000000-0005-0000-0000-0000607E0000}"/>
    <cellStyle name="注释 8 3" xfId="32351" xr:uid="{00000000-0005-0000-0000-0000617E0000}"/>
    <cellStyle name="注释 9" xfId="32352" xr:uid="{00000000-0005-0000-0000-0000627E0000}"/>
    <cellStyle name="注释 9 2" xfId="32353" xr:uid="{00000000-0005-0000-0000-0000637E0000}"/>
    <cellStyle name="注释 9 3" xfId="32354" xr:uid="{00000000-0005-0000-0000-0000647E0000}"/>
    <cellStyle name="烹拳 [0]_97MBO" xfId="32355" xr:uid="{00000000-0005-0000-0000-0000657E0000}"/>
    <cellStyle name="烹拳_97MBO" xfId="32356" xr:uid="{00000000-0005-0000-0000-0000667E0000}"/>
    <cellStyle name="百分比 2" xfId="32357" xr:uid="{00000000-0005-0000-0000-0000677E0000}"/>
    <cellStyle name="百分比 2 2" xfId="32358" xr:uid="{00000000-0005-0000-0000-0000687E0000}"/>
    <cellStyle name="百分比 3" xfId="32359" xr:uid="{00000000-0005-0000-0000-0000697E0000}"/>
    <cellStyle name="百分比 3 2" xfId="32360" xr:uid="{00000000-0005-0000-0000-00006A7E0000}"/>
    <cellStyle name="百分比 4" xfId="32361" xr:uid="{00000000-0005-0000-0000-00006B7E0000}"/>
    <cellStyle name="百分比 4 2" xfId="32362" xr:uid="{00000000-0005-0000-0000-00006C7E0000}"/>
    <cellStyle name="百分比 5" xfId="32363" xr:uid="{00000000-0005-0000-0000-00006D7E0000}"/>
    <cellStyle name="百分比 5 2" xfId="32364" xr:uid="{00000000-0005-0000-0000-00006E7E0000}"/>
    <cellStyle name="百分比 6" xfId="32365" xr:uid="{00000000-0005-0000-0000-00006F7E0000}"/>
    <cellStyle name="百分比 7" xfId="32366" xr:uid="{00000000-0005-0000-0000-0000707E0000}"/>
    <cellStyle name="百分比 7 2" xfId="32367" xr:uid="{00000000-0005-0000-0000-0000717E0000}"/>
    <cellStyle name="百分比 8" xfId="32368" xr:uid="{00000000-0005-0000-0000-0000727E0000}"/>
    <cellStyle name="良い" xfId="32369" xr:uid="{00000000-0005-0000-0000-0000737E0000}"/>
    <cellStyle name="見出し 1" xfId="32370" xr:uid="{00000000-0005-0000-0000-0000747E0000}"/>
    <cellStyle name="見出し 2" xfId="32371" xr:uid="{00000000-0005-0000-0000-0000757E0000}"/>
    <cellStyle name="見出し 3" xfId="32372" xr:uid="{00000000-0005-0000-0000-0000767E0000}"/>
    <cellStyle name="見出し 4" xfId="32373" xr:uid="{00000000-0005-0000-0000-0000777E0000}"/>
    <cellStyle name="解释性文本" xfId="32374" xr:uid="{00000000-0005-0000-0000-0000787E0000}"/>
    <cellStyle name="解释性文本 2" xfId="32375" xr:uid="{00000000-0005-0000-0000-0000797E0000}"/>
    <cellStyle name="解释性文本 3" xfId="32376" xr:uid="{00000000-0005-0000-0000-00007A7E0000}"/>
    <cellStyle name="解释性文本 4" xfId="32377" xr:uid="{00000000-0005-0000-0000-00007B7E0000}"/>
    <cellStyle name="解释性文本 5" xfId="32378" xr:uid="{00000000-0005-0000-0000-00007C7E0000}"/>
    <cellStyle name="解释性文本 6" xfId="32379" xr:uid="{00000000-0005-0000-0000-00007D7E0000}"/>
    <cellStyle name="計算" xfId="32380" xr:uid="{00000000-0005-0000-0000-00007E7E0000}"/>
    <cellStyle name="計算 10" xfId="32381" xr:uid="{00000000-0005-0000-0000-00007F7E0000}"/>
    <cellStyle name="計算 11" xfId="32382" xr:uid="{00000000-0005-0000-0000-0000807E0000}"/>
    <cellStyle name="計算 12" xfId="32383" xr:uid="{00000000-0005-0000-0000-0000817E0000}"/>
    <cellStyle name="計算 13" xfId="32384" xr:uid="{00000000-0005-0000-0000-0000827E0000}"/>
    <cellStyle name="計算 14" xfId="32385" xr:uid="{00000000-0005-0000-0000-0000837E0000}"/>
    <cellStyle name="計算 2" xfId="32386" xr:uid="{00000000-0005-0000-0000-0000847E0000}"/>
    <cellStyle name="計算 2 10" xfId="32387" xr:uid="{00000000-0005-0000-0000-0000857E0000}"/>
    <cellStyle name="計算 2 11" xfId="32388" xr:uid="{00000000-0005-0000-0000-0000867E0000}"/>
    <cellStyle name="計算 2 12" xfId="32389" xr:uid="{00000000-0005-0000-0000-0000877E0000}"/>
    <cellStyle name="計算 2 13" xfId="32390" xr:uid="{00000000-0005-0000-0000-0000887E0000}"/>
    <cellStyle name="計算 2 14" xfId="32391" xr:uid="{00000000-0005-0000-0000-0000897E0000}"/>
    <cellStyle name="計算 2 15" xfId="32392" xr:uid="{00000000-0005-0000-0000-00008A7E0000}"/>
    <cellStyle name="計算 2 16" xfId="32393" xr:uid="{00000000-0005-0000-0000-00008B7E0000}"/>
    <cellStyle name="計算 2 17" xfId="32394" xr:uid="{00000000-0005-0000-0000-00008C7E0000}"/>
    <cellStyle name="計算 2 18" xfId="32395" xr:uid="{00000000-0005-0000-0000-00008D7E0000}"/>
    <cellStyle name="計算 2 19" xfId="32396" xr:uid="{00000000-0005-0000-0000-00008E7E0000}"/>
    <cellStyle name="計算 2 2" xfId="32397" xr:uid="{00000000-0005-0000-0000-00008F7E0000}"/>
    <cellStyle name="計算 2 2 2" xfId="32398" xr:uid="{00000000-0005-0000-0000-0000907E0000}"/>
    <cellStyle name="計算 2 2 2 2" xfId="32399" xr:uid="{00000000-0005-0000-0000-0000917E0000}"/>
    <cellStyle name="計算 2 2 2 3" xfId="32400" xr:uid="{00000000-0005-0000-0000-0000927E0000}"/>
    <cellStyle name="計算 2 2 3" xfId="32401" xr:uid="{00000000-0005-0000-0000-0000937E0000}"/>
    <cellStyle name="計算 2 2 3 2" xfId="32402" xr:uid="{00000000-0005-0000-0000-0000947E0000}"/>
    <cellStyle name="計算 2 2 3 3" xfId="32403" xr:uid="{00000000-0005-0000-0000-0000957E0000}"/>
    <cellStyle name="計算 2 2 4" xfId="32404" xr:uid="{00000000-0005-0000-0000-0000967E0000}"/>
    <cellStyle name="計算 2 2 5" xfId="32405" xr:uid="{00000000-0005-0000-0000-0000977E0000}"/>
    <cellStyle name="計算 2 20" xfId="32406" xr:uid="{00000000-0005-0000-0000-0000987E0000}"/>
    <cellStyle name="計算 2 21" xfId="32407" xr:uid="{00000000-0005-0000-0000-0000997E0000}"/>
    <cellStyle name="計算 2 22" xfId="32408" xr:uid="{00000000-0005-0000-0000-00009A7E0000}"/>
    <cellStyle name="計算 2 23" xfId="32409" xr:uid="{00000000-0005-0000-0000-00009B7E0000}"/>
    <cellStyle name="計算 2 24" xfId="32410" xr:uid="{00000000-0005-0000-0000-00009C7E0000}"/>
    <cellStyle name="計算 2 25" xfId="32411" xr:uid="{00000000-0005-0000-0000-00009D7E0000}"/>
    <cellStyle name="計算 2 26" xfId="32412" xr:uid="{00000000-0005-0000-0000-00009E7E0000}"/>
    <cellStyle name="計算 2 27" xfId="32413" xr:uid="{00000000-0005-0000-0000-00009F7E0000}"/>
    <cellStyle name="計算 2 28" xfId="32414" xr:uid="{00000000-0005-0000-0000-0000A07E0000}"/>
    <cellStyle name="計算 2 29" xfId="32415" xr:uid="{00000000-0005-0000-0000-0000A17E0000}"/>
    <cellStyle name="計算 2 3" xfId="32416" xr:uid="{00000000-0005-0000-0000-0000A27E0000}"/>
    <cellStyle name="計算 2 3 2" xfId="32417" xr:uid="{00000000-0005-0000-0000-0000A37E0000}"/>
    <cellStyle name="計算 2 3 2 2" xfId="32418" xr:uid="{00000000-0005-0000-0000-0000A47E0000}"/>
    <cellStyle name="計算 2 3 2 3" xfId="32419" xr:uid="{00000000-0005-0000-0000-0000A57E0000}"/>
    <cellStyle name="計算 2 3 3" xfId="32420" xr:uid="{00000000-0005-0000-0000-0000A67E0000}"/>
    <cellStyle name="計算 2 3 3 2" xfId="32421" xr:uid="{00000000-0005-0000-0000-0000A77E0000}"/>
    <cellStyle name="計算 2 3 3 3" xfId="32422" xr:uid="{00000000-0005-0000-0000-0000A87E0000}"/>
    <cellStyle name="計算 2 3 4" xfId="32423" xr:uid="{00000000-0005-0000-0000-0000A97E0000}"/>
    <cellStyle name="計算 2 3 5" xfId="32424" xr:uid="{00000000-0005-0000-0000-0000AA7E0000}"/>
    <cellStyle name="計算 2 30" xfId="32425" xr:uid="{00000000-0005-0000-0000-0000AB7E0000}"/>
    <cellStyle name="計算 2 31" xfId="32426" xr:uid="{00000000-0005-0000-0000-0000AC7E0000}"/>
    <cellStyle name="計算 2 32" xfId="32427" xr:uid="{00000000-0005-0000-0000-0000AD7E0000}"/>
    <cellStyle name="計算 2 33" xfId="32428" xr:uid="{00000000-0005-0000-0000-0000AE7E0000}"/>
    <cellStyle name="計算 2 34" xfId="32429" xr:uid="{00000000-0005-0000-0000-0000AF7E0000}"/>
    <cellStyle name="計算 2 35" xfId="32430" xr:uid="{00000000-0005-0000-0000-0000B07E0000}"/>
    <cellStyle name="計算 2 4" xfId="32431" xr:uid="{00000000-0005-0000-0000-0000B17E0000}"/>
    <cellStyle name="計算 2 4 2" xfId="32432" xr:uid="{00000000-0005-0000-0000-0000B27E0000}"/>
    <cellStyle name="計算 2 4 3" xfId="32433" xr:uid="{00000000-0005-0000-0000-0000B37E0000}"/>
    <cellStyle name="計算 2 5" xfId="32434" xr:uid="{00000000-0005-0000-0000-0000B47E0000}"/>
    <cellStyle name="計算 2 5 2" xfId="32435" xr:uid="{00000000-0005-0000-0000-0000B57E0000}"/>
    <cellStyle name="計算 2 5 3" xfId="32436" xr:uid="{00000000-0005-0000-0000-0000B67E0000}"/>
    <cellStyle name="計算 2 6" xfId="32437" xr:uid="{00000000-0005-0000-0000-0000B77E0000}"/>
    <cellStyle name="計算 2 7" xfId="32438" xr:uid="{00000000-0005-0000-0000-0000B87E0000}"/>
    <cellStyle name="計算 2 8" xfId="32439" xr:uid="{00000000-0005-0000-0000-0000B97E0000}"/>
    <cellStyle name="計算 2 9" xfId="32440" xr:uid="{00000000-0005-0000-0000-0000BA7E0000}"/>
    <cellStyle name="計算 3" xfId="32441" xr:uid="{00000000-0005-0000-0000-0000BB7E0000}"/>
    <cellStyle name="計算 3 2" xfId="32442" xr:uid="{00000000-0005-0000-0000-0000BC7E0000}"/>
    <cellStyle name="計算 3 2 2" xfId="32443" xr:uid="{00000000-0005-0000-0000-0000BD7E0000}"/>
    <cellStyle name="計算 3 2 3" xfId="32444" xr:uid="{00000000-0005-0000-0000-0000BE7E0000}"/>
    <cellStyle name="計算 3 3" xfId="32445" xr:uid="{00000000-0005-0000-0000-0000BF7E0000}"/>
    <cellStyle name="計算 3 3 2" xfId="32446" xr:uid="{00000000-0005-0000-0000-0000C07E0000}"/>
    <cellStyle name="計算 3 3 3" xfId="32447" xr:uid="{00000000-0005-0000-0000-0000C17E0000}"/>
    <cellStyle name="計算 3 4" xfId="32448" xr:uid="{00000000-0005-0000-0000-0000C27E0000}"/>
    <cellStyle name="計算 3 5" xfId="32449" xr:uid="{00000000-0005-0000-0000-0000C37E0000}"/>
    <cellStyle name="計算 4" xfId="32450" xr:uid="{00000000-0005-0000-0000-0000C47E0000}"/>
    <cellStyle name="計算 4 2" xfId="32451" xr:uid="{00000000-0005-0000-0000-0000C57E0000}"/>
    <cellStyle name="計算 4 3" xfId="32452" xr:uid="{00000000-0005-0000-0000-0000C67E0000}"/>
    <cellStyle name="計算 5" xfId="32453" xr:uid="{00000000-0005-0000-0000-0000C77E0000}"/>
    <cellStyle name="計算 5 2" xfId="32454" xr:uid="{00000000-0005-0000-0000-0000C87E0000}"/>
    <cellStyle name="計算 5 3" xfId="32455" xr:uid="{00000000-0005-0000-0000-0000C97E0000}"/>
    <cellStyle name="計算 6" xfId="32456" xr:uid="{00000000-0005-0000-0000-0000CA7E0000}"/>
    <cellStyle name="計算 7" xfId="32457" xr:uid="{00000000-0005-0000-0000-0000CB7E0000}"/>
    <cellStyle name="計算 8" xfId="32458" xr:uid="{00000000-0005-0000-0000-0000CC7E0000}"/>
    <cellStyle name="計算 9" xfId="32459" xr:uid="{00000000-0005-0000-0000-0000CD7E0000}"/>
    <cellStyle name="説明文" xfId="32460" xr:uid="{00000000-0005-0000-0000-0000CE7E0000}"/>
    <cellStyle name="警告文" xfId="32461" xr:uid="{00000000-0005-0000-0000-0000CF7E0000}"/>
    <cellStyle name="警告文本" xfId="32462" xr:uid="{00000000-0005-0000-0000-0000D07E0000}"/>
    <cellStyle name="警告文本 2" xfId="32463" xr:uid="{00000000-0005-0000-0000-0000D17E0000}"/>
    <cellStyle name="警告文本 3" xfId="32464" xr:uid="{00000000-0005-0000-0000-0000D27E0000}"/>
    <cellStyle name="警告文本 4" xfId="32465" xr:uid="{00000000-0005-0000-0000-0000D37E0000}"/>
    <cellStyle name="警告文本 5" xfId="32466" xr:uid="{00000000-0005-0000-0000-0000D47E0000}"/>
    <cellStyle name="警告文本 6" xfId="32467" xr:uid="{00000000-0005-0000-0000-0000D57E0000}"/>
    <cellStyle name="计算" xfId="32468" xr:uid="{00000000-0005-0000-0000-0000D67E0000}"/>
    <cellStyle name="计算 10" xfId="32469" xr:uid="{00000000-0005-0000-0000-0000D77E0000}"/>
    <cellStyle name="计算 10 2" xfId="32470" xr:uid="{00000000-0005-0000-0000-0000D87E0000}"/>
    <cellStyle name="计算 10 3" xfId="32471" xr:uid="{00000000-0005-0000-0000-0000D97E0000}"/>
    <cellStyle name="计算 11" xfId="32472" xr:uid="{00000000-0005-0000-0000-0000DA7E0000}"/>
    <cellStyle name="计算 12" xfId="32473" xr:uid="{00000000-0005-0000-0000-0000DB7E0000}"/>
    <cellStyle name="计算 13" xfId="32474" xr:uid="{00000000-0005-0000-0000-0000DC7E0000}"/>
    <cellStyle name="计算 14" xfId="32475" xr:uid="{00000000-0005-0000-0000-0000DD7E0000}"/>
    <cellStyle name="计算 15" xfId="32476" xr:uid="{00000000-0005-0000-0000-0000DE7E0000}"/>
    <cellStyle name="计算 16" xfId="32477" xr:uid="{00000000-0005-0000-0000-0000DF7E0000}"/>
    <cellStyle name="计算 17" xfId="32478" xr:uid="{00000000-0005-0000-0000-0000E07E0000}"/>
    <cellStyle name="计算 18" xfId="32479" xr:uid="{00000000-0005-0000-0000-0000E17E0000}"/>
    <cellStyle name="计算 19" xfId="32480" xr:uid="{00000000-0005-0000-0000-0000E27E0000}"/>
    <cellStyle name="计算 2" xfId="32481" xr:uid="{00000000-0005-0000-0000-0000E37E0000}"/>
    <cellStyle name="计算 2 10" xfId="32482" xr:uid="{00000000-0005-0000-0000-0000E47E0000}"/>
    <cellStyle name="计算 2 11" xfId="32483" xr:uid="{00000000-0005-0000-0000-0000E57E0000}"/>
    <cellStyle name="计算 2 12" xfId="32484" xr:uid="{00000000-0005-0000-0000-0000E67E0000}"/>
    <cellStyle name="计算 2 13" xfId="32485" xr:uid="{00000000-0005-0000-0000-0000E77E0000}"/>
    <cellStyle name="计算 2 14" xfId="32486" xr:uid="{00000000-0005-0000-0000-0000E87E0000}"/>
    <cellStyle name="计算 2 2" xfId="32487" xr:uid="{00000000-0005-0000-0000-0000E97E0000}"/>
    <cellStyle name="计算 2 2 10" xfId="32488" xr:uid="{00000000-0005-0000-0000-0000EA7E0000}"/>
    <cellStyle name="计算 2 2 11" xfId="32489" xr:uid="{00000000-0005-0000-0000-0000EB7E0000}"/>
    <cellStyle name="计算 2 2 12" xfId="32490" xr:uid="{00000000-0005-0000-0000-0000EC7E0000}"/>
    <cellStyle name="计算 2 2 13" xfId="32491" xr:uid="{00000000-0005-0000-0000-0000ED7E0000}"/>
    <cellStyle name="计算 2 2 14" xfId="32492" xr:uid="{00000000-0005-0000-0000-0000EE7E0000}"/>
    <cellStyle name="计算 2 2 15" xfId="32493" xr:uid="{00000000-0005-0000-0000-0000EF7E0000}"/>
    <cellStyle name="计算 2 2 16" xfId="32494" xr:uid="{00000000-0005-0000-0000-0000F07E0000}"/>
    <cellStyle name="计算 2 2 17" xfId="32495" xr:uid="{00000000-0005-0000-0000-0000F17E0000}"/>
    <cellStyle name="计算 2 2 18" xfId="32496" xr:uid="{00000000-0005-0000-0000-0000F27E0000}"/>
    <cellStyle name="计算 2 2 19" xfId="32497" xr:uid="{00000000-0005-0000-0000-0000F37E0000}"/>
    <cellStyle name="计算 2 2 2" xfId="32498" xr:uid="{00000000-0005-0000-0000-0000F47E0000}"/>
    <cellStyle name="计算 2 2 2 2" xfId="32499" xr:uid="{00000000-0005-0000-0000-0000F57E0000}"/>
    <cellStyle name="计算 2 2 2 2 2" xfId="32500" xr:uid="{00000000-0005-0000-0000-0000F67E0000}"/>
    <cellStyle name="计算 2 2 2 2 3" xfId="32501" xr:uid="{00000000-0005-0000-0000-0000F77E0000}"/>
    <cellStyle name="计算 2 2 2 3" xfId="32502" xr:uid="{00000000-0005-0000-0000-0000F87E0000}"/>
    <cellStyle name="计算 2 2 2 3 2" xfId="32503" xr:uid="{00000000-0005-0000-0000-0000F97E0000}"/>
    <cellStyle name="计算 2 2 2 3 3" xfId="32504" xr:uid="{00000000-0005-0000-0000-0000FA7E0000}"/>
    <cellStyle name="计算 2 2 2 4" xfId="32505" xr:uid="{00000000-0005-0000-0000-0000FB7E0000}"/>
    <cellStyle name="计算 2 2 2 5" xfId="32506" xr:uid="{00000000-0005-0000-0000-0000FC7E0000}"/>
    <cellStyle name="计算 2 2 20" xfId="32507" xr:uid="{00000000-0005-0000-0000-0000FD7E0000}"/>
    <cellStyle name="计算 2 2 21" xfId="32508" xr:uid="{00000000-0005-0000-0000-0000FE7E0000}"/>
    <cellStyle name="计算 2 2 22" xfId="32509" xr:uid="{00000000-0005-0000-0000-0000FF7E0000}"/>
    <cellStyle name="计算 2 2 23" xfId="32510" xr:uid="{00000000-0005-0000-0000-0000007F0000}"/>
    <cellStyle name="计算 2 2 24" xfId="32511" xr:uid="{00000000-0005-0000-0000-0000017F0000}"/>
    <cellStyle name="计算 2 2 25" xfId="32512" xr:uid="{00000000-0005-0000-0000-0000027F0000}"/>
    <cellStyle name="计算 2 2 26" xfId="32513" xr:uid="{00000000-0005-0000-0000-0000037F0000}"/>
    <cellStyle name="计算 2 2 27" xfId="32514" xr:uid="{00000000-0005-0000-0000-0000047F0000}"/>
    <cellStyle name="计算 2 2 28" xfId="32515" xr:uid="{00000000-0005-0000-0000-0000057F0000}"/>
    <cellStyle name="计算 2 2 29" xfId="32516" xr:uid="{00000000-0005-0000-0000-0000067F0000}"/>
    <cellStyle name="计算 2 2 3" xfId="32517" xr:uid="{00000000-0005-0000-0000-0000077F0000}"/>
    <cellStyle name="计算 2 2 3 2" xfId="32518" xr:uid="{00000000-0005-0000-0000-0000087F0000}"/>
    <cellStyle name="计算 2 2 3 2 2" xfId="32519" xr:uid="{00000000-0005-0000-0000-0000097F0000}"/>
    <cellStyle name="计算 2 2 3 2 3" xfId="32520" xr:uid="{00000000-0005-0000-0000-00000A7F0000}"/>
    <cellStyle name="计算 2 2 3 3" xfId="32521" xr:uid="{00000000-0005-0000-0000-00000B7F0000}"/>
    <cellStyle name="计算 2 2 3 3 2" xfId="32522" xr:uid="{00000000-0005-0000-0000-00000C7F0000}"/>
    <cellStyle name="计算 2 2 3 3 3" xfId="32523" xr:uid="{00000000-0005-0000-0000-00000D7F0000}"/>
    <cellStyle name="计算 2 2 3 4" xfId="32524" xr:uid="{00000000-0005-0000-0000-00000E7F0000}"/>
    <cellStyle name="计算 2 2 3 5" xfId="32525" xr:uid="{00000000-0005-0000-0000-00000F7F0000}"/>
    <cellStyle name="计算 2 2 30" xfId="32526" xr:uid="{00000000-0005-0000-0000-0000107F0000}"/>
    <cellStyle name="计算 2 2 31" xfId="32527" xr:uid="{00000000-0005-0000-0000-0000117F0000}"/>
    <cellStyle name="计算 2 2 32" xfId="32528" xr:uid="{00000000-0005-0000-0000-0000127F0000}"/>
    <cellStyle name="计算 2 2 33" xfId="32529" xr:uid="{00000000-0005-0000-0000-0000137F0000}"/>
    <cellStyle name="计算 2 2 34" xfId="32530" xr:uid="{00000000-0005-0000-0000-0000147F0000}"/>
    <cellStyle name="计算 2 2 35" xfId="32531" xr:uid="{00000000-0005-0000-0000-0000157F0000}"/>
    <cellStyle name="计算 2 2 4" xfId="32532" xr:uid="{00000000-0005-0000-0000-0000167F0000}"/>
    <cellStyle name="计算 2 2 4 2" xfId="32533" xr:uid="{00000000-0005-0000-0000-0000177F0000}"/>
    <cellStyle name="计算 2 2 4 3" xfId="32534" xr:uid="{00000000-0005-0000-0000-0000187F0000}"/>
    <cellStyle name="计算 2 2 5" xfId="32535" xr:uid="{00000000-0005-0000-0000-0000197F0000}"/>
    <cellStyle name="计算 2 2 5 2" xfId="32536" xr:uid="{00000000-0005-0000-0000-00001A7F0000}"/>
    <cellStyle name="计算 2 2 5 3" xfId="32537" xr:uid="{00000000-0005-0000-0000-00001B7F0000}"/>
    <cellStyle name="计算 2 2 6" xfId="32538" xr:uid="{00000000-0005-0000-0000-00001C7F0000}"/>
    <cellStyle name="计算 2 2 7" xfId="32539" xr:uid="{00000000-0005-0000-0000-00001D7F0000}"/>
    <cellStyle name="计算 2 2 8" xfId="32540" xr:uid="{00000000-0005-0000-0000-00001E7F0000}"/>
    <cellStyle name="计算 2 2 9" xfId="32541" xr:uid="{00000000-0005-0000-0000-00001F7F0000}"/>
    <cellStyle name="计算 2 3" xfId="32542" xr:uid="{00000000-0005-0000-0000-0000207F0000}"/>
    <cellStyle name="计算 2 3 2" xfId="32543" xr:uid="{00000000-0005-0000-0000-0000217F0000}"/>
    <cellStyle name="计算 2 3 2 2" xfId="32544" xr:uid="{00000000-0005-0000-0000-0000227F0000}"/>
    <cellStyle name="计算 2 3 2 3" xfId="32545" xr:uid="{00000000-0005-0000-0000-0000237F0000}"/>
    <cellStyle name="计算 2 3 3" xfId="32546" xr:uid="{00000000-0005-0000-0000-0000247F0000}"/>
    <cellStyle name="计算 2 3 3 2" xfId="32547" xr:uid="{00000000-0005-0000-0000-0000257F0000}"/>
    <cellStyle name="计算 2 3 3 3" xfId="32548" xr:uid="{00000000-0005-0000-0000-0000267F0000}"/>
    <cellStyle name="计算 2 3 4" xfId="32549" xr:uid="{00000000-0005-0000-0000-0000277F0000}"/>
    <cellStyle name="计算 2 3 5" xfId="32550" xr:uid="{00000000-0005-0000-0000-0000287F0000}"/>
    <cellStyle name="计算 2 4" xfId="32551" xr:uid="{00000000-0005-0000-0000-0000297F0000}"/>
    <cellStyle name="计算 2 4 2" xfId="32552" xr:uid="{00000000-0005-0000-0000-00002A7F0000}"/>
    <cellStyle name="计算 2 4 3" xfId="32553" xr:uid="{00000000-0005-0000-0000-00002B7F0000}"/>
    <cellStyle name="计算 2 5" xfId="32554" xr:uid="{00000000-0005-0000-0000-00002C7F0000}"/>
    <cellStyle name="计算 2 5 2" xfId="32555" xr:uid="{00000000-0005-0000-0000-00002D7F0000}"/>
    <cellStyle name="计算 2 5 3" xfId="32556" xr:uid="{00000000-0005-0000-0000-00002E7F0000}"/>
    <cellStyle name="计算 2 6" xfId="32557" xr:uid="{00000000-0005-0000-0000-00002F7F0000}"/>
    <cellStyle name="计算 2 7" xfId="32558" xr:uid="{00000000-0005-0000-0000-0000307F0000}"/>
    <cellStyle name="计算 2 8" xfId="32559" xr:uid="{00000000-0005-0000-0000-0000317F0000}"/>
    <cellStyle name="计算 2 9" xfId="32560" xr:uid="{00000000-0005-0000-0000-0000327F0000}"/>
    <cellStyle name="计算 3" xfId="32561" xr:uid="{00000000-0005-0000-0000-0000337F0000}"/>
    <cellStyle name="计算 3 10" xfId="32562" xr:uid="{00000000-0005-0000-0000-0000347F0000}"/>
    <cellStyle name="计算 3 11" xfId="32563" xr:uid="{00000000-0005-0000-0000-0000357F0000}"/>
    <cellStyle name="计算 3 12" xfId="32564" xr:uid="{00000000-0005-0000-0000-0000367F0000}"/>
    <cellStyle name="计算 3 13" xfId="32565" xr:uid="{00000000-0005-0000-0000-0000377F0000}"/>
    <cellStyle name="计算 3 14" xfId="32566" xr:uid="{00000000-0005-0000-0000-0000387F0000}"/>
    <cellStyle name="计算 3 2" xfId="32567" xr:uid="{00000000-0005-0000-0000-0000397F0000}"/>
    <cellStyle name="计算 3 2 10" xfId="32568" xr:uid="{00000000-0005-0000-0000-00003A7F0000}"/>
    <cellStyle name="计算 3 2 11" xfId="32569" xr:uid="{00000000-0005-0000-0000-00003B7F0000}"/>
    <cellStyle name="计算 3 2 12" xfId="32570" xr:uid="{00000000-0005-0000-0000-00003C7F0000}"/>
    <cellStyle name="计算 3 2 13" xfId="32571" xr:uid="{00000000-0005-0000-0000-00003D7F0000}"/>
    <cellStyle name="计算 3 2 14" xfId="32572" xr:uid="{00000000-0005-0000-0000-00003E7F0000}"/>
    <cellStyle name="计算 3 2 15" xfId="32573" xr:uid="{00000000-0005-0000-0000-00003F7F0000}"/>
    <cellStyle name="计算 3 2 16" xfId="32574" xr:uid="{00000000-0005-0000-0000-0000407F0000}"/>
    <cellStyle name="计算 3 2 17" xfId="32575" xr:uid="{00000000-0005-0000-0000-0000417F0000}"/>
    <cellStyle name="计算 3 2 18" xfId="32576" xr:uid="{00000000-0005-0000-0000-0000427F0000}"/>
    <cellStyle name="计算 3 2 19" xfId="32577" xr:uid="{00000000-0005-0000-0000-0000437F0000}"/>
    <cellStyle name="计算 3 2 2" xfId="32578" xr:uid="{00000000-0005-0000-0000-0000447F0000}"/>
    <cellStyle name="计算 3 2 2 2" xfId="32579" xr:uid="{00000000-0005-0000-0000-0000457F0000}"/>
    <cellStyle name="计算 3 2 2 2 2" xfId="32580" xr:uid="{00000000-0005-0000-0000-0000467F0000}"/>
    <cellStyle name="计算 3 2 2 2 3" xfId="32581" xr:uid="{00000000-0005-0000-0000-0000477F0000}"/>
    <cellStyle name="计算 3 2 2 3" xfId="32582" xr:uid="{00000000-0005-0000-0000-0000487F0000}"/>
    <cellStyle name="计算 3 2 2 3 2" xfId="32583" xr:uid="{00000000-0005-0000-0000-0000497F0000}"/>
    <cellStyle name="计算 3 2 2 3 3" xfId="32584" xr:uid="{00000000-0005-0000-0000-00004A7F0000}"/>
    <cellStyle name="计算 3 2 2 4" xfId="32585" xr:uid="{00000000-0005-0000-0000-00004B7F0000}"/>
    <cellStyle name="计算 3 2 2 5" xfId="32586" xr:uid="{00000000-0005-0000-0000-00004C7F0000}"/>
    <cellStyle name="计算 3 2 20" xfId="32587" xr:uid="{00000000-0005-0000-0000-00004D7F0000}"/>
    <cellStyle name="计算 3 2 21" xfId="32588" xr:uid="{00000000-0005-0000-0000-00004E7F0000}"/>
    <cellStyle name="计算 3 2 22" xfId="32589" xr:uid="{00000000-0005-0000-0000-00004F7F0000}"/>
    <cellStyle name="计算 3 2 23" xfId="32590" xr:uid="{00000000-0005-0000-0000-0000507F0000}"/>
    <cellStyle name="计算 3 2 24" xfId="32591" xr:uid="{00000000-0005-0000-0000-0000517F0000}"/>
    <cellStyle name="计算 3 2 25" xfId="32592" xr:uid="{00000000-0005-0000-0000-0000527F0000}"/>
    <cellStyle name="计算 3 2 26" xfId="32593" xr:uid="{00000000-0005-0000-0000-0000537F0000}"/>
    <cellStyle name="计算 3 2 27" xfId="32594" xr:uid="{00000000-0005-0000-0000-0000547F0000}"/>
    <cellStyle name="计算 3 2 28" xfId="32595" xr:uid="{00000000-0005-0000-0000-0000557F0000}"/>
    <cellStyle name="计算 3 2 29" xfId="32596" xr:uid="{00000000-0005-0000-0000-0000567F0000}"/>
    <cellStyle name="计算 3 2 3" xfId="32597" xr:uid="{00000000-0005-0000-0000-0000577F0000}"/>
    <cellStyle name="计算 3 2 3 2" xfId="32598" xr:uid="{00000000-0005-0000-0000-0000587F0000}"/>
    <cellStyle name="计算 3 2 3 2 2" xfId="32599" xr:uid="{00000000-0005-0000-0000-0000597F0000}"/>
    <cellStyle name="计算 3 2 3 2 3" xfId="32600" xr:uid="{00000000-0005-0000-0000-00005A7F0000}"/>
    <cellStyle name="计算 3 2 3 3" xfId="32601" xr:uid="{00000000-0005-0000-0000-00005B7F0000}"/>
    <cellStyle name="计算 3 2 3 3 2" xfId="32602" xr:uid="{00000000-0005-0000-0000-00005C7F0000}"/>
    <cellStyle name="计算 3 2 3 3 3" xfId="32603" xr:uid="{00000000-0005-0000-0000-00005D7F0000}"/>
    <cellStyle name="计算 3 2 3 4" xfId="32604" xr:uid="{00000000-0005-0000-0000-00005E7F0000}"/>
    <cellStyle name="计算 3 2 3 5" xfId="32605" xr:uid="{00000000-0005-0000-0000-00005F7F0000}"/>
    <cellStyle name="计算 3 2 30" xfId="32606" xr:uid="{00000000-0005-0000-0000-0000607F0000}"/>
    <cellStyle name="计算 3 2 31" xfId="32607" xr:uid="{00000000-0005-0000-0000-0000617F0000}"/>
    <cellStyle name="计算 3 2 32" xfId="32608" xr:uid="{00000000-0005-0000-0000-0000627F0000}"/>
    <cellStyle name="计算 3 2 33" xfId="32609" xr:uid="{00000000-0005-0000-0000-0000637F0000}"/>
    <cellStyle name="计算 3 2 34" xfId="32610" xr:uid="{00000000-0005-0000-0000-0000647F0000}"/>
    <cellStyle name="计算 3 2 35" xfId="32611" xr:uid="{00000000-0005-0000-0000-0000657F0000}"/>
    <cellStyle name="计算 3 2 4" xfId="32612" xr:uid="{00000000-0005-0000-0000-0000667F0000}"/>
    <cellStyle name="计算 3 2 4 2" xfId="32613" xr:uid="{00000000-0005-0000-0000-0000677F0000}"/>
    <cellStyle name="计算 3 2 4 3" xfId="32614" xr:uid="{00000000-0005-0000-0000-0000687F0000}"/>
    <cellStyle name="计算 3 2 5" xfId="32615" xr:uid="{00000000-0005-0000-0000-0000697F0000}"/>
    <cellStyle name="计算 3 2 5 2" xfId="32616" xr:uid="{00000000-0005-0000-0000-00006A7F0000}"/>
    <cellStyle name="计算 3 2 5 3" xfId="32617" xr:uid="{00000000-0005-0000-0000-00006B7F0000}"/>
    <cellStyle name="计算 3 2 6" xfId="32618" xr:uid="{00000000-0005-0000-0000-00006C7F0000}"/>
    <cellStyle name="计算 3 2 7" xfId="32619" xr:uid="{00000000-0005-0000-0000-00006D7F0000}"/>
    <cellStyle name="计算 3 2 8" xfId="32620" xr:uid="{00000000-0005-0000-0000-00006E7F0000}"/>
    <cellStyle name="计算 3 2 9" xfId="32621" xr:uid="{00000000-0005-0000-0000-00006F7F0000}"/>
    <cellStyle name="计算 3 3" xfId="32622" xr:uid="{00000000-0005-0000-0000-0000707F0000}"/>
    <cellStyle name="计算 3 3 2" xfId="32623" xr:uid="{00000000-0005-0000-0000-0000717F0000}"/>
    <cellStyle name="计算 3 3 2 2" xfId="32624" xr:uid="{00000000-0005-0000-0000-0000727F0000}"/>
    <cellStyle name="计算 3 3 2 3" xfId="32625" xr:uid="{00000000-0005-0000-0000-0000737F0000}"/>
    <cellStyle name="计算 3 3 3" xfId="32626" xr:uid="{00000000-0005-0000-0000-0000747F0000}"/>
    <cellStyle name="计算 3 3 3 2" xfId="32627" xr:uid="{00000000-0005-0000-0000-0000757F0000}"/>
    <cellStyle name="计算 3 3 3 3" xfId="32628" xr:uid="{00000000-0005-0000-0000-0000767F0000}"/>
    <cellStyle name="计算 3 3 4" xfId="32629" xr:uid="{00000000-0005-0000-0000-0000777F0000}"/>
    <cellStyle name="计算 3 3 5" xfId="32630" xr:uid="{00000000-0005-0000-0000-0000787F0000}"/>
    <cellStyle name="计算 3 4" xfId="32631" xr:uid="{00000000-0005-0000-0000-0000797F0000}"/>
    <cellStyle name="计算 3 4 2" xfId="32632" xr:uid="{00000000-0005-0000-0000-00007A7F0000}"/>
    <cellStyle name="计算 3 4 3" xfId="32633" xr:uid="{00000000-0005-0000-0000-00007B7F0000}"/>
    <cellStyle name="计算 3 5" xfId="32634" xr:uid="{00000000-0005-0000-0000-00007C7F0000}"/>
    <cellStyle name="计算 3 5 2" xfId="32635" xr:uid="{00000000-0005-0000-0000-00007D7F0000}"/>
    <cellStyle name="计算 3 5 3" xfId="32636" xr:uid="{00000000-0005-0000-0000-00007E7F0000}"/>
    <cellStyle name="计算 3 6" xfId="32637" xr:uid="{00000000-0005-0000-0000-00007F7F0000}"/>
    <cellStyle name="计算 3 7" xfId="32638" xr:uid="{00000000-0005-0000-0000-0000807F0000}"/>
    <cellStyle name="计算 3 8" xfId="32639" xr:uid="{00000000-0005-0000-0000-0000817F0000}"/>
    <cellStyle name="计算 3 9" xfId="32640" xr:uid="{00000000-0005-0000-0000-0000827F0000}"/>
    <cellStyle name="计算 4" xfId="32641" xr:uid="{00000000-0005-0000-0000-0000837F0000}"/>
    <cellStyle name="计算 4 10" xfId="32642" xr:uid="{00000000-0005-0000-0000-0000847F0000}"/>
    <cellStyle name="计算 4 11" xfId="32643" xr:uid="{00000000-0005-0000-0000-0000857F0000}"/>
    <cellStyle name="计算 4 12" xfId="32644" xr:uid="{00000000-0005-0000-0000-0000867F0000}"/>
    <cellStyle name="计算 4 13" xfId="32645" xr:uid="{00000000-0005-0000-0000-0000877F0000}"/>
    <cellStyle name="计算 4 14" xfId="32646" xr:uid="{00000000-0005-0000-0000-0000887F0000}"/>
    <cellStyle name="计算 4 2" xfId="32647" xr:uid="{00000000-0005-0000-0000-0000897F0000}"/>
    <cellStyle name="计算 4 2 10" xfId="32648" xr:uid="{00000000-0005-0000-0000-00008A7F0000}"/>
    <cellStyle name="计算 4 2 11" xfId="32649" xr:uid="{00000000-0005-0000-0000-00008B7F0000}"/>
    <cellStyle name="计算 4 2 12" xfId="32650" xr:uid="{00000000-0005-0000-0000-00008C7F0000}"/>
    <cellStyle name="计算 4 2 13" xfId="32651" xr:uid="{00000000-0005-0000-0000-00008D7F0000}"/>
    <cellStyle name="计算 4 2 14" xfId="32652" xr:uid="{00000000-0005-0000-0000-00008E7F0000}"/>
    <cellStyle name="计算 4 2 15" xfId="32653" xr:uid="{00000000-0005-0000-0000-00008F7F0000}"/>
    <cellStyle name="计算 4 2 16" xfId="32654" xr:uid="{00000000-0005-0000-0000-0000907F0000}"/>
    <cellStyle name="计算 4 2 17" xfId="32655" xr:uid="{00000000-0005-0000-0000-0000917F0000}"/>
    <cellStyle name="计算 4 2 18" xfId="32656" xr:uid="{00000000-0005-0000-0000-0000927F0000}"/>
    <cellStyle name="计算 4 2 19" xfId="32657" xr:uid="{00000000-0005-0000-0000-0000937F0000}"/>
    <cellStyle name="计算 4 2 2" xfId="32658" xr:uid="{00000000-0005-0000-0000-0000947F0000}"/>
    <cellStyle name="计算 4 2 2 2" xfId="32659" xr:uid="{00000000-0005-0000-0000-0000957F0000}"/>
    <cellStyle name="计算 4 2 2 2 2" xfId="32660" xr:uid="{00000000-0005-0000-0000-0000967F0000}"/>
    <cellStyle name="计算 4 2 2 2 3" xfId="32661" xr:uid="{00000000-0005-0000-0000-0000977F0000}"/>
    <cellStyle name="计算 4 2 2 3" xfId="32662" xr:uid="{00000000-0005-0000-0000-0000987F0000}"/>
    <cellStyle name="计算 4 2 2 3 2" xfId="32663" xr:uid="{00000000-0005-0000-0000-0000997F0000}"/>
    <cellStyle name="计算 4 2 2 3 3" xfId="32664" xr:uid="{00000000-0005-0000-0000-00009A7F0000}"/>
    <cellStyle name="计算 4 2 2 4" xfId="32665" xr:uid="{00000000-0005-0000-0000-00009B7F0000}"/>
    <cellStyle name="计算 4 2 2 5" xfId="32666" xr:uid="{00000000-0005-0000-0000-00009C7F0000}"/>
    <cellStyle name="计算 4 2 20" xfId="32667" xr:uid="{00000000-0005-0000-0000-00009D7F0000}"/>
    <cellStyle name="计算 4 2 21" xfId="32668" xr:uid="{00000000-0005-0000-0000-00009E7F0000}"/>
    <cellStyle name="计算 4 2 22" xfId="32669" xr:uid="{00000000-0005-0000-0000-00009F7F0000}"/>
    <cellStyle name="计算 4 2 23" xfId="32670" xr:uid="{00000000-0005-0000-0000-0000A07F0000}"/>
    <cellStyle name="计算 4 2 24" xfId="32671" xr:uid="{00000000-0005-0000-0000-0000A17F0000}"/>
    <cellStyle name="计算 4 2 25" xfId="32672" xr:uid="{00000000-0005-0000-0000-0000A27F0000}"/>
    <cellStyle name="计算 4 2 26" xfId="32673" xr:uid="{00000000-0005-0000-0000-0000A37F0000}"/>
    <cellStyle name="计算 4 2 27" xfId="32674" xr:uid="{00000000-0005-0000-0000-0000A47F0000}"/>
    <cellStyle name="计算 4 2 28" xfId="32675" xr:uid="{00000000-0005-0000-0000-0000A57F0000}"/>
    <cellStyle name="计算 4 2 29" xfId="32676" xr:uid="{00000000-0005-0000-0000-0000A67F0000}"/>
    <cellStyle name="计算 4 2 3" xfId="32677" xr:uid="{00000000-0005-0000-0000-0000A77F0000}"/>
    <cellStyle name="计算 4 2 3 2" xfId="32678" xr:uid="{00000000-0005-0000-0000-0000A87F0000}"/>
    <cellStyle name="计算 4 2 3 2 2" xfId="32679" xr:uid="{00000000-0005-0000-0000-0000A97F0000}"/>
    <cellStyle name="计算 4 2 3 2 3" xfId="32680" xr:uid="{00000000-0005-0000-0000-0000AA7F0000}"/>
    <cellStyle name="计算 4 2 3 3" xfId="32681" xr:uid="{00000000-0005-0000-0000-0000AB7F0000}"/>
    <cellStyle name="计算 4 2 3 3 2" xfId="32682" xr:uid="{00000000-0005-0000-0000-0000AC7F0000}"/>
    <cellStyle name="计算 4 2 3 3 3" xfId="32683" xr:uid="{00000000-0005-0000-0000-0000AD7F0000}"/>
    <cellStyle name="计算 4 2 3 4" xfId="32684" xr:uid="{00000000-0005-0000-0000-0000AE7F0000}"/>
    <cellStyle name="计算 4 2 3 5" xfId="32685" xr:uid="{00000000-0005-0000-0000-0000AF7F0000}"/>
    <cellStyle name="计算 4 2 30" xfId="32686" xr:uid="{00000000-0005-0000-0000-0000B07F0000}"/>
    <cellStyle name="计算 4 2 31" xfId="32687" xr:uid="{00000000-0005-0000-0000-0000B17F0000}"/>
    <cellStyle name="计算 4 2 32" xfId="32688" xr:uid="{00000000-0005-0000-0000-0000B27F0000}"/>
    <cellStyle name="计算 4 2 33" xfId="32689" xr:uid="{00000000-0005-0000-0000-0000B37F0000}"/>
    <cellStyle name="计算 4 2 34" xfId="32690" xr:uid="{00000000-0005-0000-0000-0000B47F0000}"/>
    <cellStyle name="计算 4 2 35" xfId="32691" xr:uid="{00000000-0005-0000-0000-0000B57F0000}"/>
    <cellStyle name="计算 4 2 4" xfId="32692" xr:uid="{00000000-0005-0000-0000-0000B67F0000}"/>
    <cellStyle name="计算 4 2 4 2" xfId="32693" xr:uid="{00000000-0005-0000-0000-0000B77F0000}"/>
    <cellStyle name="计算 4 2 4 3" xfId="32694" xr:uid="{00000000-0005-0000-0000-0000B87F0000}"/>
    <cellStyle name="计算 4 2 5" xfId="32695" xr:uid="{00000000-0005-0000-0000-0000B97F0000}"/>
    <cellStyle name="计算 4 2 5 2" xfId="32696" xr:uid="{00000000-0005-0000-0000-0000BA7F0000}"/>
    <cellStyle name="计算 4 2 5 3" xfId="32697" xr:uid="{00000000-0005-0000-0000-0000BB7F0000}"/>
    <cellStyle name="计算 4 2 6" xfId="32698" xr:uid="{00000000-0005-0000-0000-0000BC7F0000}"/>
    <cellStyle name="计算 4 2 7" xfId="32699" xr:uid="{00000000-0005-0000-0000-0000BD7F0000}"/>
    <cellStyle name="计算 4 2 8" xfId="32700" xr:uid="{00000000-0005-0000-0000-0000BE7F0000}"/>
    <cellStyle name="计算 4 2 9" xfId="32701" xr:uid="{00000000-0005-0000-0000-0000BF7F0000}"/>
    <cellStyle name="计算 4 3" xfId="32702" xr:uid="{00000000-0005-0000-0000-0000C07F0000}"/>
    <cellStyle name="计算 4 3 2" xfId="32703" xr:uid="{00000000-0005-0000-0000-0000C17F0000}"/>
    <cellStyle name="计算 4 3 2 2" xfId="32704" xr:uid="{00000000-0005-0000-0000-0000C27F0000}"/>
    <cellStyle name="计算 4 3 2 3" xfId="32705" xr:uid="{00000000-0005-0000-0000-0000C37F0000}"/>
    <cellStyle name="计算 4 3 3" xfId="32706" xr:uid="{00000000-0005-0000-0000-0000C47F0000}"/>
    <cellStyle name="计算 4 3 3 2" xfId="32707" xr:uid="{00000000-0005-0000-0000-0000C57F0000}"/>
    <cellStyle name="计算 4 3 3 3" xfId="32708" xr:uid="{00000000-0005-0000-0000-0000C67F0000}"/>
    <cellStyle name="计算 4 3 4" xfId="32709" xr:uid="{00000000-0005-0000-0000-0000C77F0000}"/>
    <cellStyle name="计算 4 3 5" xfId="32710" xr:uid="{00000000-0005-0000-0000-0000C87F0000}"/>
    <cellStyle name="计算 4 4" xfId="32711" xr:uid="{00000000-0005-0000-0000-0000C97F0000}"/>
    <cellStyle name="计算 4 4 2" xfId="32712" xr:uid="{00000000-0005-0000-0000-0000CA7F0000}"/>
    <cellStyle name="计算 4 4 3" xfId="32713" xr:uid="{00000000-0005-0000-0000-0000CB7F0000}"/>
    <cellStyle name="计算 4 5" xfId="32714" xr:uid="{00000000-0005-0000-0000-0000CC7F0000}"/>
    <cellStyle name="计算 4 5 2" xfId="32715" xr:uid="{00000000-0005-0000-0000-0000CD7F0000}"/>
    <cellStyle name="计算 4 5 3" xfId="32716" xr:uid="{00000000-0005-0000-0000-0000CE7F0000}"/>
    <cellStyle name="计算 4 6" xfId="32717" xr:uid="{00000000-0005-0000-0000-0000CF7F0000}"/>
    <cellStyle name="计算 4 7" xfId="32718" xr:uid="{00000000-0005-0000-0000-0000D07F0000}"/>
    <cellStyle name="计算 4 8" xfId="32719" xr:uid="{00000000-0005-0000-0000-0000D17F0000}"/>
    <cellStyle name="计算 4 9" xfId="32720" xr:uid="{00000000-0005-0000-0000-0000D27F0000}"/>
    <cellStyle name="计算 5" xfId="32721" xr:uid="{00000000-0005-0000-0000-0000D37F0000}"/>
    <cellStyle name="计算 5 10" xfId="32722" xr:uid="{00000000-0005-0000-0000-0000D47F0000}"/>
    <cellStyle name="计算 5 11" xfId="32723" xr:uid="{00000000-0005-0000-0000-0000D57F0000}"/>
    <cellStyle name="计算 5 12" xfId="32724" xr:uid="{00000000-0005-0000-0000-0000D67F0000}"/>
    <cellStyle name="计算 5 13" xfId="32725" xr:uid="{00000000-0005-0000-0000-0000D77F0000}"/>
    <cellStyle name="计算 5 14" xfId="32726" xr:uid="{00000000-0005-0000-0000-0000D87F0000}"/>
    <cellStyle name="计算 5 2" xfId="32727" xr:uid="{00000000-0005-0000-0000-0000D97F0000}"/>
    <cellStyle name="计算 5 2 10" xfId="32728" xr:uid="{00000000-0005-0000-0000-0000DA7F0000}"/>
    <cellStyle name="计算 5 2 11" xfId="32729" xr:uid="{00000000-0005-0000-0000-0000DB7F0000}"/>
    <cellStyle name="计算 5 2 12" xfId="32730" xr:uid="{00000000-0005-0000-0000-0000DC7F0000}"/>
    <cellStyle name="计算 5 2 13" xfId="32731" xr:uid="{00000000-0005-0000-0000-0000DD7F0000}"/>
    <cellStyle name="计算 5 2 14" xfId="32732" xr:uid="{00000000-0005-0000-0000-0000DE7F0000}"/>
    <cellStyle name="计算 5 2 15" xfId="32733" xr:uid="{00000000-0005-0000-0000-0000DF7F0000}"/>
    <cellStyle name="计算 5 2 16" xfId="32734" xr:uid="{00000000-0005-0000-0000-0000E07F0000}"/>
    <cellStyle name="计算 5 2 17" xfId="32735" xr:uid="{00000000-0005-0000-0000-0000E17F0000}"/>
    <cellStyle name="计算 5 2 18" xfId="32736" xr:uid="{00000000-0005-0000-0000-0000E27F0000}"/>
    <cellStyle name="计算 5 2 19" xfId="32737" xr:uid="{00000000-0005-0000-0000-0000E37F0000}"/>
    <cellStyle name="计算 5 2 2" xfId="32738" xr:uid="{00000000-0005-0000-0000-0000E47F0000}"/>
    <cellStyle name="计算 5 2 2 2" xfId="32739" xr:uid="{00000000-0005-0000-0000-0000E57F0000}"/>
    <cellStyle name="计算 5 2 2 2 2" xfId="32740" xr:uid="{00000000-0005-0000-0000-0000E67F0000}"/>
    <cellStyle name="计算 5 2 2 2 3" xfId="32741" xr:uid="{00000000-0005-0000-0000-0000E77F0000}"/>
    <cellStyle name="计算 5 2 2 3" xfId="32742" xr:uid="{00000000-0005-0000-0000-0000E87F0000}"/>
    <cellStyle name="计算 5 2 2 3 2" xfId="32743" xr:uid="{00000000-0005-0000-0000-0000E97F0000}"/>
    <cellStyle name="计算 5 2 2 3 3" xfId="32744" xr:uid="{00000000-0005-0000-0000-0000EA7F0000}"/>
    <cellStyle name="计算 5 2 2 4" xfId="32745" xr:uid="{00000000-0005-0000-0000-0000EB7F0000}"/>
    <cellStyle name="计算 5 2 2 5" xfId="32746" xr:uid="{00000000-0005-0000-0000-0000EC7F0000}"/>
    <cellStyle name="计算 5 2 20" xfId="32747" xr:uid="{00000000-0005-0000-0000-0000ED7F0000}"/>
    <cellStyle name="计算 5 2 21" xfId="32748" xr:uid="{00000000-0005-0000-0000-0000EE7F0000}"/>
    <cellStyle name="计算 5 2 22" xfId="32749" xr:uid="{00000000-0005-0000-0000-0000EF7F0000}"/>
    <cellStyle name="计算 5 2 23" xfId="32750" xr:uid="{00000000-0005-0000-0000-0000F07F0000}"/>
    <cellStyle name="计算 5 2 24" xfId="32751" xr:uid="{00000000-0005-0000-0000-0000F17F0000}"/>
    <cellStyle name="计算 5 2 25" xfId="32752" xr:uid="{00000000-0005-0000-0000-0000F27F0000}"/>
    <cellStyle name="计算 5 2 26" xfId="32753" xr:uid="{00000000-0005-0000-0000-0000F37F0000}"/>
    <cellStyle name="计算 5 2 27" xfId="32754" xr:uid="{00000000-0005-0000-0000-0000F47F0000}"/>
    <cellStyle name="计算 5 2 28" xfId="32755" xr:uid="{00000000-0005-0000-0000-0000F57F0000}"/>
    <cellStyle name="计算 5 2 29" xfId="32756" xr:uid="{00000000-0005-0000-0000-0000F67F0000}"/>
    <cellStyle name="计算 5 2 3" xfId="32757" xr:uid="{00000000-0005-0000-0000-0000F77F0000}"/>
    <cellStyle name="计算 5 2 3 2" xfId="32758" xr:uid="{00000000-0005-0000-0000-0000F87F0000}"/>
    <cellStyle name="计算 5 2 3 2 2" xfId="32759" xr:uid="{00000000-0005-0000-0000-0000F97F0000}"/>
    <cellStyle name="计算 5 2 3 2 3" xfId="32760" xr:uid="{00000000-0005-0000-0000-0000FA7F0000}"/>
    <cellStyle name="计算 5 2 3 3" xfId="32761" xr:uid="{00000000-0005-0000-0000-0000FB7F0000}"/>
    <cellStyle name="计算 5 2 3 3 2" xfId="32762" xr:uid="{00000000-0005-0000-0000-0000FC7F0000}"/>
    <cellStyle name="计算 5 2 3 3 3" xfId="32763" xr:uid="{00000000-0005-0000-0000-0000FD7F0000}"/>
    <cellStyle name="计算 5 2 3 4" xfId="32764" xr:uid="{00000000-0005-0000-0000-0000FE7F0000}"/>
    <cellStyle name="计算 5 2 3 5" xfId="32765" xr:uid="{00000000-0005-0000-0000-0000FF7F0000}"/>
    <cellStyle name="计算 5 2 30" xfId="32766" xr:uid="{00000000-0005-0000-0000-000000800000}"/>
    <cellStyle name="计算 5 2 31" xfId="32767" xr:uid="{00000000-0005-0000-0000-000001800000}"/>
    <cellStyle name="计算 5 2 32" xfId="32768" xr:uid="{00000000-0005-0000-0000-000002800000}"/>
    <cellStyle name="计算 5 2 33" xfId="32769" xr:uid="{00000000-0005-0000-0000-000003800000}"/>
    <cellStyle name="计算 5 2 34" xfId="32770" xr:uid="{00000000-0005-0000-0000-000004800000}"/>
    <cellStyle name="计算 5 2 35" xfId="32771" xr:uid="{00000000-0005-0000-0000-000005800000}"/>
    <cellStyle name="计算 5 2 4" xfId="32772" xr:uid="{00000000-0005-0000-0000-000006800000}"/>
    <cellStyle name="计算 5 2 4 2" xfId="32773" xr:uid="{00000000-0005-0000-0000-000007800000}"/>
    <cellStyle name="计算 5 2 4 3" xfId="32774" xr:uid="{00000000-0005-0000-0000-000008800000}"/>
    <cellStyle name="计算 5 2 5" xfId="32775" xr:uid="{00000000-0005-0000-0000-000009800000}"/>
    <cellStyle name="计算 5 2 5 2" xfId="32776" xr:uid="{00000000-0005-0000-0000-00000A800000}"/>
    <cellStyle name="计算 5 2 5 3" xfId="32777" xr:uid="{00000000-0005-0000-0000-00000B800000}"/>
    <cellStyle name="计算 5 2 6" xfId="32778" xr:uid="{00000000-0005-0000-0000-00000C800000}"/>
    <cellStyle name="计算 5 2 7" xfId="32779" xr:uid="{00000000-0005-0000-0000-00000D800000}"/>
    <cellStyle name="计算 5 2 8" xfId="32780" xr:uid="{00000000-0005-0000-0000-00000E800000}"/>
    <cellStyle name="计算 5 2 9" xfId="32781" xr:uid="{00000000-0005-0000-0000-00000F800000}"/>
    <cellStyle name="计算 5 3" xfId="32782" xr:uid="{00000000-0005-0000-0000-000010800000}"/>
    <cellStyle name="计算 5 3 2" xfId="32783" xr:uid="{00000000-0005-0000-0000-000011800000}"/>
    <cellStyle name="计算 5 3 2 2" xfId="32784" xr:uid="{00000000-0005-0000-0000-000012800000}"/>
    <cellStyle name="计算 5 3 2 3" xfId="32785" xr:uid="{00000000-0005-0000-0000-000013800000}"/>
    <cellStyle name="计算 5 3 3" xfId="32786" xr:uid="{00000000-0005-0000-0000-000014800000}"/>
    <cellStyle name="计算 5 3 3 2" xfId="32787" xr:uid="{00000000-0005-0000-0000-000015800000}"/>
    <cellStyle name="计算 5 3 3 3" xfId="32788" xr:uid="{00000000-0005-0000-0000-000016800000}"/>
    <cellStyle name="计算 5 3 4" xfId="32789" xr:uid="{00000000-0005-0000-0000-000017800000}"/>
    <cellStyle name="计算 5 3 5" xfId="32790" xr:uid="{00000000-0005-0000-0000-000018800000}"/>
    <cellStyle name="计算 5 4" xfId="32791" xr:uid="{00000000-0005-0000-0000-000019800000}"/>
    <cellStyle name="计算 5 4 2" xfId="32792" xr:uid="{00000000-0005-0000-0000-00001A800000}"/>
    <cellStyle name="计算 5 4 3" xfId="32793" xr:uid="{00000000-0005-0000-0000-00001B800000}"/>
    <cellStyle name="计算 5 5" xfId="32794" xr:uid="{00000000-0005-0000-0000-00001C800000}"/>
    <cellStyle name="计算 5 5 2" xfId="32795" xr:uid="{00000000-0005-0000-0000-00001D800000}"/>
    <cellStyle name="计算 5 5 3" xfId="32796" xr:uid="{00000000-0005-0000-0000-00001E800000}"/>
    <cellStyle name="计算 5 6" xfId="32797" xr:uid="{00000000-0005-0000-0000-00001F800000}"/>
    <cellStyle name="计算 5 7" xfId="32798" xr:uid="{00000000-0005-0000-0000-000020800000}"/>
    <cellStyle name="计算 5 8" xfId="32799" xr:uid="{00000000-0005-0000-0000-000021800000}"/>
    <cellStyle name="计算 5 9" xfId="32800" xr:uid="{00000000-0005-0000-0000-000022800000}"/>
    <cellStyle name="计算 6" xfId="32801" xr:uid="{00000000-0005-0000-0000-000023800000}"/>
    <cellStyle name="计算 6 10" xfId="32802" xr:uid="{00000000-0005-0000-0000-000024800000}"/>
    <cellStyle name="计算 6 11" xfId="32803" xr:uid="{00000000-0005-0000-0000-000025800000}"/>
    <cellStyle name="计算 6 12" xfId="32804" xr:uid="{00000000-0005-0000-0000-000026800000}"/>
    <cellStyle name="计算 6 13" xfId="32805" xr:uid="{00000000-0005-0000-0000-000027800000}"/>
    <cellStyle name="计算 6 14" xfId="32806" xr:uid="{00000000-0005-0000-0000-000028800000}"/>
    <cellStyle name="计算 6 2" xfId="32807" xr:uid="{00000000-0005-0000-0000-000029800000}"/>
    <cellStyle name="计算 6 2 10" xfId="32808" xr:uid="{00000000-0005-0000-0000-00002A800000}"/>
    <cellStyle name="计算 6 2 11" xfId="32809" xr:uid="{00000000-0005-0000-0000-00002B800000}"/>
    <cellStyle name="计算 6 2 12" xfId="32810" xr:uid="{00000000-0005-0000-0000-00002C800000}"/>
    <cellStyle name="计算 6 2 13" xfId="32811" xr:uid="{00000000-0005-0000-0000-00002D800000}"/>
    <cellStyle name="计算 6 2 14" xfId="32812" xr:uid="{00000000-0005-0000-0000-00002E800000}"/>
    <cellStyle name="计算 6 2 15" xfId="32813" xr:uid="{00000000-0005-0000-0000-00002F800000}"/>
    <cellStyle name="计算 6 2 16" xfId="32814" xr:uid="{00000000-0005-0000-0000-000030800000}"/>
    <cellStyle name="计算 6 2 17" xfId="32815" xr:uid="{00000000-0005-0000-0000-000031800000}"/>
    <cellStyle name="计算 6 2 18" xfId="32816" xr:uid="{00000000-0005-0000-0000-000032800000}"/>
    <cellStyle name="计算 6 2 19" xfId="32817" xr:uid="{00000000-0005-0000-0000-000033800000}"/>
    <cellStyle name="计算 6 2 2" xfId="32818" xr:uid="{00000000-0005-0000-0000-000034800000}"/>
    <cellStyle name="计算 6 2 2 2" xfId="32819" xr:uid="{00000000-0005-0000-0000-000035800000}"/>
    <cellStyle name="计算 6 2 2 2 2" xfId="32820" xr:uid="{00000000-0005-0000-0000-000036800000}"/>
    <cellStyle name="计算 6 2 2 2 3" xfId="32821" xr:uid="{00000000-0005-0000-0000-000037800000}"/>
    <cellStyle name="计算 6 2 2 3" xfId="32822" xr:uid="{00000000-0005-0000-0000-000038800000}"/>
    <cellStyle name="计算 6 2 2 3 2" xfId="32823" xr:uid="{00000000-0005-0000-0000-000039800000}"/>
    <cellStyle name="计算 6 2 2 3 3" xfId="32824" xr:uid="{00000000-0005-0000-0000-00003A800000}"/>
    <cellStyle name="计算 6 2 2 4" xfId="32825" xr:uid="{00000000-0005-0000-0000-00003B800000}"/>
    <cellStyle name="计算 6 2 2 5" xfId="32826" xr:uid="{00000000-0005-0000-0000-00003C800000}"/>
    <cellStyle name="计算 6 2 20" xfId="32827" xr:uid="{00000000-0005-0000-0000-00003D800000}"/>
    <cellStyle name="计算 6 2 21" xfId="32828" xr:uid="{00000000-0005-0000-0000-00003E800000}"/>
    <cellStyle name="计算 6 2 22" xfId="32829" xr:uid="{00000000-0005-0000-0000-00003F800000}"/>
    <cellStyle name="计算 6 2 23" xfId="32830" xr:uid="{00000000-0005-0000-0000-000040800000}"/>
    <cellStyle name="计算 6 2 24" xfId="32831" xr:uid="{00000000-0005-0000-0000-000041800000}"/>
    <cellStyle name="计算 6 2 25" xfId="32832" xr:uid="{00000000-0005-0000-0000-000042800000}"/>
    <cellStyle name="计算 6 2 26" xfId="32833" xr:uid="{00000000-0005-0000-0000-000043800000}"/>
    <cellStyle name="计算 6 2 27" xfId="32834" xr:uid="{00000000-0005-0000-0000-000044800000}"/>
    <cellStyle name="计算 6 2 28" xfId="32835" xr:uid="{00000000-0005-0000-0000-000045800000}"/>
    <cellStyle name="计算 6 2 29" xfId="32836" xr:uid="{00000000-0005-0000-0000-000046800000}"/>
    <cellStyle name="计算 6 2 3" xfId="32837" xr:uid="{00000000-0005-0000-0000-000047800000}"/>
    <cellStyle name="计算 6 2 3 2" xfId="32838" xr:uid="{00000000-0005-0000-0000-000048800000}"/>
    <cellStyle name="计算 6 2 3 2 2" xfId="32839" xr:uid="{00000000-0005-0000-0000-000049800000}"/>
    <cellStyle name="计算 6 2 3 2 3" xfId="32840" xr:uid="{00000000-0005-0000-0000-00004A800000}"/>
    <cellStyle name="计算 6 2 3 3" xfId="32841" xr:uid="{00000000-0005-0000-0000-00004B800000}"/>
    <cellStyle name="计算 6 2 3 3 2" xfId="32842" xr:uid="{00000000-0005-0000-0000-00004C800000}"/>
    <cellStyle name="计算 6 2 3 3 3" xfId="32843" xr:uid="{00000000-0005-0000-0000-00004D800000}"/>
    <cellStyle name="计算 6 2 3 4" xfId="32844" xr:uid="{00000000-0005-0000-0000-00004E800000}"/>
    <cellStyle name="计算 6 2 3 5" xfId="32845" xr:uid="{00000000-0005-0000-0000-00004F800000}"/>
    <cellStyle name="计算 6 2 30" xfId="32846" xr:uid="{00000000-0005-0000-0000-000050800000}"/>
    <cellStyle name="计算 6 2 31" xfId="32847" xr:uid="{00000000-0005-0000-0000-000051800000}"/>
    <cellStyle name="计算 6 2 32" xfId="32848" xr:uid="{00000000-0005-0000-0000-000052800000}"/>
    <cellStyle name="计算 6 2 33" xfId="32849" xr:uid="{00000000-0005-0000-0000-000053800000}"/>
    <cellStyle name="计算 6 2 34" xfId="32850" xr:uid="{00000000-0005-0000-0000-000054800000}"/>
    <cellStyle name="计算 6 2 35" xfId="32851" xr:uid="{00000000-0005-0000-0000-000055800000}"/>
    <cellStyle name="计算 6 2 4" xfId="32852" xr:uid="{00000000-0005-0000-0000-000056800000}"/>
    <cellStyle name="计算 6 2 4 2" xfId="32853" xr:uid="{00000000-0005-0000-0000-000057800000}"/>
    <cellStyle name="计算 6 2 4 3" xfId="32854" xr:uid="{00000000-0005-0000-0000-000058800000}"/>
    <cellStyle name="计算 6 2 5" xfId="32855" xr:uid="{00000000-0005-0000-0000-000059800000}"/>
    <cellStyle name="计算 6 2 5 2" xfId="32856" xr:uid="{00000000-0005-0000-0000-00005A800000}"/>
    <cellStyle name="计算 6 2 5 3" xfId="32857" xr:uid="{00000000-0005-0000-0000-00005B800000}"/>
    <cellStyle name="计算 6 2 6" xfId="32858" xr:uid="{00000000-0005-0000-0000-00005C800000}"/>
    <cellStyle name="计算 6 2 7" xfId="32859" xr:uid="{00000000-0005-0000-0000-00005D800000}"/>
    <cellStyle name="计算 6 2 8" xfId="32860" xr:uid="{00000000-0005-0000-0000-00005E800000}"/>
    <cellStyle name="计算 6 2 9" xfId="32861" xr:uid="{00000000-0005-0000-0000-00005F800000}"/>
    <cellStyle name="计算 6 3" xfId="32862" xr:uid="{00000000-0005-0000-0000-000060800000}"/>
    <cellStyle name="计算 6 3 2" xfId="32863" xr:uid="{00000000-0005-0000-0000-000061800000}"/>
    <cellStyle name="计算 6 3 2 2" xfId="32864" xr:uid="{00000000-0005-0000-0000-000062800000}"/>
    <cellStyle name="计算 6 3 2 3" xfId="32865" xr:uid="{00000000-0005-0000-0000-000063800000}"/>
    <cellStyle name="计算 6 3 3" xfId="32866" xr:uid="{00000000-0005-0000-0000-000064800000}"/>
    <cellStyle name="计算 6 3 3 2" xfId="32867" xr:uid="{00000000-0005-0000-0000-000065800000}"/>
    <cellStyle name="计算 6 3 3 3" xfId="32868" xr:uid="{00000000-0005-0000-0000-000066800000}"/>
    <cellStyle name="计算 6 3 4" xfId="32869" xr:uid="{00000000-0005-0000-0000-000067800000}"/>
    <cellStyle name="计算 6 3 5" xfId="32870" xr:uid="{00000000-0005-0000-0000-000068800000}"/>
    <cellStyle name="计算 6 4" xfId="32871" xr:uid="{00000000-0005-0000-0000-000069800000}"/>
    <cellStyle name="计算 6 4 2" xfId="32872" xr:uid="{00000000-0005-0000-0000-00006A800000}"/>
    <cellStyle name="计算 6 4 3" xfId="32873" xr:uid="{00000000-0005-0000-0000-00006B800000}"/>
    <cellStyle name="计算 6 5" xfId="32874" xr:uid="{00000000-0005-0000-0000-00006C800000}"/>
    <cellStyle name="计算 6 5 2" xfId="32875" xr:uid="{00000000-0005-0000-0000-00006D800000}"/>
    <cellStyle name="计算 6 5 3" xfId="32876" xr:uid="{00000000-0005-0000-0000-00006E800000}"/>
    <cellStyle name="计算 6 6" xfId="32877" xr:uid="{00000000-0005-0000-0000-00006F800000}"/>
    <cellStyle name="计算 6 7" xfId="32878" xr:uid="{00000000-0005-0000-0000-000070800000}"/>
    <cellStyle name="计算 6 8" xfId="32879" xr:uid="{00000000-0005-0000-0000-000071800000}"/>
    <cellStyle name="计算 6 9" xfId="32880" xr:uid="{00000000-0005-0000-0000-000072800000}"/>
    <cellStyle name="计算 7" xfId="32881" xr:uid="{00000000-0005-0000-0000-000073800000}"/>
    <cellStyle name="计算 7 10" xfId="32882" xr:uid="{00000000-0005-0000-0000-000074800000}"/>
    <cellStyle name="计算 7 11" xfId="32883" xr:uid="{00000000-0005-0000-0000-000075800000}"/>
    <cellStyle name="计算 7 12" xfId="32884" xr:uid="{00000000-0005-0000-0000-000076800000}"/>
    <cellStyle name="计算 7 13" xfId="32885" xr:uid="{00000000-0005-0000-0000-000077800000}"/>
    <cellStyle name="计算 7 14" xfId="32886" xr:uid="{00000000-0005-0000-0000-000078800000}"/>
    <cellStyle name="计算 7 15" xfId="32887" xr:uid="{00000000-0005-0000-0000-000079800000}"/>
    <cellStyle name="计算 7 16" xfId="32888" xr:uid="{00000000-0005-0000-0000-00007A800000}"/>
    <cellStyle name="计算 7 17" xfId="32889" xr:uid="{00000000-0005-0000-0000-00007B800000}"/>
    <cellStyle name="计算 7 18" xfId="32890" xr:uid="{00000000-0005-0000-0000-00007C800000}"/>
    <cellStyle name="计算 7 19" xfId="32891" xr:uid="{00000000-0005-0000-0000-00007D800000}"/>
    <cellStyle name="计算 7 2" xfId="32892" xr:uid="{00000000-0005-0000-0000-00007E800000}"/>
    <cellStyle name="计算 7 2 2" xfId="32893" xr:uid="{00000000-0005-0000-0000-00007F800000}"/>
    <cellStyle name="计算 7 2 2 2" xfId="32894" xr:uid="{00000000-0005-0000-0000-000080800000}"/>
    <cellStyle name="计算 7 2 2 3" xfId="32895" xr:uid="{00000000-0005-0000-0000-000081800000}"/>
    <cellStyle name="计算 7 2 3" xfId="32896" xr:uid="{00000000-0005-0000-0000-000082800000}"/>
    <cellStyle name="计算 7 2 3 2" xfId="32897" xr:uid="{00000000-0005-0000-0000-000083800000}"/>
    <cellStyle name="计算 7 2 3 3" xfId="32898" xr:uid="{00000000-0005-0000-0000-000084800000}"/>
    <cellStyle name="计算 7 2 4" xfId="32899" xr:uid="{00000000-0005-0000-0000-000085800000}"/>
    <cellStyle name="计算 7 2 5" xfId="32900" xr:uid="{00000000-0005-0000-0000-000086800000}"/>
    <cellStyle name="计算 7 20" xfId="32901" xr:uid="{00000000-0005-0000-0000-000087800000}"/>
    <cellStyle name="计算 7 21" xfId="32902" xr:uid="{00000000-0005-0000-0000-000088800000}"/>
    <cellStyle name="计算 7 22" xfId="32903" xr:uid="{00000000-0005-0000-0000-000089800000}"/>
    <cellStyle name="计算 7 23" xfId="32904" xr:uid="{00000000-0005-0000-0000-00008A800000}"/>
    <cellStyle name="计算 7 24" xfId="32905" xr:uid="{00000000-0005-0000-0000-00008B800000}"/>
    <cellStyle name="计算 7 25" xfId="32906" xr:uid="{00000000-0005-0000-0000-00008C800000}"/>
    <cellStyle name="计算 7 26" xfId="32907" xr:uid="{00000000-0005-0000-0000-00008D800000}"/>
    <cellStyle name="计算 7 27" xfId="32908" xr:uid="{00000000-0005-0000-0000-00008E800000}"/>
    <cellStyle name="计算 7 28" xfId="32909" xr:uid="{00000000-0005-0000-0000-00008F800000}"/>
    <cellStyle name="计算 7 29" xfId="32910" xr:uid="{00000000-0005-0000-0000-000090800000}"/>
    <cellStyle name="计算 7 3" xfId="32911" xr:uid="{00000000-0005-0000-0000-000091800000}"/>
    <cellStyle name="计算 7 3 2" xfId="32912" xr:uid="{00000000-0005-0000-0000-000092800000}"/>
    <cellStyle name="计算 7 3 2 2" xfId="32913" xr:uid="{00000000-0005-0000-0000-000093800000}"/>
    <cellStyle name="计算 7 3 2 3" xfId="32914" xr:uid="{00000000-0005-0000-0000-000094800000}"/>
    <cellStyle name="计算 7 3 3" xfId="32915" xr:uid="{00000000-0005-0000-0000-000095800000}"/>
    <cellStyle name="计算 7 3 3 2" xfId="32916" xr:uid="{00000000-0005-0000-0000-000096800000}"/>
    <cellStyle name="计算 7 3 3 3" xfId="32917" xr:uid="{00000000-0005-0000-0000-000097800000}"/>
    <cellStyle name="计算 7 3 4" xfId="32918" xr:uid="{00000000-0005-0000-0000-000098800000}"/>
    <cellStyle name="计算 7 3 5" xfId="32919" xr:uid="{00000000-0005-0000-0000-000099800000}"/>
    <cellStyle name="计算 7 30" xfId="32920" xr:uid="{00000000-0005-0000-0000-00009A800000}"/>
    <cellStyle name="计算 7 31" xfId="32921" xr:uid="{00000000-0005-0000-0000-00009B800000}"/>
    <cellStyle name="计算 7 32" xfId="32922" xr:uid="{00000000-0005-0000-0000-00009C800000}"/>
    <cellStyle name="计算 7 33" xfId="32923" xr:uid="{00000000-0005-0000-0000-00009D800000}"/>
    <cellStyle name="计算 7 34" xfId="32924" xr:uid="{00000000-0005-0000-0000-00009E800000}"/>
    <cellStyle name="计算 7 35" xfId="32925" xr:uid="{00000000-0005-0000-0000-00009F800000}"/>
    <cellStyle name="计算 7 4" xfId="32926" xr:uid="{00000000-0005-0000-0000-0000A0800000}"/>
    <cellStyle name="计算 7 4 2" xfId="32927" xr:uid="{00000000-0005-0000-0000-0000A1800000}"/>
    <cellStyle name="计算 7 4 3" xfId="32928" xr:uid="{00000000-0005-0000-0000-0000A2800000}"/>
    <cellStyle name="计算 7 5" xfId="32929" xr:uid="{00000000-0005-0000-0000-0000A3800000}"/>
    <cellStyle name="计算 7 5 2" xfId="32930" xr:uid="{00000000-0005-0000-0000-0000A4800000}"/>
    <cellStyle name="计算 7 5 3" xfId="32931" xr:uid="{00000000-0005-0000-0000-0000A5800000}"/>
    <cellStyle name="计算 7 6" xfId="32932" xr:uid="{00000000-0005-0000-0000-0000A6800000}"/>
    <cellStyle name="计算 7 7" xfId="32933" xr:uid="{00000000-0005-0000-0000-0000A7800000}"/>
    <cellStyle name="计算 7 8" xfId="32934" xr:uid="{00000000-0005-0000-0000-0000A8800000}"/>
    <cellStyle name="计算 7 9" xfId="32935" xr:uid="{00000000-0005-0000-0000-0000A9800000}"/>
    <cellStyle name="计算 8" xfId="32936" xr:uid="{00000000-0005-0000-0000-0000AA800000}"/>
    <cellStyle name="计算 8 2" xfId="32937" xr:uid="{00000000-0005-0000-0000-0000AB800000}"/>
    <cellStyle name="计算 8 2 2" xfId="32938" xr:uid="{00000000-0005-0000-0000-0000AC800000}"/>
    <cellStyle name="计算 8 2 3" xfId="32939" xr:uid="{00000000-0005-0000-0000-0000AD800000}"/>
    <cellStyle name="计算 8 3" xfId="32940" xr:uid="{00000000-0005-0000-0000-0000AE800000}"/>
    <cellStyle name="计算 8 3 2" xfId="32941" xr:uid="{00000000-0005-0000-0000-0000AF800000}"/>
    <cellStyle name="计算 8 3 3" xfId="32942" xr:uid="{00000000-0005-0000-0000-0000B0800000}"/>
    <cellStyle name="计算 8 4" xfId="32943" xr:uid="{00000000-0005-0000-0000-0000B1800000}"/>
    <cellStyle name="计算 8 5" xfId="32944" xr:uid="{00000000-0005-0000-0000-0000B2800000}"/>
    <cellStyle name="计算 9" xfId="32945" xr:uid="{00000000-0005-0000-0000-0000B3800000}"/>
    <cellStyle name="计算 9 2" xfId="32946" xr:uid="{00000000-0005-0000-0000-0000B4800000}"/>
    <cellStyle name="计算 9 3" xfId="32947" xr:uid="{00000000-0005-0000-0000-0000B5800000}"/>
    <cellStyle name="超级链接_~0055202" xfId="32948" xr:uid="{00000000-0005-0000-0000-0000B6800000}"/>
    <cellStyle name="超链接 2" xfId="32949" xr:uid="{00000000-0005-0000-0000-0000B7800000}"/>
    <cellStyle name="输入" xfId="32950" xr:uid="{00000000-0005-0000-0000-0000B8800000}"/>
    <cellStyle name="输入 10" xfId="32951" xr:uid="{00000000-0005-0000-0000-0000B9800000}"/>
    <cellStyle name="输入 10 2" xfId="32952" xr:uid="{00000000-0005-0000-0000-0000BA800000}"/>
    <cellStyle name="输入 10 3" xfId="32953" xr:uid="{00000000-0005-0000-0000-0000BB800000}"/>
    <cellStyle name="输入 11" xfId="32954" xr:uid="{00000000-0005-0000-0000-0000BC800000}"/>
    <cellStyle name="输入 12" xfId="32955" xr:uid="{00000000-0005-0000-0000-0000BD800000}"/>
    <cellStyle name="输入 13" xfId="32956" xr:uid="{00000000-0005-0000-0000-0000BE800000}"/>
    <cellStyle name="输入 14" xfId="32957" xr:uid="{00000000-0005-0000-0000-0000BF800000}"/>
    <cellStyle name="输入 15" xfId="32958" xr:uid="{00000000-0005-0000-0000-0000C0800000}"/>
    <cellStyle name="输入 16" xfId="32959" xr:uid="{00000000-0005-0000-0000-0000C1800000}"/>
    <cellStyle name="输入 17" xfId="32960" xr:uid="{00000000-0005-0000-0000-0000C2800000}"/>
    <cellStyle name="输入 18" xfId="32961" xr:uid="{00000000-0005-0000-0000-0000C3800000}"/>
    <cellStyle name="输入 19" xfId="32962" xr:uid="{00000000-0005-0000-0000-0000C4800000}"/>
    <cellStyle name="输入 2" xfId="32963" xr:uid="{00000000-0005-0000-0000-0000C5800000}"/>
    <cellStyle name="输入 2 10" xfId="32964" xr:uid="{00000000-0005-0000-0000-0000C6800000}"/>
    <cellStyle name="输入 2 11" xfId="32965" xr:uid="{00000000-0005-0000-0000-0000C7800000}"/>
    <cellStyle name="输入 2 12" xfId="32966" xr:uid="{00000000-0005-0000-0000-0000C8800000}"/>
    <cellStyle name="输入 2 13" xfId="32967" xr:uid="{00000000-0005-0000-0000-0000C9800000}"/>
    <cellStyle name="输入 2 14" xfId="32968" xr:uid="{00000000-0005-0000-0000-0000CA800000}"/>
    <cellStyle name="输入 2 2" xfId="32969" xr:uid="{00000000-0005-0000-0000-0000CB800000}"/>
    <cellStyle name="输入 2 2 10" xfId="32970" xr:uid="{00000000-0005-0000-0000-0000CC800000}"/>
    <cellStyle name="输入 2 2 11" xfId="32971" xr:uid="{00000000-0005-0000-0000-0000CD800000}"/>
    <cellStyle name="输入 2 2 12" xfId="32972" xr:uid="{00000000-0005-0000-0000-0000CE800000}"/>
    <cellStyle name="输入 2 2 13" xfId="32973" xr:uid="{00000000-0005-0000-0000-0000CF800000}"/>
    <cellStyle name="输入 2 2 14" xfId="32974" xr:uid="{00000000-0005-0000-0000-0000D0800000}"/>
    <cellStyle name="输入 2 2 15" xfId="32975" xr:uid="{00000000-0005-0000-0000-0000D1800000}"/>
    <cellStyle name="输入 2 2 16" xfId="32976" xr:uid="{00000000-0005-0000-0000-0000D2800000}"/>
    <cellStyle name="输入 2 2 17" xfId="32977" xr:uid="{00000000-0005-0000-0000-0000D3800000}"/>
    <cellStyle name="输入 2 2 18" xfId="32978" xr:uid="{00000000-0005-0000-0000-0000D4800000}"/>
    <cellStyle name="输入 2 2 19" xfId="32979" xr:uid="{00000000-0005-0000-0000-0000D5800000}"/>
    <cellStyle name="输入 2 2 2" xfId="32980" xr:uid="{00000000-0005-0000-0000-0000D6800000}"/>
    <cellStyle name="输入 2 2 2 2" xfId="32981" xr:uid="{00000000-0005-0000-0000-0000D7800000}"/>
    <cellStyle name="输入 2 2 2 2 2" xfId="32982" xr:uid="{00000000-0005-0000-0000-0000D8800000}"/>
    <cellStyle name="输入 2 2 2 2 3" xfId="32983" xr:uid="{00000000-0005-0000-0000-0000D9800000}"/>
    <cellStyle name="输入 2 2 2 3" xfId="32984" xr:uid="{00000000-0005-0000-0000-0000DA800000}"/>
    <cellStyle name="输入 2 2 2 3 2" xfId="32985" xr:uid="{00000000-0005-0000-0000-0000DB800000}"/>
    <cellStyle name="输入 2 2 2 3 3" xfId="32986" xr:uid="{00000000-0005-0000-0000-0000DC800000}"/>
    <cellStyle name="输入 2 2 2 4" xfId="32987" xr:uid="{00000000-0005-0000-0000-0000DD800000}"/>
    <cellStyle name="输入 2 2 2 5" xfId="32988" xr:uid="{00000000-0005-0000-0000-0000DE800000}"/>
    <cellStyle name="输入 2 2 20" xfId="32989" xr:uid="{00000000-0005-0000-0000-0000DF800000}"/>
    <cellStyle name="输入 2 2 21" xfId="32990" xr:uid="{00000000-0005-0000-0000-0000E0800000}"/>
    <cellStyle name="输入 2 2 22" xfId="32991" xr:uid="{00000000-0005-0000-0000-0000E1800000}"/>
    <cellStyle name="输入 2 2 23" xfId="32992" xr:uid="{00000000-0005-0000-0000-0000E2800000}"/>
    <cellStyle name="输入 2 2 24" xfId="32993" xr:uid="{00000000-0005-0000-0000-0000E3800000}"/>
    <cellStyle name="输入 2 2 25" xfId="32994" xr:uid="{00000000-0005-0000-0000-0000E4800000}"/>
    <cellStyle name="输入 2 2 26" xfId="32995" xr:uid="{00000000-0005-0000-0000-0000E5800000}"/>
    <cellStyle name="输入 2 2 27" xfId="32996" xr:uid="{00000000-0005-0000-0000-0000E6800000}"/>
    <cellStyle name="输入 2 2 28" xfId="32997" xr:uid="{00000000-0005-0000-0000-0000E7800000}"/>
    <cellStyle name="输入 2 2 29" xfId="32998" xr:uid="{00000000-0005-0000-0000-0000E8800000}"/>
    <cellStyle name="输入 2 2 3" xfId="32999" xr:uid="{00000000-0005-0000-0000-0000E9800000}"/>
    <cellStyle name="输入 2 2 3 2" xfId="33000" xr:uid="{00000000-0005-0000-0000-0000EA800000}"/>
    <cellStyle name="输入 2 2 3 2 2" xfId="33001" xr:uid="{00000000-0005-0000-0000-0000EB800000}"/>
    <cellStyle name="输入 2 2 3 2 3" xfId="33002" xr:uid="{00000000-0005-0000-0000-0000EC800000}"/>
    <cellStyle name="输入 2 2 3 3" xfId="33003" xr:uid="{00000000-0005-0000-0000-0000ED800000}"/>
    <cellStyle name="输入 2 2 3 3 2" xfId="33004" xr:uid="{00000000-0005-0000-0000-0000EE800000}"/>
    <cellStyle name="输入 2 2 3 3 3" xfId="33005" xr:uid="{00000000-0005-0000-0000-0000EF800000}"/>
    <cellStyle name="输入 2 2 3 4" xfId="33006" xr:uid="{00000000-0005-0000-0000-0000F0800000}"/>
    <cellStyle name="输入 2 2 3 5" xfId="33007" xr:uid="{00000000-0005-0000-0000-0000F1800000}"/>
    <cellStyle name="输入 2 2 30" xfId="33008" xr:uid="{00000000-0005-0000-0000-0000F2800000}"/>
    <cellStyle name="输入 2 2 31" xfId="33009" xr:uid="{00000000-0005-0000-0000-0000F3800000}"/>
    <cellStyle name="输入 2 2 32" xfId="33010" xr:uid="{00000000-0005-0000-0000-0000F4800000}"/>
    <cellStyle name="输入 2 2 33" xfId="33011" xr:uid="{00000000-0005-0000-0000-0000F5800000}"/>
    <cellStyle name="输入 2 2 34" xfId="33012" xr:uid="{00000000-0005-0000-0000-0000F6800000}"/>
    <cellStyle name="输入 2 2 35" xfId="33013" xr:uid="{00000000-0005-0000-0000-0000F7800000}"/>
    <cellStyle name="输入 2 2 4" xfId="33014" xr:uid="{00000000-0005-0000-0000-0000F8800000}"/>
    <cellStyle name="输入 2 2 4 2" xfId="33015" xr:uid="{00000000-0005-0000-0000-0000F9800000}"/>
    <cellStyle name="输入 2 2 4 3" xfId="33016" xr:uid="{00000000-0005-0000-0000-0000FA800000}"/>
    <cellStyle name="输入 2 2 5" xfId="33017" xr:uid="{00000000-0005-0000-0000-0000FB800000}"/>
    <cellStyle name="输入 2 2 5 2" xfId="33018" xr:uid="{00000000-0005-0000-0000-0000FC800000}"/>
    <cellStyle name="输入 2 2 5 3" xfId="33019" xr:uid="{00000000-0005-0000-0000-0000FD800000}"/>
    <cellStyle name="输入 2 2 6" xfId="33020" xr:uid="{00000000-0005-0000-0000-0000FE800000}"/>
    <cellStyle name="输入 2 2 7" xfId="33021" xr:uid="{00000000-0005-0000-0000-0000FF800000}"/>
    <cellStyle name="输入 2 2 8" xfId="33022" xr:uid="{00000000-0005-0000-0000-000000810000}"/>
    <cellStyle name="输入 2 2 9" xfId="33023" xr:uid="{00000000-0005-0000-0000-000001810000}"/>
    <cellStyle name="输入 2 3" xfId="33024" xr:uid="{00000000-0005-0000-0000-000002810000}"/>
    <cellStyle name="输入 2 3 2" xfId="33025" xr:uid="{00000000-0005-0000-0000-000003810000}"/>
    <cellStyle name="输入 2 3 2 2" xfId="33026" xr:uid="{00000000-0005-0000-0000-000004810000}"/>
    <cellStyle name="输入 2 3 2 3" xfId="33027" xr:uid="{00000000-0005-0000-0000-000005810000}"/>
    <cellStyle name="输入 2 3 3" xfId="33028" xr:uid="{00000000-0005-0000-0000-000006810000}"/>
    <cellStyle name="输入 2 3 3 2" xfId="33029" xr:uid="{00000000-0005-0000-0000-000007810000}"/>
    <cellStyle name="输入 2 3 3 3" xfId="33030" xr:uid="{00000000-0005-0000-0000-000008810000}"/>
    <cellStyle name="输入 2 3 4" xfId="33031" xr:uid="{00000000-0005-0000-0000-000009810000}"/>
    <cellStyle name="输入 2 3 5" xfId="33032" xr:uid="{00000000-0005-0000-0000-00000A810000}"/>
    <cellStyle name="输入 2 4" xfId="33033" xr:uid="{00000000-0005-0000-0000-00000B810000}"/>
    <cellStyle name="输入 2 4 2" xfId="33034" xr:uid="{00000000-0005-0000-0000-00000C810000}"/>
    <cellStyle name="输入 2 4 3" xfId="33035" xr:uid="{00000000-0005-0000-0000-00000D810000}"/>
    <cellStyle name="输入 2 5" xfId="33036" xr:uid="{00000000-0005-0000-0000-00000E810000}"/>
    <cellStyle name="输入 2 5 2" xfId="33037" xr:uid="{00000000-0005-0000-0000-00000F810000}"/>
    <cellStyle name="输入 2 5 3" xfId="33038" xr:uid="{00000000-0005-0000-0000-000010810000}"/>
    <cellStyle name="输入 2 6" xfId="33039" xr:uid="{00000000-0005-0000-0000-000011810000}"/>
    <cellStyle name="输入 2 7" xfId="33040" xr:uid="{00000000-0005-0000-0000-000012810000}"/>
    <cellStyle name="输入 2 8" xfId="33041" xr:uid="{00000000-0005-0000-0000-000013810000}"/>
    <cellStyle name="输入 2 9" xfId="33042" xr:uid="{00000000-0005-0000-0000-000014810000}"/>
    <cellStyle name="输入 3" xfId="33043" xr:uid="{00000000-0005-0000-0000-000015810000}"/>
    <cellStyle name="输入 3 10" xfId="33044" xr:uid="{00000000-0005-0000-0000-000016810000}"/>
    <cellStyle name="输入 3 11" xfId="33045" xr:uid="{00000000-0005-0000-0000-000017810000}"/>
    <cellStyle name="输入 3 12" xfId="33046" xr:uid="{00000000-0005-0000-0000-000018810000}"/>
    <cellStyle name="输入 3 13" xfId="33047" xr:uid="{00000000-0005-0000-0000-000019810000}"/>
    <cellStyle name="输入 3 14" xfId="33048" xr:uid="{00000000-0005-0000-0000-00001A810000}"/>
    <cellStyle name="输入 3 2" xfId="33049" xr:uid="{00000000-0005-0000-0000-00001B810000}"/>
    <cellStyle name="输入 3 2 10" xfId="33050" xr:uid="{00000000-0005-0000-0000-00001C810000}"/>
    <cellStyle name="输入 3 2 11" xfId="33051" xr:uid="{00000000-0005-0000-0000-00001D810000}"/>
    <cellStyle name="输入 3 2 12" xfId="33052" xr:uid="{00000000-0005-0000-0000-00001E810000}"/>
    <cellStyle name="输入 3 2 13" xfId="33053" xr:uid="{00000000-0005-0000-0000-00001F810000}"/>
    <cellStyle name="输入 3 2 14" xfId="33054" xr:uid="{00000000-0005-0000-0000-000020810000}"/>
    <cellStyle name="输入 3 2 15" xfId="33055" xr:uid="{00000000-0005-0000-0000-000021810000}"/>
    <cellStyle name="输入 3 2 16" xfId="33056" xr:uid="{00000000-0005-0000-0000-000022810000}"/>
    <cellStyle name="输入 3 2 17" xfId="33057" xr:uid="{00000000-0005-0000-0000-000023810000}"/>
    <cellStyle name="输入 3 2 18" xfId="33058" xr:uid="{00000000-0005-0000-0000-000024810000}"/>
    <cellStyle name="输入 3 2 19" xfId="33059" xr:uid="{00000000-0005-0000-0000-000025810000}"/>
    <cellStyle name="输入 3 2 2" xfId="33060" xr:uid="{00000000-0005-0000-0000-000026810000}"/>
    <cellStyle name="输入 3 2 2 2" xfId="33061" xr:uid="{00000000-0005-0000-0000-000027810000}"/>
    <cellStyle name="输入 3 2 2 2 2" xfId="33062" xr:uid="{00000000-0005-0000-0000-000028810000}"/>
    <cellStyle name="输入 3 2 2 2 3" xfId="33063" xr:uid="{00000000-0005-0000-0000-000029810000}"/>
    <cellStyle name="输入 3 2 2 3" xfId="33064" xr:uid="{00000000-0005-0000-0000-00002A810000}"/>
    <cellStyle name="输入 3 2 2 3 2" xfId="33065" xr:uid="{00000000-0005-0000-0000-00002B810000}"/>
    <cellStyle name="输入 3 2 2 3 3" xfId="33066" xr:uid="{00000000-0005-0000-0000-00002C810000}"/>
    <cellStyle name="输入 3 2 2 4" xfId="33067" xr:uid="{00000000-0005-0000-0000-00002D810000}"/>
    <cellStyle name="输入 3 2 2 5" xfId="33068" xr:uid="{00000000-0005-0000-0000-00002E810000}"/>
    <cellStyle name="输入 3 2 20" xfId="33069" xr:uid="{00000000-0005-0000-0000-00002F810000}"/>
    <cellStyle name="输入 3 2 21" xfId="33070" xr:uid="{00000000-0005-0000-0000-000030810000}"/>
    <cellStyle name="输入 3 2 22" xfId="33071" xr:uid="{00000000-0005-0000-0000-000031810000}"/>
    <cellStyle name="输入 3 2 23" xfId="33072" xr:uid="{00000000-0005-0000-0000-000032810000}"/>
    <cellStyle name="输入 3 2 24" xfId="33073" xr:uid="{00000000-0005-0000-0000-000033810000}"/>
    <cellStyle name="输入 3 2 25" xfId="33074" xr:uid="{00000000-0005-0000-0000-000034810000}"/>
    <cellStyle name="输入 3 2 26" xfId="33075" xr:uid="{00000000-0005-0000-0000-000035810000}"/>
    <cellStyle name="输入 3 2 27" xfId="33076" xr:uid="{00000000-0005-0000-0000-000036810000}"/>
    <cellStyle name="输入 3 2 28" xfId="33077" xr:uid="{00000000-0005-0000-0000-000037810000}"/>
    <cellStyle name="输入 3 2 29" xfId="33078" xr:uid="{00000000-0005-0000-0000-000038810000}"/>
    <cellStyle name="输入 3 2 3" xfId="33079" xr:uid="{00000000-0005-0000-0000-000039810000}"/>
    <cellStyle name="输入 3 2 3 2" xfId="33080" xr:uid="{00000000-0005-0000-0000-00003A810000}"/>
    <cellStyle name="输入 3 2 3 2 2" xfId="33081" xr:uid="{00000000-0005-0000-0000-00003B810000}"/>
    <cellStyle name="输入 3 2 3 2 3" xfId="33082" xr:uid="{00000000-0005-0000-0000-00003C810000}"/>
    <cellStyle name="输入 3 2 3 3" xfId="33083" xr:uid="{00000000-0005-0000-0000-00003D810000}"/>
    <cellStyle name="输入 3 2 3 3 2" xfId="33084" xr:uid="{00000000-0005-0000-0000-00003E810000}"/>
    <cellStyle name="输入 3 2 3 3 3" xfId="33085" xr:uid="{00000000-0005-0000-0000-00003F810000}"/>
    <cellStyle name="输入 3 2 3 4" xfId="33086" xr:uid="{00000000-0005-0000-0000-000040810000}"/>
    <cellStyle name="输入 3 2 3 5" xfId="33087" xr:uid="{00000000-0005-0000-0000-000041810000}"/>
    <cellStyle name="输入 3 2 30" xfId="33088" xr:uid="{00000000-0005-0000-0000-000042810000}"/>
    <cellStyle name="输入 3 2 31" xfId="33089" xr:uid="{00000000-0005-0000-0000-000043810000}"/>
    <cellStyle name="输入 3 2 32" xfId="33090" xr:uid="{00000000-0005-0000-0000-000044810000}"/>
    <cellStyle name="输入 3 2 33" xfId="33091" xr:uid="{00000000-0005-0000-0000-000045810000}"/>
    <cellStyle name="输入 3 2 34" xfId="33092" xr:uid="{00000000-0005-0000-0000-000046810000}"/>
    <cellStyle name="输入 3 2 35" xfId="33093" xr:uid="{00000000-0005-0000-0000-000047810000}"/>
    <cellStyle name="输入 3 2 4" xfId="33094" xr:uid="{00000000-0005-0000-0000-000048810000}"/>
    <cellStyle name="输入 3 2 4 2" xfId="33095" xr:uid="{00000000-0005-0000-0000-000049810000}"/>
    <cellStyle name="输入 3 2 4 3" xfId="33096" xr:uid="{00000000-0005-0000-0000-00004A810000}"/>
    <cellStyle name="输入 3 2 5" xfId="33097" xr:uid="{00000000-0005-0000-0000-00004B810000}"/>
    <cellStyle name="输入 3 2 5 2" xfId="33098" xr:uid="{00000000-0005-0000-0000-00004C810000}"/>
    <cellStyle name="输入 3 2 5 3" xfId="33099" xr:uid="{00000000-0005-0000-0000-00004D810000}"/>
    <cellStyle name="输入 3 2 6" xfId="33100" xr:uid="{00000000-0005-0000-0000-00004E810000}"/>
    <cellStyle name="输入 3 2 7" xfId="33101" xr:uid="{00000000-0005-0000-0000-00004F810000}"/>
    <cellStyle name="输入 3 2 8" xfId="33102" xr:uid="{00000000-0005-0000-0000-000050810000}"/>
    <cellStyle name="输入 3 2 9" xfId="33103" xr:uid="{00000000-0005-0000-0000-000051810000}"/>
    <cellStyle name="输入 3 3" xfId="33104" xr:uid="{00000000-0005-0000-0000-000052810000}"/>
    <cellStyle name="输入 3 3 2" xfId="33105" xr:uid="{00000000-0005-0000-0000-000053810000}"/>
    <cellStyle name="输入 3 3 2 2" xfId="33106" xr:uid="{00000000-0005-0000-0000-000054810000}"/>
    <cellStyle name="输入 3 3 2 3" xfId="33107" xr:uid="{00000000-0005-0000-0000-000055810000}"/>
    <cellStyle name="输入 3 3 3" xfId="33108" xr:uid="{00000000-0005-0000-0000-000056810000}"/>
    <cellStyle name="输入 3 3 3 2" xfId="33109" xr:uid="{00000000-0005-0000-0000-000057810000}"/>
    <cellStyle name="输入 3 3 3 3" xfId="33110" xr:uid="{00000000-0005-0000-0000-000058810000}"/>
    <cellStyle name="输入 3 3 4" xfId="33111" xr:uid="{00000000-0005-0000-0000-000059810000}"/>
    <cellStyle name="输入 3 3 5" xfId="33112" xr:uid="{00000000-0005-0000-0000-00005A810000}"/>
    <cellStyle name="输入 3 4" xfId="33113" xr:uid="{00000000-0005-0000-0000-00005B810000}"/>
    <cellStyle name="输入 3 4 2" xfId="33114" xr:uid="{00000000-0005-0000-0000-00005C810000}"/>
    <cellStyle name="输入 3 4 3" xfId="33115" xr:uid="{00000000-0005-0000-0000-00005D810000}"/>
    <cellStyle name="输入 3 5" xfId="33116" xr:uid="{00000000-0005-0000-0000-00005E810000}"/>
    <cellStyle name="输入 3 5 2" xfId="33117" xr:uid="{00000000-0005-0000-0000-00005F810000}"/>
    <cellStyle name="输入 3 5 3" xfId="33118" xr:uid="{00000000-0005-0000-0000-000060810000}"/>
    <cellStyle name="输入 3 6" xfId="33119" xr:uid="{00000000-0005-0000-0000-000061810000}"/>
    <cellStyle name="输入 3 7" xfId="33120" xr:uid="{00000000-0005-0000-0000-000062810000}"/>
    <cellStyle name="输入 3 8" xfId="33121" xr:uid="{00000000-0005-0000-0000-000063810000}"/>
    <cellStyle name="输入 3 9" xfId="33122" xr:uid="{00000000-0005-0000-0000-000064810000}"/>
    <cellStyle name="输入 4" xfId="33123" xr:uid="{00000000-0005-0000-0000-000065810000}"/>
    <cellStyle name="输入 4 10" xfId="33124" xr:uid="{00000000-0005-0000-0000-000066810000}"/>
    <cellStyle name="输入 4 11" xfId="33125" xr:uid="{00000000-0005-0000-0000-000067810000}"/>
    <cellStyle name="输入 4 12" xfId="33126" xr:uid="{00000000-0005-0000-0000-000068810000}"/>
    <cellStyle name="输入 4 13" xfId="33127" xr:uid="{00000000-0005-0000-0000-000069810000}"/>
    <cellStyle name="输入 4 14" xfId="33128" xr:uid="{00000000-0005-0000-0000-00006A810000}"/>
    <cellStyle name="输入 4 2" xfId="33129" xr:uid="{00000000-0005-0000-0000-00006B810000}"/>
    <cellStyle name="输入 4 2 10" xfId="33130" xr:uid="{00000000-0005-0000-0000-00006C810000}"/>
    <cellStyle name="输入 4 2 11" xfId="33131" xr:uid="{00000000-0005-0000-0000-00006D810000}"/>
    <cellStyle name="输入 4 2 12" xfId="33132" xr:uid="{00000000-0005-0000-0000-00006E810000}"/>
    <cellStyle name="输入 4 2 13" xfId="33133" xr:uid="{00000000-0005-0000-0000-00006F810000}"/>
    <cellStyle name="输入 4 2 14" xfId="33134" xr:uid="{00000000-0005-0000-0000-000070810000}"/>
    <cellStyle name="输入 4 2 15" xfId="33135" xr:uid="{00000000-0005-0000-0000-000071810000}"/>
    <cellStyle name="输入 4 2 16" xfId="33136" xr:uid="{00000000-0005-0000-0000-000072810000}"/>
    <cellStyle name="输入 4 2 17" xfId="33137" xr:uid="{00000000-0005-0000-0000-000073810000}"/>
    <cellStyle name="输入 4 2 18" xfId="33138" xr:uid="{00000000-0005-0000-0000-000074810000}"/>
    <cellStyle name="输入 4 2 19" xfId="33139" xr:uid="{00000000-0005-0000-0000-000075810000}"/>
    <cellStyle name="输入 4 2 2" xfId="33140" xr:uid="{00000000-0005-0000-0000-000076810000}"/>
    <cellStyle name="输入 4 2 2 2" xfId="33141" xr:uid="{00000000-0005-0000-0000-000077810000}"/>
    <cellStyle name="输入 4 2 2 2 2" xfId="33142" xr:uid="{00000000-0005-0000-0000-000078810000}"/>
    <cellStyle name="输入 4 2 2 2 3" xfId="33143" xr:uid="{00000000-0005-0000-0000-000079810000}"/>
    <cellStyle name="输入 4 2 2 3" xfId="33144" xr:uid="{00000000-0005-0000-0000-00007A810000}"/>
    <cellStyle name="输入 4 2 2 3 2" xfId="33145" xr:uid="{00000000-0005-0000-0000-00007B810000}"/>
    <cellStyle name="输入 4 2 2 3 3" xfId="33146" xr:uid="{00000000-0005-0000-0000-00007C810000}"/>
    <cellStyle name="输入 4 2 2 4" xfId="33147" xr:uid="{00000000-0005-0000-0000-00007D810000}"/>
    <cellStyle name="输入 4 2 2 5" xfId="33148" xr:uid="{00000000-0005-0000-0000-00007E810000}"/>
    <cellStyle name="输入 4 2 20" xfId="33149" xr:uid="{00000000-0005-0000-0000-00007F810000}"/>
    <cellStyle name="输入 4 2 21" xfId="33150" xr:uid="{00000000-0005-0000-0000-000080810000}"/>
    <cellStyle name="输入 4 2 22" xfId="33151" xr:uid="{00000000-0005-0000-0000-000081810000}"/>
    <cellStyle name="输入 4 2 23" xfId="33152" xr:uid="{00000000-0005-0000-0000-000082810000}"/>
    <cellStyle name="输入 4 2 24" xfId="33153" xr:uid="{00000000-0005-0000-0000-000083810000}"/>
    <cellStyle name="输入 4 2 25" xfId="33154" xr:uid="{00000000-0005-0000-0000-000084810000}"/>
    <cellStyle name="输入 4 2 26" xfId="33155" xr:uid="{00000000-0005-0000-0000-000085810000}"/>
    <cellStyle name="输入 4 2 27" xfId="33156" xr:uid="{00000000-0005-0000-0000-000086810000}"/>
    <cellStyle name="输入 4 2 28" xfId="33157" xr:uid="{00000000-0005-0000-0000-000087810000}"/>
    <cellStyle name="输入 4 2 29" xfId="33158" xr:uid="{00000000-0005-0000-0000-000088810000}"/>
    <cellStyle name="输入 4 2 3" xfId="33159" xr:uid="{00000000-0005-0000-0000-000089810000}"/>
    <cellStyle name="输入 4 2 3 2" xfId="33160" xr:uid="{00000000-0005-0000-0000-00008A810000}"/>
    <cellStyle name="输入 4 2 3 2 2" xfId="33161" xr:uid="{00000000-0005-0000-0000-00008B810000}"/>
    <cellStyle name="输入 4 2 3 2 3" xfId="33162" xr:uid="{00000000-0005-0000-0000-00008C810000}"/>
    <cellStyle name="输入 4 2 3 3" xfId="33163" xr:uid="{00000000-0005-0000-0000-00008D810000}"/>
    <cellStyle name="输入 4 2 3 3 2" xfId="33164" xr:uid="{00000000-0005-0000-0000-00008E810000}"/>
    <cellStyle name="输入 4 2 3 3 3" xfId="33165" xr:uid="{00000000-0005-0000-0000-00008F810000}"/>
    <cellStyle name="输入 4 2 3 4" xfId="33166" xr:uid="{00000000-0005-0000-0000-000090810000}"/>
    <cellStyle name="输入 4 2 3 5" xfId="33167" xr:uid="{00000000-0005-0000-0000-000091810000}"/>
    <cellStyle name="输入 4 2 30" xfId="33168" xr:uid="{00000000-0005-0000-0000-000092810000}"/>
    <cellStyle name="输入 4 2 31" xfId="33169" xr:uid="{00000000-0005-0000-0000-000093810000}"/>
    <cellStyle name="输入 4 2 32" xfId="33170" xr:uid="{00000000-0005-0000-0000-000094810000}"/>
    <cellStyle name="输入 4 2 33" xfId="33171" xr:uid="{00000000-0005-0000-0000-000095810000}"/>
    <cellStyle name="输入 4 2 34" xfId="33172" xr:uid="{00000000-0005-0000-0000-000096810000}"/>
    <cellStyle name="输入 4 2 35" xfId="33173" xr:uid="{00000000-0005-0000-0000-000097810000}"/>
    <cellStyle name="输入 4 2 4" xfId="33174" xr:uid="{00000000-0005-0000-0000-000098810000}"/>
    <cellStyle name="输入 4 2 4 2" xfId="33175" xr:uid="{00000000-0005-0000-0000-000099810000}"/>
    <cellStyle name="输入 4 2 4 3" xfId="33176" xr:uid="{00000000-0005-0000-0000-00009A810000}"/>
    <cellStyle name="输入 4 2 5" xfId="33177" xr:uid="{00000000-0005-0000-0000-00009B810000}"/>
    <cellStyle name="输入 4 2 5 2" xfId="33178" xr:uid="{00000000-0005-0000-0000-00009C810000}"/>
    <cellStyle name="输入 4 2 5 3" xfId="33179" xr:uid="{00000000-0005-0000-0000-00009D810000}"/>
    <cellStyle name="输入 4 2 6" xfId="33180" xr:uid="{00000000-0005-0000-0000-00009E810000}"/>
    <cellStyle name="输入 4 2 7" xfId="33181" xr:uid="{00000000-0005-0000-0000-00009F810000}"/>
    <cellStyle name="输入 4 2 8" xfId="33182" xr:uid="{00000000-0005-0000-0000-0000A0810000}"/>
    <cellStyle name="输入 4 2 9" xfId="33183" xr:uid="{00000000-0005-0000-0000-0000A1810000}"/>
    <cellStyle name="输入 4 3" xfId="33184" xr:uid="{00000000-0005-0000-0000-0000A2810000}"/>
    <cellStyle name="输入 4 3 2" xfId="33185" xr:uid="{00000000-0005-0000-0000-0000A3810000}"/>
    <cellStyle name="输入 4 3 2 2" xfId="33186" xr:uid="{00000000-0005-0000-0000-0000A4810000}"/>
    <cellStyle name="输入 4 3 2 3" xfId="33187" xr:uid="{00000000-0005-0000-0000-0000A5810000}"/>
    <cellStyle name="输入 4 3 3" xfId="33188" xr:uid="{00000000-0005-0000-0000-0000A6810000}"/>
    <cellStyle name="输入 4 3 3 2" xfId="33189" xr:uid="{00000000-0005-0000-0000-0000A7810000}"/>
    <cellStyle name="输入 4 3 3 3" xfId="33190" xr:uid="{00000000-0005-0000-0000-0000A8810000}"/>
    <cellStyle name="输入 4 3 4" xfId="33191" xr:uid="{00000000-0005-0000-0000-0000A9810000}"/>
    <cellStyle name="输入 4 3 5" xfId="33192" xr:uid="{00000000-0005-0000-0000-0000AA810000}"/>
    <cellStyle name="输入 4 4" xfId="33193" xr:uid="{00000000-0005-0000-0000-0000AB810000}"/>
    <cellStyle name="输入 4 4 2" xfId="33194" xr:uid="{00000000-0005-0000-0000-0000AC810000}"/>
    <cellStyle name="输入 4 4 3" xfId="33195" xr:uid="{00000000-0005-0000-0000-0000AD810000}"/>
    <cellStyle name="输入 4 5" xfId="33196" xr:uid="{00000000-0005-0000-0000-0000AE810000}"/>
    <cellStyle name="输入 4 5 2" xfId="33197" xr:uid="{00000000-0005-0000-0000-0000AF810000}"/>
    <cellStyle name="输入 4 5 3" xfId="33198" xr:uid="{00000000-0005-0000-0000-0000B0810000}"/>
    <cellStyle name="输入 4 6" xfId="33199" xr:uid="{00000000-0005-0000-0000-0000B1810000}"/>
    <cellStyle name="输入 4 7" xfId="33200" xr:uid="{00000000-0005-0000-0000-0000B2810000}"/>
    <cellStyle name="输入 4 8" xfId="33201" xr:uid="{00000000-0005-0000-0000-0000B3810000}"/>
    <cellStyle name="输入 4 9" xfId="33202" xr:uid="{00000000-0005-0000-0000-0000B4810000}"/>
    <cellStyle name="输入 5" xfId="33203" xr:uid="{00000000-0005-0000-0000-0000B5810000}"/>
    <cellStyle name="输入 5 10" xfId="33204" xr:uid="{00000000-0005-0000-0000-0000B6810000}"/>
    <cellStyle name="输入 5 11" xfId="33205" xr:uid="{00000000-0005-0000-0000-0000B7810000}"/>
    <cellStyle name="输入 5 12" xfId="33206" xr:uid="{00000000-0005-0000-0000-0000B8810000}"/>
    <cellStyle name="输入 5 13" xfId="33207" xr:uid="{00000000-0005-0000-0000-0000B9810000}"/>
    <cellStyle name="输入 5 14" xfId="33208" xr:uid="{00000000-0005-0000-0000-0000BA810000}"/>
    <cellStyle name="输入 5 2" xfId="33209" xr:uid="{00000000-0005-0000-0000-0000BB810000}"/>
    <cellStyle name="输入 5 2 10" xfId="33210" xr:uid="{00000000-0005-0000-0000-0000BC810000}"/>
    <cellStyle name="输入 5 2 11" xfId="33211" xr:uid="{00000000-0005-0000-0000-0000BD810000}"/>
    <cellStyle name="输入 5 2 12" xfId="33212" xr:uid="{00000000-0005-0000-0000-0000BE810000}"/>
    <cellStyle name="输入 5 2 13" xfId="33213" xr:uid="{00000000-0005-0000-0000-0000BF810000}"/>
    <cellStyle name="输入 5 2 14" xfId="33214" xr:uid="{00000000-0005-0000-0000-0000C0810000}"/>
    <cellStyle name="输入 5 2 15" xfId="33215" xr:uid="{00000000-0005-0000-0000-0000C1810000}"/>
    <cellStyle name="输入 5 2 16" xfId="33216" xr:uid="{00000000-0005-0000-0000-0000C2810000}"/>
    <cellStyle name="输入 5 2 17" xfId="33217" xr:uid="{00000000-0005-0000-0000-0000C3810000}"/>
    <cellStyle name="输入 5 2 18" xfId="33218" xr:uid="{00000000-0005-0000-0000-0000C4810000}"/>
    <cellStyle name="输入 5 2 19" xfId="33219" xr:uid="{00000000-0005-0000-0000-0000C5810000}"/>
    <cellStyle name="输入 5 2 2" xfId="33220" xr:uid="{00000000-0005-0000-0000-0000C6810000}"/>
    <cellStyle name="输入 5 2 2 2" xfId="33221" xr:uid="{00000000-0005-0000-0000-0000C7810000}"/>
    <cellStyle name="输入 5 2 2 2 2" xfId="33222" xr:uid="{00000000-0005-0000-0000-0000C8810000}"/>
    <cellStyle name="输入 5 2 2 2 3" xfId="33223" xr:uid="{00000000-0005-0000-0000-0000C9810000}"/>
    <cellStyle name="输入 5 2 2 3" xfId="33224" xr:uid="{00000000-0005-0000-0000-0000CA810000}"/>
    <cellStyle name="输入 5 2 2 3 2" xfId="33225" xr:uid="{00000000-0005-0000-0000-0000CB810000}"/>
    <cellStyle name="输入 5 2 2 3 3" xfId="33226" xr:uid="{00000000-0005-0000-0000-0000CC810000}"/>
    <cellStyle name="输入 5 2 2 4" xfId="33227" xr:uid="{00000000-0005-0000-0000-0000CD810000}"/>
    <cellStyle name="输入 5 2 2 5" xfId="33228" xr:uid="{00000000-0005-0000-0000-0000CE810000}"/>
    <cellStyle name="输入 5 2 20" xfId="33229" xr:uid="{00000000-0005-0000-0000-0000CF810000}"/>
    <cellStyle name="输入 5 2 21" xfId="33230" xr:uid="{00000000-0005-0000-0000-0000D0810000}"/>
    <cellStyle name="输入 5 2 22" xfId="33231" xr:uid="{00000000-0005-0000-0000-0000D1810000}"/>
    <cellStyle name="输入 5 2 23" xfId="33232" xr:uid="{00000000-0005-0000-0000-0000D2810000}"/>
    <cellStyle name="输入 5 2 24" xfId="33233" xr:uid="{00000000-0005-0000-0000-0000D3810000}"/>
    <cellStyle name="输入 5 2 25" xfId="33234" xr:uid="{00000000-0005-0000-0000-0000D4810000}"/>
    <cellStyle name="输入 5 2 26" xfId="33235" xr:uid="{00000000-0005-0000-0000-0000D5810000}"/>
    <cellStyle name="输入 5 2 27" xfId="33236" xr:uid="{00000000-0005-0000-0000-0000D6810000}"/>
    <cellStyle name="输入 5 2 28" xfId="33237" xr:uid="{00000000-0005-0000-0000-0000D7810000}"/>
    <cellStyle name="输入 5 2 29" xfId="33238" xr:uid="{00000000-0005-0000-0000-0000D8810000}"/>
    <cellStyle name="输入 5 2 3" xfId="33239" xr:uid="{00000000-0005-0000-0000-0000D9810000}"/>
    <cellStyle name="输入 5 2 3 2" xfId="33240" xr:uid="{00000000-0005-0000-0000-0000DA810000}"/>
    <cellStyle name="输入 5 2 3 2 2" xfId="33241" xr:uid="{00000000-0005-0000-0000-0000DB810000}"/>
    <cellStyle name="输入 5 2 3 2 3" xfId="33242" xr:uid="{00000000-0005-0000-0000-0000DC810000}"/>
    <cellStyle name="输入 5 2 3 3" xfId="33243" xr:uid="{00000000-0005-0000-0000-0000DD810000}"/>
    <cellStyle name="输入 5 2 3 3 2" xfId="33244" xr:uid="{00000000-0005-0000-0000-0000DE810000}"/>
    <cellStyle name="输入 5 2 3 3 3" xfId="33245" xr:uid="{00000000-0005-0000-0000-0000DF810000}"/>
    <cellStyle name="输入 5 2 3 4" xfId="33246" xr:uid="{00000000-0005-0000-0000-0000E0810000}"/>
    <cellStyle name="输入 5 2 3 5" xfId="33247" xr:uid="{00000000-0005-0000-0000-0000E1810000}"/>
    <cellStyle name="输入 5 2 30" xfId="33248" xr:uid="{00000000-0005-0000-0000-0000E2810000}"/>
    <cellStyle name="输入 5 2 31" xfId="33249" xr:uid="{00000000-0005-0000-0000-0000E3810000}"/>
    <cellStyle name="输入 5 2 32" xfId="33250" xr:uid="{00000000-0005-0000-0000-0000E4810000}"/>
    <cellStyle name="输入 5 2 33" xfId="33251" xr:uid="{00000000-0005-0000-0000-0000E5810000}"/>
    <cellStyle name="输入 5 2 34" xfId="33252" xr:uid="{00000000-0005-0000-0000-0000E6810000}"/>
    <cellStyle name="输入 5 2 35" xfId="33253" xr:uid="{00000000-0005-0000-0000-0000E7810000}"/>
    <cellStyle name="输入 5 2 4" xfId="33254" xr:uid="{00000000-0005-0000-0000-0000E8810000}"/>
    <cellStyle name="输入 5 2 4 2" xfId="33255" xr:uid="{00000000-0005-0000-0000-0000E9810000}"/>
    <cellStyle name="输入 5 2 4 3" xfId="33256" xr:uid="{00000000-0005-0000-0000-0000EA810000}"/>
    <cellStyle name="输入 5 2 5" xfId="33257" xr:uid="{00000000-0005-0000-0000-0000EB810000}"/>
    <cellStyle name="输入 5 2 5 2" xfId="33258" xr:uid="{00000000-0005-0000-0000-0000EC810000}"/>
    <cellStyle name="输入 5 2 5 3" xfId="33259" xr:uid="{00000000-0005-0000-0000-0000ED810000}"/>
    <cellStyle name="输入 5 2 6" xfId="33260" xr:uid="{00000000-0005-0000-0000-0000EE810000}"/>
    <cellStyle name="输入 5 2 7" xfId="33261" xr:uid="{00000000-0005-0000-0000-0000EF810000}"/>
    <cellStyle name="输入 5 2 8" xfId="33262" xr:uid="{00000000-0005-0000-0000-0000F0810000}"/>
    <cellStyle name="输入 5 2 9" xfId="33263" xr:uid="{00000000-0005-0000-0000-0000F1810000}"/>
    <cellStyle name="输入 5 3" xfId="33264" xr:uid="{00000000-0005-0000-0000-0000F2810000}"/>
    <cellStyle name="输入 5 3 2" xfId="33265" xr:uid="{00000000-0005-0000-0000-0000F3810000}"/>
    <cellStyle name="输入 5 3 2 2" xfId="33266" xr:uid="{00000000-0005-0000-0000-0000F4810000}"/>
    <cellStyle name="输入 5 3 2 3" xfId="33267" xr:uid="{00000000-0005-0000-0000-0000F5810000}"/>
    <cellStyle name="输入 5 3 3" xfId="33268" xr:uid="{00000000-0005-0000-0000-0000F6810000}"/>
    <cellStyle name="输入 5 3 3 2" xfId="33269" xr:uid="{00000000-0005-0000-0000-0000F7810000}"/>
    <cellStyle name="输入 5 3 3 3" xfId="33270" xr:uid="{00000000-0005-0000-0000-0000F8810000}"/>
    <cellStyle name="输入 5 3 4" xfId="33271" xr:uid="{00000000-0005-0000-0000-0000F9810000}"/>
    <cellStyle name="输入 5 3 5" xfId="33272" xr:uid="{00000000-0005-0000-0000-0000FA810000}"/>
    <cellStyle name="输入 5 4" xfId="33273" xr:uid="{00000000-0005-0000-0000-0000FB810000}"/>
    <cellStyle name="输入 5 4 2" xfId="33274" xr:uid="{00000000-0005-0000-0000-0000FC810000}"/>
    <cellStyle name="输入 5 4 3" xfId="33275" xr:uid="{00000000-0005-0000-0000-0000FD810000}"/>
    <cellStyle name="输入 5 5" xfId="33276" xr:uid="{00000000-0005-0000-0000-0000FE810000}"/>
    <cellStyle name="输入 5 5 2" xfId="33277" xr:uid="{00000000-0005-0000-0000-0000FF810000}"/>
    <cellStyle name="输入 5 5 3" xfId="33278" xr:uid="{00000000-0005-0000-0000-000000820000}"/>
    <cellStyle name="输入 5 6" xfId="33279" xr:uid="{00000000-0005-0000-0000-000001820000}"/>
    <cellStyle name="输入 5 7" xfId="33280" xr:uid="{00000000-0005-0000-0000-000002820000}"/>
    <cellStyle name="输入 5 8" xfId="33281" xr:uid="{00000000-0005-0000-0000-000003820000}"/>
    <cellStyle name="输入 5 9" xfId="33282" xr:uid="{00000000-0005-0000-0000-000004820000}"/>
    <cellStyle name="输入 6" xfId="33283" xr:uid="{00000000-0005-0000-0000-000005820000}"/>
    <cellStyle name="输入 6 10" xfId="33284" xr:uid="{00000000-0005-0000-0000-000006820000}"/>
    <cellStyle name="输入 6 11" xfId="33285" xr:uid="{00000000-0005-0000-0000-000007820000}"/>
    <cellStyle name="输入 6 12" xfId="33286" xr:uid="{00000000-0005-0000-0000-000008820000}"/>
    <cellStyle name="输入 6 13" xfId="33287" xr:uid="{00000000-0005-0000-0000-000009820000}"/>
    <cellStyle name="输入 6 14" xfId="33288" xr:uid="{00000000-0005-0000-0000-00000A820000}"/>
    <cellStyle name="输入 6 2" xfId="33289" xr:uid="{00000000-0005-0000-0000-00000B820000}"/>
    <cellStyle name="输入 6 2 10" xfId="33290" xr:uid="{00000000-0005-0000-0000-00000C820000}"/>
    <cellStyle name="输入 6 2 11" xfId="33291" xr:uid="{00000000-0005-0000-0000-00000D820000}"/>
    <cellStyle name="输入 6 2 12" xfId="33292" xr:uid="{00000000-0005-0000-0000-00000E820000}"/>
    <cellStyle name="输入 6 2 13" xfId="33293" xr:uid="{00000000-0005-0000-0000-00000F820000}"/>
    <cellStyle name="输入 6 2 14" xfId="33294" xr:uid="{00000000-0005-0000-0000-000010820000}"/>
    <cellStyle name="输入 6 2 15" xfId="33295" xr:uid="{00000000-0005-0000-0000-000011820000}"/>
    <cellStyle name="输入 6 2 16" xfId="33296" xr:uid="{00000000-0005-0000-0000-000012820000}"/>
    <cellStyle name="输入 6 2 17" xfId="33297" xr:uid="{00000000-0005-0000-0000-000013820000}"/>
    <cellStyle name="输入 6 2 18" xfId="33298" xr:uid="{00000000-0005-0000-0000-000014820000}"/>
    <cellStyle name="输入 6 2 19" xfId="33299" xr:uid="{00000000-0005-0000-0000-000015820000}"/>
    <cellStyle name="输入 6 2 2" xfId="33300" xr:uid="{00000000-0005-0000-0000-000016820000}"/>
    <cellStyle name="输入 6 2 2 2" xfId="33301" xr:uid="{00000000-0005-0000-0000-000017820000}"/>
    <cellStyle name="输入 6 2 2 2 2" xfId="33302" xr:uid="{00000000-0005-0000-0000-000018820000}"/>
    <cellStyle name="输入 6 2 2 2 3" xfId="33303" xr:uid="{00000000-0005-0000-0000-000019820000}"/>
    <cellStyle name="输入 6 2 2 3" xfId="33304" xr:uid="{00000000-0005-0000-0000-00001A820000}"/>
    <cellStyle name="输入 6 2 2 3 2" xfId="33305" xr:uid="{00000000-0005-0000-0000-00001B820000}"/>
    <cellStyle name="输入 6 2 2 3 3" xfId="33306" xr:uid="{00000000-0005-0000-0000-00001C820000}"/>
    <cellStyle name="输入 6 2 2 4" xfId="33307" xr:uid="{00000000-0005-0000-0000-00001D820000}"/>
    <cellStyle name="输入 6 2 2 5" xfId="33308" xr:uid="{00000000-0005-0000-0000-00001E820000}"/>
    <cellStyle name="输入 6 2 20" xfId="33309" xr:uid="{00000000-0005-0000-0000-00001F820000}"/>
    <cellStyle name="输入 6 2 21" xfId="33310" xr:uid="{00000000-0005-0000-0000-000020820000}"/>
    <cellStyle name="输入 6 2 22" xfId="33311" xr:uid="{00000000-0005-0000-0000-000021820000}"/>
    <cellStyle name="输入 6 2 23" xfId="33312" xr:uid="{00000000-0005-0000-0000-000022820000}"/>
    <cellStyle name="输入 6 2 24" xfId="33313" xr:uid="{00000000-0005-0000-0000-000023820000}"/>
    <cellStyle name="输入 6 2 25" xfId="33314" xr:uid="{00000000-0005-0000-0000-000024820000}"/>
    <cellStyle name="输入 6 2 26" xfId="33315" xr:uid="{00000000-0005-0000-0000-000025820000}"/>
    <cellStyle name="输入 6 2 27" xfId="33316" xr:uid="{00000000-0005-0000-0000-000026820000}"/>
    <cellStyle name="输入 6 2 28" xfId="33317" xr:uid="{00000000-0005-0000-0000-000027820000}"/>
    <cellStyle name="输入 6 2 29" xfId="33318" xr:uid="{00000000-0005-0000-0000-000028820000}"/>
    <cellStyle name="输入 6 2 3" xfId="33319" xr:uid="{00000000-0005-0000-0000-000029820000}"/>
    <cellStyle name="输入 6 2 3 2" xfId="33320" xr:uid="{00000000-0005-0000-0000-00002A820000}"/>
    <cellStyle name="输入 6 2 3 2 2" xfId="33321" xr:uid="{00000000-0005-0000-0000-00002B820000}"/>
    <cellStyle name="输入 6 2 3 2 3" xfId="33322" xr:uid="{00000000-0005-0000-0000-00002C820000}"/>
    <cellStyle name="输入 6 2 3 3" xfId="33323" xr:uid="{00000000-0005-0000-0000-00002D820000}"/>
    <cellStyle name="输入 6 2 3 3 2" xfId="33324" xr:uid="{00000000-0005-0000-0000-00002E820000}"/>
    <cellStyle name="输入 6 2 3 3 3" xfId="33325" xr:uid="{00000000-0005-0000-0000-00002F820000}"/>
    <cellStyle name="输入 6 2 3 4" xfId="33326" xr:uid="{00000000-0005-0000-0000-000030820000}"/>
    <cellStyle name="输入 6 2 3 5" xfId="33327" xr:uid="{00000000-0005-0000-0000-000031820000}"/>
    <cellStyle name="输入 6 2 30" xfId="33328" xr:uid="{00000000-0005-0000-0000-000032820000}"/>
    <cellStyle name="输入 6 2 31" xfId="33329" xr:uid="{00000000-0005-0000-0000-000033820000}"/>
    <cellStyle name="输入 6 2 32" xfId="33330" xr:uid="{00000000-0005-0000-0000-000034820000}"/>
    <cellStyle name="输入 6 2 33" xfId="33331" xr:uid="{00000000-0005-0000-0000-000035820000}"/>
    <cellStyle name="输入 6 2 34" xfId="33332" xr:uid="{00000000-0005-0000-0000-000036820000}"/>
    <cellStyle name="输入 6 2 35" xfId="33333" xr:uid="{00000000-0005-0000-0000-000037820000}"/>
    <cellStyle name="输入 6 2 4" xfId="33334" xr:uid="{00000000-0005-0000-0000-000038820000}"/>
    <cellStyle name="输入 6 2 4 2" xfId="33335" xr:uid="{00000000-0005-0000-0000-000039820000}"/>
    <cellStyle name="输入 6 2 4 3" xfId="33336" xr:uid="{00000000-0005-0000-0000-00003A820000}"/>
    <cellStyle name="输入 6 2 5" xfId="33337" xr:uid="{00000000-0005-0000-0000-00003B820000}"/>
    <cellStyle name="输入 6 2 5 2" xfId="33338" xr:uid="{00000000-0005-0000-0000-00003C820000}"/>
    <cellStyle name="输入 6 2 5 3" xfId="33339" xr:uid="{00000000-0005-0000-0000-00003D820000}"/>
    <cellStyle name="输入 6 2 6" xfId="33340" xr:uid="{00000000-0005-0000-0000-00003E820000}"/>
    <cellStyle name="输入 6 2 7" xfId="33341" xr:uid="{00000000-0005-0000-0000-00003F820000}"/>
    <cellStyle name="输入 6 2 8" xfId="33342" xr:uid="{00000000-0005-0000-0000-000040820000}"/>
    <cellStyle name="输入 6 2 9" xfId="33343" xr:uid="{00000000-0005-0000-0000-000041820000}"/>
    <cellStyle name="输入 6 3" xfId="33344" xr:uid="{00000000-0005-0000-0000-000042820000}"/>
    <cellStyle name="输入 6 3 2" xfId="33345" xr:uid="{00000000-0005-0000-0000-000043820000}"/>
    <cellStyle name="输入 6 3 2 2" xfId="33346" xr:uid="{00000000-0005-0000-0000-000044820000}"/>
    <cellStyle name="输入 6 3 2 3" xfId="33347" xr:uid="{00000000-0005-0000-0000-000045820000}"/>
    <cellStyle name="输入 6 3 3" xfId="33348" xr:uid="{00000000-0005-0000-0000-000046820000}"/>
    <cellStyle name="输入 6 3 3 2" xfId="33349" xr:uid="{00000000-0005-0000-0000-000047820000}"/>
    <cellStyle name="输入 6 3 3 3" xfId="33350" xr:uid="{00000000-0005-0000-0000-000048820000}"/>
    <cellStyle name="输入 6 3 4" xfId="33351" xr:uid="{00000000-0005-0000-0000-000049820000}"/>
    <cellStyle name="输入 6 3 5" xfId="33352" xr:uid="{00000000-0005-0000-0000-00004A820000}"/>
    <cellStyle name="输入 6 4" xfId="33353" xr:uid="{00000000-0005-0000-0000-00004B820000}"/>
    <cellStyle name="输入 6 4 2" xfId="33354" xr:uid="{00000000-0005-0000-0000-00004C820000}"/>
    <cellStyle name="输入 6 4 3" xfId="33355" xr:uid="{00000000-0005-0000-0000-00004D820000}"/>
    <cellStyle name="输入 6 5" xfId="33356" xr:uid="{00000000-0005-0000-0000-00004E820000}"/>
    <cellStyle name="输入 6 5 2" xfId="33357" xr:uid="{00000000-0005-0000-0000-00004F820000}"/>
    <cellStyle name="输入 6 5 3" xfId="33358" xr:uid="{00000000-0005-0000-0000-000050820000}"/>
    <cellStyle name="输入 6 6" xfId="33359" xr:uid="{00000000-0005-0000-0000-000051820000}"/>
    <cellStyle name="输入 6 7" xfId="33360" xr:uid="{00000000-0005-0000-0000-000052820000}"/>
    <cellStyle name="输入 6 8" xfId="33361" xr:uid="{00000000-0005-0000-0000-000053820000}"/>
    <cellStyle name="输入 6 9" xfId="33362" xr:uid="{00000000-0005-0000-0000-000054820000}"/>
    <cellStyle name="输入 7" xfId="33363" xr:uid="{00000000-0005-0000-0000-000055820000}"/>
    <cellStyle name="输入 7 10" xfId="33364" xr:uid="{00000000-0005-0000-0000-000056820000}"/>
    <cellStyle name="输入 7 11" xfId="33365" xr:uid="{00000000-0005-0000-0000-000057820000}"/>
    <cellStyle name="输入 7 12" xfId="33366" xr:uid="{00000000-0005-0000-0000-000058820000}"/>
    <cellStyle name="输入 7 13" xfId="33367" xr:uid="{00000000-0005-0000-0000-000059820000}"/>
    <cellStyle name="输入 7 14" xfId="33368" xr:uid="{00000000-0005-0000-0000-00005A820000}"/>
    <cellStyle name="输入 7 15" xfId="33369" xr:uid="{00000000-0005-0000-0000-00005B820000}"/>
    <cellStyle name="输入 7 16" xfId="33370" xr:uid="{00000000-0005-0000-0000-00005C820000}"/>
    <cellStyle name="输入 7 17" xfId="33371" xr:uid="{00000000-0005-0000-0000-00005D820000}"/>
    <cellStyle name="输入 7 18" xfId="33372" xr:uid="{00000000-0005-0000-0000-00005E820000}"/>
    <cellStyle name="输入 7 19" xfId="33373" xr:uid="{00000000-0005-0000-0000-00005F820000}"/>
    <cellStyle name="输入 7 2" xfId="33374" xr:uid="{00000000-0005-0000-0000-000060820000}"/>
    <cellStyle name="输入 7 2 2" xfId="33375" xr:uid="{00000000-0005-0000-0000-000061820000}"/>
    <cellStyle name="输入 7 2 2 2" xfId="33376" xr:uid="{00000000-0005-0000-0000-000062820000}"/>
    <cellStyle name="输入 7 2 2 3" xfId="33377" xr:uid="{00000000-0005-0000-0000-000063820000}"/>
    <cellStyle name="输入 7 2 3" xfId="33378" xr:uid="{00000000-0005-0000-0000-000064820000}"/>
    <cellStyle name="输入 7 2 3 2" xfId="33379" xr:uid="{00000000-0005-0000-0000-000065820000}"/>
    <cellStyle name="输入 7 2 3 3" xfId="33380" xr:uid="{00000000-0005-0000-0000-000066820000}"/>
    <cellStyle name="输入 7 2 4" xfId="33381" xr:uid="{00000000-0005-0000-0000-000067820000}"/>
    <cellStyle name="输入 7 2 5" xfId="33382" xr:uid="{00000000-0005-0000-0000-000068820000}"/>
    <cellStyle name="输入 7 20" xfId="33383" xr:uid="{00000000-0005-0000-0000-000069820000}"/>
    <cellStyle name="输入 7 21" xfId="33384" xr:uid="{00000000-0005-0000-0000-00006A820000}"/>
    <cellStyle name="输入 7 22" xfId="33385" xr:uid="{00000000-0005-0000-0000-00006B820000}"/>
    <cellStyle name="输入 7 23" xfId="33386" xr:uid="{00000000-0005-0000-0000-00006C820000}"/>
    <cellStyle name="输入 7 24" xfId="33387" xr:uid="{00000000-0005-0000-0000-00006D820000}"/>
    <cellStyle name="输入 7 25" xfId="33388" xr:uid="{00000000-0005-0000-0000-00006E820000}"/>
    <cellStyle name="输入 7 26" xfId="33389" xr:uid="{00000000-0005-0000-0000-00006F820000}"/>
    <cellStyle name="输入 7 27" xfId="33390" xr:uid="{00000000-0005-0000-0000-000070820000}"/>
    <cellStyle name="输入 7 28" xfId="33391" xr:uid="{00000000-0005-0000-0000-000071820000}"/>
    <cellStyle name="输入 7 29" xfId="33392" xr:uid="{00000000-0005-0000-0000-000072820000}"/>
    <cellStyle name="输入 7 3" xfId="33393" xr:uid="{00000000-0005-0000-0000-000073820000}"/>
    <cellStyle name="输入 7 3 2" xfId="33394" xr:uid="{00000000-0005-0000-0000-000074820000}"/>
    <cellStyle name="输入 7 3 2 2" xfId="33395" xr:uid="{00000000-0005-0000-0000-000075820000}"/>
    <cellStyle name="输入 7 3 2 3" xfId="33396" xr:uid="{00000000-0005-0000-0000-000076820000}"/>
    <cellStyle name="输入 7 3 3" xfId="33397" xr:uid="{00000000-0005-0000-0000-000077820000}"/>
    <cellStyle name="输入 7 3 3 2" xfId="33398" xr:uid="{00000000-0005-0000-0000-000078820000}"/>
    <cellStyle name="输入 7 3 3 3" xfId="33399" xr:uid="{00000000-0005-0000-0000-000079820000}"/>
    <cellStyle name="输入 7 3 4" xfId="33400" xr:uid="{00000000-0005-0000-0000-00007A820000}"/>
    <cellStyle name="输入 7 3 5" xfId="33401" xr:uid="{00000000-0005-0000-0000-00007B820000}"/>
    <cellStyle name="输入 7 30" xfId="33402" xr:uid="{00000000-0005-0000-0000-00007C820000}"/>
    <cellStyle name="输入 7 31" xfId="33403" xr:uid="{00000000-0005-0000-0000-00007D820000}"/>
    <cellStyle name="输入 7 32" xfId="33404" xr:uid="{00000000-0005-0000-0000-00007E820000}"/>
    <cellStyle name="输入 7 33" xfId="33405" xr:uid="{00000000-0005-0000-0000-00007F820000}"/>
    <cellStyle name="输入 7 34" xfId="33406" xr:uid="{00000000-0005-0000-0000-000080820000}"/>
    <cellStyle name="输入 7 35" xfId="33407" xr:uid="{00000000-0005-0000-0000-000081820000}"/>
    <cellStyle name="输入 7 4" xfId="33408" xr:uid="{00000000-0005-0000-0000-000082820000}"/>
    <cellStyle name="输入 7 4 2" xfId="33409" xr:uid="{00000000-0005-0000-0000-000083820000}"/>
    <cellStyle name="输入 7 4 3" xfId="33410" xr:uid="{00000000-0005-0000-0000-000084820000}"/>
    <cellStyle name="输入 7 5" xfId="33411" xr:uid="{00000000-0005-0000-0000-000085820000}"/>
    <cellStyle name="输入 7 5 2" xfId="33412" xr:uid="{00000000-0005-0000-0000-000086820000}"/>
    <cellStyle name="输入 7 5 3" xfId="33413" xr:uid="{00000000-0005-0000-0000-000087820000}"/>
    <cellStyle name="输入 7 6" xfId="33414" xr:uid="{00000000-0005-0000-0000-000088820000}"/>
    <cellStyle name="输入 7 7" xfId="33415" xr:uid="{00000000-0005-0000-0000-000089820000}"/>
    <cellStyle name="输入 7 8" xfId="33416" xr:uid="{00000000-0005-0000-0000-00008A820000}"/>
    <cellStyle name="输入 7 9" xfId="33417" xr:uid="{00000000-0005-0000-0000-00008B820000}"/>
    <cellStyle name="输入 8" xfId="33418" xr:uid="{00000000-0005-0000-0000-00008C820000}"/>
    <cellStyle name="输入 8 2" xfId="33419" xr:uid="{00000000-0005-0000-0000-00008D820000}"/>
    <cellStyle name="输入 8 2 2" xfId="33420" xr:uid="{00000000-0005-0000-0000-00008E820000}"/>
    <cellStyle name="输入 8 2 3" xfId="33421" xr:uid="{00000000-0005-0000-0000-00008F820000}"/>
    <cellStyle name="输入 8 3" xfId="33422" xr:uid="{00000000-0005-0000-0000-000090820000}"/>
    <cellStyle name="输入 8 3 2" xfId="33423" xr:uid="{00000000-0005-0000-0000-000091820000}"/>
    <cellStyle name="输入 8 3 3" xfId="33424" xr:uid="{00000000-0005-0000-0000-000092820000}"/>
    <cellStyle name="输入 8 4" xfId="33425" xr:uid="{00000000-0005-0000-0000-000093820000}"/>
    <cellStyle name="输入 8 5" xfId="33426" xr:uid="{00000000-0005-0000-0000-000094820000}"/>
    <cellStyle name="输入 9" xfId="33427" xr:uid="{00000000-0005-0000-0000-000095820000}"/>
    <cellStyle name="输入 9 2" xfId="33428" xr:uid="{00000000-0005-0000-0000-000096820000}"/>
    <cellStyle name="输入 9 3" xfId="33429" xr:uid="{00000000-0005-0000-0000-000097820000}"/>
    <cellStyle name="输出" xfId="33430" xr:uid="{00000000-0005-0000-0000-000098820000}"/>
    <cellStyle name="输出 10" xfId="33431" xr:uid="{00000000-0005-0000-0000-000099820000}"/>
    <cellStyle name="输出 11" xfId="33432" xr:uid="{00000000-0005-0000-0000-00009A820000}"/>
    <cellStyle name="输出 12" xfId="33433" xr:uid="{00000000-0005-0000-0000-00009B820000}"/>
    <cellStyle name="输出 13" xfId="33434" xr:uid="{00000000-0005-0000-0000-00009C820000}"/>
    <cellStyle name="输出 14" xfId="33435" xr:uid="{00000000-0005-0000-0000-00009D820000}"/>
    <cellStyle name="输出 15" xfId="33436" xr:uid="{00000000-0005-0000-0000-00009E820000}"/>
    <cellStyle name="输出 16" xfId="33437" xr:uid="{00000000-0005-0000-0000-00009F820000}"/>
    <cellStyle name="输出 17" xfId="33438" xr:uid="{00000000-0005-0000-0000-0000A0820000}"/>
    <cellStyle name="输出 18" xfId="33439" xr:uid="{00000000-0005-0000-0000-0000A1820000}"/>
    <cellStyle name="输出 19" xfId="33440" xr:uid="{00000000-0005-0000-0000-0000A2820000}"/>
    <cellStyle name="输出 2" xfId="33441" xr:uid="{00000000-0005-0000-0000-0000A3820000}"/>
    <cellStyle name="输出 2 10" xfId="33442" xr:uid="{00000000-0005-0000-0000-0000A4820000}"/>
    <cellStyle name="输出 2 11" xfId="33443" xr:uid="{00000000-0005-0000-0000-0000A5820000}"/>
    <cellStyle name="输出 2 12" xfId="33444" xr:uid="{00000000-0005-0000-0000-0000A6820000}"/>
    <cellStyle name="输出 2 13" xfId="33445" xr:uid="{00000000-0005-0000-0000-0000A7820000}"/>
    <cellStyle name="输出 2 14" xfId="33446" xr:uid="{00000000-0005-0000-0000-0000A8820000}"/>
    <cellStyle name="输出 2 15" xfId="33447" xr:uid="{00000000-0005-0000-0000-0000A9820000}"/>
    <cellStyle name="输出 2 16" xfId="33448" xr:uid="{00000000-0005-0000-0000-0000AA820000}"/>
    <cellStyle name="输出 2 17" xfId="33449" xr:uid="{00000000-0005-0000-0000-0000AB820000}"/>
    <cellStyle name="输出 2 18" xfId="33450" xr:uid="{00000000-0005-0000-0000-0000AC820000}"/>
    <cellStyle name="输出 2 19" xfId="33451" xr:uid="{00000000-0005-0000-0000-0000AD820000}"/>
    <cellStyle name="输出 2 2" xfId="33452" xr:uid="{00000000-0005-0000-0000-0000AE820000}"/>
    <cellStyle name="输出 2 2 10" xfId="33453" xr:uid="{00000000-0005-0000-0000-0000AF820000}"/>
    <cellStyle name="输出 2 2 11" xfId="33454" xr:uid="{00000000-0005-0000-0000-0000B0820000}"/>
    <cellStyle name="输出 2 2 12" xfId="33455" xr:uid="{00000000-0005-0000-0000-0000B1820000}"/>
    <cellStyle name="输出 2 2 13" xfId="33456" xr:uid="{00000000-0005-0000-0000-0000B2820000}"/>
    <cellStyle name="输出 2 2 14" xfId="33457" xr:uid="{00000000-0005-0000-0000-0000B3820000}"/>
    <cellStyle name="输出 2 2 15" xfId="33458" xr:uid="{00000000-0005-0000-0000-0000B4820000}"/>
    <cellStyle name="输出 2 2 16" xfId="33459" xr:uid="{00000000-0005-0000-0000-0000B5820000}"/>
    <cellStyle name="输出 2 2 17" xfId="33460" xr:uid="{00000000-0005-0000-0000-0000B6820000}"/>
    <cellStyle name="输出 2 2 18" xfId="33461" xr:uid="{00000000-0005-0000-0000-0000B7820000}"/>
    <cellStyle name="输出 2 2 19" xfId="33462" xr:uid="{00000000-0005-0000-0000-0000B8820000}"/>
    <cellStyle name="输出 2 2 2" xfId="33463" xr:uid="{00000000-0005-0000-0000-0000B9820000}"/>
    <cellStyle name="输出 2 2 20" xfId="33464" xr:uid="{00000000-0005-0000-0000-0000BA820000}"/>
    <cellStyle name="输出 2 2 21" xfId="33465" xr:uid="{00000000-0005-0000-0000-0000BB820000}"/>
    <cellStyle name="输出 2 2 22" xfId="33466" xr:uid="{00000000-0005-0000-0000-0000BC820000}"/>
    <cellStyle name="输出 2 2 23" xfId="33467" xr:uid="{00000000-0005-0000-0000-0000BD820000}"/>
    <cellStyle name="输出 2 2 24" xfId="33468" xr:uid="{00000000-0005-0000-0000-0000BE820000}"/>
    <cellStyle name="输出 2 2 25" xfId="33469" xr:uid="{00000000-0005-0000-0000-0000BF820000}"/>
    <cellStyle name="输出 2 2 26" xfId="33470" xr:uid="{00000000-0005-0000-0000-0000C0820000}"/>
    <cellStyle name="输出 2 2 27" xfId="33471" xr:uid="{00000000-0005-0000-0000-0000C1820000}"/>
    <cellStyle name="输出 2 2 28" xfId="33472" xr:uid="{00000000-0005-0000-0000-0000C2820000}"/>
    <cellStyle name="输出 2 2 29" xfId="33473" xr:uid="{00000000-0005-0000-0000-0000C3820000}"/>
    <cellStyle name="输出 2 2 3" xfId="33474" xr:uid="{00000000-0005-0000-0000-0000C4820000}"/>
    <cellStyle name="输出 2 2 30" xfId="33475" xr:uid="{00000000-0005-0000-0000-0000C5820000}"/>
    <cellStyle name="输出 2 2 31" xfId="33476" xr:uid="{00000000-0005-0000-0000-0000C6820000}"/>
    <cellStyle name="输出 2 2 32" xfId="33477" xr:uid="{00000000-0005-0000-0000-0000C7820000}"/>
    <cellStyle name="输出 2 2 33" xfId="33478" xr:uid="{00000000-0005-0000-0000-0000C8820000}"/>
    <cellStyle name="输出 2 2 34" xfId="33479" xr:uid="{00000000-0005-0000-0000-0000C9820000}"/>
    <cellStyle name="输出 2 2 4" xfId="33480" xr:uid="{00000000-0005-0000-0000-0000CA820000}"/>
    <cellStyle name="输出 2 2 5" xfId="33481" xr:uid="{00000000-0005-0000-0000-0000CB820000}"/>
    <cellStyle name="输出 2 2 6" xfId="33482" xr:uid="{00000000-0005-0000-0000-0000CC820000}"/>
    <cellStyle name="输出 2 2 7" xfId="33483" xr:uid="{00000000-0005-0000-0000-0000CD820000}"/>
    <cellStyle name="输出 2 2 8" xfId="33484" xr:uid="{00000000-0005-0000-0000-0000CE820000}"/>
    <cellStyle name="输出 2 2 9" xfId="33485" xr:uid="{00000000-0005-0000-0000-0000CF820000}"/>
    <cellStyle name="输出 2 20" xfId="33486" xr:uid="{00000000-0005-0000-0000-0000D0820000}"/>
    <cellStyle name="输出 2 3" xfId="33487" xr:uid="{00000000-0005-0000-0000-0000D1820000}"/>
    <cellStyle name="输出 2 3 2" xfId="33488" xr:uid="{00000000-0005-0000-0000-0000D2820000}"/>
    <cellStyle name="输出 2 3 3" xfId="33489" xr:uid="{00000000-0005-0000-0000-0000D3820000}"/>
    <cellStyle name="输出 2 4" xfId="33490" xr:uid="{00000000-0005-0000-0000-0000D4820000}"/>
    <cellStyle name="输出 2 5" xfId="33491" xr:uid="{00000000-0005-0000-0000-0000D5820000}"/>
    <cellStyle name="输出 2 6" xfId="33492" xr:uid="{00000000-0005-0000-0000-0000D6820000}"/>
    <cellStyle name="输出 2 7" xfId="33493" xr:uid="{00000000-0005-0000-0000-0000D7820000}"/>
    <cellStyle name="输出 2 8" xfId="33494" xr:uid="{00000000-0005-0000-0000-0000D8820000}"/>
    <cellStyle name="输出 2 9" xfId="33495" xr:uid="{00000000-0005-0000-0000-0000D9820000}"/>
    <cellStyle name="输出 20" xfId="33496" xr:uid="{00000000-0005-0000-0000-0000DA820000}"/>
    <cellStyle name="输出 21" xfId="33497" xr:uid="{00000000-0005-0000-0000-0000DB820000}"/>
    <cellStyle name="输出 22" xfId="33498" xr:uid="{00000000-0005-0000-0000-0000DC820000}"/>
    <cellStyle name="输出 23" xfId="33499" xr:uid="{00000000-0005-0000-0000-0000DD820000}"/>
    <cellStyle name="输出 24" xfId="33500" xr:uid="{00000000-0005-0000-0000-0000DE820000}"/>
    <cellStyle name="输出 25" xfId="33501" xr:uid="{00000000-0005-0000-0000-0000DF820000}"/>
    <cellStyle name="输出 3" xfId="33502" xr:uid="{00000000-0005-0000-0000-0000E0820000}"/>
    <cellStyle name="输出 3 10" xfId="33503" xr:uid="{00000000-0005-0000-0000-0000E1820000}"/>
    <cellStyle name="输出 3 11" xfId="33504" xr:uid="{00000000-0005-0000-0000-0000E2820000}"/>
    <cellStyle name="输出 3 12" xfId="33505" xr:uid="{00000000-0005-0000-0000-0000E3820000}"/>
    <cellStyle name="输出 3 13" xfId="33506" xr:uid="{00000000-0005-0000-0000-0000E4820000}"/>
    <cellStyle name="输出 3 14" xfId="33507" xr:uid="{00000000-0005-0000-0000-0000E5820000}"/>
    <cellStyle name="输出 3 15" xfId="33508" xr:uid="{00000000-0005-0000-0000-0000E6820000}"/>
    <cellStyle name="输出 3 16" xfId="33509" xr:uid="{00000000-0005-0000-0000-0000E7820000}"/>
    <cellStyle name="输出 3 17" xfId="33510" xr:uid="{00000000-0005-0000-0000-0000E8820000}"/>
    <cellStyle name="输出 3 18" xfId="33511" xr:uid="{00000000-0005-0000-0000-0000E9820000}"/>
    <cellStyle name="输出 3 19" xfId="33512" xr:uid="{00000000-0005-0000-0000-0000EA820000}"/>
    <cellStyle name="输出 3 2" xfId="33513" xr:uid="{00000000-0005-0000-0000-0000EB820000}"/>
    <cellStyle name="输出 3 2 10" xfId="33514" xr:uid="{00000000-0005-0000-0000-0000EC820000}"/>
    <cellStyle name="输出 3 2 11" xfId="33515" xr:uid="{00000000-0005-0000-0000-0000ED820000}"/>
    <cellStyle name="输出 3 2 12" xfId="33516" xr:uid="{00000000-0005-0000-0000-0000EE820000}"/>
    <cellStyle name="输出 3 2 13" xfId="33517" xr:uid="{00000000-0005-0000-0000-0000EF820000}"/>
    <cellStyle name="输出 3 2 14" xfId="33518" xr:uid="{00000000-0005-0000-0000-0000F0820000}"/>
    <cellStyle name="输出 3 2 15" xfId="33519" xr:uid="{00000000-0005-0000-0000-0000F1820000}"/>
    <cellStyle name="输出 3 2 16" xfId="33520" xr:uid="{00000000-0005-0000-0000-0000F2820000}"/>
    <cellStyle name="输出 3 2 17" xfId="33521" xr:uid="{00000000-0005-0000-0000-0000F3820000}"/>
    <cellStyle name="输出 3 2 18" xfId="33522" xr:uid="{00000000-0005-0000-0000-0000F4820000}"/>
    <cellStyle name="输出 3 2 19" xfId="33523" xr:uid="{00000000-0005-0000-0000-0000F5820000}"/>
    <cellStyle name="输出 3 2 2" xfId="33524" xr:uid="{00000000-0005-0000-0000-0000F6820000}"/>
    <cellStyle name="输出 3 2 20" xfId="33525" xr:uid="{00000000-0005-0000-0000-0000F7820000}"/>
    <cellStyle name="输出 3 2 21" xfId="33526" xr:uid="{00000000-0005-0000-0000-0000F8820000}"/>
    <cellStyle name="输出 3 2 22" xfId="33527" xr:uid="{00000000-0005-0000-0000-0000F9820000}"/>
    <cellStyle name="输出 3 2 23" xfId="33528" xr:uid="{00000000-0005-0000-0000-0000FA820000}"/>
    <cellStyle name="输出 3 2 24" xfId="33529" xr:uid="{00000000-0005-0000-0000-0000FB820000}"/>
    <cellStyle name="输出 3 2 25" xfId="33530" xr:uid="{00000000-0005-0000-0000-0000FC820000}"/>
    <cellStyle name="输出 3 2 26" xfId="33531" xr:uid="{00000000-0005-0000-0000-0000FD820000}"/>
    <cellStyle name="输出 3 2 27" xfId="33532" xr:uid="{00000000-0005-0000-0000-0000FE820000}"/>
    <cellStyle name="输出 3 2 28" xfId="33533" xr:uid="{00000000-0005-0000-0000-0000FF820000}"/>
    <cellStyle name="输出 3 2 29" xfId="33534" xr:uid="{00000000-0005-0000-0000-000000830000}"/>
    <cellStyle name="输出 3 2 3" xfId="33535" xr:uid="{00000000-0005-0000-0000-000001830000}"/>
    <cellStyle name="输出 3 2 30" xfId="33536" xr:uid="{00000000-0005-0000-0000-000002830000}"/>
    <cellStyle name="输出 3 2 31" xfId="33537" xr:uid="{00000000-0005-0000-0000-000003830000}"/>
    <cellStyle name="输出 3 2 32" xfId="33538" xr:uid="{00000000-0005-0000-0000-000004830000}"/>
    <cellStyle name="输出 3 2 33" xfId="33539" xr:uid="{00000000-0005-0000-0000-000005830000}"/>
    <cellStyle name="输出 3 2 34" xfId="33540" xr:uid="{00000000-0005-0000-0000-000006830000}"/>
    <cellStyle name="输出 3 2 4" xfId="33541" xr:uid="{00000000-0005-0000-0000-000007830000}"/>
    <cellStyle name="输出 3 2 5" xfId="33542" xr:uid="{00000000-0005-0000-0000-000008830000}"/>
    <cellStyle name="输出 3 2 6" xfId="33543" xr:uid="{00000000-0005-0000-0000-000009830000}"/>
    <cellStyle name="输出 3 2 7" xfId="33544" xr:uid="{00000000-0005-0000-0000-00000A830000}"/>
    <cellStyle name="输出 3 2 8" xfId="33545" xr:uid="{00000000-0005-0000-0000-00000B830000}"/>
    <cellStyle name="输出 3 2 9" xfId="33546" xr:uid="{00000000-0005-0000-0000-00000C830000}"/>
    <cellStyle name="输出 3 20" xfId="33547" xr:uid="{00000000-0005-0000-0000-00000D830000}"/>
    <cellStyle name="输出 3 3" xfId="33548" xr:uid="{00000000-0005-0000-0000-00000E830000}"/>
    <cellStyle name="输出 3 3 2" xfId="33549" xr:uid="{00000000-0005-0000-0000-00000F830000}"/>
    <cellStyle name="输出 3 3 3" xfId="33550" xr:uid="{00000000-0005-0000-0000-000010830000}"/>
    <cellStyle name="输出 3 4" xfId="33551" xr:uid="{00000000-0005-0000-0000-000011830000}"/>
    <cellStyle name="输出 3 5" xfId="33552" xr:uid="{00000000-0005-0000-0000-000012830000}"/>
    <cellStyle name="输出 3 6" xfId="33553" xr:uid="{00000000-0005-0000-0000-000013830000}"/>
    <cellStyle name="输出 3 7" xfId="33554" xr:uid="{00000000-0005-0000-0000-000014830000}"/>
    <cellStyle name="输出 3 8" xfId="33555" xr:uid="{00000000-0005-0000-0000-000015830000}"/>
    <cellStyle name="输出 3 9" xfId="33556" xr:uid="{00000000-0005-0000-0000-000016830000}"/>
    <cellStyle name="输出 4" xfId="33557" xr:uid="{00000000-0005-0000-0000-000017830000}"/>
    <cellStyle name="输出 4 10" xfId="33558" xr:uid="{00000000-0005-0000-0000-000018830000}"/>
    <cellStyle name="输出 4 11" xfId="33559" xr:uid="{00000000-0005-0000-0000-000019830000}"/>
    <cellStyle name="输出 4 12" xfId="33560" xr:uid="{00000000-0005-0000-0000-00001A830000}"/>
    <cellStyle name="输出 4 13" xfId="33561" xr:uid="{00000000-0005-0000-0000-00001B830000}"/>
    <cellStyle name="输出 4 14" xfId="33562" xr:uid="{00000000-0005-0000-0000-00001C830000}"/>
    <cellStyle name="输出 4 15" xfId="33563" xr:uid="{00000000-0005-0000-0000-00001D830000}"/>
    <cellStyle name="输出 4 16" xfId="33564" xr:uid="{00000000-0005-0000-0000-00001E830000}"/>
    <cellStyle name="输出 4 17" xfId="33565" xr:uid="{00000000-0005-0000-0000-00001F830000}"/>
    <cellStyle name="输出 4 18" xfId="33566" xr:uid="{00000000-0005-0000-0000-000020830000}"/>
    <cellStyle name="输出 4 19" xfId="33567" xr:uid="{00000000-0005-0000-0000-000021830000}"/>
    <cellStyle name="输出 4 2" xfId="33568" xr:uid="{00000000-0005-0000-0000-000022830000}"/>
    <cellStyle name="输出 4 2 10" xfId="33569" xr:uid="{00000000-0005-0000-0000-000023830000}"/>
    <cellStyle name="输出 4 2 11" xfId="33570" xr:uid="{00000000-0005-0000-0000-000024830000}"/>
    <cellStyle name="输出 4 2 12" xfId="33571" xr:uid="{00000000-0005-0000-0000-000025830000}"/>
    <cellStyle name="输出 4 2 13" xfId="33572" xr:uid="{00000000-0005-0000-0000-000026830000}"/>
    <cellStyle name="输出 4 2 14" xfId="33573" xr:uid="{00000000-0005-0000-0000-000027830000}"/>
    <cellStyle name="输出 4 2 15" xfId="33574" xr:uid="{00000000-0005-0000-0000-000028830000}"/>
    <cellStyle name="输出 4 2 16" xfId="33575" xr:uid="{00000000-0005-0000-0000-000029830000}"/>
    <cellStyle name="输出 4 2 17" xfId="33576" xr:uid="{00000000-0005-0000-0000-00002A830000}"/>
    <cellStyle name="输出 4 2 18" xfId="33577" xr:uid="{00000000-0005-0000-0000-00002B830000}"/>
    <cellStyle name="输出 4 2 19" xfId="33578" xr:uid="{00000000-0005-0000-0000-00002C830000}"/>
    <cellStyle name="输出 4 2 2" xfId="33579" xr:uid="{00000000-0005-0000-0000-00002D830000}"/>
    <cellStyle name="输出 4 2 20" xfId="33580" xr:uid="{00000000-0005-0000-0000-00002E830000}"/>
    <cellStyle name="输出 4 2 21" xfId="33581" xr:uid="{00000000-0005-0000-0000-00002F830000}"/>
    <cellStyle name="输出 4 2 22" xfId="33582" xr:uid="{00000000-0005-0000-0000-000030830000}"/>
    <cellStyle name="输出 4 2 23" xfId="33583" xr:uid="{00000000-0005-0000-0000-000031830000}"/>
    <cellStyle name="输出 4 2 24" xfId="33584" xr:uid="{00000000-0005-0000-0000-000032830000}"/>
    <cellStyle name="输出 4 2 25" xfId="33585" xr:uid="{00000000-0005-0000-0000-000033830000}"/>
    <cellStyle name="输出 4 2 26" xfId="33586" xr:uid="{00000000-0005-0000-0000-000034830000}"/>
    <cellStyle name="输出 4 2 27" xfId="33587" xr:uid="{00000000-0005-0000-0000-000035830000}"/>
    <cellStyle name="输出 4 2 28" xfId="33588" xr:uid="{00000000-0005-0000-0000-000036830000}"/>
    <cellStyle name="输出 4 2 29" xfId="33589" xr:uid="{00000000-0005-0000-0000-000037830000}"/>
    <cellStyle name="输出 4 2 3" xfId="33590" xr:uid="{00000000-0005-0000-0000-000038830000}"/>
    <cellStyle name="输出 4 2 30" xfId="33591" xr:uid="{00000000-0005-0000-0000-000039830000}"/>
    <cellStyle name="输出 4 2 31" xfId="33592" xr:uid="{00000000-0005-0000-0000-00003A830000}"/>
    <cellStyle name="输出 4 2 32" xfId="33593" xr:uid="{00000000-0005-0000-0000-00003B830000}"/>
    <cellStyle name="输出 4 2 33" xfId="33594" xr:uid="{00000000-0005-0000-0000-00003C830000}"/>
    <cellStyle name="输出 4 2 34" xfId="33595" xr:uid="{00000000-0005-0000-0000-00003D830000}"/>
    <cellStyle name="输出 4 2 4" xfId="33596" xr:uid="{00000000-0005-0000-0000-00003E830000}"/>
    <cellStyle name="输出 4 2 5" xfId="33597" xr:uid="{00000000-0005-0000-0000-00003F830000}"/>
    <cellStyle name="输出 4 2 6" xfId="33598" xr:uid="{00000000-0005-0000-0000-000040830000}"/>
    <cellStyle name="输出 4 2 7" xfId="33599" xr:uid="{00000000-0005-0000-0000-000041830000}"/>
    <cellStyle name="输出 4 2 8" xfId="33600" xr:uid="{00000000-0005-0000-0000-000042830000}"/>
    <cellStyle name="输出 4 2 9" xfId="33601" xr:uid="{00000000-0005-0000-0000-000043830000}"/>
    <cellStyle name="输出 4 20" xfId="33602" xr:uid="{00000000-0005-0000-0000-000044830000}"/>
    <cellStyle name="输出 4 3" xfId="33603" xr:uid="{00000000-0005-0000-0000-000045830000}"/>
    <cellStyle name="输出 4 3 2" xfId="33604" xr:uid="{00000000-0005-0000-0000-000046830000}"/>
    <cellStyle name="输出 4 3 3" xfId="33605" xr:uid="{00000000-0005-0000-0000-000047830000}"/>
    <cellStyle name="输出 4 4" xfId="33606" xr:uid="{00000000-0005-0000-0000-000048830000}"/>
    <cellStyle name="输出 4 5" xfId="33607" xr:uid="{00000000-0005-0000-0000-000049830000}"/>
    <cellStyle name="输出 4 6" xfId="33608" xr:uid="{00000000-0005-0000-0000-00004A830000}"/>
    <cellStyle name="输出 4 7" xfId="33609" xr:uid="{00000000-0005-0000-0000-00004B830000}"/>
    <cellStyle name="输出 4 8" xfId="33610" xr:uid="{00000000-0005-0000-0000-00004C830000}"/>
    <cellStyle name="输出 4 9" xfId="33611" xr:uid="{00000000-0005-0000-0000-00004D830000}"/>
    <cellStyle name="输出 5" xfId="33612" xr:uid="{00000000-0005-0000-0000-00004E830000}"/>
    <cellStyle name="输出 5 10" xfId="33613" xr:uid="{00000000-0005-0000-0000-00004F830000}"/>
    <cellStyle name="输出 5 11" xfId="33614" xr:uid="{00000000-0005-0000-0000-000050830000}"/>
    <cellStyle name="输出 5 12" xfId="33615" xr:uid="{00000000-0005-0000-0000-000051830000}"/>
    <cellStyle name="输出 5 13" xfId="33616" xr:uid="{00000000-0005-0000-0000-000052830000}"/>
    <cellStyle name="输出 5 14" xfId="33617" xr:uid="{00000000-0005-0000-0000-000053830000}"/>
    <cellStyle name="输出 5 15" xfId="33618" xr:uid="{00000000-0005-0000-0000-000054830000}"/>
    <cellStyle name="输出 5 16" xfId="33619" xr:uid="{00000000-0005-0000-0000-000055830000}"/>
    <cellStyle name="输出 5 17" xfId="33620" xr:uid="{00000000-0005-0000-0000-000056830000}"/>
    <cellStyle name="输出 5 18" xfId="33621" xr:uid="{00000000-0005-0000-0000-000057830000}"/>
    <cellStyle name="输出 5 19" xfId="33622" xr:uid="{00000000-0005-0000-0000-000058830000}"/>
    <cellStyle name="输出 5 2" xfId="33623" xr:uid="{00000000-0005-0000-0000-000059830000}"/>
    <cellStyle name="输出 5 2 10" xfId="33624" xr:uid="{00000000-0005-0000-0000-00005A830000}"/>
    <cellStyle name="输出 5 2 11" xfId="33625" xr:uid="{00000000-0005-0000-0000-00005B830000}"/>
    <cellStyle name="输出 5 2 12" xfId="33626" xr:uid="{00000000-0005-0000-0000-00005C830000}"/>
    <cellStyle name="输出 5 2 13" xfId="33627" xr:uid="{00000000-0005-0000-0000-00005D830000}"/>
    <cellStyle name="输出 5 2 14" xfId="33628" xr:uid="{00000000-0005-0000-0000-00005E830000}"/>
    <cellStyle name="输出 5 2 15" xfId="33629" xr:uid="{00000000-0005-0000-0000-00005F830000}"/>
    <cellStyle name="输出 5 2 16" xfId="33630" xr:uid="{00000000-0005-0000-0000-000060830000}"/>
    <cellStyle name="输出 5 2 17" xfId="33631" xr:uid="{00000000-0005-0000-0000-000061830000}"/>
    <cellStyle name="输出 5 2 18" xfId="33632" xr:uid="{00000000-0005-0000-0000-000062830000}"/>
    <cellStyle name="输出 5 2 19" xfId="33633" xr:uid="{00000000-0005-0000-0000-000063830000}"/>
    <cellStyle name="输出 5 2 2" xfId="33634" xr:uid="{00000000-0005-0000-0000-000064830000}"/>
    <cellStyle name="输出 5 2 20" xfId="33635" xr:uid="{00000000-0005-0000-0000-000065830000}"/>
    <cellStyle name="输出 5 2 21" xfId="33636" xr:uid="{00000000-0005-0000-0000-000066830000}"/>
    <cellStyle name="输出 5 2 22" xfId="33637" xr:uid="{00000000-0005-0000-0000-000067830000}"/>
    <cellStyle name="输出 5 2 23" xfId="33638" xr:uid="{00000000-0005-0000-0000-000068830000}"/>
    <cellStyle name="输出 5 2 24" xfId="33639" xr:uid="{00000000-0005-0000-0000-000069830000}"/>
    <cellStyle name="输出 5 2 25" xfId="33640" xr:uid="{00000000-0005-0000-0000-00006A830000}"/>
    <cellStyle name="输出 5 2 26" xfId="33641" xr:uid="{00000000-0005-0000-0000-00006B830000}"/>
    <cellStyle name="输出 5 2 27" xfId="33642" xr:uid="{00000000-0005-0000-0000-00006C830000}"/>
    <cellStyle name="输出 5 2 28" xfId="33643" xr:uid="{00000000-0005-0000-0000-00006D830000}"/>
    <cellStyle name="输出 5 2 29" xfId="33644" xr:uid="{00000000-0005-0000-0000-00006E830000}"/>
    <cellStyle name="输出 5 2 3" xfId="33645" xr:uid="{00000000-0005-0000-0000-00006F830000}"/>
    <cellStyle name="输出 5 2 30" xfId="33646" xr:uid="{00000000-0005-0000-0000-000070830000}"/>
    <cellStyle name="输出 5 2 31" xfId="33647" xr:uid="{00000000-0005-0000-0000-000071830000}"/>
    <cellStyle name="输出 5 2 32" xfId="33648" xr:uid="{00000000-0005-0000-0000-000072830000}"/>
    <cellStyle name="输出 5 2 33" xfId="33649" xr:uid="{00000000-0005-0000-0000-000073830000}"/>
    <cellStyle name="输出 5 2 34" xfId="33650" xr:uid="{00000000-0005-0000-0000-000074830000}"/>
    <cellStyle name="输出 5 2 4" xfId="33651" xr:uid="{00000000-0005-0000-0000-000075830000}"/>
    <cellStyle name="输出 5 2 5" xfId="33652" xr:uid="{00000000-0005-0000-0000-000076830000}"/>
    <cellStyle name="输出 5 2 6" xfId="33653" xr:uid="{00000000-0005-0000-0000-000077830000}"/>
    <cellStyle name="输出 5 2 7" xfId="33654" xr:uid="{00000000-0005-0000-0000-000078830000}"/>
    <cellStyle name="输出 5 2 8" xfId="33655" xr:uid="{00000000-0005-0000-0000-000079830000}"/>
    <cellStyle name="输出 5 2 9" xfId="33656" xr:uid="{00000000-0005-0000-0000-00007A830000}"/>
    <cellStyle name="输出 5 20" xfId="33657" xr:uid="{00000000-0005-0000-0000-00007B830000}"/>
    <cellStyle name="输出 5 3" xfId="33658" xr:uid="{00000000-0005-0000-0000-00007C830000}"/>
    <cellStyle name="输出 5 3 2" xfId="33659" xr:uid="{00000000-0005-0000-0000-00007D830000}"/>
    <cellStyle name="输出 5 3 3" xfId="33660" xr:uid="{00000000-0005-0000-0000-00007E830000}"/>
    <cellStyle name="输出 5 4" xfId="33661" xr:uid="{00000000-0005-0000-0000-00007F830000}"/>
    <cellStyle name="输出 5 5" xfId="33662" xr:uid="{00000000-0005-0000-0000-000080830000}"/>
    <cellStyle name="输出 5 6" xfId="33663" xr:uid="{00000000-0005-0000-0000-000081830000}"/>
    <cellStyle name="输出 5 7" xfId="33664" xr:uid="{00000000-0005-0000-0000-000082830000}"/>
    <cellStyle name="输出 5 8" xfId="33665" xr:uid="{00000000-0005-0000-0000-000083830000}"/>
    <cellStyle name="输出 5 9" xfId="33666" xr:uid="{00000000-0005-0000-0000-000084830000}"/>
    <cellStyle name="输出 6" xfId="33667" xr:uid="{00000000-0005-0000-0000-000085830000}"/>
    <cellStyle name="输出 6 10" xfId="33668" xr:uid="{00000000-0005-0000-0000-000086830000}"/>
    <cellStyle name="输出 6 11" xfId="33669" xr:uid="{00000000-0005-0000-0000-000087830000}"/>
    <cellStyle name="输出 6 12" xfId="33670" xr:uid="{00000000-0005-0000-0000-000088830000}"/>
    <cellStyle name="输出 6 13" xfId="33671" xr:uid="{00000000-0005-0000-0000-000089830000}"/>
    <cellStyle name="输出 6 14" xfId="33672" xr:uid="{00000000-0005-0000-0000-00008A830000}"/>
    <cellStyle name="输出 6 15" xfId="33673" xr:uid="{00000000-0005-0000-0000-00008B830000}"/>
    <cellStyle name="输出 6 16" xfId="33674" xr:uid="{00000000-0005-0000-0000-00008C830000}"/>
    <cellStyle name="输出 6 17" xfId="33675" xr:uid="{00000000-0005-0000-0000-00008D830000}"/>
    <cellStyle name="输出 6 18" xfId="33676" xr:uid="{00000000-0005-0000-0000-00008E830000}"/>
    <cellStyle name="输出 6 19" xfId="33677" xr:uid="{00000000-0005-0000-0000-00008F830000}"/>
    <cellStyle name="输出 6 2" xfId="33678" xr:uid="{00000000-0005-0000-0000-000090830000}"/>
    <cellStyle name="输出 6 2 10" xfId="33679" xr:uid="{00000000-0005-0000-0000-000091830000}"/>
    <cellStyle name="输出 6 2 11" xfId="33680" xr:uid="{00000000-0005-0000-0000-000092830000}"/>
    <cellStyle name="输出 6 2 12" xfId="33681" xr:uid="{00000000-0005-0000-0000-000093830000}"/>
    <cellStyle name="输出 6 2 13" xfId="33682" xr:uid="{00000000-0005-0000-0000-000094830000}"/>
    <cellStyle name="输出 6 2 14" xfId="33683" xr:uid="{00000000-0005-0000-0000-000095830000}"/>
    <cellStyle name="输出 6 2 15" xfId="33684" xr:uid="{00000000-0005-0000-0000-000096830000}"/>
    <cellStyle name="输出 6 2 16" xfId="33685" xr:uid="{00000000-0005-0000-0000-000097830000}"/>
    <cellStyle name="输出 6 2 17" xfId="33686" xr:uid="{00000000-0005-0000-0000-000098830000}"/>
    <cellStyle name="输出 6 2 18" xfId="33687" xr:uid="{00000000-0005-0000-0000-000099830000}"/>
    <cellStyle name="输出 6 2 19" xfId="33688" xr:uid="{00000000-0005-0000-0000-00009A830000}"/>
    <cellStyle name="输出 6 2 2" xfId="33689" xr:uid="{00000000-0005-0000-0000-00009B830000}"/>
    <cellStyle name="输出 6 2 20" xfId="33690" xr:uid="{00000000-0005-0000-0000-00009C830000}"/>
    <cellStyle name="输出 6 2 21" xfId="33691" xr:uid="{00000000-0005-0000-0000-00009D830000}"/>
    <cellStyle name="输出 6 2 22" xfId="33692" xr:uid="{00000000-0005-0000-0000-00009E830000}"/>
    <cellStyle name="输出 6 2 23" xfId="33693" xr:uid="{00000000-0005-0000-0000-00009F830000}"/>
    <cellStyle name="输出 6 2 24" xfId="33694" xr:uid="{00000000-0005-0000-0000-0000A0830000}"/>
    <cellStyle name="输出 6 2 25" xfId="33695" xr:uid="{00000000-0005-0000-0000-0000A1830000}"/>
    <cellStyle name="输出 6 2 26" xfId="33696" xr:uid="{00000000-0005-0000-0000-0000A2830000}"/>
    <cellStyle name="输出 6 2 27" xfId="33697" xr:uid="{00000000-0005-0000-0000-0000A3830000}"/>
    <cellStyle name="输出 6 2 28" xfId="33698" xr:uid="{00000000-0005-0000-0000-0000A4830000}"/>
    <cellStyle name="输出 6 2 29" xfId="33699" xr:uid="{00000000-0005-0000-0000-0000A5830000}"/>
    <cellStyle name="输出 6 2 3" xfId="33700" xr:uid="{00000000-0005-0000-0000-0000A6830000}"/>
    <cellStyle name="输出 6 2 30" xfId="33701" xr:uid="{00000000-0005-0000-0000-0000A7830000}"/>
    <cellStyle name="输出 6 2 31" xfId="33702" xr:uid="{00000000-0005-0000-0000-0000A8830000}"/>
    <cellStyle name="输出 6 2 32" xfId="33703" xr:uid="{00000000-0005-0000-0000-0000A9830000}"/>
    <cellStyle name="输出 6 2 33" xfId="33704" xr:uid="{00000000-0005-0000-0000-0000AA830000}"/>
    <cellStyle name="输出 6 2 34" xfId="33705" xr:uid="{00000000-0005-0000-0000-0000AB830000}"/>
    <cellStyle name="输出 6 2 4" xfId="33706" xr:uid="{00000000-0005-0000-0000-0000AC830000}"/>
    <cellStyle name="输出 6 2 5" xfId="33707" xr:uid="{00000000-0005-0000-0000-0000AD830000}"/>
    <cellStyle name="输出 6 2 6" xfId="33708" xr:uid="{00000000-0005-0000-0000-0000AE830000}"/>
    <cellStyle name="输出 6 2 7" xfId="33709" xr:uid="{00000000-0005-0000-0000-0000AF830000}"/>
    <cellStyle name="输出 6 2 8" xfId="33710" xr:uid="{00000000-0005-0000-0000-0000B0830000}"/>
    <cellStyle name="输出 6 2 9" xfId="33711" xr:uid="{00000000-0005-0000-0000-0000B1830000}"/>
    <cellStyle name="输出 6 20" xfId="33712" xr:uid="{00000000-0005-0000-0000-0000B2830000}"/>
    <cellStyle name="输出 6 3" xfId="33713" xr:uid="{00000000-0005-0000-0000-0000B3830000}"/>
    <cellStyle name="输出 6 3 2" xfId="33714" xr:uid="{00000000-0005-0000-0000-0000B4830000}"/>
    <cellStyle name="输出 6 3 3" xfId="33715" xr:uid="{00000000-0005-0000-0000-0000B5830000}"/>
    <cellStyle name="输出 6 4" xfId="33716" xr:uid="{00000000-0005-0000-0000-0000B6830000}"/>
    <cellStyle name="输出 6 5" xfId="33717" xr:uid="{00000000-0005-0000-0000-0000B7830000}"/>
    <cellStyle name="输出 6 6" xfId="33718" xr:uid="{00000000-0005-0000-0000-0000B8830000}"/>
    <cellStyle name="输出 6 7" xfId="33719" xr:uid="{00000000-0005-0000-0000-0000B9830000}"/>
    <cellStyle name="输出 6 8" xfId="33720" xr:uid="{00000000-0005-0000-0000-0000BA830000}"/>
    <cellStyle name="输出 6 9" xfId="33721" xr:uid="{00000000-0005-0000-0000-0000BB830000}"/>
    <cellStyle name="输出 7" xfId="33722" xr:uid="{00000000-0005-0000-0000-0000BC830000}"/>
    <cellStyle name="输出 7 10" xfId="33723" xr:uid="{00000000-0005-0000-0000-0000BD830000}"/>
    <cellStyle name="输出 7 11" xfId="33724" xr:uid="{00000000-0005-0000-0000-0000BE830000}"/>
    <cellStyle name="输出 7 12" xfId="33725" xr:uid="{00000000-0005-0000-0000-0000BF830000}"/>
    <cellStyle name="输出 7 13" xfId="33726" xr:uid="{00000000-0005-0000-0000-0000C0830000}"/>
    <cellStyle name="输出 7 14" xfId="33727" xr:uid="{00000000-0005-0000-0000-0000C1830000}"/>
    <cellStyle name="输出 7 15" xfId="33728" xr:uid="{00000000-0005-0000-0000-0000C2830000}"/>
    <cellStyle name="输出 7 16" xfId="33729" xr:uid="{00000000-0005-0000-0000-0000C3830000}"/>
    <cellStyle name="输出 7 17" xfId="33730" xr:uid="{00000000-0005-0000-0000-0000C4830000}"/>
    <cellStyle name="输出 7 18" xfId="33731" xr:uid="{00000000-0005-0000-0000-0000C5830000}"/>
    <cellStyle name="输出 7 19" xfId="33732" xr:uid="{00000000-0005-0000-0000-0000C6830000}"/>
    <cellStyle name="输出 7 2" xfId="33733" xr:uid="{00000000-0005-0000-0000-0000C7830000}"/>
    <cellStyle name="输出 7 20" xfId="33734" xr:uid="{00000000-0005-0000-0000-0000C8830000}"/>
    <cellStyle name="输出 7 21" xfId="33735" xr:uid="{00000000-0005-0000-0000-0000C9830000}"/>
    <cellStyle name="输出 7 22" xfId="33736" xr:uid="{00000000-0005-0000-0000-0000CA830000}"/>
    <cellStyle name="输出 7 23" xfId="33737" xr:uid="{00000000-0005-0000-0000-0000CB830000}"/>
    <cellStyle name="输出 7 24" xfId="33738" xr:uid="{00000000-0005-0000-0000-0000CC830000}"/>
    <cellStyle name="输出 7 25" xfId="33739" xr:uid="{00000000-0005-0000-0000-0000CD830000}"/>
    <cellStyle name="输出 7 26" xfId="33740" xr:uid="{00000000-0005-0000-0000-0000CE830000}"/>
    <cellStyle name="输出 7 27" xfId="33741" xr:uid="{00000000-0005-0000-0000-0000CF830000}"/>
    <cellStyle name="输出 7 28" xfId="33742" xr:uid="{00000000-0005-0000-0000-0000D0830000}"/>
    <cellStyle name="输出 7 29" xfId="33743" xr:uid="{00000000-0005-0000-0000-0000D1830000}"/>
    <cellStyle name="输出 7 3" xfId="33744" xr:uid="{00000000-0005-0000-0000-0000D2830000}"/>
    <cellStyle name="输出 7 30" xfId="33745" xr:uid="{00000000-0005-0000-0000-0000D3830000}"/>
    <cellStyle name="输出 7 31" xfId="33746" xr:uid="{00000000-0005-0000-0000-0000D4830000}"/>
    <cellStyle name="输出 7 32" xfId="33747" xr:uid="{00000000-0005-0000-0000-0000D5830000}"/>
    <cellStyle name="输出 7 33" xfId="33748" xr:uid="{00000000-0005-0000-0000-0000D6830000}"/>
    <cellStyle name="输出 7 34" xfId="33749" xr:uid="{00000000-0005-0000-0000-0000D7830000}"/>
    <cellStyle name="输出 7 4" xfId="33750" xr:uid="{00000000-0005-0000-0000-0000D8830000}"/>
    <cellStyle name="输出 7 5" xfId="33751" xr:uid="{00000000-0005-0000-0000-0000D9830000}"/>
    <cellStyle name="输出 7 6" xfId="33752" xr:uid="{00000000-0005-0000-0000-0000DA830000}"/>
    <cellStyle name="输出 7 7" xfId="33753" xr:uid="{00000000-0005-0000-0000-0000DB830000}"/>
    <cellStyle name="输出 7 8" xfId="33754" xr:uid="{00000000-0005-0000-0000-0000DC830000}"/>
    <cellStyle name="输出 7 9" xfId="33755" xr:uid="{00000000-0005-0000-0000-0000DD830000}"/>
    <cellStyle name="输出 8" xfId="33756" xr:uid="{00000000-0005-0000-0000-0000DE830000}"/>
    <cellStyle name="输出 8 2" xfId="33757" xr:uid="{00000000-0005-0000-0000-0000DF830000}"/>
    <cellStyle name="输出 8 3" xfId="33758" xr:uid="{00000000-0005-0000-0000-0000E0830000}"/>
    <cellStyle name="输出 9" xfId="33759" xr:uid="{00000000-0005-0000-0000-0000E1830000}"/>
    <cellStyle name="适中" xfId="33760" xr:uid="{00000000-0005-0000-0000-0000E2830000}"/>
    <cellStyle name="适中 2" xfId="33761" xr:uid="{00000000-0005-0000-0000-0000E3830000}"/>
    <cellStyle name="适中 3" xfId="33762" xr:uid="{00000000-0005-0000-0000-0000E4830000}"/>
    <cellStyle name="适中 4" xfId="33763" xr:uid="{00000000-0005-0000-0000-0000E5830000}"/>
    <cellStyle name="适中 5" xfId="33764" xr:uid="{00000000-0005-0000-0000-0000E6830000}"/>
    <cellStyle name="适中 6" xfId="33765" xr:uid="{00000000-0005-0000-0000-0000E7830000}"/>
    <cellStyle name="通貨 [0.00]_laroux" xfId="33766" xr:uid="{00000000-0005-0000-0000-0000E8830000}"/>
    <cellStyle name="通貨_laroux" xfId="33767" xr:uid="{00000000-0005-0000-0000-0000E9830000}"/>
    <cellStyle name="钎霖_laroux" xfId="33768" xr:uid="{00000000-0005-0000-0000-0000EA830000}"/>
    <cellStyle name="链接单元格" xfId="33769" xr:uid="{00000000-0005-0000-0000-0000EB830000}"/>
    <cellStyle name="链接单元格 2" xfId="33770" xr:uid="{00000000-0005-0000-0000-0000EC830000}"/>
    <cellStyle name="链接单元格 3" xfId="33771" xr:uid="{00000000-0005-0000-0000-0000ED830000}"/>
    <cellStyle name="链接单元格 4" xfId="33772" xr:uid="{00000000-0005-0000-0000-0000EE830000}"/>
    <cellStyle name="链接单元格 5" xfId="33773" xr:uid="{00000000-0005-0000-0000-0000EF830000}"/>
    <cellStyle name="链接单元格 6" xfId="33774" xr:uid="{00000000-0005-0000-0000-0000F0830000}"/>
    <cellStyle name="集計" xfId="33775" xr:uid="{00000000-0005-0000-0000-0000F1830000}"/>
    <cellStyle name="集計 10" xfId="33776" xr:uid="{00000000-0005-0000-0000-0000F2830000}"/>
    <cellStyle name="集計 11" xfId="33777" xr:uid="{00000000-0005-0000-0000-0000F3830000}"/>
    <cellStyle name="集計 12" xfId="33778" xr:uid="{00000000-0005-0000-0000-0000F4830000}"/>
    <cellStyle name="集計 13" xfId="33779" xr:uid="{00000000-0005-0000-0000-0000F5830000}"/>
    <cellStyle name="集計 14" xfId="33780" xr:uid="{00000000-0005-0000-0000-0000F6830000}"/>
    <cellStyle name="集計 15" xfId="33781" xr:uid="{00000000-0005-0000-0000-0000F7830000}"/>
    <cellStyle name="集計 16" xfId="33782" xr:uid="{00000000-0005-0000-0000-0000F8830000}"/>
    <cellStyle name="集計 17" xfId="33783" xr:uid="{00000000-0005-0000-0000-0000F9830000}"/>
    <cellStyle name="集計 18" xfId="33784" xr:uid="{00000000-0005-0000-0000-0000FA830000}"/>
    <cellStyle name="集計 19" xfId="33785" xr:uid="{00000000-0005-0000-0000-0000FB830000}"/>
    <cellStyle name="集計 2" xfId="33786" xr:uid="{00000000-0005-0000-0000-0000FC830000}"/>
    <cellStyle name="集計 2 10" xfId="33787" xr:uid="{00000000-0005-0000-0000-0000FD830000}"/>
    <cellStyle name="集計 2 11" xfId="33788" xr:uid="{00000000-0005-0000-0000-0000FE830000}"/>
    <cellStyle name="集計 2 12" xfId="33789" xr:uid="{00000000-0005-0000-0000-0000FF830000}"/>
    <cellStyle name="集計 2 13" xfId="33790" xr:uid="{00000000-0005-0000-0000-000000840000}"/>
    <cellStyle name="集計 2 14" xfId="33791" xr:uid="{00000000-0005-0000-0000-000001840000}"/>
    <cellStyle name="集計 2 15" xfId="33792" xr:uid="{00000000-0005-0000-0000-000002840000}"/>
    <cellStyle name="集計 2 16" xfId="33793" xr:uid="{00000000-0005-0000-0000-000003840000}"/>
    <cellStyle name="集計 2 17" xfId="33794" xr:uid="{00000000-0005-0000-0000-000004840000}"/>
    <cellStyle name="集計 2 18" xfId="33795" xr:uid="{00000000-0005-0000-0000-000005840000}"/>
    <cellStyle name="集計 2 19" xfId="33796" xr:uid="{00000000-0005-0000-0000-000006840000}"/>
    <cellStyle name="集計 2 2" xfId="33797" xr:uid="{00000000-0005-0000-0000-000007840000}"/>
    <cellStyle name="集計 2 20" xfId="33798" xr:uid="{00000000-0005-0000-0000-000008840000}"/>
    <cellStyle name="集計 2 21" xfId="33799" xr:uid="{00000000-0005-0000-0000-000009840000}"/>
    <cellStyle name="集計 2 22" xfId="33800" xr:uid="{00000000-0005-0000-0000-00000A840000}"/>
    <cellStyle name="集計 2 23" xfId="33801" xr:uid="{00000000-0005-0000-0000-00000B840000}"/>
    <cellStyle name="集計 2 24" xfId="33802" xr:uid="{00000000-0005-0000-0000-00000C840000}"/>
    <cellStyle name="集計 2 25" xfId="33803" xr:uid="{00000000-0005-0000-0000-00000D840000}"/>
    <cellStyle name="集計 2 26" xfId="33804" xr:uid="{00000000-0005-0000-0000-00000E840000}"/>
    <cellStyle name="集計 2 27" xfId="33805" xr:uid="{00000000-0005-0000-0000-00000F840000}"/>
    <cellStyle name="集計 2 28" xfId="33806" xr:uid="{00000000-0005-0000-0000-000010840000}"/>
    <cellStyle name="集計 2 29" xfId="33807" xr:uid="{00000000-0005-0000-0000-000011840000}"/>
    <cellStyle name="集計 2 3" xfId="33808" xr:uid="{00000000-0005-0000-0000-000012840000}"/>
    <cellStyle name="集計 2 30" xfId="33809" xr:uid="{00000000-0005-0000-0000-000013840000}"/>
    <cellStyle name="集計 2 31" xfId="33810" xr:uid="{00000000-0005-0000-0000-000014840000}"/>
    <cellStyle name="集計 2 32" xfId="33811" xr:uid="{00000000-0005-0000-0000-000015840000}"/>
    <cellStyle name="集計 2 33" xfId="33812" xr:uid="{00000000-0005-0000-0000-000016840000}"/>
    <cellStyle name="集計 2 34" xfId="33813" xr:uid="{00000000-0005-0000-0000-000017840000}"/>
    <cellStyle name="集計 2 4" xfId="33814" xr:uid="{00000000-0005-0000-0000-000018840000}"/>
    <cellStyle name="集計 2 5" xfId="33815" xr:uid="{00000000-0005-0000-0000-000019840000}"/>
    <cellStyle name="集計 2 6" xfId="33816" xr:uid="{00000000-0005-0000-0000-00001A840000}"/>
    <cellStyle name="集計 2 7" xfId="33817" xr:uid="{00000000-0005-0000-0000-00001B840000}"/>
    <cellStyle name="集計 2 8" xfId="33818" xr:uid="{00000000-0005-0000-0000-00001C840000}"/>
    <cellStyle name="集計 2 9" xfId="33819" xr:uid="{00000000-0005-0000-0000-00001D840000}"/>
    <cellStyle name="集計 20" xfId="33820" xr:uid="{00000000-0005-0000-0000-00001E840000}"/>
    <cellStyle name="集計 3" xfId="33821" xr:uid="{00000000-0005-0000-0000-00001F840000}"/>
    <cellStyle name="集計 3 2" xfId="33822" xr:uid="{00000000-0005-0000-0000-000020840000}"/>
    <cellStyle name="集計 3 3" xfId="33823" xr:uid="{00000000-0005-0000-0000-000021840000}"/>
    <cellStyle name="集計 4" xfId="33824" xr:uid="{00000000-0005-0000-0000-000022840000}"/>
    <cellStyle name="集計 5" xfId="33825" xr:uid="{00000000-0005-0000-0000-000023840000}"/>
    <cellStyle name="集計 6" xfId="33826" xr:uid="{00000000-0005-0000-0000-000024840000}"/>
    <cellStyle name="集計 7" xfId="33827" xr:uid="{00000000-0005-0000-0000-000025840000}"/>
    <cellStyle name="集計 8" xfId="33828" xr:uid="{00000000-0005-0000-0000-000026840000}"/>
    <cellStyle name="集計 9" xfId="33829" xr:uid="{00000000-0005-0000-0000-000027840000}"/>
    <cellStyle name="霓付 [0]_97MBO" xfId="33830" xr:uid="{00000000-0005-0000-0000-000028840000}"/>
    <cellStyle name="霓付_97MBO" xfId="33831" xr:uid="{00000000-0005-0000-0000-000029840000}"/>
  </cellStyles>
  <dxfs count="95"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164" formatCode="[$-409]mmmm\-yy;@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302" formatCode="0\ &quot;Days&quot;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  <protection locked="1" hidden="0"/>
    </dxf>
    <dxf>
      <numFmt numFmtId="19" formatCode="yyyy/mm/dd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4" formatCode="#,##0.0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auto="1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0" formatCode="0.0#\ &quot;m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1" formatCode="0.0#\ &quot;kW&quot;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304" formatCode="&quot;CAR&quot;000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6" tint="0.39994506668294322"/>
      </font>
      <fill>
        <patternFill>
          <bgColor theme="6" tint="0.3999450666829432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9" defaultTableStyle="TableStyleMedium2" defaultPivotStyle="PivotStyleLight16">
    <tableStyle name="MySqlDefault" pivot="0" table="0" count="2" xr9:uid="{00000000-0011-0000-FFFF-FFFF00000000}">
      <tableStyleElement type="wholeTable" dxfId="94"/>
      <tableStyleElement type="headerRow" dxfId="93"/>
    </tableStyle>
    <tableStyle name="Slicer Style 1" pivot="0" table="0" count="1" xr9:uid="{00000000-0011-0000-FFFF-FFFF01000000}">
      <tableStyleElement type="wholeTable" dxfId="92"/>
    </tableStyle>
    <tableStyle name="Slicer Style New" pivot="0" table="0" count="10" xr9:uid="{00000000-0011-0000-FFFF-FFFF02000000}">
      <tableStyleElement type="wholeTable" dxfId="91"/>
      <tableStyleElement type="headerRow" dxfId="90"/>
    </tableStyle>
    <tableStyle name="SlicerStyleLight1 2" pivot="0" table="0" count="10" xr9:uid="{04F3D090-57BA-42A8-A8D7-4E3421125EC6}">
      <tableStyleElement type="wholeTable" dxfId="89"/>
      <tableStyleElement type="headerRow" dxfId="88"/>
    </tableStyle>
    <tableStyle name="SlicerStyleLight2 2" pivot="0" table="0" count="10" xr9:uid="{8F21480C-DA51-45E1-BD65-41810A9BB42F}">
      <tableStyleElement type="wholeTable" dxfId="87"/>
      <tableStyleElement type="headerRow" dxfId="86"/>
    </tableStyle>
    <tableStyle name="SlicerStyleLight4 2" pivot="0" table="0" count="10" xr9:uid="{8B7E8BF7-8F1E-4F4E-8386-F4BD3D344F97}">
      <tableStyleElement type="wholeTable" dxfId="85"/>
      <tableStyleElement type="headerRow" dxfId="84"/>
    </tableStyle>
    <tableStyle name="SlicerStyleLight6 2" pivot="0" table="0" count="10" xr9:uid="{3D2E40EC-16FF-4D6A-B2E6-055EBE416B5C}">
      <tableStyleElement type="wholeTable" dxfId="83"/>
      <tableStyleElement type="headerRow" dxfId="82"/>
    </tableStyle>
    <tableStyle name="TimeSlicerStyleLight1 2" pivot="0" table="0" count="9" xr9:uid="{B849AAC8-B35B-4797-B829-468E81F926EA}">
      <tableStyleElement type="wholeTable" dxfId="81"/>
      <tableStyleElement type="headerRow" dxfId="80"/>
    </tableStyle>
    <tableStyle name="TimeSlicerStyleLight6 2" pivot="0" table="0" count="9" xr9:uid="{B056285F-0DEB-4F49-98D9-AE4A16315EDF}">
      <tableStyleElement type="wholeTable" dxfId="79"/>
      <tableStyleElement type="headerRow" dxfId="78"/>
    </tableStyle>
  </tableStyles>
  <extLst>
    <ext xmlns:x14="http://schemas.microsoft.com/office/spreadsheetml/2009/9/main" uri="{46F421CA-312F-682f-3DD2-61675219B42D}">
      <x14:dxfs count="4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8168889431442"/>
              <bgColor theme="9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9" tint="0.39997558519241921"/>
              <bgColor theme="9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9" tint="0.59999389629810485"/>
              </stop>
              <stop position="1">
                <color theme="9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9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6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[Handover Notice 2019-01-28.xlsm]Pivot Graph1!PivotTable3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'Pivot Graph1'!$B$3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9B-44D3-9130-BEA8236659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99B-44D3-9130-BEA8236659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99B-44D3-9130-BEA8236659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99B-44D3-9130-BEA8236659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66-40F7-9883-E7AE9455C37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66-40F7-9883-E7AE9455C375}"/>
              </c:ext>
            </c:extLst>
          </c:dPt>
          <c:cat>
            <c:strRef>
              <c:f>'Pivot Graph1'!$A$4:$A$5</c:f>
              <c:strCache>
                <c:ptCount val="1"/>
                <c:pt idx="0">
                  <c:v>Prevalidated</c:v>
                </c:pt>
              </c:strCache>
            </c:strRef>
          </c:cat>
          <c:val>
            <c:numRef>
              <c:f>'Pivot Graph1'!$B$4:$B$5</c:f>
              <c:numCache>
                <c:formatCode>General</c:formatCode>
                <c:ptCount val="1"/>
                <c:pt idx="0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F-43B3-A4DE-AD78DCD0C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0</xdr:row>
      <xdr:rowOff>114300</xdr:rowOff>
    </xdr:from>
    <xdr:to>
      <xdr:col>13</xdr:col>
      <xdr:colOff>446474</xdr:colOff>
      <xdr:row>2</xdr:row>
      <xdr:rowOff>220422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6078A39-ADB4-4DE1-958E-7CDD94FED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6325" y="114300"/>
          <a:ext cx="792549" cy="883997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330201</xdr:colOff>
      <xdr:row>0</xdr:row>
      <xdr:rowOff>19051</xdr:rowOff>
    </xdr:from>
    <xdr:to>
      <xdr:col>1</xdr:col>
      <xdr:colOff>1104901</xdr:colOff>
      <xdr:row>3</xdr:row>
      <xdr:rowOff>130658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5E61C8A-E919-4838-B3DC-3C7797B35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376" y="19051"/>
          <a:ext cx="774700" cy="12641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0</xdr:row>
      <xdr:rowOff>120650</xdr:rowOff>
    </xdr:from>
    <xdr:to>
      <xdr:col>10</xdr:col>
      <xdr:colOff>104775</xdr:colOff>
      <xdr:row>15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279595-FBAC-4184-A312-B57AE25E4B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3493.752265740739" createdVersion="6" refreshedVersion="6" minRefreshableVersion="3" recordCount="400" xr:uid="{53258328-3782-45BF-AEA8-B99880F9DA82}">
  <cacheSource type="worksheet">
    <worksheetSource name="_05preva_view43"/>
  </cacheSource>
  <cacheFields count="63">
    <cacheField name="Request ID" numFmtId="304">
      <sharedItems containsSemiMixedTypes="0" containsString="0" containsNumber="1" containsInteger="1" minValue="2" maxValue="3666"/>
    </cacheField>
    <cacheField name="Site ID" numFmtId="0">
      <sharedItems/>
    </cacheField>
    <cacheField name="Legacy" numFmtId="0">
      <sharedItems/>
    </cacheField>
    <cacheField name="Region" numFmtId="0">
      <sharedItems/>
    </cacheField>
    <cacheField name="tenant id" numFmtId="0">
      <sharedItems/>
    </cacheField>
    <cacheField name="Operator" numFmtId="0">
      <sharedItems/>
    </cacheField>
    <cacheField name="Tenant Category" numFmtId="0">
      <sharedItems/>
    </cacheField>
    <cacheField name="Tenant Status" numFmtId="0">
      <sharedItems containsBlank="1"/>
    </cacheField>
    <cacheField name="Scope" numFmtId="0">
      <sharedItems/>
    </cacheField>
    <cacheField name="Colo Rev" numFmtId="0">
      <sharedItems containsBlank="1"/>
    </cacheField>
    <cacheField name="Request Date" numFmtId="14">
      <sharedItems containsSemiMixedTypes="0" containsNonDate="0" containsDate="1" containsString="0" minDate="2018-03-13T00:00:00" maxDate="2019-01-26T00:00:00" count="75">
        <d v="2019-01-25T00:00:00"/>
        <d v="2019-01-24T00:00:00"/>
        <d v="2019-01-23T00:00:00"/>
        <d v="2019-01-22T00:00:00"/>
        <d v="2019-01-21T00:00:00"/>
        <d v="2019-01-18T00:00:00"/>
        <d v="2019-01-17T00:00:00"/>
        <d v="2019-01-16T00:00:00"/>
        <d v="2019-01-15T00:00:00"/>
        <d v="2019-01-14T00:00:00"/>
        <d v="2019-01-11T00:00:00"/>
        <d v="2019-01-10T00:00:00"/>
        <d v="2019-01-09T00:00:00"/>
        <d v="2019-01-08T00:00:00"/>
        <d v="2019-01-07T00:00:00"/>
        <d v="2019-01-03T00:00:00"/>
        <d v="2019-01-02T00:00:00"/>
        <d v="2018-12-27T00:00:00"/>
        <d v="2018-12-26T00:00:00"/>
        <d v="2018-12-24T00:00:00"/>
        <d v="2018-12-18T00:00:00"/>
        <d v="2018-12-17T00:00:00"/>
        <d v="2018-12-13T00:00:00"/>
        <d v="2018-12-12T00:00:00"/>
        <d v="2018-12-11T00:00:00"/>
        <d v="2018-12-10T00:00:00"/>
        <d v="2018-12-07T00:00:00"/>
        <d v="2018-12-06T00:00:00"/>
        <d v="2018-12-03T00:00:00"/>
        <d v="2018-11-30T00:00:00"/>
        <d v="2018-11-28T00:00:00"/>
        <d v="2018-11-27T00:00:00"/>
        <d v="2018-11-26T00:00:00"/>
        <d v="2018-11-20T00:00:00"/>
        <d v="2018-11-16T00:00:00"/>
        <d v="2018-11-15T00:00:00"/>
        <d v="2018-11-14T00:00:00"/>
        <d v="2018-11-13T00:00:00"/>
        <d v="2018-11-08T00:00:00"/>
        <d v="2018-11-07T00:00:00"/>
        <d v="2018-11-05T00:00:00"/>
        <d v="2018-11-01T00:00:00"/>
        <d v="2018-10-31T00:00:00"/>
        <d v="2018-10-30T00:00:00"/>
        <d v="2018-10-29T00:00:00"/>
        <d v="2018-10-18T00:00:00"/>
        <d v="2018-10-16T00:00:00"/>
        <d v="2018-10-15T00:00:00"/>
        <d v="2018-10-11T00:00:00"/>
        <d v="2018-09-07T00:00:00"/>
        <d v="2018-08-15T00:00:00"/>
        <d v="2018-08-06T00:00:00"/>
        <d v="2018-07-26T00:00:00"/>
        <d v="2018-07-18T00:00:00"/>
        <d v="2018-07-17T00:00:00"/>
        <d v="2018-07-09T00:00:00"/>
        <d v="2018-07-05T00:00:00"/>
        <d v="2018-06-26T00:00:00"/>
        <d v="2018-06-22T00:00:00"/>
        <d v="2018-06-16T00:00:00"/>
        <d v="2018-06-14T00:00:00"/>
        <d v="2018-06-12T00:00:00"/>
        <d v="2018-06-06T00:00:00"/>
        <d v="2018-05-30T00:00:00"/>
        <d v="2018-05-25T00:00:00"/>
        <d v="2018-05-17T00:00:00"/>
        <d v="2018-05-16T00:00:00"/>
        <d v="2018-05-14T00:00:00"/>
        <d v="2018-05-04T00:00:00"/>
        <d v="2018-04-12T00:00:00"/>
        <d v="2018-04-03T00:00:00"/>
        <d v="2018-04-02T00:00:00"/>
        <d v="2018-03-30T00:00:00"/>
        <d v="2018-03-22T00:00:00"/>
        <d v="2018-03-13T00:00:00"/>
      </sharedItems>
      <fieldGroup par="62" base="10">
        <rangePr groupBy="days" startDate="2018-03-13T00:00:00" endDate="2019-01-26T00:00:00"/>
        <groupItems count="368">
          <s v="&lt;2018-03-1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19-01-26"/>
        </groupItems>
      </fieldGroup>
    </cacheField>
    <cacheField name="Average Power Requested" numFmtId="301">
      <sharedItems containsString="0" containsBlank="1" containsNumber="1" minValue="0.58399999999999996" maxValue="3.8"/>
    </cacheField>
    <cacheField name="Peak Power Requested" numFmtId="301">
      <sharedItems containsString="0" containsBlank="1" containsNumber="1" minValue="0.879" maxValue="5.5259999999999998"/>
    </cacheField>
    <cacheField name="Capacity Requested" numFmtId="0">
      <sharedItems containsString="0" containsBlank="1" containsNumber="1" minValue="1" maxValue="11.26"/>
    </cacheField>
    <cacheField name="Capacity Model" numFmtId="0">
      <sharedItems/>
    </cacheField>
    <cacheField name="Lower Space Requested" numFmtId="300">
      <sharedItems containsBlank="1"/>
    </cacheField>
    <cacheField name="Upper Space Requested" numFmtId="300">
      <sharedItems containsBlank="1"/>
    </cacheField>
    <cacheField name="Prevalidation Status" numFmtId="0">
      <sharedItems count="7">
        <s v="Prevalidated"/>
        <s v="Under Prevalidation" u="1"/>
        <s v="Commercial Approval Pending" u="1"/>
        <s v="Prevalidation Rejected" u="1"/>
        <s v="Dropped by Operator" u="1"/>
        <s v="Approved" u="1"/>
        <s v="Commercial Approval Requested" u="1"/>
      </sharedItems>
    </cacheField>
    <cacheField name="General Remark" numFmtId="0">
      <sharedItems containsBlank="1"/>
    </cacheField>
    <cacheField name="LandLord" numFmtId="0">
      <sharedItems/>
    </cacheField>
    <cacheField name="LandLord Remarks" numFmtId="0">
      <sharedItems containsBlank="1" longText="1"/>
    </cacheField>
    <cacheField name="Community" numFmtId="0">
      <sharedItems/>
    </cacheField>
    <cacheField name="Community Remarks" numFmtId="0">
      <sharedItems containsBlank="1"/>
    </cacheField>
    <cacheField name="Tower Space" numFmtId="0">
      <sharedItems/>
    </cacheField>
    <cacheField name="Tower Space Remarks" numFmtId="0">
      <sharedItems containsBlank="1"/>
    </cacheField>
    <cacheField name="Structural" numFmtId="0">
      <sharedItems containsBlank="1"/>
    </cacheField>
    <cacheField name="Tower Strengthening" numFmtId="4">
      <sharedItems containsBlank="1"/>
    </cacheField>
    <cacheField name="Foundation Retrofit" numFmtId="4">
      <sharedItems containsBlank="1"/>
    </cacheField>
    <cacheField name="Tower Extension" numFmtId="0">
      <sharedItems containsBlank="1"/>
    </cacheField>
    <cacheField name="Structural Remarks" numFmtId="0">
      <sharedItems containsBlank="1"/>
    </cacheField>
    <cacheField name="Power" numFmtId="0">
      <sharedItems containsBlank="1"/>
    </cacheField>
    <cacheField name="Power Forecast" numFmtId="14">
      <sharedItems containsBlank="1"/>
    </cacheField>
    <cacheField name="Power Average" numFmtId="164">
      <sharedItems containsNonDate="0" containsDate="1" containsString="0" containsBlank="1" minDate="1900-01-01T12:00:00" maxDate="1900-01-01T12:00:00"/>
    </cacheField>
    <cacheField name="Power Peak" numFmtId="164">
      <sharedItems containsNonDate="0" containsDate="1" containsString="0" containsBlank="1" minDate="1899-12-31T00:00:00" maxDate="1900-01-02T12:00:00"/>
    </cacheField>
    <cacheField name="Power Remarks" numFmtId="0">
      <sharedItems containsBlank="1"/>
    </cacheField>
    <cacheField name="Ground Space" numFmtId="0">
      <sharedItems containsBlank="1"/>
    </cacheField>
    <cacheField name="Slab Extension Needed" numFmtId="0">
      <sharedItems containsBlank="1"/>
    </cacheField>
    <cacheField name="Ground Space Remarks" numFmtId="0">
      <sharedItems containsBlank="1"/>
    </cacheField>
    <cacheField name="RM Review" numFmtId="0">
      <sharedItems containsBlank="1"/>
    </cacheField>
    <cacheField name="RM Remarks" numFmtId="0">
      <sharedItems containsNonDate="0" containsString="0" containsBlank="1"/>
    </cacheField>
    <cacheField name="PM Review" numFmtId="0">
      <sharedItems containsBlank="1"/>
    </cacheField>
    <cacheField name="PM Forecast" numFmtId="14">
      <sharedItems containsNonDate="0" containsString="0" containsBlank="1"/>
    </cacheField>
    <cacheField name="PM Remarks" numFmtId="0">
      <sharedItems containsNonDate="0" containsString="0" containsBlank="1"/>
    </cacheField>
    <cacheField name="AM Review" numFmtId="0">
      <sharedItems containsBlank="1"/>
    </cacheField>
    <cacheField name="AM Remarks" numFmtId="0">
      <sharedItems containsBlank="1"/>
    </cacheField>
    <cacheField name="Tower Space Time" numFmtId="14">
      <sharedItems containsNonDate="0" containsDate="1" containsString="0" containsBlank="1" minDate="2018-11-13T14:56:11" maxDate="2019-01-25T11:18:24"/>
    </cacheField>
    <cacheField name="Power Time" numFmtId="14">
      <sharedItems containsNonDate="0" containsDate="1" containsString="0" containsBlank="1" minDate="2018-11-13T16:09:11" maxDate="2019-01-28T09:22:09"/>
    </cacheField>
    <cacheField name="Structural Time" numFmtId="14">
      <sharedItems containsNonDate="0" containsDate="1" containsString="0" containsBlank="1" minDate="2018-11-13T16:19:19" maxDate="2019-01-28T11:48:08"/>
    </cacheField>
    <cacheField name="CW Time" numFmtId="14">
      <sharedItems containsNonDate="0" containsDate="1" containsString="0" containsBlank="1" minDate="2018-11-13T17:04:12" maxDate="2019-01-25T11:18:24"/>
    </cacheField>
    <cacheField name="LandLord Time" numFmtId="14">
      <sharedItems containsNonDate="0" containsDate="1" containsString="0" containsBlank="1" minDate="2018-11-13T16:30:56" maxDate="2019-01-15T17:34:26"/>
    </cacheField>
    <cacheField name="Community Time" numFmtId="14">
      <sharedItems containsNonDate="0" containsDate="1" containsString="0" containsBlank="1" minDate="2018-11-13T16:25:48" maxDate="2019-01-25T16:19:38"/>
    </cacheField>
    <cacheField name="Close Date" numFmtId="14">
      <sharedItems containsNonDate="0" containsDate="1" containsString="0" containsBlank="1" minDate="2018-03-13T00:00:00" maxDate="2019-01-28T14:11:31"/>
    </cacheField>
    <cacheField name="Prevalidation Leadtime" numFmtId="302">
      <sharedItems containsMixedTypes="1" containsNumber="1" minValue="0.57237233799969545" maxValue="209.72660972220183"/>
    </cacheField>
    <cacheField name="Crossover" numFmtId="0">
      <sharedItems containsSemiMixedTypes="0" containsString="0" containsNumber="1" containsInteger="1" minValue="0" maxValue="0"/>
    </cacheField>
    <cacheField name="Colo Application" numFmtId="0">
      <sharedItems/>
    </cacheField>
    <cacheField name="File Name" numFmtId="0">
      <sharedItems/>
    </cacheField>
    <cacheField name="Find Process &amp; Database" numFmtId="0">
      <sharedItems containsSemiMixedTypes="0" containsString="0" containsNumber="1" containsInteger="1" minValue="50" maxValue="50"/>
    </cacheField>
    <cacheField name="Folder Path1" numFmtId="164">
      <sharedItems/>
    </cacheField>
    <cacheField name="Folder Path2" numFmtId="164">
      <sharedItems/>
    </cacheField>
    <cacheField name="Folder Path3" numFmtId="164">
      <sharedItems/>
    </cacheField>
    <cacheField name="File Path" numFmtId="164">
      <sharedItems/>
    </cacheField>
    <cacheField name="Count Validated" numFmtId="164">
      <sharedItems containsNonDate="0" containsString="0" containsBlank="1"/>
    </cacheField>
    <cacheField name="Months" numFmtId="0" databaseField="0">
      <fieldGroup base="10">
        <rangePr groupBy="months" startDate="2018-03-13T00:00:00" endDate="2019-01-26T00:00:00"/>
        <groupItems count="14">
          <s v="&lt;2018-03-1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9-01-26"/>
        </groupItems>
      </fieldGroup>
    </cacheField>
  </cacheFields>
  <extLst>
    <ext xmlns:x14="http://schemas.microsoft.com/office/spreadsheetml/2009/9/main" uri="{725AE2AE-9491-48be-B2B4-4EB974FC3084}">
      <x14:pivotCacheDefinition pivotCacheId="112447729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n v="3666"/>
    <s v="ASHN00023"/>
    <s v="Apollo"/>
    <s v="Northern"/>
    <s v="SHN00997"/>
    <s v="MPT"/>
    <s v="MPT Phase 2 B2S"/>
    <s v="Active"/>
    <s v="BTS"/>
    <s v="0"/>
    <x v="0"/>
    <n v="1"/>
    <n v="1.4"/>
    <n v="6"/>
    <s v="EPA"/>
    <s v="55"/>
    <s v="60"/>
    <x v="0"/>
    <m/>
    <s v="Not Required"/>
    <m/>
    <s v="OK"/>
    <m/>
    <s v="OK"/>
    <s v=" MPT B2S Colo Application "/>
    <s v="OK"/>
    <s v="No Strengthening"/>
    <s v="No Retrofit"/>
    <s v="No"/>
    <s v="Existing Tower: KSGM (NEW) = 100.5%"/>
    <s v="OK"/>
    <m/>
    <m/>
    <m/>
    <m/>
    <s v="OK"/>
    <s v="No"/>
    <s v="Need new slab "/>
    <m/>
    <m/>
    <m/>
    <m/>
    <m/>
    <m/>
    <m/>
    <d v="2019-01-25T11:18:24"/>
    <d v="2019-01-28T09:22:09"/>
    <d v="2019-01-28T11:48:08"/>
    <d v="2019-01-25T11:18:24"/>
    <m/>
    <d v="2019-01-25T16:19:38"/>
    <d v="2019-01-28T14:11:31"/>
    <n v="3.5913278934967821"/>
    <n v="0"/>
    <s v="No File"/>
    <s v="ASHN00023 (SHN00997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SHN00023 (SHN00997) Application Rev 0.xlsx"/>
    <m/>
  </r>
  <r>
    <n v="3650"/>
    <s v="1-01-09016-007"/>
    <s v="Pan Asia"/>
    <s v="Central"/>
    <s v="MG0458"/>
    <s v="Telenor"/>
    <s v="TML Phase 1 Colo"/>
    <s v="On Air"/>
    <s v="Add Equipment"/>
    <s v="3"/>
    <x v="1"/>
    <m/>
    <m/>
    <n v="7.11"/>
    <s v="SQM"/>
    <s v="48"/>
    <s v="53"/>
    <x v="0"/>
    <m/>
    <s v="Not Required"/>
    <m/>
    <s v="Not Required"/>
    <m/>
    <s v="OK"/>
    <s v="Existing on tower (Actual) - OML with 9.47 sqm/ TML - 5.77 sqm / add new MW and ODU"/>
    <s v="OK"/>
    <s v="No Strengthening"/>
    <s v="No Retrofit"/>
    <s v="No"/>
    <s v="Existing Tower: OML+TML(OLD+NEW) = 98.4%_x000a_Existing Tower: OML+TML(OLD) = 96.8%"/>
    <s v="Not Required"/>
    <m/>
    <m/>
    <m/>
    <m/>
    <s v="OK"/>
    <s v="No"/>
    <s v="No action needed "/>
    <m/>
    <m/>
    <m/>
    <m/>
    <m/>
    <m/>
    <m/>
    <d v="2019-01-24T11:52:42"/>
    <m/>
    <d v="2019-01-25T10:50:41"/>
    <d v="2019-01-24T11:52:42"/>
    <m/>
    <m/>
    <d v="2019-01-25T10:57:15"/>
    <n v="1.4564209490999929"/>
    <n v="0"/>
    <s v="No File"/>
    <s v="1-01-09016-007 (MG0458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09016-007 (MG0458) Application Rev 3.xlsx"/>
    <m/>
  </r>
  <r>
    <n v="3645"/>
    <s v="ANPT00018"/>
    <s v="Apollo"/>
    <s v="Central"/>
    <s v="NPT00540"/>
    <s v="MPT"/>
    <s v="MPT Phase 2 B2S"/>
    <s v="Active"/>
    <s v="BTS"/>
    <s v="0"/>
    <x v="2"/>
    <n v="0.72"/>
    <n v="0.9"/>
    <n v="6"/>
    <s v="EPA"/>
    <s v="54"/>
    <s v="59"/>
    <x v="0"/>
    <m/>
    <s v="Not Required"/>
    <m/>
    <s v="OK"/>
    <m/>
    <s v="OK"/>
    <s v=" MPT B2S Colo Application "/>
    <s v="OK"/>
    <s v="No Strengthening"/>
    <s v="No Retrofit"/>
    <s v="No"/>
    <s v="EXISTING TOWER (KSGM(NEW)):  75.74%"/>
    <s v="OK"/>
    <m/>
    <m/>
    <m/>
    <s v="Rollout"/>
    <s v="OK"/>
    <s v="No"/>
    <s v="Need new slab "/>
    <m/>
    <m/>
    <m/>
    <m/>
    <m/>
    <m/>
    <m/>
    <d v="2019-01-23T15:48:36"/>
    <d v="2019-01-25T14:58:01"/>
    <m/>
    <d v="2019-01-23T16:21:28"/>
    <m/>
    <d v="2019-01-23T13:24:20"/>
    <d v="2019-01-25T17:00:25"/>
    <n v="2.7086226851970423"/>
    <n v="0"/>
    <s v="No File"/>
    <s v="ANPT00018 (NPT0054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PT00018 (NPT00540) Application Rev 0.xlsx"/>
    <m/>
  </r>
  <r>
    <n v="3647"/>
    <s v="PNPT00048"/>
    <s v="Pan Asia"/>
    <s v="Central"/>
    <s v="NPT00548"/>
    <s v="MPT"/>
    <s v="MPT Phase 2 B2S"/>
    <s v="Active"/>
    <s v="BTS"/>
    <s v="0"/>
    <x v="2"/>
    <n v="0.72"/>
    <n v="0.9"/>
    <n v="6"/>
    <s v="SQM"/>
    <s v="55"/>
    <s v="60"/>
    <x v="0"/>
    <m/>
    <s v="Not Required"/>
    <m/>
    <s v="OK"/>
    <m/>
    <s v="OK"/>
    <s v=" MPT B2S Colo Application "/>
    <s v="OK"/>
    <s v="No Strengthening"/>
    <s v="No Retrofit"/>
    <s v="No"/>
    <s v="EXISTING TOWER (KSGM(NEW)):  56.8 %"/>
    <s v="OK"/>
    <m/>
    <m/>
    <m/>
    <s v="Rollout"/>
    <s v="OK"/>
    <s v="No"/>
    <s v="Need new slab "/>
    <m/>
    <m/>
    <m/>
    <m/>
    <m/>
    <m/>
    <m/>
    <d v="2019-01-23T15:48:36"/>
    <d v="2019-01-25T15:43:21"/>
    <d v="2019-01-25T14:11:35"/>
    <d v="2019-01-23T15:48:36"/>
    <m/>
    <d v="2019-01-23T13:24:21"/>
    <d v="2019-01-25T17:00:25"/>
    <n v="2.7086255786998663"/>
    <n v="0"/>
    <s v="No File"/>
    <s v="PNPT00048 (NPT00548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PNPT00048 (NPT00548) Application Rev 0.xlsx"/>
    <m/>
  </r>
  <r>
    <n v="3649"/>
    <s v="ASHN00025"/>
    <s v="Apollo"/>
    <s v="Central"/>
    <s v="SHS00969"/>
    <s v="MPT"/>
    <s v="MPT Phase 2 B2S"/>
    <s v="Active"/>
    <s v="BTS"/>
    <s v="0"/>
    <x v="2"/>
    <n v="0.72"/>
    <n v="0.9"/>
    <n v="6"/>
    <s v="EPA"/>
    <s v="55"/>
    <s v="60"/>
    <x v="0"/>
    <m/>
    <s v="Not Required"/>
    <m/>
    <s v="OK"/>
    <m/>
    <s v="OK"/>
    <s v=" MPT B2S Colo Application "/>
    <s v="OK"/>
    <s v="No Strengthening"/>
    <s v="No Retrofit"/>
    <s v="No"/>
    <s v="EXISTING TOWER (KSGM(NEW)):  48.38 %"/>
    <s v="OK"/>
    <m/>
    <m/>
    <m/>
    <m/>
    <s v="OK"/>
    <s v="No"/>
    <s v="Need new slab "/>
    <m/>
    <m/>
    <m/>
    <m/>
    <m/>
    <m/>
    <m/>
    <d v="2019-01-23T15:48:37"/>
    <d v="2019-01-25T15:43:22"/>
    <d v="2019-01-25T14:11:35"/>
    <d v="2019-01-23T15:48:37"/>
    <m/>
    <d v="2019-01-23T13:24:21"/>
    <d v="2019-01-25T17:00:25"/>
    <n v="2.7086284722026903"/>
    <n v="0"/>
    <s v="No File"/>
    <s v="ASHN00025 (SHS0096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SHN00025 (SHS00969) Application Rev 0.xlsx"/>
    <m/>
  </r>
  <r>
    <n v="3642"/>
    <s v="PMON00045"/>
    <s v="Pan Asia"/>
    <s v="Southern"/>
    <s v="MON00569"/>
    <s v="MPT"/>
    <s v="MPT Phase 2 B2S"/>
    <s v="Active"/>
    <s v="BTS"/>
    <s v="0"/>
    <x v="3"/>
    <n v="0.72"/>
    <n v="0.9"/>
    <n v="6"/>
    <s v="SQM"/>
    <s v="55"/>
    <s v="60"/>
    <x v="0"/>
    <m/>
    <s v="Not Required"/>
    <m/>
    <s v="OK"/>
    <m/>
    <s v="OK"/>
    <s v=" MPT B2S Colo Application "/>
    <s v="OK"/>
    <s v="No Strengthening"/>
    <s v="No Retrofit"/>
    <s v="No"/>
    <s v="EXISTING TOWER (KSGM(NEW)):  71.3%"/>
    <s v="OK"/>
    <m/>
    <m/>
    <m/>
    <s v="Rollout"/>
    <s v="OK"/>
    <s v="No"/>
    <s v="Need new slab "/>
    <m/>
    <m/>
    <m/>
    <m/>
    <m/>
    <m/>
    <m/>
    <d v="2019-01-23T09:07:27"/>
    <d v="2019-01-25T14:58:00"/>
    <d v="2019-01-25T14:11:34"/>
    <d v="2019-01-23T09:07:27"/>
    <m/>
    <d v="2019-01-22T15:55:39"/>
    <d v="2019-01-25T17:00:25"/>
    <n v="3.7086200232006377"/>
    <n v="0"/>
    <s v="No File"/>
    <s v="PMON00045 (MON0056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PMON00045 (MON00569) Application Rev 0.xlsx"/>
    <m/>
  </r>
  <r>
    <n v="3626"/>
    <s v="1-01-10018-001"/>
    <s v="Pan Asia"/>
    <s v="Northern"/>
    <s v="MDY00339"/>
    <s v="MPT"/>
    <s v="MPT  Phase 1b Colo"/>
    <s v="On Air"/>
    <s v="Exchange"/>
    <s v="3"/>
    <x v="4"/>
    <n v="1.399"/>
    <n v="2.1989999999999998"/>
    <n v="3.25"/>
    <s v="SQM"/>
    <s v="48"/>
    <s v="53"/>
    <x v="0"/>
    <m/>
    <s v="Not Required"/>
    <m/>
    <s v="OK"/>
    <m/>
    <s v="OK"/>
    <s v="Existing on tower (Actual) - OML with 15.69 sqm/ MPT actual on tower -2.96 sqm - MPT previous colo apps - 3.09 Sqm  / TML - 3.47 sqm / Add 1 RRU "/>
    <s v="OK"/>
    <s v="No Strengthening"/>
    <s v="No Retrofit"/>
    <s v="No"/>
    <s v="EXISTING TOWER(OML+TML+KSGM(OLD+NEW)): 104.8  %_x000a_EXISTING TOWER(OML+TML+KSGM(OLD)):    104.8 %"/>
    <s v="OK"/>
    <s v="05-Mar-19"/>
    <m/>
    <m/>
    <s v="DG upgrade Add rect modules check breaker configuration "/>
    <s v="OK"/>
    <s v="No"/>
    <s v="No action needed "/>
    <m/>
    <m/>
    <m/>
    <m/>
    <m/>
    <m/>
    <m/>
    <d v="2019-01-22T09:02:34"/>
    <d v="2019-01-24T15:57:25"/>
    <d v="2019-01-23T14:02:40"/>
    <d v="2019-01-22T09:02:34"/>
    <m/>
    <d v="2019-01-21T15:26:42"/>
    <d v="2019-01-24T16:15:41"/>
    <n v="3.6775552082981449"/>
    <n v="0"/>
    <s v="No File"/>
    <s v="1-01-10018-001 (MDY00339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0018-001 (MDY00339) Application Rev 3.xlsx"/>
    <m/>
  </r>
  <r>
    <n v="3627"/>
    <s v="1-01-10029-006"/>
    <s v="Pan Asia"/>
    <s v="Northern"/>
    <s v="MDY00358"/>
    <s v="MPT"/>
    <s v="MPT  Phase 1b Colo"/>
    <s v="On Air"/>
    <s v="Exchange"/>
    <s v="1"/>
    <x v="4"/>
    <n v="1.399"/>
    <n v="2.1989999999999998"/>
    <n v="5.13"/>
    <s v="SQM"/>
    <s v="48"/>
    <s v="53"/>
    <x v="0"/>
    <m/>
    <s v="Not Required"/>
    <m/>
    <s v="OK"/>
    <m/>
    <s v="OK"/>
    <s v="Existing on tower (Actual) - OML with7.41 sqm/ MPT-4.97 Sqm  - Add 1 RRU "/>
    <s v="OK"/>
    <s v="No Strengthening"/>
    <s v="No Retrofit"/>
    <s v="No"/>
    <s v="Strengthened Tower(OML+MYTEL+MPT(OLD+NEW)): 104.9 %_x000a_Strengthened Tower(OML+MYTEL+MPT(OLD)): 105.1%"/>
    <s v="OK"/>
    <s v="04-Feb-19"/>
    <m/>
    <m/>
    <s v="DG cap expansion"/>
    <s v="OK"/>
    <s v="No"/>
    <s v="No action needed "/>
    <m/>
    <m/>
    <m/>
    <m/>
    <m/>
    <m/>
    <m/>
    <d v="2019-01-22T09:02:35"/>
    <d v="2019-01-21T18:05:05"/>
    <d v="2019-01-23T15:36:18"/>
    <d v="2019-01-22T09:02:35"/>
    <m/>
    <d v="2019-01-21T15:26:42"/>
    <d v="2019-01-23T17:58:44"/>
    <n v="2.7491187499981606"/>
    <n v="0"/>
    <s v="No File"/>
    <s v="1-01-10029-006 (MDY00358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0029-006 (MDY00358) Application Rev 1.xlsx"/>
    <m/>
  </r>
  <r>
    <n v="3628"/>
    <s v="1-01-09022-002"/>
    <s v="Pan Asia"/>
    <s v="Central"/>
    <s v="MGW00204"/>
    <s v="MPT"/>
    <s v="MPT  Phase 1b Colo"/>
    <s v="On Air"/>
    <s v="Exchange"/>
    <s v="1"/>
    <x v="4"/>
    <n v="1.399"/>
    <n v="2.1989999999999998"/>
    <n v="4.3600000000000003"/>
    <s v="SQM"/>
    <s v="48"/>
    <s v="53"/>
    <x v="0"/>
    <m/>
    <s v="Not Required"/>
    <m/>
    <s v="OK"/>
    <s v="Require to inform Ei Shwe Zin (NPT) before site visit."/>
    <s v="OK"/>
    <s v="Existing on tower (Actual) - OML with 8.01 sqm/ MPT-4.20 Sqm /TML - 3.51 Sqm  - Add 1 RRU "/>
    <s v="OK"/>
    <s v="No Strengthening"/>
    <s v="No Retrofit"/>
    <s v="No"/>
    <s v="EXISTING TOWER(OML+TML+KSGM(OLD+NEW)): 99.51  %_x000a_EXISTING TOWER(OML+TML+KSGM(OLD)):  99.34 %"/>
    <s v="OK"/>
    <s v="04-Feb-19"/>
    <m/>
    <m/>
    <s v="DG cap expansion"/>
    <s v="OK"/>
    <s v="No"/>
    <s v="No action needed "/>
    <m/>
    <m/>
    <m/>
    <m/>
    <m/>
    <m/>
    <m/>
    <d v="2019-01-22T09:02:35"/>
    <d v="2019-01-21T18:05:06"/>
    <d v="2019-01-23T17:33:30"/>
    <d v="2019-01-22T09:02:35"/>
    <m/>
    <d v="2019-01-21T15:26:42"/>
    <d v="2019-01-23T18:06:22"/>
    <n v="2.7544188656975166"/>
    <n v="0"/>
    <s v="No File"/>
    <s v="1-01-09022-002 (MGW00204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22-002 (MGW00204) Application Rev 1.xlsx"/>
    <m/>
  </r>
  <r>
    <n v="3629"/>
    <s v="1-01-05015-002"/>
    <s v="Pan Asia"/>
    <s v="Northern"/>
    <s v="SGG00199"/>
    <s v="MPT"/>
    <s v="MPT  Phase 1b Colo"/>
    <s v="On Air"/>
    <s v="Exchange"/>
    <s v="1"/>
    <x v="4"/>
    <n v="1.399"/>
    <n v="2.1989999999999998"/>
    <n v="3.12"/>
    <s v="SQM"/>
    <s v="43"/>
    <s v="48"/>
    <x v="0"/>
    <m/>
    <s v="Not Required"/>
    <m/>
    <s v="OK"/>
    <m/>
    <s v="OK"/>
    <s v="Existing on tower (Actual) - OML with 10.81 sqm/ MPT-3.07 Sqm / Op2 - 3.87 Sqm  - Add 1 RRU "/>
    <s v="OK"/>
    <s v="No Strengthening"/>
    <s v="No Retrofit"/>
    <s v="No"/>
    <s v="Strengthened Tower(OML+OP2+KSGM(OLD+NEW)): 89.7 %_x000a_Strengthened Tower(OML+OP2+KSGM(OLD)): 89.7 %"/>
    <s v="OK"/>
    <s v="05-Feb-19"/>
    <m/>
    <m/>
    <s v="DG cap expansion"/>
    <s v="OK"/>
    <s v="No"/>
    <s v="No action needed "/>
    <m/>
    <m/>
    <m/>
    <m/>
    <m/>
    <m/>
    <m/>
    <d v="2019-01-22T09:02:35"/>
    <d v="2019-01-21T18:05:06"/>
    <d v="2019-01-23T14:02:40"/>
    <d v="2019-01-22T09:02:35"/>
    <m/>
    <d v="2019-01-21T15:26:42"/>
    <d v="2019-01-23T14:14:13"/>
    <n v="2.5932041666965233"/>
    <n v="0"/>
    <s v="No File"/>
    <s v="1-01-05015-002 (SGG0019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5-002 (SGG00199) Application Rev 1.xlsx"/>
    <m/>
  </r>
  <r>
    <n v="3630"/>
    <s v="1-01-15013-009"/>
    <s v="Pan Asia"/>
    <s v="Northern"/>
    <s v="SHN00040"/>
    <s v="MPT"/>
    <s v="MPT  Phase 1b Colo"/>
    <s v="On Air"/>
    <s v="Exchange"/>
    <s v="2"/>
    <x v="4"/>
    <n v="1.399"/>
    <n v="2.2610000000000001"/>
    <n v="4.04"/>
    <s v="SQM"/>
    <s v="48"/>
    <s v="53"/>
    <x v="0"/>
    <m/>
    <s v="Not Required"/>
    <m/>
    <s v="OK"/>
    <m/>
    <s v="OK"/>
    <s v="Existing on tower (Actual) - OML with 10.64 sqm/ MPT-2.69Sqm/ Previous Colo Apps - 3.88 Sqm / TML - 3.51 Sqm  - Add 1 RRU "/>
    <s v="OK"/>
    <s v="No Strengthening"/>
    <s v="No Retrofit"/>
    <s v="No"/>
    <s v="EXISTING TOWER(OML+TML+KSGM(OLD+NEW)): 101.1%_x000a_EXISTING TOWER(OML+TML+KSGM(OLD)): 100.9 %"/>
    <s v="OK"/>
    <s v="11-Feb-19"/>
    <m/>
    <m/>
    <s v="BB &amp; DG cap expansion"/>
    <s v="OK"/>
    <s v="No"/>
    <s v="No action needed "/>
    <m/>
    <m/>
    <m/>
    <m/>
    <m/>
    <m/>
    <m/>
    <d v="2019-01-22T12:00:03"/>
    <d v="2019-01-21T18:05:06"/>
    <d v="2019-01-23T14:02:40"/>
    <d v="2019-01-22T12:00:03"/>
    <m/>
    <d v="2019-01-21T15:26:42"/>
    <d v="2019-01-23T14:14:13"/>
    <n v="2.5932050925985095"/>
    <n v="0"/>
    <s v="No File"/>
    <s v="1-01-15013-009 (SHN0004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9 (SHN00040) Application Rev 2.xlsx"/>
    <m/>
  </r>
  <r>
    <n v="3631"/>
    <s v="1-01-15018-003"/>
    <s v="Pan Asia"/>
    <s v="Northern"/>
    <s v="SHN00063"/>
    <s v="MPT"/>
    <s v="MPT  Phase 1b Colo"/>
    <s v="On Air"/>
    <s v="Exchange"/>
    <s v="3"/>
    <x v="4"/>
    <n v="1.399"/>
    <n v="2.2610000000000001"/>
    <n v="6.63"/>
    <s v="SQM"/>
    <s v="48"/>
    <s v="53"/>
    <x v="0"/>
    <m/>
    <s v="Not Required"/>
    <m/>
    <s v="OK"/>
    <m/>
    <s v="OK"/>
    <s v="Existing on tower (Actual) - OML with 7.45 sqm/ MPT-6.47 Sqm/ Add 1 RRU "/>
    <s v="OK"/>
    <s v="No Strengthening"/>
    <s v="No Retrofit"/>
    <s v="Yes"/>
    <s v="Existing Tower: OML+KSGM (OLD+NEW) = 96.1%_x000a_Existing Tower: OML+KSGM (OLD) = 97.2%"/>
    <s v="OK"/>
    <s v="05-Feb-19"/>
    <m/>
    <m/>
    <s v="DG cap expansion"/>
    <s v="OK"/>
    <s v="No"/>
    <s v="No action needed "/>
    <m/>
    <m/>
    <m/>
    <m/>
    <m/>
    <m/>
    <m/>
    <d v="2019-01-22T12:00:03"/>
    <d v="2019-01-21T18:05:06"/>
    <m/>
    <d v="2019-01-22T12:00:03"/>
    <m/>
    <d v="2019-01-21T15:26:42"/>
    <d v="2019-01-23T14:14:13"/>
    <n v="2.5932063657019171"/>
    <n v="0"/>
    <s v="No File"/>
    <s v="1-01-15018-003 (SHN0006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8-003 (SHN00063) Application Rev 3.xlsx"/>
    <m/>
  </r>
  <r>
    <n v="3632"/>
    <s v="PBAG00032"/>
    <s v="Pan Asia"/>
    <s v="Southern"/>
    <s v="BGE00825"/>
    <s v="MPT"/>
    <s v="MPT Phase 2 B2S"/>
    <s v="Active"/>
    <s v="BTS"/>
    <s v="0"/>
    <x v="4"/>
    <n v="0.72"/>
    <n v="0.9"/>
    <n v="6"/>
    <s v="SQM"/>
    <s v="55"/>
    <s v="60"/>
    <x v="0"/>
    <m/>
    <s v="Not Required"/>
    <m/>
    <s v="OK"/>
    <m/>
    <s v="OK"/>
    <s v=" MPT B2S Colo Application "/>
    <s v="OK"/>
    <s v="No Strengthening"/>
    <s v="No Retrofit"/>
    <s v="No"/>
    <s v="Existing Tower: KSGM (NEW) = 56.7%"/>
    <s v="OK"/>
    <m/>
    <m/>
    <m/>
    <m/>
    <s v="OK"/>
    <s v="No"/>
    <s v="Need new slab "/>
    <m/>
    <m/>
    <m/>
    <m/>
    <m/>
    <m/>
    <m/>
    <d v="2019-01-22T09:02:36"/>
    <d v="2019-01-21T18:05:07"/>
    <d v="2019-01-23T14:02:41"/>
    <d v="2019-01-22T09:02:36"/>
    <m/>
    <d v="2019-01-21T17:14:52"/>
    <d v="2019-01-23T14:14:13"/>
    <n v="2.5932070601993473"/>
    <n v="0"/>
    <s v="No File"/>
    <s v="PBAG00032 (BGE00825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PBAG00032 (BGE00825) Application Rev 0.xlsx"/>
    <m/>
  </r>
  <r>
    <n v="3633"/>
    <s v="1-01-04002-007"/>
    <s v="Pan Asia"/>
    <s v="Central"/>
    <s v="CHN00140"/>
    <s v="MPT"/>
    <s v="MPT  Phase 1b Colo"/>
    <s v="On Air"/>
    <s v="MS"/>
    <s v="3"/>
    <x v="4"/>
    <n v="3.548"/>
    <n v="5.5259999999999998"/>
    <n v="4.6219999999999999"/>
    <s v="SQM"/>
    <s v="27.5"/>
    <s v="32.5"/>
    <x v="0"/>
    <m/>
    <s v="Not Required"/>
    <m/>
    <s v="OK"/>
    <m/>
    <s v="OK"/>
    <s v="Existing on tower (Actual) - OML with 8.79 sqm/ MPT- 4.58 Sqm/TML with 3.44 sqm /  Add RRU and ODU"/>
    <s v="OK with Flag"/>
    <s v="Strengthening Later"/>
    <s v="No Retrofit"/>
    <s v="No"/>
    <s v="WIND ZONE CHANGE:_x000a_Existing Tower: OML+TML+KSGM (OLD+NEW) = 115.0% (new wind zone 160 kPH) (Estimate steel modification weight = 700 kg)_x000a_Existing Tower: OML+TML+KSGM (OLD+NEW) = 74.8% (old wind zone 130 kPH)"/>
    <s v="OK"/>
    <m/>
    <m/>
    <m/>
    <m/>
    <s v="OK"/>
    <s v="No"/>
    <s v="No action needed "/>
    <m/>
    <m/>
    <m/>
    <m/>
    <m/>
    <m/>
    <m/>
    <d v="2019-01-22T12:00:03"/>
    <d v="2019-01-21T18:05:07"/>
    <d v="2019-01-23T16:34:09"/>
    <d v="2019-01-22T12:00:03"/>
    <m/>
    <d v="2019-01-21T15:26:42"/>
    <d v="2019-01-23T18:18:10"/>
    <n v="2.7626170138973976"/>
    <n v="0"/>
    <s v="No File"/>
    <s v="1-01-04002-007 (CHN00140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4002-007 (CHN00140) Application Rev 3.xlsx"/>
    <m/>
  </r>
  <r>
    <n v="3634"/>
    <s v="1-01-09021-002"/>
    <s v="Pan Asia"/>
    <s v="Central"/>
    <s v="MGW00156"/>
    <s v="MPT"/>
    <s v="MPT  Phase 1b Colo"/>
    <s v="On Air"/>
    <s v="LTE"/>
    <s v="1"/>
    <x v="4"/>
    <n v="2.0590000000000002"/>
    <n v="3.5489999999999999"/>
    <n v="4.0999999999999996"/>
    <s v="SQM"/>
    <s v="48"/>
    <s v="53"/>
    <x v="0"/>
    <m/>
    <s v="Not Required"/>
    <m/>
    <s v="OK"/>
    <m/>
    <s v="OK"/>
    <s v="Existing on tower (Actual) - OML with 10.10 sqm/ MPT- 3.56 Sqm/TML with 5.40 sqm /  Add RRU and ODU"/>
    <s v="OK"/>
    <s v="No Strengthening"/>
    <s v="No Retrofit"/>
    <s v="No"/>
    <s v="Existing Tower: OML+TML+KSGM (OLD+NEW) = 96.9%_x000a_Existing Tower: OML+TML+KSGM (OLD) = 90.9%"/>
    <s v="OK"/>
    <s v="06-Feb-19"/>
    <m/>
    <m/>
    <s v="Add rectifier modules DG cap expansion"/>
    <s v="OK"/>
    <s v="No"/>
    <s v="No action needed "/>
    <m/>
    <m/>
    <m/>
    <m/>
    <m/>
    <m/>
    <m/>
    <d v="2019-01-22T12:00:03"/>
    <d v="2019-01-21T18:05:07"/>
    <d v="2019-01-23T17:24:01"/>
    <d v="2019-01-22T12:00:03"/>
    <m/>
    <d v="2019-01-21T15:26:42"/>
    <d v="2019-01-23T18:06:23"/>
    <n v="2.7544275463005761"/>
    <n v="0"/>
    <s v="No File"/>
    <s v="1-01-09021-002 (MGW00156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21-002 (MGW00156) Application Rev 1.xlsx"/>
    <m/>
  </r>
  <r>
    <n v="3635"/>
    <s v="1-01-05027-007"/>
    <s v="Pan Asia"/>
    <s v="Northern"/>
    <s v="SGG00242"/>
    <s v="MPT"/>
    <s v="MPT  Phase 1b Colo"/>
    <s v="On Air"/>
    <s v="MS"/>
    <s v="1"/>
    <x v="4"/>
    <n v="2.1970000000000001"/>
    <n v="3.7970000000000002"/>
    <n v="3.3519999999999999"/>
    <s v="SQM"/>
    <s v="43"/>
    <s v="48"/>
    <x v="0"/>
    <m/>
    <s v="Not Required"/>
    <m/>
    <s v="OK"/>
    <m/>
    <s v="OK"/>
    <s v="Existing on tower (Actual) - OML with 8.04 sqm/ MPT- 2.39 Sqm/TML with 3.30 sqm /  Add 2 MW ( 0.6 ) , Add ODu and RRU "/>
    <s v="OK"/>
    <s v="No Strengthening"/>
    <s v="No Retrofit"/>
    <s v="No"/>
    <s v="Strengthened Tower(OML+TML+KSGM(OLD+NEW)): 78.35 %_x000a_Strengthened Tower(OML+TML+KSGM(OLD)):73.76 %"/>
    <s v="OK"/>
    <s v="16-Feb-19"/>
    <m/>
    <m/>
    <s v="PE upgrade "/>
    <s v="OK"/>
    <s v="No"/>
    <s v="No action needed "/>
    <m/>
    <m/>
    <m/>
    <m/>
    <m/>
    <m/>
    <m/>
    <d v="2019-01-22T12:00:03"/>
    <d v="2019-01-21T18:05:07"/>
    <d v="2019-01-23T17:33:30"/>
    <d v="2019-01-22T12:00:03"/>
    <m/>
    <d v="2019-01-21T15:26:42"/>
    <d v="2019-01-23T18:06:23"/>
    <n v="2.7544321758978185"/>
    <n v="0"/>
    <s v="No File"/>
    <s v="1-01-05027-007 (SGG0024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7 (SGG00242) Application Rev 1.xlsx"/>
    <m/>
  </r>
  <r>
    <n v="3636"/>
    <s v="1-01-06001-002"/>
    <s v="Pan Asia"/>
    <s v="Southern"/>
    <s v="TNY00288"/>
    <s v="MPT"/>
    <s v="MPT  Phase 1b Colo"/>
    <s v="On Air"/>
    <s v="LTE_v1"/>
    <s v="5"/>
    <x v="4"/>
    <n v="1.92"/>
    <n v="4"/>
    <n v="4.4400000000000004"/>
    <s v="SQM"/>
    <s v="21"/>
    <s v="26"/>
    <x v="0"/>
    <m/>
    <s v="Not Required"/>
    <m/>
    <s v="OK"/>
    <m/>
    <s v="OK"/>
    <s v="Existing on tower (Actual) - OML with 6.88 sqm/ MPTactual - 2.97 / previous colo apps -  3.72 Sqm - Add RRU"/>
    <s v="OK"/>
    <s v="No Strengthening"/>
    <s v="No Retrofit"/>
    <s v="No"/>
    <s v="EXISTING TOWER(OML+KSGM(OLD+NEW)):  70.06 %_x000a_EXISTING TOWER(OML+KSGM(OLD)): 70.02   %"/>
    <s v="OK"/>
    <s v="17-Feb-19"/>
    <m/>
    <m/>
    <s v="PE upgrade "/>
    <s v="OK"/>
    <s v="No"/>
    <s v="No action needed "/>
    <m/>
    <m/>
    <m/>
    <m/>
    <m/>
    <m/>
    <m/>
    <d v="2019-01-22T12:00:03"/>
    <d v="2019-01-21T18:05:08"/>
    <d v="2019-01-24T09:43:48"/>
    <d v="2019-01-22T12:00:03"/>
    <m/>
    <d v="2019-01-21T15:26:42"/>
    <d v="2019-01-24T10:41:50"/>
    <n v="3.4457200230972376"/>
    <n v="0"/>
    <s v="No File"/>
    <s v="1-01-06001-002 (TNY00288) Application Rev 5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6001-002 (TNY00288) Application Rev 5.xlsx"/>
    <m/>
  </r>
  <r>
    <n v="3637"/>
    <s v="PTNT00059"/>
    <s v="Pan Asia"/>
    <s v="Southern"/>
    <s v="TNY00789"/>
    <s v="MPT"/>
    <s v="MPT Phase 2 B2S"/>
    <s v="Active"/>
    <s v="BTS"/>
    <s v="0"/>
    <x v="4"/>
    <n v="0.72"/>
    <n v="0.9"/>
    <n v="6"/>
    <s v="SQM"/>
    <s v="55"/>
    <s v="60"/>
    <x v="0"/>
    <m/>
    <s v="Not Required"/>
    <m/>
    <s v="OK"/>
    <m/>
    <s v="OK"/>
    <s v=" MPT B2S Colo Application "/>
    <s v="OK"/>
    <s v="No Strengthening"/>
    <s v="No Retrofit"/>
    <s v="No"/>
    <s v="Existing Tower: KSGM (NEW) = 98.3%"/>
    <s v="OK"/>
    <m/>
    <m/>
    <m/>
    <m/>
    <s v="OK"/>
    <s v="No"/>
    <s v="Need new slab "/>
    <m/>
    <m/>
    <m/>
    <m/>
    <m/>
    <m/>
    <m/>
    <d v="2019-01-22T09:02:36"/>
    <d v="2019-01-21T18:05:09"/>
    <d v="2019-01-24T14:24:08"/>
    <d v="2019-01-22T09:02:36"/>
    <m/>
    <d v="2019-01-21T17:14:53"/>
    <d v="2019-01-24T16:15:41"/>
    <n v="3.6775562499969965"/>
    <n v="0"/>
    <s v="No File"/>
    <s v="PTNT00059 (TNY0078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PTNT00059 (TNY00789) Application Rev 0.xlsx"/>
    <m/>
  </r>
  <r>
    <n v="3638"/>
    <s v="1-01-05027-016"/>
    <s v="Pan Asia"/>
    <s v="Northern"/>
    <s v="SGG00226"/>
    <s v="MPT"/>
    <s v="MPT  Phase 1b Colo"/>
    <s v="On Air"/>
    <s v="Exchange"/>
    <s v="2"/>
    <x v="4"/>
    <n v="1.399"/>
    <n v="2.2989999999999999"/>
    <n v="3.72"/>
    <s v="SQM"/>
    <s v="48"/>
    <s v="53"/>
    <x v="0"/>
    <m/>
    <s v="Not Required"/>
    <m/>
    <s v="OK"/>
    <m/>
    <s v="OK"/>
    <s v="Existing on tower (Actual ) - OML with 8.29 sqm / MPTactual - 3.56 sqm / TML - 3.30 sqm - Add 1 RRU"/>
    <s v="OK"/>
    <s v="No Strengthening"/>
    <s v="No Retrofit"/>
    <s v="No"/>
    <s v="Existing Tower: OML+TML+KSGM (OLD+NEW) = 102.9%_x000a_Existing Tower: OML+TML+KSGM (OLD) = 102.9%"/>
    <s v="OK"/>
    <s v="07-Feb-19"/>
    <m/>
    <m/>
    <s v="DG cap expansion"/>
    <s v="OK"/>
    <s v="No"/>
    <s v="No action needed "/>
    <m/>
    <m/>
    <m/>
    <m/>
    <m/>
    <m/>
    <m/>
    <d v="2019-01-22T12:00:03"/>
    <d v="2019-01-21T18:05:09"/>
    <m/>
    <d v="2019-01-22T12:00:03"/>
    <m/>
    <d v="2019-01-21T17:13:19"/>
    <d v="2019-01-24T10:41:50"/>
    <n v="3.4457223380013602"/>
    <n v="0"/>
    <s v="No File"/>
    <s v="1-01-05027-016 (SGG00226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16 (SGG00226) Application Rev 2.xlsx"/>
    <m/>
  </r>
  <r>
    <n v="3639"/>
    <s v="1-01-01014-005"/>
    <s v="Pan Asia"/>
    <s v="Northern"/>
    <s v="KCN00119"/>
    <s v="MPT"/>
    <s v="MPT  Phase 1b Colo"/>
    <s v="On Air"/>
    <s v="Expansion_L2100"/>
    <s v="5"/>
    <x v="4"/>
    <n v="1.399"/>
    <n v="2.1989999999999998"/>
    <m/>
    <s v="SQM"/>
    <s v="48"/>
    <s v="53"/>
    <x v="0"/>
    <m/>
    <s v="Not Required"/>
    <m/>
    <s v="Not Required"/>
    <m/>
    <s v="Not Required"/>
    <m/>
    <s v="Not Required"/>
    <m/>
    <m/>
    <m/>
    <m/>
    <s v="OK"/>
    <s v="18-Feb-19"/>
    <m/>
    <m/>
    <s v="BB &amp; DG cap expansion"/>
    <s v="Not Required"/>
    <m/>
    <m/>
    <m/>
    <m/>
    <m/>
    <m/>
    <m/>
    <m/>
    <m/>
    <m/>
    <d v="2019-01-21T18:05:08"/>
    <m/>
    <m/>
    <m/>
    <m/>
    <d v="2019-01-22T10:22:21"/>
    <n v="1.4321909721984412"/>
    <n v="0"/>
    <s v="No File"/>
    <s v="1-01-01014-005 (KCN00119) Application Rev 5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4-005 (KCN00119) Application Rev 5.xlsx"/>
    <m/>
  </r>
  <r>
    <n v="3619"/>
    <s v="ANMD_0066"/>
    <s v="Apollo"/>
    <s v="Northern"/>
    <s v="MDYAMPR011"/>
    <s v="Amara"/>
    <s v="Amara Colocation"/>
    <s v="New Tenant"/>
    <s v="Other"/>
    <s v="1"/>
    <x v="5"/>
    <m/>
    <n v="1.9"/>
    <n v="3"/>
    <s v="EPA"/>
    <s v="20"/>
    <s v="25"/>
    <x v="0"/>
    <m/>
    <s v="Not Required"/>
    <m/>
    <s v="Not Required"/>
    <m/>
    <s v="OK"/>
    <s v="Existing on tower (Assume ) - TML 4.20 EPA / Amara Previous Colo apps - 3.097 EPA - Add 1 ODU"/>
    <s v="Not Required"/>
    <m/>
    <m/>
    <m/>
    <m/>
    <s v="Not Required"/>
    <m/>
    <m/>
    <m/>
    <m/>
    <s v="Not Required"/>
    <m/>
    <m/>
    <m/>
    <m/>
    <m/>
    <m/>
    <m/>
    <m/>
    <m/>
    <d v="2019-01-21T17:22:42"/>
    <m/>
    <m/>
    <m/>
    <m/>
    <m/>
    <d v="2019-01-21T22:32:44"/>
    <n v="3.9393991898032255"/>
    <n v="0"/>
    <s v="No File"/>
    <s v="ANMD_0066 (MDYAMPR01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66 (MDYAMPR011) Application Rev 1.xlsx"/>
    <m/>
  </r>
  <r>
    <n v="3620"/>
    <s v="ANMD_0067"/>
    <s v="Apollo"/>
    <s v="Northern"/>
    <s v="MDYAMPR012"/>
    <s v="Amara"/>
    <s v="Amara Colocation"/>
    <s v="New Tenant"/>
    <s v="Other"/>
    <s v="1"/>
    <x v="5"/>
    <m/>
    <n v="2"/>
    <n v="3"/>
    <s v="EPA"/>
    <s v="20"/>
    <s v="25"/>
    <x v="0"/>
    <m/>
    <s v="Not Required"/>
    <m/>
    <s v="Not Required"/>
    <m/>
    <s v="OK"/>
    <s v="Existing on tower (Assume ) - TML 4.26 EPA / Amara Previous Colo apps - 3.40 EPA - Add 1 ODU"/>
    <s v="Not Required"/>
    <m/>
    <m/>
    <m/>
    <m/>
    <s v="Not Required"/>
    <m/>
    <m/>
    <m/>
    <m/>
    <s v="Not Required"/>
    <m/>
    <m/>
    <m/>
    <m/>
    <m/>
    <m/>
    <m/>
    <m/>
    <m/>
    <d v="2019-01-21T17:22:42"/>
    <m/>
    <m/>
    <m/>
    <m/>
    <m/>
    <d v="2019-01-21T22:32:44"/>
    <n v="3.9394037036981899"/>
    <n v="0"/>
    <s v="No File"/>
    <s v="ANMD_0067 (MDYAMPR01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67 (MDYAMPR012) Application Rev 1.xlsx"/>
    <m/>
  </r>
  <r>
    <n v="3621"/>
    <s v="ANMD_0165"/>
    <s v="Apollo"/>
    <s v="Northern"/>
    <s v="MDYPGTG033"/>
    <s v="Amara"/>
    <s v="Amara Colocation"/>
    <s v="New Tenant"/>
    <s v="Other"/>
    <s v="1"/>
    <x v="5"/>
    <m/>
    <n v="2"/>
    <n v="3"/>
    <s v="EPA"/>
    <s v="19"/>
    <s v="24"/>
    <x v="0"/>
    <m/>
    <s v="Not Required"/>
    <m/>
    <s v="Not Required"/>
    <m/>
    <s v="OK"/>
    <s v="Existing on tower (Assume ) - TML 4.56EPA /Amara Previous Colo apps - 3.096 EPA - Increase Mw Dimesion and add 1 ODU"/>
    <s v="Not Required"/>
    <m/>
    <m/>
    <m/>
    <m/>
    <s v="Not Required"/>
    <m/>
    <m/>
    <m/>
    <m/>
    <s v="Not Required"/>
    <m/>
    <m/>
    <m/>
    <m/>
    <m/>
    <m/>
    <m/>
    <m/>
    <m/>
    <d v="2019-01-21T17:22:42"/>
    <m/>
    <m/>
    <m/>
    <m/>
    <m/>
    <d v="2019-01-21T22:32:45"/>
    <n v="3.939407870399009"/>
    <n v="0"/>
    <s v="No File"/>
    <s v="ANMD_0165 (MDYPGTG03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65 (MDYPGTG033) Application Rev 1.xlsx"/>
    <m/>
  </r>
  <r>
    <n v="3622"/>
    <s v="ANMD_0172"/>
    <s v="Apollo"/>
    <s v="Northern"/>
    <s v="MDYPGTG039"/>
    <s v="Amara"/>
    <s v="Amara Colocation"/>
    <s v="New Tenant"/>
    <s v="Other"/>
    <s v="1"/>
    <x v="5"/>
    <m/>
    <n v="2"/>
    <n v="3"/>
    <s v="EPA"/>
    <s v="14"/>
    <s v="17"/>
    <x v="0"/>
    <m/>
    <s v="Not Required"/>
    <m/>
    <s v="Not Required"/>
    <m/>
    <s v="OK"/>
    <s v="Existing on tower (Assume ) - TML 4.10EPA / MPT - 3.58EPA , Amara Previous Colo Apps - 3.09 EPA ,  Add 1 ODU"/>
    <s v="Not Required"/>
    <m/>
    <m/>
    <m/>
    <m/>
    <s v="Not Required"/>
    <m/>
    <m/>
    <m/>
    <m/>
    <s v="Not Required"/>
    <m/>
    <m/>
    <m/>
    <m/>
    <m/>
    <m/>
    <m/>
    <m/>
    <m/>
    <d v="2019-01-21T17:22:43"/>
    <m/>
    <m/>
    <m/>
    <m/>
    <m/>
    <d v="2019-01-21T22:32:45"/>
    <n v="3.9394119213029626"/>
    <n v="0"/>
    <s v="No File"/>
    <s v="ANMD_0172 (MDYPGTG03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72 (MDYPGTG039) Application Rev 1.xlsx"/>
    <m/>
  </r>
  <r>
    <n v="3614"/>
    <s v="ABAG00003"/>
    <s v="Apollo"/>
    <s v="Southern"/>
    <s v="BGE00821"/>
    <s v="MPT"/>
    <s v="MPT Phase 2 B2S"/>
    <s v="Active"/>
    <s v="BTS"/>
    <s v="0"/>
    <x v="6"/>
    <n v="0.72"/>
    <n v="0.9"/>
    <n v="3.18"/>
    <s v="EPA"/>
    <s v="45"/>
    <s v="50"/>
    <x v="0"/>
    <m/>
    <s v="Not Required"/>
    <m/>
    <s v="OK"/>
    <m/>
    <s v="OK"/>
    <s v="New Colo Apps Submission - MPT Phase 2 BTS "/>
    <s v="OK"/>
    <m/>
    <m/>
    <s v="No"/>
    <s v="Existing Tower: KSGM (NEW) = 34.3%"/>
    <s v="OK"/>
    <m/>
    <m/>
    <m/>
    <m/>
    <s v="OK"/>
    <s v="Yes"/>
    <s v="Need new slab "/>
    <m/>
    <m/>
    <m/>
    <m/>
    <m/>
    <m/>
    <m/>
    <d v="2019-01-17T15:41:53"/>
    <d v="2019-01-18T11:25:51"/>
    <d v="2019-01-21T15:54:08"/>
    <d v="2019-01-17T15:41:53"/>
    <m/>
    <d v="2019-01-18T11:19:16"/>
    <d v="2019-01-21T16:39:00"/>
    <n v="4.6937519675993826"/>
    <n v="0"/>
    <s v="No File"/>
    <s v="ABAG00003 (BGE00821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BAG00003 (BGE00821) Application Rev 0.xlsx"/>
    <m/>
  </r>
  <r>
    <n v="3616"/>
    <s v="3-00-01014-001"/>
    <s v="Pan Asia"/>
    <s v="Northern"/>
    <s v="KCN00056"/>
    <s v="MPT"/>
    <s v="MPT  Phase 1b Colo"/>
    <s v="On Air"/>
    <s v="TS _ v1"/>
    <s v="3"/>
    <x v="6"/>
    <n v="1.054"/>
    <n v="1.46"/>
    <n v="3.52"/>
    <s v="SQM"/>
    <s v="48"/>
    <s v="53"/>
    <x v="0"/>
    <m/>
    <s v="Not Required"/>
    <m/>
    <s v="OK"/>
    <m/>
    <s v="OK"/>
    <s v="Existing on tower (Actual) - MPT - 3.52 sqm - Add Mw and Odu as per the actual "/>
    <s v="OK"/>
    <m/>
    <m/>
    <s v="No"/>
    <s v="EXISTING TOWER (KSGM(OLD+NEW)):  80.03 %_x000a_EXISTING TOWER (KSGM(OLD)):  77.84 %"/>
    <s v="OK"/>
    <m/>
    <m/>
    <m/>
    <m/>
    <s v="OK"/>
    <s v="No"/>
    <s v="No action needed "/>
    <m/>
    <m/>
    <m/>
    <m/>
    <m/>
    <m/>
    <m/>
    <d v="2019-01-18T11:20:24"/>
    <d v="2019-01-18T11:25:52"/>
    <d v="2019-01-21T14:11:00"/>
    <d v="2019-01-18T11:20:24"/>
    <m/>
    <d v="2019-01-18T09:18:15"/>
    <d v="2019-01-21T16:39:00"/>
    <n v="4.6937533564996556"/>
    <n v="0"/>
    <s v="No File"/>
    <s v="3-00-01014-001 (KCN00056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3-00-01014-001 (KCN00056) Application Rev 3.xlsx"/>
    <m/>
  </r>
  <r>
    <n v="3617"/>
    <s v="ANMD_0236"/>
    <s v="Apollo"/>
    <s v="Northern"/>
    <s v="MDY00844"/>
    <s v="MPT"/>
    <s v="MPT  Phase 1a Colo"/>
    <s v="On Air"/>
    <s v="TS _ v1"/>
    <s v="2"/>
    <x v="6"/>
    <n v="1.054"/>
    <n v="1.46"/>
    <n v="6"/>
    <s v="EPA"/>
    <s v="37"/>
    <s v="42"/>
    <x v="0"/>
    <m/>
    <s v="Not Required"/>
    <m/>
    <s v="OK"/>
    <m/>
    <s v="OK"/>
    <s v="Existing on tower (Assume ) - TML 4.20 EPA / MPT 4.82 EPA - Add MW and Odu"/>
    <s v="OK"/>
    <s v="No Strengthening"/>
    <s v="No Retrofit"/>
    <s v="No"/>
    <s v="Existing Tower: TML+KSGM (OLD+NEW) = 46.7%"/>
    <s v="OK"/>
    <m/>
    <m/>
    <m/>
    <m/>
    <s v="OK"/>
    <s v="No"/>
    <s v="No action needed "/>
    <m/>
    <m/>
    <m/>
    <m/>
    <m/>
    <m/>
    <m/>
    <d v="2019-01-18T11:20:24"/>
    <d v="2019-01-18T11:25:53"/>
    <d v="2019-01-23T14:02:40"/>
    <d v="2019-01-18T11:20:24"/>
    <m/>
    <d v="2019-01-17T20:16:19"/>
    <d v="2019-01-23T14:12:02"/>
    <n v="6.5916937500005588"/>
    <n v="0"/>
    <s v="No File"/>
    <s v="ANMD_0236 (MDY00844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236 (MDY00844) Application Rev 2.xlsx"/>
    <m/>
  </r>
  <r>
    <n v="3618"/>
    <s v="1-01-15014-008"/>
    <s v="Pan Asia"/>
    <s v="Northern"/>
    <s v="SHN00175"/>
    <s v="MPT"/>
    <s v="MPT  Phase 1b Colo"/>
    <s v="On Air"/>
    <s v="UPG "/>
    <s v="1"/>
    <x v="6"/>
    <n v="1.6579999999999999"/>
    <n v="3.06"/>
    <n v="3.07"/>
    <s v="SQM"/>
    <s v="48"/>
    <s v="53"/>
    <x v="0"/>
    <m/>
    <s v="Not Required"/>
    <m/>
    <s v="OK"/>
    <m/>
    <s v="OK"/>
    <s v="Existing on tower (Actual) - OML 7.02 sqm / MPT - 2.91 sqm - Add 1 ODU "/>
    <s v="OK"/>
    <m/>
    <m/>
    <s v="No"/>
    <s v="EXISTING TOWER(OML+TML+KSGM(OLD+NEW)):  93.4 %_x000a_EXISTING TOWER(OML+TML+KSGM(OLD)):  93.4%"/>
    <s v="OK"/>
    <m/>
    <m/>
    <m/>
    <m/>
    <s v="OK"/>
    <s v="No"/>
    <s v="No action needed "/>
    <m/>
    <m/>
    <m/>
    <m/>
    <m/>
    <m/>
    <m/>
    <d v="2019-01-18T11:20:24"/>
    <d v="2019-01-18T11:25:54"/>
    <d v="2019-01-21T14:11:00"/>
    <d v="2019-01-18T11:20:24"/>
    <m/>
    <d v="2019-01-18T09:18:16"/>
    <d v="2019-01-21T16:39:00"/>
    <n v="4.6937545139007852"/>
    <n v="0"/>
    <s v="No File"/>
    <s v="1-01-15014-008 (SHN0017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4-008 (SHN00175) Application Rev 1.xlsx"/>
    <m/>
  </r>
  <r>
    <n v="3613"/>
    <s v="1-01-14003-002"/>
    <s v="Pan Asia"/>
    <s v="Central"/>
    <s v="SHS00117"/>
    <s v="MPT"/>
    <s v="MPT  Phase 1b Colo"/>
    <s v="On Air"/>
    <s v="LTE"/>
    <s v="4"/>
    <x v="7"/>
    <n v="2.72"/>
    <n v="3.4"/>
    <m/>
    <s v="SQM"/>
    <s v="48"/>
    <s v="53"/>
    <x v="0"/>
    <m/>
    <s v="Not Required"/>
    <m/>
    <s v="Not Required"/>
    <m/>
    <s v="Not Required"/>
    <m/>
    <s v="Not Required"/>
    <m/>
    <m/>
    <m/>
    <m/>
    <s v="OK"/>
    <m/>
    <m/>
    <m/>
    <m/>
    <s v="Not Required"/>
    <m/>
    <m/>
    <m/>
    <m/>
    <m/>
    <m/>
    <m/>
    <m/>
    <m/>
    <m/>
    <d v="2019-01-18T11:25:51"/>
    <m/>
    <m/>
    <m/>
    <m/>
    <d v="2019-01-21T10:16:34"/>
    <n v="5.4281736111006467"/>
    <n v="0"/>
    <s v="No File"/>
    <s v="1-01-14003-002 (SHS00117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3-002 (SHS00117) Application Rev 4.xlsx"/>
    <m/>
  </r>
  <r>
    <n v="3599"/>
    <s v="ANMD_0220"/>
    <s v="Apollo"/>
    <s v="Northern"/>
    <s v="MDY00991"/>
    <s v="MPT"/>
    <s v="MPT  Phase 1a Colo"/>
    <s v="On Air"/>
    <s v="TS _ v1"/>
    <s v="2"/>
    <x v="8"/>
    <n v="1.079"/>
    <n v="1.4950000000000001"/>
    <n v="7.56"/>
    <s v="EPA"/>
    <s v="30"/>
    <s v="35"/>
    <x v="0"/>
    <m/>
    <s v="Not Required"/>
    <s v="15-Jan-19: Okay for upgrdation as MPT is already on-air from 28-Feb-17."/>
    <s v="OK"/>
    <m/>
    <s v="OK"/>
    <s v="Existing on tower (Assume ) - TML 7.70 EPA / OML 21.17 EPA  / MPT 6.63 EPA /Mytel Colo apps 4.074 EPA   -  Add MW and ODU "/>
    <s v="OK"/>
    <m/>
    <m/>
    <s v="No"/>
    <s v="Existing Tower: OML+TML+MYTEL+KSGM(OLD+NEW) = 66.4%"/>
    <s v="OK"/>
    <m/>
    <m/>
    <m/>
    <m/>
    <s v="OK"/>
    <s v="No"/>
    <s v="No action needed "/>
    <m/>
    <m/>
    <m/>
    <m/>
    <m/>
    <m/>
    <m/>
    <d v="2019-01-17T14:59:36"/>
    <d v="2019-01-16T08:46:12"/>
    <d v="2019-01-18T13:27:55"/>
    <d v="2019-01-17T14:59:36"/>
    <d v="2019-01-15T17:09:00"/>
    <d v="2019-01-15T14:54:22"/>
    <d v="2019-01-21T09:40:13"/>
    <n v="6.4029321759007871"/>
    <n v="0"/>
    <s v="No File"/>
    <s v="ANMD_0220 (MDY00991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220 (MDY00991) Application Rev 2.xlsx"/>
    <m/>
  </r>
  <r>
    <n v="3600"/>
    <s v="1-01-05005-001"/>
    <s v="Pan Asia"/>
    <s v="Northern"/>
    <s v="SGG00218"/>
    <s v="MPT"/>
    <s v="MPT  Phase 1b Colo"/>
    <s v="On Air"/>
    <s v="TS _ v1"/>
    <s v="1"/>
    <x v="8"/>
    <n v="1.1080000000000001"/>
    <n v="1.52"/>
    <n v="4.62"/>
    <s v="SQM"/>
    <s v="48"/>
    <s v="53"/>
    <x v="0"/>
    <m/>
    <s v="Not Required"/>
    <m/>
    <s v="OK"/>
    <m/>
    <s v="OK"/>
    <s v="Existing on tower (Actual) - OML with 8.34 sqm / MPT - 5.86 / TML - 4.50 Sqm /add MW and Odu"/>
    <s v="OK"/>
    <m/>
    <m/>
    <s v="No"/>
    <s v="EXISTING TOWER(OML+TML+KSGM(OLD+NEW)): 104 %_x000a_EXISTING TOWER(OML+TML+KSGM(OLD)):100.9%"/>
    <s v="OK"/>
    <m/>
    <m/>
    <m/>
    <s v="DG EOL swap "/>
    <s v="OK"/>
    <s v="No"/>
    <s v="No action needed "/>
    <m/>
    <m/>
    <m/>
    <m/>
    <m/>
    <m/>
    <m/>
    <d v="2019-01-17T14:59:36"/>
    <d v="2019-01-16T08:46:12"/>
    <d v="2019-01-18T16:42:05"/>
    <d v="2019-01-17T14:59:36"/>
    <m/>
    <d v="2019-01-15T14:54:18"/>
    <d v="2019-01-21T09:40:14"/>
    <n v="6.4029343750007683"/>
    <n v="0"/>
    <s v="No File"/>
    <s v="1-01-05005-001 (SGG00218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5-001 (SGG00218) Application Rev 1.xlsx"/>
    <m/>
  </r>
  <r>
    <n v="3601"/>
    <s v="ANSG_0498"/>
    <s v="Apollo"/>
    <s v="Northern"/>
    <s v="SGG00255"/>
    <s v="MPT"/>
    <s v="MPT  Phase 1a Colo"/>
    <s v="On Air"/>
    <s v="TS _ v1"/>
    <s v="2"/>
    <x v="8"/>
    <n v="1"/>
    <n v="1.4"/>
    <n v="5.83"/>
    <s v="EPA"/>
    <s v="27"/>
    <s v="32"/>
    <x v="0"/>
    <m/>
    <s v="Not Required"/>
    <s v="15-Jan-19: Okay for upgrdation as MPT is already on-air from 25-Feb-16."/>
    <s v="OK"/>
    <m/>
    <s v="OK"/>
    <s v="Existing on tower (Assume ) - TML 3.84 EPA / OML 13.18 EPA  / MPT 6.27 EPA  -  Change height within reserved area "/>
    <s v="OK"/>
    <m/>
    <m/>
    <s v="Yes"/>
    <s v="Strengthened Tower: OML+TML+MYTEL+KSGM(OLD+NEW) = 87.2% (Strengthening and Retrofitting are not completed 100% yet. However, it was considered in this analysis by following the design.)_x000a_% strengthening done 80%_x000a_% Retrofitting  done 70%"/>
    <s v="OK"/>
    <m/>
    <m/>
    <m/>
    <m/>
    <s v="OK"/>
    <s v="No"/>
    <s v="No action needed "/>
    <m/>
    <m/>
    <m/>
    <m/>
    <m/>
    <m/>
    <m/>
    <d v="2019-01-17T14:59:36"/>
    <d v="2019-01-16T08:46:12"/>
    <d v="2019-01-21T10:16:58"/>
    <d v="2019-01-17T14:59:36"/>
    <d v="2019-01-15T17:09:00"/>
    <d v="2019-01-15T14:54:22"/>
    <d v="2019-01-21T17:21:55"/>
    <n v="6.7235480324015953"/>
    <n v="0"/>
    <s v="No File"/>
    <s v="ANSG_0498 (SGG0025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98 (SGG00255) Application Rev 2.xlsx"/>
    <m/>
  </r>
  <r>
    <n v="3602"/>
    <s v="1-01-05027-001"/>
    <s v="Pan Asia"/>
    <s v="Northern"/>
    <s v="SGG00562"/>
    <s v="MPT"/>
    <s v="MPT  Phase 1b Colo"/>
    <s v="On Air"/>
    <s v="MS _ v1"/>
    <s v="2"/>
    <x v="8"/>
    <n v="1"/>
    <n v="1.4"/>
    <n v="2.5"/>
    <s v="SQM"/>
    <s v="33"/>
    <s v="38"/>
    <x v="0"/>
    <m/>
    <s v="Not Required"/>
    <m/>
    <s v="OK"/>
    <s v="As per conversation with LL, site access ok to proceed."/>
    <s v="OK"/>
    <s v="Existing on tower (Actual) - OML with 10.81 sqm / MPT - 2.50 sqm / TML - 3.37 Sqm / Change MW height "/>
    <s v="OK"/>
    <m/>
    <m/>
    <s v="No"/>
    <s v="EXISTING TOWER(OP1+OP4+OP3(OLD+NEW)): 72.2  %_x000a_EXISTING TOWER(OP1+OP4+OP3(OLD)):  72.2 %"/>
    <s v="OK"/>
    <m/>
    <m/>
    <m/>
    <m/>
    <s v="OK"/>
    <s v="No"/>
    <s v="No action needed "/>
    <m/>
    <m/>
    <m/>
    <m/>
    <m/>
    <m/>
    <m/>
    <d v="2019-01-17T14:59:36"/>
    <d v="2019-01-16T08:46:12"/>
    <d v="2019-01-18T16:42:05"/>
    <d v="2019-01-17T14:59:36"/>
    <m/>
    <d v="2019-01-15T15:04:50"/>
    <d v="2019-01-21T09:40:14"/>
    <n v="6.4029377315018792"/>
    <n v="0"/>
    <s v="No File"/>
    <s v="1-01-05027-001 (SGG0056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1 (SGG00562) Application Rev 2.xlsx"/>
    <m/>
  </r>
  <r>
    <n v="3603"/>
    <s v="ANSH_0034"/>
    <s v="Apollo"/>
    <s v="Northern"/>
    <s v="SHN00207"/>
    <s v="MPT"/>
    <s v="MPT  Phase 1a Colo"/>
    <s v="On Air"/>
    <s v="LTE _ v1"/>
    <s v="2"/>
    <x v="8"/>
    <n v="2.5950000000000002"/>
    <n v="3.7069999999999999"/>
    <n v="6.0579999999999998"/>
    <s v="EPA"/>
    <s v="20"/>
    <s v="25"/>
    <x v="0"/>
    <m/>
    <s v="Not Required"/>
    <s v="15-Jan-19: Okay for upgrdation as MPT is already on-air from 26-Feb-16."/>
    <s v="OK"/>
    <m/>
    <s v="OK"/>
    <s v="Existing on tower (Assume ) - TML 3.93 EPA / MPT 3.74 EPA -Add RRU "/>
    <s v="OK"/>
    <m/>
    <m/>
    <s v="No"/>
    <s v="Existing Tower:TML+KSGM(OLD+NEW) = 63.8%"/>
    <s v="OK"/>
    <m/>
    <m/>
    <m/>
    <m/>
    <s v="OK"/>
    <s v="No"/>
    <s v="No action needed "/>
    <m/>
    <m/>
    <m/>
    <m/>
    <m/>
    <m/>
    <m/>
    <d v="2019-01-17T14:59:36"/>
    <d v="2019-01-16T08:57:45"/>
    <d v="2019-01-21T11:49:48"/>
    <d v="2019-01-17T14:59:36"/>
    <d v="2019-01-15T17:09:00"/>
    <d v="2019-01-15T14:54:22"/>
    <d v="2019-01-21T17:21:55"/>
    <n v="6.7235488426013035"/>
    <n v="0"/>
    <s v="No File"/>
    <s v="ANSH_0034 (SHN0020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H_0034 (SHN00207) Application Rev 2.xlsx"/>
    <m/>
  </r>
  <r>
    <n v="3604"/>
    <s v="1-01-17023-009"/>
    <s v="Pan Asia"/>
    <s v="Southern"/>
    <s v="AWD01309"/>
    <s v="MPT"/>
    <s v="MPT Phase 2 Colo"/>
    <s v="RFI"/>
    <s v="Relocation"/>
    <s v="1"/>
    <x v="8"/>
    <n v="2.64"/>
    <n v="3.3"/>
    <n v="4.8499999999999996"/>
    <s v="SQM"/>
    <s v="48"/>
    <s v="53"/>
    <x v="0"/>
    <m/>
    <s v="Not Required"/>
    <m/>
    <s v="OK"/>
    <m/>
    <s v="OK"/>
    <s v="Existing on tower (Actual) - OML with 11.02 sqm / MPT - 4.44 sqm / TML - 2.97 Sqm / Increase RF dimension and Decrease MW dimesion "/>
    <s v="OK"/>
    <m/>
    <m/>
    <s v="No"/>
    <s v="EXISTING TOWER(OML+TML+KSGM(OLD+NEW)):  103.2%_x000a_EXISTING TOWER(OML+TML+KSGM(OLD)):  99%"/>
    <s v="OK"/>
    <m/>
    <m/>
    <m/>
    <m/>
    <s v="OK"/>
    <s v="No"/>
    <s v="No action needed "/>
    <m/>
    <m/>
    <m/>
    <m/>
    <m/>
    <m/>
    <m/>
    <d v="2019-01-17T14:59:36"/>
    <d v="2019-01-16T08:57:45"/>
    <d v="2019-01-21T10:08:34"/>
    <d v="2019-01-17T14:59:36"/>
    <m/>
    <d v="2019-01-15T14:54:19"/>
    <d v="2019-01-21T17:21:55"/>
    <n v="6.7235496528010117"/>
    <n v="0"/>
    <s v="No File"/>
    <s v="1-01-17023-009 (AWD0130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23-009 (AWD01309) Application Rev 1.xlsx"/>
    <m/>
  </r>
  <r>
    <n v="3605"/>
    <s v="1-01-05005-002"/>
    <s v="Pan Asia"/>
    <s v="Northern"/>
    <s v="SGG00219"/>
    <s v="MPT"/>
    <s v="MPT  Phase 1b Colo"/>
    <s v="On Air"/>
    <s v="Exchange"/>
    <s v="3"/>
    <x v="8"/>
    <n v="1.399"/>
    <n v="2.2610000000000001"/>
    <n v="4.2"/>
    <s v="SQM"/>
    <s v="48"/>
    <s v="53"/>
    <x v="0"/>
    <m/>
    <s v="Not Required"/>
    <m/>
    <s v="OK"/>
    <m/>
    <s v="OK"/>
    <s v="Existing on tower (Actual) - OML with 7.72 sqm / MPT - 4.16 sqm / TML - 4.04 Sqm / Add 1 RRU "/>
    <s v="OK"/>
    <m/>
    <m/>
    <s v="No"/>
    <s v="EXISTING TOWER(OP1+OP4+OP3(OLD+NEW)): 99.4  %_x000a_EXISTING TOWER(OP1+OP4+OP3(OLD)):   99.4 %"/>
    <s v="OK"/>
    <m/>
    <m/>
    <m/>
    <m/>
    <s v="OK"/>
    <s v="No"/>
    <s v="No action needed "/>
    <m/>
    <m/>
    <m/>
    <m/>
    <m/>
    <m/>
    <m/>
    <d v="2019-01-17T14:59:36"/>
    <d v="2019-01-16T08:46:12"/>
    <d v="2019-01-18T16:42:06"/>
    <d v="2019-01-17T14:59:36"/>
    <m/>
    <d v="2019-01-15T14:54:19"/>
    <d v="2019-01-21T09:40:14"/>
    <n v="6.4029408564965706"/>
    <n v="0"/>
    <s v="No File"/>
    <s v="1-01-05005-002 (SGG00219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5-002 (SGG00219) Application Rev 3.xlsx"/>
    <m/>
  </r>
  <r>
    <n v="3606"/>
    <s v="1-01-05007-010"/>
    <s v="Pan Asia"/>
    <s v="Northern"/>
    <s v="SGG00223"/>
    <s v="MPT"/>
    <s v="MPT  Phase 1b Colo"/>
    <s v="On Air"/>
    <s v="Exchange"/>
    <s v="1"/>
    <x v="8"/>
    <n v="1.4530000000000001"/>
    <n v="2.3210000000000002"/>
    <n v="3.95"/>
    <s v="SQM"/>
    <s v="48"/>
    <s v="53"/>
    <x v="0"/>
    <m/>
    <s v="Not Required"/>
    <m/>
    <s v="OK"/>
    <m/>
    <s v="OK"/>
    <s v="Existing on tower (Actual) - OML with 9.47 sqm / MPT - 3.04 sqm / TML - 3.87 Sqm / Decrease MW dimesion and add RRU "/>
    <s v="OK"/>
    <m/>
    <m/>
    <s v="No"/>
    <s v="EXISTING TOWER(OP1+OP4+OP3(OLD+NEW)): 96.9  %_x000a_EXISTING TOWER(OP1+OP4+OP3(OLD)):  95.8  %"/>
    <s v="OK"/>
    <m/>
    <m/>
    <m/>
    <m/>
    <s v="OK"/>
    <s v="No"/>
    <s v="No action needed "/>
    <m/>
    <m/>
    <m/>
    <m/>
    <m/>
    <m/>
    <m/>
    <d v="2019-01-17T14:59:36"/>
    <d v="2019-01-16T08:46:12"/>
    <d v="2019-01-18T16:42:06"/>
    <d v="2019-01-17T14:59:36"/>
    <m/>
    <d v="2019-01-15T14:54:19"/>
    <d v="2019-01-21T09:40:14"/>
    <n v="6.4029420138977002"/>
    <n v="0"/>
    <s v="No File"/>
    <s v="1-01-05007-010 (SGG0022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7-010 (SGG00223) Application Rev 1.xlsx"/>
    <m/>
  </r>
  <r>
    <n v="3607"/>
    <s v="1-01-11002-003"/>
    <s v="Pan Asia"/>
    <s v="Southern"/>
    <s v="MON00623"/>
    <s v="MPT"/>
    <s v="New Colocation"/>
    <s v="Active"/>
    <s v="TS"/>
    <s v="0"/>
    <x v="8"/>
    <n v="0.72"/>
    <n v="0.9"/>
    <n v="2.2509999999999999"/>
    <s v="SQM"/>
    <s v="37"/>
    <s v="42"/>
    <x v="0"/>
    <m/>
    <s v="Not Required"/>
    <m/>
    <s v="OK"/>
    <m/>
    <s v="OK"/>
    <s v="Existing on tower (Actual) - OML with 9.75 sqm / MPT - 4.43 sqm / New Colocation "/>
    <s v="Rejected"/>
    <m/>
    <m/>
    <s v="No"/>
    <s v="WIND ZONE CHANGE:_x000a_Strengthened Tower(OML+MYTEL+KSGM(NEW)):  93.7  % (old wind zone 130 kPH)_x000a_Strengthened  Tower(OML+MYTEL+KSGM(NEW)): 138.4 % (new wind zone 160 kPH)_x000a_Estimated Strengthening(Tower steel weight: 3141.647kg ,Foundation Conc; weight 5.1m3 )"/>
    <s v="OK"/>
    <m/>
    <m/>
    <m/>
    <m/>
    <s v="OK"/>
    <s v="Yes"/>
    <s v="Need new slab "/>
    <m/>
    <m/>
    <m/>
    <m/>
    <m/>
    <s v="Approved by Management"/>
    <s v="22-Jan-2019, structural approved as per Rudy and Steve."/>
    <d v="2019-01-17T14:59:37"/>
    <d v="2019-01-16T08:46:13"/>
    <m/>
    <d v="2019-01-17T14:59:37"/>
    <m/>
    <d v="2019-01-15T14:57:08"/>
    <d v="2019-01-23T11:31:46"/>
    <n v="8.4803956019022735"/>
    <n v="0"/>
    <s v="No File"/>
    <s v="1-01-11002-003 (MON00623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1002-003 (MON00623) Application Rev 0.xlsx"/>
    <m/>
  </r>
  <r>
    <n v="3597"/>
    <s v="1-01-06005-005"/>
    <s v="Pan Asia"/>
    <s v="Southern"/>
    <s v="TN0624"/>
    <s v="Telenor"/>
    <s v="TML Phase 1 Colo"/>
    <s v="RFI"/>
    <s v="Add Equipment"/>
    <s v="1"/>
    <x v="9"/>
    <m/>
    <m/>
    <m/>
    <s v="SQM"/>
    <s v="42.5"/>
    <s v="47.5"/>
    <x v="0"/>
    <m/>
    <s v="Not Required"/>
    <m/>
    <s v="OK"/>
    <m/>
    <s v="Not Required"/>
    <s v=" For VSAT ground space "/>
    <s v="Not Required"/>
    <m/>
    <m/>
    <m/>
    <m/>
    <s v="Not Required"/>
    <m/>
    <m/>
    <m/>
    <m/>
    <s v="OK"/>
    <s v="No"/>
    <s v="Commercial team to advise if VSAT foundation to be constructed by PAT or TML team ."/>
    <m/>
    <m/>
    <m/>
    <m/>
    <m/>
    <m/>
    <m/>
    <m/>
    <m/>
    <m/>
    <d v="2019-01-14T13:41:46"/>
    <m/>
    <d v="2019-01-14T09:48:57"/>
    <d v="2019-01-14T13:44:13"/>
    <n v="0.57237233799969545"/>
    <n v="0"/>
    <s v="No File"/>
    <s v="1-01-06005-005 (TN0624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06005-005 (TN0624) Application Rev 1.xlsx"/>
    <m/>
  </r>
  <r>
    <n v="3598"/>
    <s v="1-01-14007-015"/>
    <s v="Pan Asia"/>
    <s v="Northern"/>
    <s v="KCN00508"/>
    <s v="MPT"/>
    <s v="MPT  Phase 1b Colo"/>
    <s v="On Air"/>
    <s v="Multisector"/>
    <s v="2"/>
    <x v="9"/>
    <n v="2.1970000000000001"/>
    <n v="3.7970000000000002"/>
    <n v="5.6920000000000002"/>
    <s v="SQM"/>
    <s v="41.5-46.5"/>
    <s v="59-60"/>
    <x v="0"/>
    <m/>
    <s v="Not Required"/>
    <m/>
    <s v="OK"/>
    <m/>
    <s v="OK"/>
    <s v="Existing on tower (Actual) - OML with 9.01 sqm , MPT actual 4.93 sqm / Latest Colo Apps - 5.07 sqm / TML - 3.94 sqm - Increase 1 RF dimension , add RRU and change leg on MW "/>
    <s v="OK"/>
    <m/>
    <m/>
    <s v="No"/>
    <s v="Strengthened Tower(OML+TML+KSGM(OLD+NEW)): 93.36 %_x000a_Strengthened Tower(OML+TML+KSGM(OLD)): 93.22 %"/>
    <s v="OK"/>
    <m/>
    <m/>
    <m/>
    <m/>
    <s v="OK"/>
    <s v="No"/>
    <s v="No action needed "/>
    <m/>
    <m/>
    <m/>
    <m/>
    <m/>
    <m/>
    <m/>
    <d v="2019-01-14T16:39:47"/>
    <d v="2019-01-16T08:57:44"/>
    <d v="2019-01-15T15:55:02"/>
    <d v="2019-01-14T16:39:47"/>
    <m/>
    <d v="2019-01-14T14:59:39"/>
    <d v="2019-01-21T09:40:13"/>
    <n v="7.4029305556032341"/>
    <n v="0"/>
    <s v="No File"/>
    <s v="1-01-14007-015 (KCN0050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15 (KCN00508) Application Rev 2.xlsx"/>
    <m/>
  </r>
  <r>
    <n v="3588"/>
    <s v="1-01-08008-001"/>
    <s v="Pan Asia"/>
    <s v="Central"/>
    <s v="BGW00539"/>
    <s v="MPT"/>
    <s v="New Colocation"/>
    <s v="Active"/>
    <s v="TS"/>
    <s v="0"/>
    <x v="10"/>
    <n v="0.72"/>
    <n v="0.9"/>
    <m/>
    <s v="SQM"/>
    <s v="42.5"/>
    <s v="47.5"/>
    <x v="0"/>
    <m/>
    <s v="OK"/>
    <m/>
    <s v="OK"/>
    <m/>
    <s v="OK"/>
    <s v="Existing on tower (Actual) - OML with 9.75 sqm , TML - 3.56 Sqm   -New Colocation"/>
    <s v="OK"/>
    <m/>
    <m/>
    <s v="No"/>
    <s v="EXISTING TOWER(OML+TML+KSGM(NEW)): 67.3%"/>
    <s v="OK"/>
    <m/>
    <m/>
    <m/>
    <m/>
    <s v="OK"/>
    <s v="Yes"/>
    <s v="Need new slab "/>
    <m/>
    <m/>
    <m/>
    <m/>
    <m/>
    <m/>
    <m/>
    <d v="2019-01-14T13:36:39"/>
    <d v="2019-01-16T08:57:43"/>
    <d v="2019-01-15T11:33:30"/>
    <d v="2019-01-14T13:36:39"/>
    <d v="2019-01-15T17:34:26"/>
    <d v="2019-01-14T09:48:16"/>
    <d v="2019-01-16T09:54:05"/>
    <n v="5.412556597199"/>
    <n v="0"/>
    <s v="No File"/>
    <s v="1-01-08008-001 (BGW0053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8008-001 (BGW00539) Application Rev 0.xlsx"/>
    <m/>
  </r>
  <r>
    <n v="3589"/>
    <s v="1-01-01010-013"/>
    <s v="Pan Asia"/>
    <s v="Northern"/>
    <s v="KCN00442"/>
    <s v="MPT"/>
    <s v="MPT  Phase 1b Colo"/>
    <s v="RFI"/>
    <s v="TS"/>
    <s v="1"/>
    <x v="10"/>
    <n v="1.621"/>
    <n v="3.6989999999999998"/>
    <m/>
    <s v="SQM"/>
    <s v="16"/>
    <s v="21"/>
    <x v="0"/>
    <m/>
    <s v="OK"/>
    <s v="Rental increase of 100k/month was granted which took effect last 16-Dec-18 (400k-500k)"/>
    <s v="OK"/>
    <m/>
    <s v="OK"/>
    <s v="Existing on tower (Actual) - OML with 6.41 sqm , MPT - 5.10 Sqm / Increase RF dimension and add RRU and ODU"/>
    <s v="OK"/>
    <m/>
    <m/>
    <s v="No"/>
    <s v="EXISTING TOWER(OML+KSGM(OLD+NEW)): 57.2 %_x000a_EXISTING TOWER(OML+KSGM(OLD)):59.4 %"/>
    <s v="OK"/>
    <m/>
    <m/>
    <m/>
    <m/>
    <s v="OK"/>
    <s v="No"/>
    <s v="No action needed "/>
    <m/>
    <m/>
    <m/>
    <m/>
    <m/>
    <m/>
    <m/>
    <d v="2019-01-14T13:36:40"/>
    <d v="2019-01-16T08:57:43"/>
    <d v="2019-01-15T11:33:30"/>
    <d v="2019-01-14T13:36:40"/>
    <d v="2019-01-15T17:34:26"/>
    <d v="2019-01-14T09:48:16"/>
    <d v="2019-01-16T09:54:05"/>
    <n v="5.4125570601972868"/>
    <n v="0"/>
    <s v="No File"/>
    <s v="1-01-01010-013 (KCN0044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0-013 (KCN00442) Application Rev 1.xlsx"/>
    <m/>
  </r>
  <r>
    <n v="3590"/>
    <s v="1-01-09018-009"/>
    <s v="Pan Asia"/>
    <s v="Central"/>
    <s v="MGW00506"/>
    <s v="MPT"/>
    <s v="MPT  Phase 1b Colo"/>
    <s v="On Air"/>
    <s v="LTE"/>
    <s v="4"/>
    <x v="10"/>
    <n v="1.9890000000000001"/>
    <n v="3.5489999999999999"/>
    <m/>
    <s v="SQM"/>
    <s v="48"/>
    <s v="53"/>
    <x v="0"/>
    <m/>
    <s v="OK"/>
    <m/>
    <s v="OK"/>
    <m/>
    <s v="OK"/>
    <s v="Existing on tower (Actual) - OML with 7.56 sqm , MPT - 3.92 Sqm , TML - 2.84 sqm / Increase RF dimension and add RRU and ODU"/>
    <s v="OK"/>
    <m/>
    <m/>
    <s v="No"/>
    <s v="Existing Tower: OML+TML+KSGM(OLD+NEW) = 99.5%_x000a_Existing Tower: OML+TML+KSGM(OLD) = 98.0%"/>
    <s v="OK"/>
    <m/>
    <m/>
    <m/>
    <s v="Review PE system capacity after actual site load confirmed "/>
    <s v="OK"/>
    <s v="No"/>
    <s v="No action needed "/>
    <m/>
    <m/>
    <m/>
    <m/>
    <m/>
    <m/>
    <m/>
    <d v="2019-01-14T13:36:40"/>
    <d v="2019-01-16T08:57:43"/>
    <d v="2019-01-15T10:35:05"/>
    <d v="2019-01-14T13:36:40"/>
    <d v="2019-01-15T17:34:26"/>
    <d v="2019-01-14T09:48:16"/>
    <d v="2019-01-16T09:54:05"/>
    <n v="5.4125582175984164"/>
    <n v="0"/>
    <s v="No File"/>
    <s v="1-01-09018-009 (MGW00506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18-009 (MGW00506) Application Rev 4.xlsx"/>
    <m/>
  </r>
  <r>
    <n v="3591"/>
    <s v="1-01-05004-001"/>
    <s v="Pan Asia"/>
    <s v="Northern"/>
    <s v="SGG00208"/>
    <s v="MPT"/>
    <s v="MPT  Phase 1b Colo"/>
    <s v="On Air"/>
    <s v="Exchange"/>
    <s v="2"/>
    <x v="10"/>
    <n v="1.399"/>
    <n v="2.2989999999999999"/>
    <m/>
    <s v="SQM"/>
    <s v="48"/>
    <s v="53"/>
    <x v="0"/>
    <m/>
    <s v="OK"/>
    <m/>
    <s v="OK"/>
    <m/>
    <s v="OK"/>
    <s v="Existing on tower (Actual) - OML with 11.73 sqm , MPT - 4.16 Sqm , TML - 3.79 sqm -Change MW height ( 0.5m difference ) - add ODU "/>
    <s v="OK"/>
    <m/>
    <m/>
    <s v="No"/>
    <s v="EXISTING TOWER(OML+TML+KSGM(OLD+NEW)): 103.2 %_x000a_EXISTING TOWER(OML+TML+KSGM(OLD)):103.3%"/>
    <s v="OK"/>
    <m/>
    <m/>
    <m/>
    <s v="DG SOH to be confirmed "/>
    <s v="OK"/>
    <s v="No"/>
    <s v="No action needed "/>
    <m/>
    <m/>
    <m/>
    <m/>
    <m/>
    <m/>
    <m/>
    <d v="2019-01-14T13:36:41"/>
    <d v="2019-01-16T08:57:43"/>
    <d v="2019-01-15T11:33:30"/>
    <d v="2019-01-14T13:36:41"/>
    <d v="2019-01-15T17:34:26"/>
    <d v="2019-01-14T09:48:16"/>
    <d v="2019-01-16T09:54:05"/>
    <n v="5.4125589120012592"/>
    <n v="0"/>
    <s v="No File"/>
    <s v="1-01-05004-001 (SGG0020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4-001 (SGG00208) Application Rev 2.xlsx"/>
    <m/>
  </r>
  <r>
    <n v="3573"/>
    <s v="ANMD_0166"/>
    <s v="Apollo"/>
    <s v="Northern"/>
    <s v="MDYAMPR003"/>
    <s v="Amara"/>
    <s v="Amara Colocation"/>
    <s v="New Tenant"/>
    <s v="New Colocation"/>
    <s v=""/>
    <x v="11"/>
    <n v="2"/>
    <m/>
    <n v="5"/>
    <s v="EPA"/>
    <s v="20"/>
    <s v="25"/>
    <x v="0"/>
    <m/>
    <s v="OK"/>
    <s v="10-Jan-19: Okay for TI installation as GBT site and single opco."/>
    <s v="OK"/>
    <m/>
    <s v="OK"/>
    <s v="Existing on tower (Assume ) - TML 5.74 EPA - New Colocation "/>
    <s v="OK"/>
    <m/>
    <m/>
    <m/>
    <s v="Total EPA is 5.74+5 =10.74 &lt; 18 EPA Design - OK (Preliminaly Tower Assessment)"/>
    <s v="OK"/>
    <s v="1-2 weeks"/>
    <m/>
    <m/>
    <s v="AC connect"/>
    <s v="OK"/>
    <s v="No"/>
    <s v="sharing on the existing slab "/>
    <m/>
    <m/>
    <m/>
    <m/>
    <m/>
    <m/>
    <m/>
    <d v="2019-01-11T10:48:40"/>
    <d v="2019-01-14T15:26:15"/>
    <d v="2019-01-14T09:22:39"/>
    <d v="2019-01-11T10:48:40"/>
    <d v="2019-01-10T15:31:12"/>
    <d v="2019-01-10T23:10:21"/>
    <d v="2019-01-14T16:32:50"/>
    <n v="4.6894686343002832"/>
    <n v="0"/>
    <s v="No File"/>
    <s v="ANMD_0166 (MDYAMPR003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66 (MDYAMPR003) Application Rev .xlsx"/>
    <m/>
  </r>
  <r>
    <n v="3581"/>
    <s v="1-01-10018-001"/>
    <s v="Pan Asia"/>
    <s v="Northern"/>
    <s v="MDY00339"/>
    <s v="MPT"/>
    <s v="MPT  Phase 1b Colo"/>
    <s v="On Air"/>
    <s v="TS _ v1"/>
    <s v="2"/>
    <x v="11"/>
    <n v="1"/>
    <n v="1.4"/>
    <m/>
    <s v="SQM"/>
    <s v="48"/>
    <s v="53"/>
    <x v="0"/>
    <m/>
    <s v="OK"/>
    <m/>
    <s v="OK"/>
    <m/>
    <s v="OK"/>
    <s v="Existing on tower (Actual) - OML with 15.69 sqm , MPT  - 3.09 Sqm , TML with 3.40 Sqm   - MW height change as per actual "/>
    <s v="OK"/>
    <m/>
    <m/>
    <s v="No"/>
    <s v="EXISTING TOWER(OML+TML+KSGM(OLD+NEW)): 104.8 %_x000a_EXISTING TOWER(OML+TML+KSGM(OLD)):    104.8 %"/>
    <s v="OK"/>
    <m/>
    <m/>
    <m/>
    <m/>
    <s v="OK"/>
    <s v="No"/>
    <s v="No action needed "/>
    <m/>
    <m/>
    <m/>
    <m/>
    <m/>
    <m/>
    <m/>
    <d v="2019-01-11T10:48:41"/>
    <d v="2019-01-16T08:57:42"/>
    <d v="2019-01-14T15:45:01"/>
    <d v="2019-01-11T10:48:41"/>
    <d v="2019-01-15T17:34:25"/>
    <d v="2019-01-10T23:20:59"/>
    <d v="2019-01-16T09:54:05"/>
    <n v="6.4125533565020305"/>
    <n v="0"/>
    <s v="No File"/>
    <s v="1-01-10018-001 (MDY00339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0018-001 (MDY00339) Application Rev 2.xlsx"/>
    <m/>
  </r>
  <r>
    <n v="3582"/>
    <s v="1-01-15013-009"/>
    <s v="Pan Asia"/>
    <s v="Northern"/>
    <s v="SHN00040"/>
    <s v="MPT"/>
    <s v="MPT  Phase 1b Colo"/>
    <s v="On Air"/>
    <s v="TS _ v1"/>
    <s v="1"/>
    <x v="11"/>
    <n v="1.054"/>
    <n v="1.522"/>
    <m/>
    <s v="SQM"/>
    <s v="48"/>
    <s v="53"/>
    <x v="0"/>
    <m/>
    <s v="OK"/>
    <m/>
    <s v="OK"/>
    <m/>
    <s v="OK"/>
    <s v="Existing on tower (Actual) - OML with 10.64 sqm , MPT  - 2.71 Sqm , TML with 3.51 Sqm   - Add MW "/>
    <s v="OK"/>
    <m/>
    <m/>
    <s v="No"/>
    <s v="EXISTING TOWER(OML+TML+KSGM(OLD+NEW)): 100.9 %_x000a_EXISTING TOWER(OML+TML+KSGM(OLD)):97.7%"/>
    <s v="OK"/>
    <m/>
    <m/>
    <m/>
    <m/>
    <s v="OK"/>
    <s v="No"/>
    <s v="No action needed "/>
    <m/>
    <m/>
    <m/>
    <m/>
    <m/>
    <m/>
    <m/>
    <d v="2019-01-11T10:48:41"/>
    <d v="2019-01-16T08:57:42"/>
    <d v="2019-01-14T15:45:02"/>
    <d v="2019-01-11T11:20:41"/>
    <d v="2019-01-15T17:34:25"/>
    <d v="2019-01-10T23:20:59"/>
    <d v="2019-01-16T09:54:05"/>
    <n v="6.4125542823967407"/>
    <n v="0"/>
    <s v="No File"/>
    <s v="1-01-15013-009 (SHN00040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9 (SHN00040) Application Rev 1.xlsx"/>
    <m/>
  </r>
  <r>
    <n v="3583"/>
    <s v="1-01-15013-004"/>
    <s v="Pan Asia"/>
    <s v="Northern"/>
    <s v="SHN00327"/>
    <s v="MPT"/>
    <s v="MPT  Phase 1b Colo"/>
    <s v="On Air"/>
    <s v="Exchange"/>
    <s v="3"/>
    <x v="11"/>
    <n v="1.399"/>
    <n v="2.1989999999999998"/>
    <m/>
    <s v="SQM"/>
    <s v="46"/>
    <s v="51"/>
    <x v="0"/>
    <m/>
    <s v="OK"/>
    <m/>
    <s v="OK"/>
    <m/>
    <s v="OK"/>
    <s v="Existing on tower (Actual) - OML with 11.76 sqm , MPT  - 3.56 Sqm    - Add 1 RRU "/>
    <s v="OK"/>
    <m/>
    <m/>
    <s v="No"/>
    <s v="Strengthened Tower(OP1+OP3(OLD+NEW)): 95.1 %_x000a_Strengthened Tower(OP1+OP3(OLD)): 95.1 %"/>
    <s v="OK"/>
    <m/>
    <m/>
    <m/>
    <m/>
    <s v="OK"/>
    <s v="No"/>
    <s v="No action needed "/>
    <m/>
    <m/>
    <m/>
    <m/>
    <m/>
    <m/>
    <m/>
    <d v="2019-01-11T10:48:41"/>
    <d v="2019-01-16T08:57:43"/>
    <d v="2019-01-14T16:56:24"/>
    <d v="2019-01-11T11:20:41"/>
    <d v="2019-01-15T17:34:25"/>
    <d v="2019-01-10T23:21:00"/>
    <d v="2019-01-16T09:54:05"/>
    <n v="6.4125553241028683"/>
    <n v="0"/>
    <s v="No File"/>
    <s v="1-01-15013-004 (SHN00327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4 (SHN00327) Application Rev 3.xlsx"/>
    <m/>
  </r>
  <r>
    <n v="3572"/>
    <s v="ANMG_0034"/>
    <s v="Apollo"/>
    <s v="Central"/>
    <s v="MGW00303"/>
    <s v="MPT"/>
    <s v="MPT  Phase 1a Colo"/>
    <s v="On Air"/>
    <s v="LTE"/>
    <s v="2"/>
    <x v="12"/>
    <n v="1.9890000000000001"/>
    <n v="3.5489999999999999"/>
    <n v="6"/>
    <s v="EPA"/>
    <s v="30"/>
    <s v="35"/>
    <x v="0"/>
    <m/>
    <s v="OK"/>
    <s v="10-Jan-19: Okay for upgrdation as MPT is already on-air from 23-Dec-15"/>
    <s v="OK"/>
    <m/>
    <s v="OK"/>
    <s v="Existing on tower (Assume ) - TML 5.68 EPA / OML - 10.61 EPA / MPT - 3.75 EPA  - Increase RF Dimension and add RRU "/>
    <s v="OK"/>
    <m/>
    <m/>
    <s v="No"/>
    <s v="Existing Tower: OML+TML+KSGM (OLD+NEW) = 56.8%"/>
    <s v="OK"/>
    <m/>
    <m/>
    <m/>
    <m/>
    <s v="OK"/>
    <s v="No"/>
    <s v="No action needed "/>
    <m/>
    <m/>
    <m/>
    <m/>
    <m/>
    <m/>
    <m/>
    <d v="2019-01-11T10:48:40"/>
    <d v="2019-01-15T13:37:35"/>
    <d v="2019-01-14T16:56:23"/>
    <d v="2019-01-11T10:48:40"/>
    <d v="2019-01-10T15:31:11"/>
    <d v="2019-01-10T23:10:20"/>
    <d v="2019-01-16T09:54:05"/>
    <n v="7.4125526619973243"/>
    <n v="0"/>
    <s v="No File"/>
    <s v="ANMG_0034 (MGW0030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G_0034 (MGW00303) Application Rev 2.xlsx"/>
    <m/>
  </r>
  <r>
    <n v="3559"/>
    <s v="1-01-12016-011"/>
    <s v="Pan Asia"/>
    <s v="Central"/>
    <s v="RA0021"/>
    <s v="Telenor"/>
    <s v="TML Phase 1 Colo"/>
    <s v="On Air"/>
    <s v="Move Equipment"/>
    <s v="2"/>
    <x v="13"/>
    <m/>
    <m/>
    <n v="4.46"/>
    <s v="SQM"/>
    <s v="46"/>
    <s v="51"/>
    <x v="0"/>
    <m/>
    <s v="Not Required"/>
    <m/>
    <s v="Not Required"/>
    <m/>
    <s v="OK"/>
    <s v="Existing on tower actual - OML - 8.69 Sqm / TML on tower 2.32 Or TML previous Colo Apps 4.41 Sqm - Add 1 ODU "/>
    <s v="OK"/>
    <m/>
    <m/>
    <s v="No"/>
    <s v="EXISTING TOWER(OML+TML(OLD+NEW)):  103.8 %_x000a_EXISTING TOWER(OML+TML(OLD)): 98.8 %"/>
    <s v="Not Required"/>
    <m/>
    <m/>
    <m/>
    <m/>
    <s v="OK"/>
    <s v="No"/>
    <s v="No action needed "/>
    <m/>
    <m/>
    <m/>
    <m/>
    <m/>
    <m/>
    <m/>
    <d v="2019-01-08T11:27:58"/>
    <m/>
    <d v="2019-01-11T15:54:01"/>
    <d v="2019-01-08T11:27:58"/>
    <m/>
    <m/>
    <d v="2019-01-11T16:37:47"/>
    <n v="3.6929034721979406"/>
    <n v="0"/>
    <s v="No File"/>
    <s v="1-01-12016-011 (RA0021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12016-011 (RA0021) Application Rev 2.xlsx"/>
    <m/>
  </r>
  <r>
    <n v="3560"/>
    <s v="ANKC_0024"/>
    <s v="Apollo"/>
    <s v="Northern"/>
    <s v="KCN00341"/>
    <s v="MPT"/>
    <s v="MPT  Phase 1a Colo"/>
    <s v="On Air"/>
    <s v="Exchange"/>
    <s v="2"/>
    <x v="13"/>
    <n v="1.399"/>
    <n v="2.2610000000000001"/>
    <n v="5.76"/>
    <s v="EPA"/>
    <s v="37"/>
    <s v="42"/>
    <x v="0"/>
    <m/>
    <s v="OK"/>
    <s v="10-Jan-19: Okay for upgrdation as MPT is already on-air from 23-Mar-16"/>
    <s v="OK"/>
    <m/>
    <s v="OK"/>
    <s v="Existing on tower (Assume ) - TML 6.73 EPA / MPT - 4.82 EPA /Mytel 8.09 EPA - Decrease RF Dimension and add RRU "/>
    <s v="OK"/>
    <m/>
    <m/>
    <s v="No"/>
    <s v="Existing Tower: TML+MYTEL+KSGM (OLD+NEW) = 62.3%"/>
    <s v="OK"/>
    <m/>
    <m/>
    <m/>
    <m/>
    <s v="OK"/>
    <s v="No"/>
    <s v="No action needed "/>
    <m/>
    <m/>
    <m/>
    <m/>
    <m/>
    <m/>
    <m/>
    <d v="2019-01-09T12:01:10"/>
    <d v="2019-01-14T17:39:04"/>
    <d v="2019-01-10T11:38:18"/>
    <d v="2019-01-09T12:01:10"/>
    <d v="2019-01-10T15:31:08"/>
    <d v="2019-01-08T17:25:13"/>
    <d v="2019-01-15T10:30:27"/>
    <n v="7.4378131944031338"/>
    <n v="0"/>
    <s v="No File"/>
    <s v="ANKC_0024 (KCN00341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KC_0024 (KCN00341) Application Rev 2.xlsx"/>
    <m/>
  </r>
  <r>
    <n v="3561"/>
    <s v="1-01-10013-005"/>
    <s v="Pan Asia"/>
    <s v="Northern"/>
    <s v="MDY01364"/>
    <s v="MPT"/>
    <s v="MPT Phase 2 Colo"/>
    <s v="RFI"/>
    <s v="TS"/>
    <s v="1"/>
    <x v="13"/>
    <n v="1.175"/>
    <n v="2.1389999999999998"/>
    <n v="3.4"/>
    <s v="SQM"/>
    <s v="26"/>
    <s v="31"/>
    <x v="0"/>
    <m/>
    <s v="OK"/>
    <s v="Rental increase of 50k/month was granted which took effect last 29-Nov-18 (250k-300k)"/>
    <s v="OK"/>
    <m/>
    <s v="OK"/>
    <s v="Existing on tower actual - OML - 7.76 Sqm / MPT - 3.08 Sqm /TML 3.52 sqm /- Add 2 RRU "/>
    <s v="OK"/>
    <m/>
    <m/>
    <s v="No"/>
    <s v="Existing Tower: OML+TML+KSGM (OLD+NEW) = 97.0%_x000a_Existing Tower: OML+TML+KSGM (OLD) = 97.0%"/>
    <s v="OK"/>
    <s v="31-Jan-19"/>
    <m/>
    <m/>
    <s v="New PE system I&amp;C in planning part of 41 site list"/>
    <s v="OK"/>
    <s v="No"/>
    <s v="No action needed "/>
    <m/>
    <m/>
    <m/>
    <m/>
    <m/>
    <m/>
    <m/>
    <d v="2019-01-09T12:01:10"/>
    <d v="2019-01-14T17:39:04"/>
    <d v="2019-01-10T17:26:50"/>
    <d v="2019-01-09T12:01:10"/>
    <d v="2019-01-15T17:34:24"/>
    <d v="2019-01-10T23:22:28"/>
    <d v="2019-01-16T09:54:04"/>
    <n v="8.4125503472023411"/>
    <n v="0"/>
    <s v="No File"/>
    <s v="1-01-10013-005 (MDY01364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0013-005 (MDY01364) Application Rev 1.xlsx"/>
    <m/>
  </r>
  <r>
    <n v="3562"/>
    <s v="ANSG_0466"/>
    <s v="Apollo"/>
    <s v="Northern"/>
    <s v="SGG00230"/>
    <s v="MPT"/>
    <s v="MPT  Phase 1a Colo"/>
    <s v="On Air"/>
    <s v="Exchange"/>
    <s v="2"/>
    <x v="13"/>
    <n v="1.329"/>
    <n v="2.1989999999999998"/>
    <n v="5.53"/>
    <s v="EPA"/>
    <s v="35"/>
    <s v="40"/>
    <x v="0"/>
    <m/>
    <s v="OK"/>
    <s v="10-Jan-19: Okay for upgrdation as MPT is already on-air from 27-May-16"/>
    <s v="OK"/>
    <m/>
    <s v="OK"/>
    <s v="Existing on tower (Assume ) - TML 5.28 EPA / MPT - 4.82 EPA  - Remove MW and add RRU "/>
    <s v="OK"/>
    <m/>
    <m/>
    <s v="No"/>
    <s v="Existing Tower: TML+KSGM (OLD+NEW) = 47.1%"/>
    <s v="OK"/>
    <m/>
    <m/>
    <m/>
    <m/>
    <s v="OK"/>
    <s v="Yes"/>
    <s v="No action needed "/>
    <m/>
    <m/>
    <m/>
    <m/>
    <m/>
    <m/>
    <m/>
    <d v="2019-01-09T12:01:10"/>
    <d v="2019-01-14T17:39:04"/>
    <d v="2019-01-10T14:23:31"/>
    <d v="2019-01-09T12:01:10"/>
    <d v="2019-01-10T15:31:09"/>
    <d v="2019-01-08T17:25:13"/>
    <d v="2019-01-15T10:30:27"/>
    <n v="7.4378148148025502"/>
    <n v="0"/>
    <s v="No File"/>
    <s v="ANSG_0466 (SGG0023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66 (SGG00230) Application Rev 2.xlsx"/>
    <m/>
  </r>
  <r>
    <n v="3563"/>
    <s v="AYYN_0530"/>
    <s v="Apollo"/>
    <s v="Southern"/>
    <s v="YGNDMNH014"/>
    <s v="Amara"/>
    <s v="Amara Phase 1"/>
    <s v="On Air"/>
    <s v="Remove Equipment"/>
    <s v="1"/>
    <x v="13"/>
    <n v="3.8"/>
    <m/>
    <n v="3"/>
    <s v="EPA"/>
    <s v="4.5"/>
    <m/>
    <x v="0"/>
    <m/>
    <s v="OK"/>
    <s v="10-Jan-19: Okay for upgrdation as Amara is already on-air from 29-Mar-18"/>
    <s v="OK"/>
    <m/>
    <s v="OK"/>
    <s v="Require Colo Apps to update in prevalidation -  Existing on tower (Assume ) - TML 3.56 EPA / Amara previous Colo Apps 3.35 EPA  - Remove 1 MW (0.3 ) and Odu"/>
    <s v="OK"/>
    <m/>
    <m/>
    <m/>
    <s v="STR OK for MW0.6m removal"/>
    <s v="OK"/>
    <s v="1-2 weeks"/>
    <m/>
    <m/>
    <s v="AC connect"/>
    <s v="OK"/>
    <s v="No"/>
    <s v="No action needed "/>
    <m/>
    <m/>
    <m/>
    <m/>
    <m/>
    <s v="OK"/>
    <s v="removing equiptments so not require power comment"/>
    <d v="2019-01-09T12:01:11"/>
    <d v="2019-01-14T17:39:04"/>
    <d v="2019-01-10T14:07:08"/>
    <d v="2019-01-09T12:01:11"/>
    <d v="2019-01-10T15:31:09"/>
    <d v="2019-01-08T17:25:13"/>
    <d v="2019-01-11T09:36:57"/>
    <n v="3.4006628471979639"/>
    <n v="0"/>
    <s v="No File"/>
    <s v="AYYN_0530 (YGNDMNH014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530 (YGNDMNH014) Application Rev 1.xlsx"/>
    <m/>
  </r>
  <r>
    <n v="3564"/>
    <s v="AYYN_0620"/>
    <s v="Apollo"/>
    <s v="Southern"/>
    <s v="YGNDMSH008"/>
    <s v="Amara"/>
    <s v="Amara Phase 1"/>
    <s v="On Air"/>
    <s v="Remove Equipment"/>
    <s v="1"/>
    <x v="13"/>
    <n v="2.5"/>
    <m/>
    <n v="3"/>
    <s v="EPA"/>
    <s v="15"/>
    <s v="20"/>
    <x v="0"/>
    <m/>
    <s v="OK"/>
    <s v="10-Jan-19: Okay for upgrdation as Amara is already on-air from 09-Feb-18"/>
    <s v="OK"/>
    <m/>
    <s v="OK"/>
    <s v="Require Colo Apps to update in prevalidation -  Existing on tower (Assume ) - TML 4.11 EPA / OML - 12.15 EPA / MPT - 3.24 EPA / Mytel Colo Apps - 5.68 EPA /Amara previous Colo Apps 3.48 EPA  - Remove 2 MW (0.3 ) and Odu"/>
    <s v="OK"/>
    <m/>
    <m/>
    <m/>
    <s v="STR OK for MW0.6m removal"/>
    <s v="OK"/>
    <s v="1-2 weeks"/>
    <m/>
    <m/>
    <s v="AC connect"/>
    <s v="OK"/>
    <s v="No"/>
    <s v="No action needed "/>
    <m/>
    <m/>
    <m/>
    <m/>
    <m/>
    <s v="OK"/>
    <s v="removing equiptments so not require power comment"/>
    <d v="2019-01-09T12:01:11"/>
    <d v="2019-01-14T17:39:04"/>
    <d v="2019-01-10T14:07:08"/>
    <d v="2019-01-09T12:01:11"/>
    <d v="2019-01-10T15:31:10"/>
    <d v="2019-01-08T17:25:14"/>
    <d v="2019-01-11T09:36:57"/>
    <n v="3.4006649306029431"/>
    <n v="0"/>
    <s v="No File"/>
    <s v="AYYN_0620 (YGNDMSH008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620 (YGNDMSH008) Application Rev 1.xlsx"/>
    <m/>
  </r>
  <r>
    <n v="3565"/>
    <s v="1-01-15009-006"/>
    <s v="Pan Asia"/>
    <s v="Northern"/>
    <s v="SHN00051"/>
    <s v="MPT"/>
    <s v="MPT  Phase 1b Colo"/>
    <s v="On Air"/>
    <s v="LTE"/>
    <s v="4"/>
    <x v="13"/>
    <n v="1.9890000000000001"/>
    <n v="3.6110000000000002"/>
    <n v="5.21"/>
    <s v="SQM"/>
    <s v="46"/>
    <s v="51"/>
    <x v="0"/>
    <m/>
    <s v="OK"/>
    <m/>
    <s v="OK"/>
    <m/>
    <s v="OK"/>
    <s v="Existing on tower actual - OML - 6.46 Sqm / MPT - 3.52 Sqm /TML 3.56 sqm / Decrease Dimension and add RRU "/>
    <s v="OK"/>
    <m/>
    <m/>
    <s v="No"/>
    <s v="EXISTING TOWER(OML+TML+KSGM(OLD+NEW)): 97.96 %_x000a_EXISTING TOWER(OML+TML+KSGM(OLD)):93.4 %"/>
    <s v="OK"/>
    <s v="31-Jan-19"/>
    <m/>
    <m/>
    <s v="New PE system I&amp;C in planning  part of 41 site list"/>
    <s v="OK"/>
    <s v="No"/>
    <s v="No action needed "/>
    <m/>
    <m/>
    <m/>
    <m/>
    <m/>
    <m/>
    <m/>
    <d v="2019-01-09T12:01:11"/>
    <d v="2019-01-14T17:39:04"/>
    <d v="2019-01-14T12:05:59"/>
    <d v="2019-01-09T12:01:11"/>
    <d v="2019-01-15T17:34:24"/>
    <d v="2019-01-10T23:22:29"/>
    <d v="2019-01-16T09:54:04"/>
    <n v="8.4125510416997713"/>
    <n v="0"/>
    <s v="No File"/>
    <s v="1-01-15009-006 (SHN00051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09-006 (SHN00051) Application Rev 4.xlsx"/>
    <m/>
  </r>
  <r>
    <n v="3566"/>
    <s v="1-01-15002-002"/>
    <s v="Pan Asia"/>
    <s v="Northern"/>
    <s v="SHN00062"/>
    <s v="MPT"/>
    <s v="MPT  Phase 1b Colo"/>
    <s v="On Air"/>
    <s v="LTE"/>
    <s v="1"/>
    <x v="13"/>
    <n v="1.9890000000000001"/>
    <n v="3.6110000000000002"/>
    <n v="4.7300000000000004"/>
    <s v="SQM"/>
    <s v="48"/>
    <s v="53"/>
    <x v="0"/>
    <m/>
    <s v="OK"/>
    <m/>
    <s v="OK"/>
    <m/>
    <s v="OK"/>
    <s v="Existing on tower actual - OML - 8.09 Sqm / MPT - 3.07 Sqm /TML 4.50 sqm / Decrease Dimension and add RRU "/>
    <s v="OK"/>
    <m/>
    <m/>
    <s v="No"/>
    <s v="EXISTING TOWER(OML+TML+KSGM(OLD+NEW)): 99.7 %_x000a_EXISTING TOWER(OML+TML+KSGM(OLD)): 95.8  %"/>
    <s v="OK"/>
    <s v="15-Feb-19"/>
    <m/>
    <m/>
    <s v="PE capacity upgrade required confrim available stock"/>
    <s v="OK"/>
    <s v="No"/>
    <s v="No action needed "/>
    <m/>
    <m/>
    <m/>
    <m/>
    <m/>
    <m/>
    <m/>
    <d v="2019-01-09T12:01:11"/>
    <d v="2019-01-16T12:01:38"/>
    <d v="2019-01-14T12:05:59"/>
    <d v="2019-01-09T12:01:11"/>
    <d v="2019-01-15T17:34:24"/>
    <d v="2019-01-10T23:20:57"/>
    <d v="2019-01-16T15:07:53"/>
    <n v="8.6304743056025472"/>
    <n v="0"/>
    <s v="No File"/>
    <s v="1-01-15002-002 (SHN0006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02-002 (SHN00062) Application Rev 1.xlsx"/>
    <m/>
  </r>
  <r>
    <n v="3567"/>
    <s v="1-01-14007-013"/>
    <s v="Pan Asia"/>
    <s v="Northern"/>
    <s v="SHN00081"/>
    <s v="MPT"/>
    <s v="MPT  Phase 1b Colo"/>
    <s v="On Air"/>
    <s v="LTE"/>
    <s v="2"/>
    <x v="13"/>
    <n v="2.0590000000000002"/>
    <n v="3.6110000000000002"/>
    <n v="5.47"/>
    <s v="SQM"/>
    <s v="45-48"/>
    <s v="52-54"/>
    <x v="0"/>
    <m/>
    <s v="OK"/>
    <m/>
    <s v="OK"/>
    <m/>
    <s v="OK"/>
    <s v="Existing on tower actual - OML - 7.90 Sqm / MPT - 2.69 Sqm /Mytel actual - 2.97 sqm - Mytel  colo apps 4.07 sqm / Decrease Dimension and add RRU "/>
    <s v="Rejected"/>
    <m/>
    <m/>
    <s v="No"/>
    <s v="Strengthened Tower: OML+MYTEL+KSGM (OLD+NEW) = 120.6% (Estimate modification weight = 140 kg)_x000a_Strengthened Tower: OML+MYTEL+KSGM (OLD) = 120.6%_x000a_Additional 2x0.9MWs (UE) and KSGM will change bigger antennas and add feedlines"/>
    <s v="OK"/>
    <s v="15-Feb-19"/>
    <m/>
    <m/>
    <s v="DG cap expan"/>
    <s v="OK"/>
    <s v="No"/>
    <s v="No action needed "/>
    <m/>
    <m/>
    <m/>
    <m/>
    <m/>
    <s v="Approved by Management"/>
    <s v="22-Jan-2019, structural approved as per Rudy and Steve."/>
    <d v="2019-01-09T12:01:11"/>
    <d v="2019-01-16T12:01:38"/>
    <m/>
    <d v="2019-01-09T12:01:11"/>
    <d v="2019-01-15T17:34:25"/>
    <d v="2019-01-10T23:20:57"/>
    <d v="2019-01-23T11:31:46"/>
    <n v="15.480394560203422"/>
    <n v="0"/>
    <s v="No File"/>
    <s v="1-01-14007-013 (SHN00081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13 (SHN00081) Application Rev 2.xlsx"/>
    <m/>
  </r>
  <r>
    <n v="3568"/>
    <s v="AYYN_0284"/>
    <s v="Apollo"/>
    <s v="Southern"/>
    <s v="YGNINSN005"/>
    <s v="Amara"/>
    <s v="Amara Phase 1"/>
    <s v="On Air"/>
    <s v="Remove Equipment"/>
    <s v="1"/>
    <x v="13"/>
    <n v="3.8"/>
    <m/>
    <n v="3"/>
    <s v="EPA"/>
    <s v="4.5"/>
    <m/>
    <x v="0"/>
    <m/>
    <s v="OK"/>
    <s v="10-Jan-19: Okay for upgrdation as Amara is already on-air from 08-Mar-18"/>
    <s v="OK"/>
    <m/>
    <s v="OK"/>
    <s v="Require Colo Apps to update in prevalidation -  Existing on tower (Assume ) - TML -5.40 EPA/ Amara Previous Colo Apps 3.35 EPA  - Remove 2 MW (0.3 ) and Odu"/>
    <s v="OK"/>
    <m/>
    <m/>
    <m/>
    <s v="STR OK for MW0.6m removal"/>
    <s v="OK"/>
    <s v="1-2 weeks"/>
    <m/>
    <m/>
    <s v="AC connect"/>
    <s v="OK"/>
    <s v="No"/>
    <s v="No action needed "/>
    <m/>
    <m/>
    <m/>
    <m/>
    <m/>
    <s v="OK"/>
    <s v="removing equiptments so not require power comment"/>
    <d v="2019-01-09T12:01:11"/>
    <d v="2019-01-14T17:39:05"/>
    <d v="2019-01-10T14:07:09"/>
    <d v="2019-01-09T12:01:11"/>
    <d v="2019-01-10T15:31:10"/>
    <d v="2019-01-08T17:25:14"/>
    <d v="2019-01-11T09:36:58"/>
    <n v="3.4006670138987829"/>
    <n v="0"/>
    <s v="No File"/>
    <s v="AYYN_0284 (YGNINSN00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284 (YGNINSN005) Application Rev 1.xlsx"/>
    <m/>
  </r>
  <r>
    <n v="3569"/>
    <s v="AYYN_0575"/>
    <s v="Apollo"/>
    <s v="Southern"/>
    <s v="YGNSPTR001"/>
    <s v="Amara"/>
    <s v="Amara Phase 1"/>
    <s v="On Air"/>
    <s v="Remove Equipment"/>
    <s v="1"/>
    <x v="13"/>
    <n v="2.5"/>
    <m/>
    <n v="3"/>
    <s v="EPA"/>
    <s v="23"/>
    <s v="28"/>
    <x v="0"/>
    <m/>
    <s v="OK"/>
    <s v="10-Jan-19: Okay for upgrdation as Amara is already on-air from 13-Mar-18"/>
    <s v="OK"/>
    <m/>
    <s v="OK"/>
    <s v="Require Colo Apps to update in prevalidation -  Existing on tower (Assume ) - TML -2.57 EPA/ Amara Previous Colo Apps 3.40 EPA  - Remove 1 MW (0.6 ) and Odu"/>
    <s v="OK"/>
    <m/>
    <m/>
    <m/>
    <s v="STR OK for MW0.6m removal"/>
    <s v="OK"/>
    <s v="1-2 weeks"/>
    <m/>
    <m/>
    <s v="AC connect"/>
    <s v="OK"/>
    <s v="No"/>
    <s v="No action needed "/>
    <m/>
    <m/>
    <m/>
    <m/>
    <m/>
    <s v="OK"/>
    <s v="removing equiptments so not require power comment"/>
    <d v="2019-01-09T12:01:11"/>
    <d v="2019-01-14T17:39:05"/>
    <d v="2019-01-10T14:07:09"/>
    <d v="2019-01-09T12:01:11"/>
    <d v="2019-01-10T15:31:10"/>
    <d v="2019-01-08T17:25:14"/>
    <d v="2019-01-11T09:36:58"/>
    <n v="3.4006688657027553"/>
    <n v="0"/>
    <s v="No File"/>
    <s v="AYYN_0575 (YGNSPTR00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575 (YGNSPTR001) Application Rev 1.xlsx"/>
    <m/>
  </r>
  <r>
    <n v="3570"/>
    <s v="AYYN_0403"/>
    <s v="Apollo"/>
    <s v="Southern"/>
    <s v="YGNTKTA002"/>
    <s v="Amara"/>
    <s v="Amara Phase 1"/>
    <s v="On Air"/>
    <s v="Remove Equipment"/>
    <s v="1"/>
    <x v="13"/>
    <n v="2.5"/>
    <m/>
    <n v="3"/>
    <s v="EPA"/>
    <s v="4.5"/>
    <m/>
    <x v="0"/>
    <m/>
    <s v="OK"/>
    <s v="10-Jan-19: Okay for upgrdation as Amara is already on-air from 06-Mar-18"/>
    <s v="OK"/>
    <m/>
    <s v="OK"/>
    <s v="Require Colo Apps to update in prevalidation -  Existing on tower (Assume ) - TML -2.57 EPA/ Amara Previous Colo Apps 3.09 EPA  - Remove 1 MW (0.3 ) and Odu"/>
    <s v="OK"/>
    <m/>
    <m/>
    <m/>
    <s v="STR OK for MW0.6m removal"/>
    <s v="OK"/>
    <s v="1-2 weeks"/>
    <m/>
    <m/>
    <s v="AC connect"/>
    <s v="OK"/>
    <s v="No"/>
    <s v="No action needed "/>
    <m/>
    <m/>
    <m/>
    <m/>
    <m/>
    <s v="OK"/>
    <s v="removing equiptments so not require power comment"/>
    <d v="2019-01-09T12:01:12"/>
    <d v="2019-01-14T17:39:05"/>
    <d v="2019-01-10T14:07:09"/>
    <d v="2019-01-09T12:01:12"/>
    <d v="2019-01-10T15:31:11"/>
    <d v="2019-01-08T17:25:14"/>
    <d v="2019-01-11T09:36:58"/>
    <n v="3.4006710648027365"/>
    <n v="0"/>
    <s v="No File"/>
    <s v="AYYN_0403 (YGNTKTA00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403 (YGNTKTA002) Application Rev 1.xlsx"/>
    <m/>
  </r>
  <r>
    <n v="3571"/>
    <s v="AYYN_0570"/>
    <s v="Apollo"/>
    <s v="Southern"/>
    <s v="YGNSPTR022"/>
    <s v="Amara"/>
    <s v="Amara Phase 1"/>
    <s v="On Air"/>
    <s v="Remove Equipment"/>
    <s v="1"/>
    <x v="13"/>
    <n v="1.1000000000000001"/>
    <m/>
    <n v="3"/>
    <s v="EPA"/>
    <s v="20"/>
    <s v="25"/>
    <x v="0"/>
    <m/>
    <s v="OK"/>
    <s v="10-Jan-19: Okay for upgrdation as Amara is already on-air from 22-Jun-18"/>
    <s v="OK"/>
    <m/>
    <s v="OK"/>
    <s v="Require Colo Apps to update in prevalidation -  Existing on tower (Assume ) - TML -5.79 EPA/ MPT - 4.85 EPA / Mytel 5.68 EPA / Amara Previous Colo Apps 3.36 EPA  - Remove 1 MW (0.6 ) and Odu"/>
    <s v="OK"/>
    <m/>
    <m/>
    <m/>
    <s v="STR OK for MW0.6m removal"/>
    <s v="OK"/>
    <s v="1-2 weeks"/>
    <m/>
    <m/>
    <s v="AC connect"/>
    <s v="OK"/>
    <s v="No"/>
    <s v="No action needed "/>
    <m/>
    <m/>
    <m/>
    <m/>
    <m/>
    <s v="OK"/>
    <s v="removing equiptments so not require power comment"/>
    <d v="2019-01-09T12:01:12"/>
    <d v="2019-01-14T17:39:05"/>
    <d v="2019-01-10T14:07:09"/>
    <d v="2019-01-09T12:01:12"/>
    <d v="2019-01-10T15:31:11"/>
    <d v="2019-01-08T17:25:15"/>
    <d v="2019-01-11T09:36:58"/>
    <n v="3.4006729167012963"/>
    <n v="0"/>
    <s v="No File"/>
    <s v="AYYN_0570 (YGNSPTR02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570 (YGNSPTR022) Application Rev 1.xlsx"/>
    <m/>
  </r>
  <r>
    <n v="3554"/>
    <s v="1-01-14013-003"/>
    <s v="Pan Asia"/>
    <s v="Central"/>
    <s v="SHS00383"/>
    <s v="MPT"/>
    <s v="MPT  Phase 1b Colo"/>
    <s v="On Air"/>
    <s v="LTE"/>
    <s v="3"/>
    <x v="14"/>
    <n v="3.44"/>
    <n v="4.3"/>
    <n v="5.12"/>
    <s v="SQM"/>
    <s v="47.5"/>
    <s v="52.5"/>
    <x v="0"/>
    <m/>
    <s v="OK"/>
    <m/>
    <s v="OK"/>
    <m/>
    <s v="OK"/>
    <s v="Existing on tower actual - OML - 9.23 Sqm / MPT -3.93 Sqm  / TML - 2.74 sqm / MYTEL - 5.00 Sqm - Increase RF Dimension , Add RRU "/>
    <s v="OK"/>
    <m/>
    <m/>
    <s v="No"/>
    <s v="Strengthened Tower(OML+TML+KSGM(OLD+NEW)): 92.4 %_x000a_Strengthened Tower(OML+TML+KSGM(OLD)): 84.7 %"/>
    <s v="OK"/>
    <s v="15-Feb-19"/>
    <m/>
    <m/>
    <s v="PE systems upgrade required"/>
    <s v="OK"/>
    <s v="No"/>
    <s v="No action needed "/>
    <m/>
    <m/>
    <m/>
    <m/>
    <m/>
    <m/>
    <m/>
    <d v="2019-01-07T15:49:12"/>
    <d v="2019-01-16T12:01:38"/>
    <d v="2019-01-10T11:11:49"/>
    <d v="2019-01-14T16:39:47"/>
    <d v="2019-01-07T15:45:50"/>
    <d v="2019-01-10T23:22:28"/>
    <d v="2019-01-16T15:07:53"/>
    <n v="9.6304706017981516"/>
    <n v="0"/>
    <s v="No File"/>
    <s v="1-01-14013-003 (SHS0038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13-003 (SHS00383) Application Rev 3.xlsx"/>
    <m/>
  </r>
  <r>
    <n v="3555"/>
    <s v="1-01-03007-002"/>
    <s v="Pan Asia"/>
    <s v="Southern"/>
    <s v="KA3411"/>
    <s v="Telenor"/>
    <s v="TML Phase 1 Colo"/>
    <s v="Active"/>
    <s v="New Colocation"/>
    <s v="0"/>
    <x v="14"/>
    <m/>
    <m/>
    <n v="2.81"/>
    <s v="SQM"/>
    <s v="42.5"/>
    <s v="47.5"/>
    <x v="0"/>
    <m/>
    <s v="Not Required"/>
    <m/>
    <s v="Not Required"/>
    <m/>
    <s v="OK"/>
    <s v="Existing on tower actual - OML - 8.67 Sqm / MYTEL -4.07 Sqm - New Colocation"/>
    <s v="OK"/>
    <m/>
    <m/>
    <s v="No"/>
    <s v="EXISTING TOWER(OML+TML(NEW)):  91.7 % (old wind zone)_x000a_EXISTING TOWER(OML+TML(NEW)):  137.4 % (new wind zone)_STR later"/>
    <s v="Not Required"/>
    <m/>
    <m/>
    <m/>
    <m/>
    <s v="OK"/>
    <s v="Yes"/>
    <s v="Required New Slab"/>
    <m/>
    <m/>
    <m/>
    <m/>
    <m/>
    <s v="OK"/>
    <s v="OK to proceed, community will provide the feedback on 11 Jan 2019"/>
    <d v="2019-01-07T15:49:12"/>
    <m/>
    <d v="2019-01-10T17:10:32"/>
    <d v="2019-01-07T15:49:12"/>
    <m/>
    <m/>
    <d v="2019-01-10T17:30:04"/>
    <n v="3.729218055603269"/>
    <n v="0"/>
    <s v="No File"/>
    <s v="1-01-03007-002 (KA3411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03007-002 (KA3411) Application Rev 0.xlsx"/>
    <m/>
  </r>
  <r>
    <n v="3556"/>
    <s v="1-03-01014-017"/>
    <s v="Pan Asia"/>
    <s v="Northern"/>
    <s v="KC0459"/>
    <s v="Telenor"/>
    <s v="TML Phase 1 Colo"/>
    <s v="Active"/>
    <s v="New Colocation"/>
    <s v="0"/>
    <x v="14"/>
    <m/>
    <m/>
    <n v="4.13"/>
    <s v="SQM"/>
    <s v="42.5"/>
    <s v="47.5"/>
    <x v="0"/>
    <m/>
    <s v="Not Required"/>
    <m/>
    <s v="OK"/>
    <m/>
    <s v="OK"/>
    <s v="Existing on tower actual - MPT- 3.56 Sqm - New Colocation"/>
    <m/>
    <m/>
    <m/>
    <s v="No"/>
    <s v="STRENGTHENED TOWER(KSGM+MYTEL+TML(NEW)):  99.27 %"/>
    <s v="Not Required"/>
    <m/>
    <m/>
    <m/>
    <m/>
    <s v="OK"/>
    <s v="Yes"/>
    <s v="Required New Slab"/>
    <m/>
    <m/>
    <m/>
    <m/>
    <m/>
    <m/>
    <m/>
    <d v="2019-01-07T15:49:13"/>
    <m/>
    <d v="2019-01-11T10:37:25"/>
    <d v="2019-01-07T15:49:13"/>
    <m/>
    <d v="2019-01-10T23:22:28"/>
    <d v="2019-01-11T10:42:46"/>
    <n v="4.4463650463003432"/>
    <n v="0"/>
    <s v="No File"/>
    <s v="1-03-01014-017 (KC045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3-01014-017 (KC0459) Application Rev 0.xlsx"/>
    <m/>
  </r>
  <r>
    <n v="3557"/>
    <s v="1-01-14007-014"/>
    <s v="Pan Asia"/>
    <s v="Northern"/>
    <s v="SH4020"/>
    <s v="Telenor"/>
    <s v="TML Phase 1 Colo"/>
    <s v="Active"/>
    <s v="New Colocation"/>
    <s v="0"/>
    <x v="14"/>
    <m/>
    <m/>
    <n v="4.2699999999999996"/>
    <s v="SQM"/>
    <s v="42.5"/>
    <s v="47.5"/>
    <x v="0"/>
    <m/>
    <s v="Not Required"/>
    <m/>
    <s v="Not Required"/>
    <m/>
    <s v="OK"/>
    <s v="Existing on tower actual - OML - 7.03Sqm / MPT - 3.72 Sqm - New Colocation"/>
    <s v="OK"/>
    <m/>
    <m/>
    <s v="No"/>
    <s v="EXISTING TOWER(OML+KSGM+TML(NEW)):  98.30 %"/>
    <s v="Not Required"/>
    <m/>
    <m/>
    <m/>
    <m/>
    <s v="OK"/>
    <s v="Yes"/>
    <s v="Required New Slab"/>
    <m/>
    <m/>
    <m/>
    <m/>
    <m/>
    <s v="OK"/>
    <s v="OK to proceed, community will provide the feedback on 11 Jan 2019"/>
    <d v="2019-01-07T15:49:13"/>
    <m/>
    <d v="2019-01-10T15:54:17"/>
    <d v="2019-01-07T15:49:13"/>
    <m/>
    <m/>
    <d v="2019-01-10T17:30:04"/>
    <n v="3.7292186342965579"/>
    <n v="0"/>
    <s v="No File"/>
    <s v="1-01-14007-014 (SH402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14007-014 (SH4020) Application Rev 0.xlsx"/>
    <m/>
  </r>
  <r>
    <n v="3558"/>
    <s v="1-01-01015-020"/>
    <s v="Pan Asia"/>
    <s v="Northern"/>
    <s v="KC0091"/>
    <s v="Telenor"/>
    <s v="TML Phase 1 Colo"/>
    <s v="Active"/>
    <s v="New Colocation"/>
    <s v="0"/>
    <x v="14"/>
    <m/>
    <m/>
    <n v="3.78"/>
    <s v="SQM"/>
    <s v="47"/>
    <s v="52"/>
    <x v="0"/>
    <m/>
    <s v="Not Required"/>
    <m/>
    <s v="Not Required"/>
    <m/>
    <s v="OK"/>
    <s v="Existing on tower actual - OML - 8.10 Sqm / - New Colocation"/>
    <s v="OK"/>
    <m/>
    <m/>
    <s v="No"/>
    <s v="EXISTING TOWER(OML+TML(NEW)):  98.61 %"/>
    <s v="Not Required"/>
    <m/>
    <m/>
    <m/>
    <m/>
    <s v="OK"/>
    <s v="Yes"/>
    <s v="Required New Slab"/>
    <m/>
    <m/>
    <m/>
    <m/>
    <m/>
    <s v="OK"/>
    <s v="OK to proceed, community will provide the feedback on 11 Jan 2019"/>
    <d v="2019-01-07T15:49:13"/>
    <m/>
    <d v="2019-01-10T15:54:17"/>
    <d v="2019-01-07T15:49:13"/>
    <m/>
    <m/>
    <d v="2019-01-10T17:30:05"/>
    <n v="3.7292189814979793"/>
    <n v="0"/>
    <s v="No File"/>
    <s v="1-01-01015-020 (KC0091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01015-020 (KC0091) Application Rev 0.xlsx"/>
    <m/>
  </r>
  <r>
    <n v="3550"/>
    <s v="ASTN_0023"/>
    <s v="Apollo"/>
    <s v="Southern"/>
    <s v="TNY00315"/>
    <s v="MPT"/>
    <s v="MPT  Phase 1a Colo"/>
    <s v="On Air"/>
    <s v="LTE"/>
    <s v="3"/>
    <x v="15"/>
    <n v="2.48"/>
    <n v="3.1"/>
    <n v="6.0839999999999996"/>
    <s v="EPA"/>
    <s v="39.5-42.5"/>
    <s v="45.5-47.5"/>
    <x v="0"/>
    <m/>
    <s v="OK"/>
    <m/>
    <s v="OK"/>
    <m/>
    <s v="OK"/>
    <s v="Existing on tower (Assume ) - TML 4.29 EPA / MPT - 4.60 EPA /   Increase RF Dimension and add RRU . "/>
    <s v="Rejected"/>
    <s v="Strengthening Later"/>
    <s v="No Retrofit"/>
    <s v="No"/>
    <s v="Existing Tower: TML+KSGM (OLD+NEW) = 129.2%_x000a_(Estimate modification steel weight = 1500 kg)_x000a_Existing Tower: TML+KSGM (OLD) = 124.7%"/>
    <s v="OK"/>
    <m/>
    <m/>
    <m/>
    <s v="As above site ID duplicated"/>
    <s v="OK"/>
    <s v="No"/>
    <s v="No action needed "/>
    <m/>
    <m/>
    <m/>
    <m/>
    <m/>
    <s v="Approved by Management"/>
    <s v="22-Jan-2019, structural approved as per Rudy and Steve."/>
    <d v="2019-01-07T09:10:22"/>
    <d v="2019-01-14T17:39:03"/>
    <m/>
    <d v="2019-01-07T09:10:22"/>
    <d v="2019-01-07T15:45:50"/>
    <d v="2019-01-07T10:29:24"/>
    <d v="2019-01-23T11:31:46"/>
    <n v="20.480393634301436"/>
    <n v="0"/>
    <s v="No File"/>
    <s v="ASTN_0023 (TNY00315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STN_0023 (TNY00315) Application Rev 3.xlsx"/>
    <m/>
  </r>
  <r>
    <n v="3548"/>
    <s v="1-01-01010-012"/>
    <s v="Pan Asia"/>
    <s v="Northern"/>
    <s v="KCN00455"/>
    <s v="MPT"/>
    <s v="MPT  Phase 1b Colo"/>
    <s v="RFI"/>
    <s v="TS _ v1"/>
    <s v="2"/>
    <x v="16"/>
    <n v="1.621"/>
    <n v="3.6989999999999998"/>
    <n v="2.5099999999999998"/>
    <s v="SQM"/>
    <s v="21"/>
    <s v="26"/>
    <x v="0"/>
    <m/>
    <s v="OK"/>
    <m/>
    <s v="OK"/>
    <m/>
    <s v="OK"/>
    <s v="Existing on tower actual - OML - 6.64 Sqm / MPT - 2.71 Sqm  / TML - 2.74 sqm / MYTEL - 2.03 Sqm - increase RF Dimension , Add RRU and ODU "/>
    <s v="OK"/>
    <m/>
    <m/>
    <s v="No"/>
    <s v="EXISTING TOWER(OML+TML+Mytel+KSGM(OLD+NEW)):  87.4 %_x000a_EXISTING TOWER(OML+TML+Mytel+KSGM(OLD)): 85.75 %"/>
    <s v="OK"/>
    <s v="2019-01-31"/>
    <m/>
    <m/>
    <s v="New PE system I&amp;C in planning part of 41 site list"/>
    <s v="OK"/>
    <s v="No"/>
    <s v="No action needed "/>
    <m/>
    <m/>
    <m/>
    <m/>
    <m/>
    <m/>
    <m/>
    <d v="2019-01-07T09:10:22"/>
    <d v="2019-01-14T17:39:03"/>
    <d v="2019-01-09T15:41:08"/>
    <d v="2019-01-07T09:10:22"/>
    <d v="2019-01-07T15:45:50"/>
    <d v="2019-01-02T14:17:15"/>
    <d v="2019-01-15T10:30:27"/>
    <n v="13.437809953698888"/>
    <n v="0"/>
    <s v="No File"/>
    <s v="1-01-01010-012 (KCN0045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0-012 (KCN00455) Application Rev 2.xlsx"/>
    <m/>
  </r>
  <r>
    <n v="3549"/>
    <s v="ASMO_0155"/>
    <s v="Apollo"/>
    <s v="Southern"/>
    <s v="MON00618"/>
    <s v="MPT"/>
    <s v="MPT Phase 2 Colo "/>
    <s v="Active"/>
    <s v="TS"/>
    <s v="0"/>
    <x v="16"/>
    <n v="0.72"/>
    <n v="0.9"/>
    <n v="3.18"/>
    <s v="EPA"/>
    <s v="39.5"/>
    <s v="44.5"/>
    <x v="0"/>
    <m/>
    <s v="OK"/>
    <m/>
    <s v="OK"/>
    <m/>
    <s v="OK"/>
    <s v="Existing on tower (Assume ) - TML 9.08 EPA /  New Colo Apps Submission "/>
    <s v="OK"/>
    <m/>
    <m/>
    <s v="No"/>
    <s v="EXISTING TOWER: TML+KSGM(OLD+NEW)):  96.4%"/>
    <s v="OK"/>
    <m/>
    <m/>
    <m/>
    <m/>
    <s v="OK"/>
    <s v="No"/>
    <s v="sharing on the existing slab "/>
    <m/>
    <m/>
    <m/>
    <m/>
    <m/>
    <m/>
    <m/>
    <d v="2019-01-07T09:10:22"/>
    <d v="2019-01-14T17:39:03"/>
    <d v="2019-01-09T12:02:21"/>
    <d v="2019-01-07T09:10:22"/>
    <d v="2019-01-07T15:45:50"/>
    <d v="2019-01-03T14:46:34"/>
    <d v="2019-01-15T10:30:27"/>
    <n v="13.437810648101731"/>
    <n v="0"/>
    <s v="No File"/>
    <s v="ASMO_0155 (MON00618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SMO_0155 (MON00618) Application Rev 0.xlsx"/>
    <m/>
  </r>
  <r>
    <n v="3536"/>
    <s v="ASKH_0007"/>
    <s v="Apollo"/>
    <s v="Central"/>
    <s v="KYH00181"/>
    <s v="MPT"/>
    <s v="Tower Share"/>
    <s v="Active"/>
    <s v="TS"/>
    <s v="0"/>
    <x v="17"/>
    <n v="0.72"/>
    <n v="0.9"/>
    <n v="3.18"/>
    <s v="EPA"/>
    <s v="55"/>
    <s v="60"/>
    <x v="0"/>
    <m/>
    <s v="OK"/>
    <m/>
    <s v="OK"/>
    <m/>
    <s v="OK"/>
    <s v="Existing on tower (Assume ) - TML 5.47 EPA / OML 12.22 EPA  /  New Colo Apps Submission "/>
    <s v="OK"/>
    <m/>
    <m/>
    <s v="No"/>
    <s v="Existing Tower: OML+TML+KSGM(NEW) = 59.5%"/>
    <s v="OK"/>
    <m/>
    <m/>
    <m/>
    <m/>
    <s v="OK"/>
    <s v="No"/>
    <s v="sharing on the existing slab "/>
    <m/>
    <m/>
    <m/>
    <m/>
    <m/>
    <m/>
    <m/>
    <d v="2018-12-27T10:57:08"/>
    <d v="2019-01-14T17:39:02"/>
    <d v="2019-01-11T16:33:34"/>
    <d v="2018-12-27T10:57:08"/>
    <d v="2019-01-07T15:45:49"/>
    <d v="2018-12-27T10:40:36"/>
    <d v="2019-01-15T10:30:26"/>
    <n v="19.437805208297505"/>
    <n v="0"/>
    <s v="No File"/>
    <s v="ASKH_0007 (KYH00181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SKH_0007 (KYH00181) Application Rev 0.xlsx"/>
    <m/>
  </r>
  <r>
    <n v="3537"/>
    <s v="ANNP_0222"/>
    <s v="Apollo"/>
    <s v="Central"/>
    <s v="NPT00514"/>
    <s v="MPT"/>
    <s v="Colocation"/>
    <s v="New Colocation"/>
    <s v="TS"/>
    <s v="0"/>
    <x v="17"/>
    <n v="0.72"/>
    <n v="0.9"/>
    <n v="3.18"/>
    <s v="EPA"/>
    <s v="48"/>
    <s v="53"/>
    <x v="0"/>
    <m/>
    <s v="OK"/>
    <m/>
    <s v="OK"/>
    <m/>
    <s v="OK"/>
    <s v="Existing on tower (Assume ) - TML 4.29 EPA /New Colo Apps Submission "/>
    <s v="OK"/>
    <m/>
    <m/>
    <s v="No"/>
    <s v="Existing Tower: TML+KSGM (OLD+NEW) = 62.7%"/>
    <s v="OK"/>
    <m/>
    <m/>
    <m/>
    <m/>
    <s v="OK"/>
    <s v="No"/>
    <s v="sharing on the existing slab "/>
    <m/>
    <m/>
    <m/>
    <m/>
    <m/>
    <m/>
    <m/>
    <d v="2018-12-27T10:57:08"/>
    <d v="2019-01-14T17:39:02"/>
    <d v="2019-01-08T14:10:26"/>
    <d v="2018-12-27T10:57:08"/>
    <d v="2019-01-07T15:45:49"/>
    <d v="2018-12-27T10:40:36"/>
    <d v="2019-01-15T10:30:26"/>
    <n v="19.437806597197778"/>
    <n v="0"/>
    <s v="No File"/>
    <s v="ANNP_0222 (NPT00514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NP_0222 (NPT00514) Application Rev 0.xlsx"/>
    <m/>
  </r>
  <r>
    <n v="3538"/>
    <s v="3-00-01014-003"/>
    <s v="Pan Asia"/>
    <s v="Northern"/>
    <s v="KCN00120"/>
    <s v="MPT"/>
    <s v="MPT  Phase 1b Colo"/>
    <s v="On Air"/>
    <s v="TS _ v1"/>
    <s v="3"/>
    <x v="17"/>
    <n v="1.054"/>
    <n v="1.46"/>
    <n v="3.59"/>
    <s v="SQM"/>
    <s v="49"/>
    <s v="54"/>
    <x v="0"/>
    <m/>
    <s v="OK"/>
    <m/>
    <s v="OK"/>
    <m/>
    <s v="OK"/>
    <s v="Existing on tower actual - MPT 3.52 Sqm - Add MW and RRU/ODU "/>
    <s v="OK"/>
    <m/>
    <m/>
    <s v="No"/>
    <s v="EXISTING TOWER(KSGM(OLD+NEW)):  82.9%_x000a_EXISTING TOWER(KSGM(OLD)):    79 %"/>
    <s v="Not Required"/>
    <m/>
    <m/>
    <m/>
    <s v="Confirm site ID"/>
    <s v="OK"/>
    <s v="No"/>
    <s v="No action needed "/>
    <m/>
    <m/>
    <m/>
    <m/>
    <m/>
    <m/>
    <m/>
    <d v="2018-12-27T11:37:55"/>
    <m/>
    <d v="2018-12-28T11:56:25"/>
    <d v="2018-12-27T11:37:55"/>
    <d v="2019-01-07T15:45:49"/>
    <d v="2018-12-27T10:32:24"/>
    <d v="2019-01-15T13:51:38"/>
    <n v="19.577520717597508"/>
    <n v="0"/>
    <s v="No File"/>
    <s v="3-00-01014-003 (KCN00120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3-00-01014-003 (KCN00120) Application Rev 3.xlsx"/>
    <m/>
  </r>
  <r>
    <n v="3539"/>
    <s v="3-00-01014-002"/>
    <s v="Pan Asia"/>
    <s v="Northern"/>
    <s v="KCN00121"/>
    <s v="MPT"/>
    <s v="MPT  Phase 1b Colo"/>
    <s v="On Air"/>
    <s v="TS _ v1"/>
    <s v="3"/>
    <x v="17"/>
    <n v="1.1080000000000001"/>
    <n v="1.52"/>
    <n v="4.25"/>
    <s v="SQM"/>
    <s v="49"/>
    <s v="54"/>
    <x v="0"/>
    <m/>
    <s v="OK"/>
    <m/>
    <s v="OK"/>
    <m/>
    <s v="OK"/>
    <s v="Existing on tower actual - MPT 4.16 Sqm / Mytel Colo Apps - 4.43 sqm -Add MW and Odu"/>
    <s v="OK"/>
    <m/>
    <m/>
    <s v="No"/>
    <s v="Strengthened Tower(OML+MYTEL+KSGM(OLD+NEW)): 103.67 %_x000a_Strengthened Tower(OML+MYTEL+KSGM(OLD)): 100.84 %"/>
    <s v="Not Required"/>
    <m/>
    <m/>
    <m/>
    <s v="Confirm site ID"/>
    <s v="OK"/>
    <s v="No"/>
    <s v="No action needed "/>
    <m/>
    <m/>
    <m/>
    <m/>
    <m/>
    <m/>
    <m/>
    <d v="2018-12-27T11:37:55"/>
    <m/>
    <d v="2018-12-28T16:50:45"/>
    <d v="2018-12-27T11:37:55"/>
    <d v="2019-01-07T15:45:49"/>
    <d v="2018-12-27T10:32:24"/>
    <d v="2019-01-15T13:51:38"/>
    <n v="19.577521180603071"/>
    <n v="0"/>
    <s v="No File"/>
    <s v="3-00-01014-002 (KCN00121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3-00-01014-002 (KCN00121) Application Rev 3.xlsx"/>
    <m/>
  </r>
  <r>
    <n v="3540"/>
    <s v="1-01-05015-002"/>
    <s v="Pan Asia"/>
    <s v="Northern"/>
    <s v="SGG00199"/>
    <s v="MPT"/>
    <s v="MPT  Phase 1b Colo"/>
    <s v="On Air"/>
    <s v="TS _ v1"/>
    <s v="3"/>
    <x v="17"/>
    <n v="1"/>
    <n v="1.4"/>
    <n v="3.61"/>
    <s v="SQM"/>
    <s v="43"/>
    <s v="48"/>
    <x v="0"/>
    <m/>
    <s v="OK"/>
    <m/>
    <s v="OK"/>
    <m/>
    <s v="OK"/>
    <s v="Existing on tower actual - OML - 10.81 Sqm / MPT 3.07 Sqm  /Op2 - 3.87 sqm-Add MW "/>
    <s v="OK"/>
    <m/>
    <m/>
    <s v="No"/>
    <s v="Strengthened Tower(OML+OP2+KSGM(OLD+NEW)): 89.7 %_x000a_Strengthened Tower(OML+OP2+KSGM(OLD)): 91 %"/>
    <s v="OK"/>
    <m/>
    <m/>
    <m/>
    <m/>
    <s v="OK"/>
    <s v="No"/>
    <s v="No action needed "/>
    <m/>
    <m/>
    <m/>
    <m/>
    <m/>
    <m/>
    <m/>
    <d v="2018-12-27T11:37:55"/>
    <d v="2019-01-14T17:39:02"/>
    <d v="2019-01-02T11:37:14"/>
    <d v="2018-12-27T11:37:55"/>
    <d v="2019-01-07T15:45:49"/>
    <d v="2018-12-27T10:32:24"/>
    <d v="2019-01-15T10:30:27"/>
    <n v="19.437808796297759"/>
    <n v="0"/>
    <s v="No File"/>
    <s v="1-01-05015-002 (SGG00199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5-002 (SGG00199) Application Rev 3.xlsx"/>
    <m/>
  </r>
  <r>
    <n v="3541"/>
    <s v="1-01-01002-007"/>
    <s v="Pan Asia"/>
    <s v="Northern"/>
    <s v="KCN00293"/>
    <s v="MPT"/>
    <s v="MPT  Phase 1b Colo"/>
    <s v="On Air"/>
    <s v="LTE_ v1"/>
    <s v="3"/>
    <x v="17"/>
    <n v="2.2999999999999998"/>
    <n v="3.5"/>
    <n v="4.0599999999999996"/>
    <s v="SQM"/>
    <s v="33"/>
    <s v="38"/>
    <x v="0"/>
    <m/>
    <s v="OK"/>
    <m/>
    <s v="OK"/>
    <m/>
    <s v="OK"/>
    <s v="Existing on tower actual - OML - 8.70 Sqm / MPT - 4.25 Sqm / TML - 3.30 sqm -Add RRU and ODU "/>
    <s v="OK"/>
    <m/>
    <m/>
    <s v="No"/>
    <s v="EXISTING TOWER(OML+TML+KSGM(OLD+NEW)):  99.2%_x000a_EXISTING TOWER(OML+TML+KSGM(OLD)): 99.2%"/>
    <s v="OK"/>
    <s v="15-Feb-19"/>
    <m/>
    <m/>
    <s v="PE systems upgrade required - BB DG "/>
    <s v="OK"/>
    <s v="No"/>
    <s v="No action needed "/>
    <m/>
    <m/>
    <m/>
    <m/>
    <m/>
    <m/>
    <m/>
    <d v="2018-12-27T16:51:51"/>
    <d v="2019-01-16T12:01:37"/>
    <d v="2019-01-02T14:50:44"/>
    <d v="2018-12-27T16:51:51"/>
    <d v="2019-01-07T15:45:49"/>
    <d v="2018-12-27T15:12:49"/>
    <d v="2019-01-16T15:07:52"/>
    <n v="20.630462847198942"/>
    <n v="0"/>
    <s v="No File"/>
    <s v="1-01-01002-007 (KCN0029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2-007 (KCN00293) Application Rev 3.xlsx"/>
    <m/>
  </r>
  <r>
    <n v="3542"/>
    <s v="1-01-17008-014"/>
    <s v="Pan Asia"/>
    <s v="Southern"/>
    <s v="AYY0016"/>
    <s v="Mytel"/>
    <s v="Mytel Phase 1b Colo"/>
    <s v="On Air"/>
    <s v="Add Equipment"/>
    <s v="2"/>
    <x v="17"/>
    <m/>
    <m/>
    <n v="4.6399999999999997"/>
    <s v="SQM"/>
    <s v="33"/>
    <s v="38"/>
    <x v="0"/>
    <m/>
    <s v="Not Required"/>
    <m/>
    <s v="Not Required"/>
    <m/>
    <s v="OK"/>
    <s v="Existing on tower actual - OML - 6.88 Sqm / MYTEL - 3.39 Sqm - "/>
    <s v="OK"/>
    <m/>
    <m/>
    <s v="No"/>
    <s v="EXISTING TOWER(OML+Mytel(NEW)):  99 %"/>
    <s v="Not Required"/>
    <m/>
    <m/>
    <m/>
    <m/>
    <s v="Not Required"/>
    <m/>
    <m/>
    <s v="Not Required"/>
    <m/>
    <s v="Not Required"/>
    <m/>
    <m/>
    <s v="OK"/>
    <m/>
    <d v="2018-12-27T16:51:51"/>
    <m/>
    <d v="2019-01-07T16:12:08"/>
    <m/>
    <m/>
    <m/>
    <d v="2019-01-07T16:12:08"/>
    <n v="11.675091666700609"/>
    <n v="0"/>
    <s v="No File"/>
    <s v="1-01-17008-014 (AYY0016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7008-014 (AYY0016) Application Rev 2.xlsx"/>
    <m/>
  </r>
  <r>
    <n v="3543"/>
    <s v="1-01-17019-006"/>
    <s v="Pan Asia"/>
    <s v="Southern"/>
    <s v="AYY0333"/>
    <s v="Mytel"/>
    <s v="Mytel Phase 1b Colo"/>
    <s v="On Air"/>
    <s v="Add Equipment"/>
    <s v="2"/>
    <x v="17"/>
    <n v="1.6"/>
    <n v="1.8"/>
    <n v="4.92"/>
    <s v="SQM"/>
    <s v="42.5"/>
    <s v="47.5"/>
    <x v="0"/>
    <m/>
    <s v="Not Required"/>
    <m/>
    <s v="Not Required"/>
    <m/>
    <s v="OK"/>
    <s v="Existing on tower actual - OML - 11.73 Sqm / MPT - 3.33Sqm / TML - 3.02 Sqm / MYTEL - 4.07 Sqm - "/>
    <s v="OK"/>
    <m/>
    <m/>
    <s v="No"/>
    <s v="Strengthened Tower(OML+TML+KSGM+Mytel(NEW)):  103.1 %"/>
    <s v="Not Required"/>
    <m/>
    <m/>
    <m/>
    <m/>
    <s v="Not Required"/>
    <m/>
    <m/>
    <s v="Not Required"/>
    <m/>
    <s v="Not Required"/>
    <m/>
    <m/>
    <s v="OK"/>
    <m/>
    <d v="2018-12-27T16:51:51"/>
    <m/>
    <d v="2019-01-07T16:12:08"/>
    <m/>
    <m/>
    <m/>
    <d v="2019-01-07T16:12:08"/>
    <n v="11.675092245401174"/>
    <n v="0"/>
    <s v="No File"/>
    <s v="1-01-17019-006 (AYY033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7019-006 (AYY0333) Application Rev 2.xlsx"/>
    <m/>
  </r>
  <r>
    <n v="3544"/>
    <s v="1-01-01008-016"/>
    <s v="Pan Asia"/>
    <s v="Northern"/>
    <s v="KCN0033"/>
    <s v="Mytel"/>
    <s v="Mytel Phase 1b Colo"/>
    <s v="On Air"/>
    <s v="Add Equipment"/>
    <s v="2"/>
    <x v="17"/>
    <n v="1.5"/>
    <n v="1.7"/>
    <n v="4.07"/>
    <s v="SQM"/>
    <s v="33"/>
    <s v="38"/>
    <x v="0"/>
    <m/>
    <s v="Not Required"/>
    <m/>
    <s v="Not Required"/>
    <m/>
    <s v="OK"/>
    <s v="Existing on tower actual - OML - 7.52 Sqm / MYTEL - 3.79 Sqm - "/>
    <s v="OK"/>
    <m/>
    <m/>
    <s v="No"/>
    <s v="EXISTING TOWER(OML+Mytel(NEW)):  93.5 %"/>
    <s v="Not Required"/>
    <m/>
    <m/>
    <m/>
    <m/>
    <s v="Not Required"/>
    <m/>
    <m/>
    <s v="Not Required"/>
    <m/>
    <s v="Not Required"/>
    <m/>
    <m/>
    <s v="OK"/>
    <m/>
    <d v="2018-12-27T16:51:51"/>
    <m/>
    <d v="2019-01-07T12:15:20"/>
    <m/>
    <m/>
    <m/>
    <d v="2019-01-07T12:15:20"/>
    <n v="11.510648379597114"/>
    <n v="0"/>
    <s v="No File"/>
    <s v="1-01-01008-016 (KCN003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01008-016 (KCN0033) Application Rev 2.xlsx"/>
    <m/>
  </r>
  <r>
    <n v="3545"/>
    <s v="1-01-10030-007"/>
    <s v="Pan Asia"/>
    <s v="Northern"/>
    <s v="MDY0162"/>
    <s v="Mytel"/>
    <s v="Mytel Phase 1b Colo"/>
    <s v="On Air"/>
    <s v="Add Equipment"/>
    <s v="2"/>
    <x v="17"/>
    <n v="1.6"/>
    <n v="1.8"/>
    <n v="4.99"/>
    <s v="SQM"/>
    <s v="33"/>
    <s v="38"/>
    <x v="0"/>
    <m/>
    <s v="Not Required"/>
    <m/>
    <s v="Not Required"/>
    <m/>
    <s v="OK"/>
    <s v="Existing on tower actual - OML - 6.63 Sqm / TML - 3.41 sqm / MYTEL - 4.07 Sqm - "/>
    <s v="OK"/>
    <m/>
    <m/>
    <s v="No"/>
    <s v="Existing Tower: OML+TML+MYTEL (OLD+NEW) = 88.9%_x000a_Existing Tower: OML+TML+MYTEL (OLD) = 82.1%"/>
    <s v="Not Required"/>
    <m/>
    <m/>
    <m/>
    <m/>
    <s v="Not Required"/>
    <m/>
    <m/>
    <s v="Not Required"/>
    <m/>
    <s v="Not Required"/>
    <m/>
    <m/>
    <s v="OK"/>
    <m/>
    <d v="2018-12-27T16:51:51"/>
    <m/>
    <d v="2019-01-08T15:47:17"/>
    <m/>
    <m/>
    <m/>
    <d v="2019-01-08T15:47:17"/>
    <n v="12.657833333301824"/>
    <n v="0"/>
    <s v="No File"/>
    <s v="1-01-10030-007 (MDY016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0030-007 (MDY0162) Application Rev 2.xlsx"/>
    <m/>
  </r>
  <r>
    <n v="3546"/>
    <s v="1-01-10024-004"/>
    <s v="Pan Asia"/>
    <s v="Northern"/>
    <s v="MDY0379"/>
    <s v="Mytel"/>
    <s v="Mytel Phase 1b Colo"/>
    <s v="On Air"/>
    <s v="Add Equipment"/>
    <s v="2"/>
    <x v="17"/>
    <n v="1.6"/>
    <n v="1.7"/>
    <n v="4.3600000000000003"/>
    <s v="SQM"/>
    <s v="41.5"/>
    <s v="46.5"/>
    <x v="0"/>
    <m/>
    <s v="Not Required"/>
    <m/>
    <s v="Not Required"/>
    <m/>
    <s v="OK"/>
    <s v="Existing on tower actual - OML - 8.44 Sqm / TML - 4.83 sqm / MYTEL - 4.07 Sqm - "/>
    <s v="OK"/>
    <m/>
    <m/>
    <s v="No"/>
    <s v="Existing Tower: OML+TML+MYTEL (OLD+NEW) = 99.0%"/>
    <s v="Not Required"/>
    <m/>
    <m/>
    <m/>
    <m/>
    <s v="Not Required"/>
    <m/>
    <m/>
    <s v="Not Required"/>
    <m/>
    <s v="Not Required"/>
    <m/>
    <m/>
    <s v="OK"/>
    <m/>
    <d v="2018-12-27T16:51:51"/>
    <m/>
    <d v="2019-01-09T11:15:39"/>
    <m/>
    <m/>
    <m/>
    <d v="2019-01-09T11:15:39"/>
    <n v="13.469203240696515"/>
    <n v="0"/>
    <s v="No File"/>
    <s v="1-01-10024-004 (MDY0379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0024-004 (MDY0379) Application Rev 2.xlsx"/>
    <m/>
  </r>
  <r>
    <n v="3547"/>
    <s v="1-01-01001-018"/>
    <s v="Pan Asia"/>
    <s v="Northern"/>
    <s v="KCN0063"/>
    <s v="Mytel"/>
    <s v="Colocation"/>
    <s v="Active"/>
    <s v="Other"/>
    <s v="1"/>
    <x v="17"/>
    <n v="2"/>
    <n v="2"/>
    <n v="6"/>
    <s v="SQM"/>
    <s v="45"/>
    <s v="50"/>
    <x v="0"/>
    <m/>
    <s v="Not Required"/>
    <m/>
    <s v="Not Required"/>
    <m/>
    <s v="Not Required"/>
    <m/>
    <s v="Not Required"/>
    <m/>
    <m/>
    <m/>
    <m/>
    <s v="OK"/>
    <s v="2-3 weeks"/>
    <m/>
    <m/>
    <s v="Add rect modules "/>
    <s v="Not Required"/>
    <m/>
    <m/>
    <s v="Not Required"/>
    <m/>
    <s v="Not Required"/>
    <m/>
    <m/>
    <s v="OK"/>
    <m/>
    <m/>
    <d v="2019-01-14T17:39:03"/>
    <m/>
    <m/>
    <m/>
    <m/>
    <d v="2019-01-15T11:07:00"/>
    <n v="19.463188888898003"/>
    <n v="0"/>
    <s v="No File"/>
    <s v="1-01-01001-018 (KCN006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01001-018 (KCN0063) Application Rev 1.xlsx"/>
    <m/>
  </r>
  <r>
    <n v="3528"/>
    <s v="ANMG_0037"/>
    <s v="Apollo"/>
    <s v="Central"/>
    <s v="MGW00580"/>
    <s v="MPT"/>
    <s v="MPT  Phase 1a Colo"/>
    <s v="On Air"/>
    <s v="LTE"/>
    <s v="2"/>
    <x v="18"/>
    <n v="2.3050000000000002"/>
    <n v="4.07"/>
    <n v="6.81"/>
    <s v="EPA"/>
    <s v="18"/>
    <s v="23"/>
    <x v="0"/>
    <m/>
    <s v="OK"/>
    <s v="6-Jan-17: MPT on-air, okay for upgrdation"/>
    <s v="OK"/>
    <m/>
    <s v="OK"/>
    <s v="Existing on tower (Assume ) -TML-8.01 EPA , Mytel 4.24 EPA , Amara - 3.42 EPA  , MPT 1.32 EPA - Need only power confirmation "/>
    <s v="OK"/>
    <m/>
    <m/>
    <s v="No"/>
    <s v="EXISTING TOWER: TML+OML+KSGM(NEW)):  86.79%"/>
    <s v="OK"/>
    <m/>
    <m/>
    <m/>
    <m/>
    <s v="OK"/>
    <s v="No"/>
    <s v="No action needed "/>
    <m/>
    <m/>
    <m/>
    <m/>
    <m/>
    <m/>
    <m/>
    <d v="2018-12-26T16:55:11"/>
    <d v="2019-01-14T17:39:01"/>
    <d v="2018-12-27T14:07:19"/>
    <d v="2018-12-26T16:55:11"/>
    <d v="2018-12-26T14:29:56"/>
    <d v="2018-12-26T10:58:23"/>
    <d v="2019-01-15T10:30:26"/>
    <n v="20.437797106496873"/>
    <n v="0"/>
    <s v="No File"/>
    <s v="ANMG_0037 (MGW0058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G_0037 (MGW00580) Application Rev 2.xlsx"/>
    <m/>
  </r>
  <r>
    <n v="3529"/>
    <s v="AYYN_0251"/>
    <s v="Apollo"/>
    <s v="Southern"/>
    <s v="YGN01769"/>
    <s v="MPT"/>
    <s v="MPT  Phase 1a Colo"/>
    <s v="On Air"/>
    <s v="TS"/>
    <s v="2"/>
    <x v="18"/>
    <n v="1.04"/>
    <n v="1.3"/>
    <n v="1.1479999999999999"/>
    <s v="EPA"/>
    <s v="16"/>
    <s v="21"/>
    <x v="0"/>
    <m/>
    <s v="OK"/>
    <s v="26-Dec-18: Okay for TI installtion"/>
    <s v="OK"/>
    <m/>
    <s v="OK"/>
    <s v="Existing on tower actual -TML- 3.54 EPA , MPT - 1.32 EPA , Mytel - 4.24 EPA ,Amara - 3.42 EPA - Need Power Confirmation "/>
    <s v="OK"/>
    <m/>
    <m/>
    <s v="No"/>
    <s v="EXISTING TOWER: TML+Mytel+Amara+KSGM(OLD+NEW)):  104.2%"/>
    <s v="OK"/>
    <m/>
    <m/>
    <m/>
    <m/>
    <s v="OK"/>
    <s v="No"/>
    <s v="No action needed "/>
    <m/>
    <m/>
    <m/>
    <m/>
    <m/>
    <m/>
    <m/>
    <d v="2018-12-26T16:55:11"/>
    <d v="2019-01-14T17:39:01"/>
    <d v="2018-12-27T16:37:01"/>
    <d v="2018-12-26T16:55:11"/>
    <d v="2018-12-26T14:29:56"/>
    <d v="2018-12-26T10:58:23"/>
    <d v="2019-01-15T10:30:26"/>
    <n v="20.437797916696582"/>
    <n v="0"/>
    <s v="No File"/>
    <s v="AYYN_0251 (YGN01769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251 (YGN01769) Application Rev 2.xlsx"/>
    <m/>
  </r>
  <r>
    <n v="3530"/>
    <s v="ANMD_0176"/>
    <s v="Apollo"/>
    <s v="Northern"/>
    <s v="MDY00350"/>
    <s v="MPT"/>
    <s v="MPT  Phase 1a Colo"/>
    <s v="On Air"/>
    <s v="LTE _ v1"/>
    <s v="2"/>
    <x v="18"/>
    <n v="1.8220000000000001"/>
    <n v="2.93"/>
    <n v="7.31"/>
    <s v="EPA"/>
    <s v="45"/>
    <s v="50"/>
    <x v="0"/>
    <m/>
    <s v="OK"/>
    <s v="26-Dec-18: Site on air from 30-Sep-15 no issue for any upgradation."/>
    <s v="OK"/>
    <m/>
    <s v="OK"/>
    <s v="Existing on tower Assume -TML- 9.82 EPA , OML - 5.85 EPA , MPT - 3.40 EPA , Mytel - 2.81 EPA -Increase RF dimension and add RRU / ODU "/>
    <s v="Rejected"/>
    <s v="Strengthening First"/>
    <s v="No Retrofit"/>
    <s v="No"/>
    <s v="Strengthened Tower: OML+TML+MYTEL+KSGM (OLD+NEW) = 198.7% (Estimate steel weight 1700 kg)_x000a_Strengthened Tower: OML+MYTEL+KSGM (OLD) = 193.0%"/>
    <s v="OK"/>
    <m/>
    <m/>
    <m/>
    <m/>
    <s v="OK"/>
    <s v="No"/>
    <s v="No action needed "/>
    <m/>
    <m/>
    <m/>
    <m/>
    <m/>
    <s v="Approved by Management"/>
    <s v="Structuraling required RFI FC, 30 Apr 2019"/>
    <d v="2018-12-26T16:55:11"/>
    <d v="2019-01-14T17:39:01"/>
    <d v="2019-01-23T11:38:21"/>
    <d v="2018-12-26T16:55:11"/>
    <d v="2018-12-26T14:33:11"/>
    <d v="2018-12-27T09:54:35"/>
    <d v="2019-01-24T16:15:40"/>
    <n v="29.677551273096469"/>
    <n v="0"/>
    <s v="No File"/>
    <s v="ANMD_0176 (MDY0035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176 (MDY00350) Application Rev 2.xlsx"/>
    <m/>
  </r>
  <r>
    <n v="3531"/>
    <s v="ANSG_0454"/>
    <s v="Apollo"/>
    <s v="Northern"/>
    <s v="SGG00785"/>
    <s v="MPT"/>
    <s v="MPT  Phase 1a Colo"/>
    <s v="On Air"/>
    <s v="LTE"/>
    <s v="4"/>
    <x v="18"/>
    <n v="1.9890000000000001"/>
    <n v="3.5489999999999999"/>
    <n v="6.3"/>
    <s v="EPA"/>
    <s v="36"/>
    <s v="41"/>
    <x v="0"/>
    <m/>
    <s v="OK"/>
    <s v="26-Dec-18: Site on air from 28-Dec-16 no issue for any upgradation."/>
    <s v="OK"/>
    <m/>
    <s v="OK"/>
    <s v="Existing on tower (Assume ) -TMl - 9.82 EPA / OML - 5.85 EPA / MPT - 3.40 EPA / Mytel 2.81 EPA -  Increase RF Dimension and Add RRU"/>
    <s v="OK"/>
    <m/>
    <m/>
    <s v="No"/>
    <s v="EXISTING TOWER: TML+KSGM(OLD+NEW)):  56.22%"/>
    <s v="OK"/>
    <m/>
    <m/>
    <m/>
    <s v="10 hrs NS monitor BB  "/>
    <s v="OK"/>
    <s v="No"/>
    <s v="No action needed "/>
    <m/>
    <m/>
    <m/>
    <m/>
    <m/>
    <m/>
    <m/>
    <d v="2018-12-27T10:57:07"/>
    <d v="2019-01-14T17:39:01"/>
    <d v="2019-01-07T11:31:22"/>
    <d v="2018-12-27T10:57:07"/>
    <d v="2018-12-26T14:33:11"/>
    <d v="2018-12-27T09:54:35"/>
    <d v="2019-01-15T10:30:26"/>
    <n v="20.43779953700141"/>
    <n v="0"/>
    <s v="No File"/>
    <s v="ANSG_0454 (SGG00785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54 (SGG00785) Application Rev 4.xlsx"/>
    <m/>
  </r>
  <r>
    <n v="3532"/>
    <s v="ASTN_0023"/>
    <s v="Apollo"/>
    <s v="Southern"/>
    <s v="TNY00315"/>
    <s v="MPT"/>
    <s v="MPT  Phase 1a Colo"/>
    <s v="On Air"/>
    <s v="TS _ v1"/>
    <s v="2"/>
    <x v="18"/>
    <n v="1.44"/>
    <n v="1.8"/>
    <n v="3.21"/>
    <s v="EPA"/>
    <s v="39.5-42.5"/>
    <s v="45.5-47.5"/>
    <x v="0"/>
    <m/>
    <s v="OK"/>
    <s v="26-Dec-18: Site on air from 30-Apr-16 no issue for any upgradation."/>
    <s v="OK"/>
    <m/>
    <s v="OK"/>
    <s v="Existing on tower (Assume ) - TML 4.29 EPA / MPT - 4.60 EPA /Add 1  Odu "/>
    <s v="Rejected"/>
    <s v="Strengthening Later"/>
    <s v="No Retrofit"/>
    <s v="No"/>
    <s v="Existing Tower: TML+KSGM (OLD+NEW) = 124.7%_x000a_(Estimate modification steel weight = 1500 kg)_x000a_Existing Tower: TML+KSGM (OLD) = 124.7%"/>
    <s v="OK"/>
    <m/>
    <m/>
    <m/>
    <m/>
    <s v="OK"/>
    <s v="No"/>
    <s v="No action needed "/>
    <m/>
    <m/>
    <m/>
    <m/>
    <m/>
    <s v="Approved by Management"/>
    <s v="22-Jan-2019, structural approved as per Rudy and Steve."/>
    <d v="2018-12-27T10:57:07"/>
    <d v="2019-01-14T17:39:01"/>
    <m/>
    <d v="2018-12-27T10:57:07"/>
    <d v="2018-12-26T14:33:11"/>
    <d v="2018-12-27T09:54:35"/>
    <d v="2019-01-23T11:31:46"/>
    <n v="28.480392592602584"/>
    <n v="0"/>
    <s v="No File"/>
    <s v="ASTN_0023 (TNY0031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STN_0023 (TNY00315) Application Rev 2.xlsx"/>
    <m/>
  </r>
  <r>
    <n v="3533"/>
    <s v="1-01-01004-001"/>
    <s v="Pan Asia"/>
    <s v="Northern"/>
    <s v="KCN00148"/>
    <s v="MPT"/>
    <s v="MPT  Phase 1b Colo"/>
    <s v="On Air"/>
    <s v="UPG"/>
    <s v="2"/>
    <x v="18"/>
    <n v="1.712"/>
    <n v="3.0579999999999998"/>
    <n v="6.88"/>
    <s v="SQM"/>
    <s v="48"/>
    <s v="53"/>
    <x v="0"/>
    <m/>
    <s v="OK"/>
    <m/>
    <s v="OK"/>
    <m/>
    <s v="OK"/>
    <s v="Existing on tower actual - OML - 7.31sqm , MPT 5.99 Sqm - add MW and add RRU / ODU "/>
    <s v="OK"/>
    <m/>
    <m/>
    <s v="No"/>
    <s v="EXISTING TOWER(OML+KSGM(OLD+NEW)):   96.2 %_x000a_EXISTING TOWER(OML+KSGM(OLD)):  92.2 %"/>
    <s v="OK"/>
    <s v="2-3 weeks"/>
    <m/>
    <m/>
    <s v="Confirm site load and PE condition no data available"/>
    <s v="OK"/>
    <s v="No"/>
    <s v="No action needed "/>
    <m/>
    <m/>
    <m/>
    <m/>
    <m/>
    <m/>
    <m/>
    <d v="2018-12-27T10:57:07"/>
    <d v="2019-01-14T17:39:01"/>
    <d v="2018-12-28T11:56:25"/>
    <d v="2018-12-27T10:57:07"/>
    <d v="2019-01-07T15:45:48"/>
    <d v="2018-12-27T10:32:24"/>
    <d v="2019-01-15T10:30:26"/>
    <n v="20.43780138889997"/>
    <n v="0"/>
    <s v="No File"/>
    <s v="1-01-01004-001 (KCN0014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4-001 (KCN00148) Application Rev 2.xlsx"/>
    <m/>
  </r>
  <r>
    <n v="3534"/>
    <s v="1-01-15013-001"/>
    <s v="Pan Asia"/>
    <s v="Northern"/>
    <s v="SHN00055"/>
    <s v="MPT"/>
    <s v="MPT  Phase 1b Colo"/>
    <s v="On Air"/>
    <s v="LTE"/>
    <s v="1"/>
    <x v="18"/>
    <n v="2.0590000000000002"/>
    <n v="3.6110000000000002"/>
    <n v="7.84"/>
    <s v="SQM"/>
    <s v="48"/>
    <s v="53"/>
    <x v="0"/>
    <m/>
    <s v="OK"/>
    <m/>
    <s v="OK"/>
    <s v="Previously, Gov Road construction department stopped tower due to our site is located at the road boundary area since long time ago.No More complain now and still alive tower."/>
    <s v="OK"/>
    <s v="Existing on tower actual - OML - 7.03sqm , MPT actual on tower 3.03 / previous Colo Apps  5.61 Sqm  , Add RRU and ODU "/>
    <s v="OK"/>
    <m/>
    <m/>
    <s v="No"/>
    <s v="EXISTING TOWER(OML+KSGM(OLD+NEW)):   94.3 %_x000a_EXISTING TOWER(OML+KSGM(OLD)):92.3 %"/>
    <s v="OK"/>
    <m/>
    <m/>
    <m/>
    <m/>
    <s v="OK"/>
    <s v="No"/>
    <s v="No action needed "/>
    <m/>
    <m/>
    <m/>
    <m/>
    <m/>
    <m/>
    <m/>
    <d v="2018-12-27T10:57:08"/>
    <d v="2019-01-14T17:39:01"/>
    <d v="2018-12-28T11:56:25"/>
    <d v="2018-12-27T10:57:08"/>
    <d v="2019-01-07T15:45:49"/>
    <d v="2018-12-27T10:32:24"/>
    <d v="2019-01-15T10:30:26"/>
    <n v="20.437802893502521"/>
    <n v="0"/>
    <s v="No File"/>
    <s v="1-01-15013-001 (SHN0005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1 (SHN00055) Application Rev 1.xlsx"/>
    <m/>
  </r>
  <r>
    <n v="3535"/>
    <s v="1-01-14007-016"/>
    <s v="Pan Asia"/>
    <s v="Northern"/>
    <s v="SHN00079"/>
    <s v="MPT"/>
    <s v="MPT  Phase 1b Colo"/>
    <s v="On Air"/>
    <s v="Exchange"/>
    <s v="3"/>
    <x v="18"/>
    <n v="1.399"/>
    <n v="2.1989999999999998"/>
    <n v="5.13"/>
    <s v="SQM"/>
    <s v="48"/>
    <s v="53"/>
    <x v="0"/>
    <m/>
    <s v="OK"/>
    <m/>
    <s v="OK"/>
    <m/>
    <s v="OK"/>
    <s v="Existing on tower actual - OML - 8.09 sqm , MPT 4.97 Sqm , TML -2.87 sqm -Add 1 Odu "/>
    <s v="OK"/>
    <m/>
    <m/>
    <s v="No"/>
    <s v="EXISTING TOWER(OML+TML+KSGM(OLD+NEW)):  97%_x000a_EXISTING TOWER(OML+TML+KSGM(OLD)): 96.8  %"/>
    <s v="OK"/>
    <m/>
    <m/>
    <m/>
    <m/>
    <s v="OK"/>
    <s v="No"/>
    <s v="No action needed "/>
    <m/>
    <m/>
    <m/>
    <m/>
    <m/>
    <m/>
    <m/>
    <d v="2018-12-27T10:57:08"/>
    <d v="2019-01-14T17:39:02"/>
    <d v="2018-12-28T11:56:25"/>
    <d v="2018-12-27T10:57:08"/>
    <d v="2019-01-07T15:45:49"/>
    <d v="2018-12-27T10:32:24"/>
    <d v="2019-01-15T10:30:26"/>
    <n v="20.437804282402794"/>
    <n v="0"/>
    <s v="No File"/>
    <s v="1-01-14007-016 (SHN00079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16 (SHN00079) Application Rev 3.xlsx"/>
    <m/>
  </r>
  <r>
    <n v="3522"/>
    <s v="1-01-10029-005"/>
    <s v="Pan Asia"/>
    <s v="Northern"/>
    <s v="MDY0382"/>
    <s v="Mytel"/>
    <s v="Colocation"/>
    <s v="Active"/>
    <s v="Other"/>
    <s v="1"/>
    <x v="19"/>
    <n v="2"/>
    <n v="2"/>
    <n v="6"/>
    <s v="SQM"/>
    <s v="42.5"/>
    <s v="47.5"/>
    <x v="0"/>
    <m/>
    <s v="Not Required"/>
    <m/>
    <s v="Not Required"/>
    <m/>
    <s v="Not Required"/>
    <m/>
    <s v="Not Required"/>
    <m/>
    <m/>
    <m/>
    <m/>
    <s v="OK"/>
    <s v="1-2 weeks"/>
    <m/>
    <m/>
    <s v="Add rectifier modules confirm DG SOH - DG NS"/>
    <s v="Not Required"/>
    <m/>
    <m/>
    <s v="Not Required"/>
    <m/>
    <s v="Not Required"/>
    <m/>
    <m/>
    <s v="OK"/>
    <m/>
    <m/>
    <d v="2019-01-14T17:39:00"/>
    <m/>
    <m/>
    <m/>
    <m/>
    <d v="2019-01-15T11:06:59"/>
    <n v="22.463186226901598"/>
    <n v="0"/>
    <s v="No File"/>
    <s v="1-01-10029-005 (MDY038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0029-005 (MDY0382) Application Rev 1.xlsx"/>
    <m/>
  </r>
  <r>
    <n v="3524"/>
    <s v="1-01-03005-004"/>
    <s v="Pan Asia"/>
    <s v="Southern"/>
    <s v="KYN0185"/>
    <s v="Mytel"/>
    <s v="Mytel Phase 1b Colo"/>
    <s v="On Air"/>
    <s v="Other"/>
    <s v="1"/>
    <x v="19"/>
    <n v="2"/>
    <n v="2"/>
    <n v="6"/>
    <s v="SQM"/>
    <s v="42.5"/>
    <s v="47.5"/>
    <x v="0"/>
    <m/>
    <s v="Not Required"/>
    <m/>
    <s v="Not Required"/>
    <m/>
    <s v="Not Required"/>
    <m/>
    <s v="Not Required"/>
    <m/>
    <m/>
    <m/>
    <m/>
    <s v="OK"/>
    <m/>
    <m/>
    <m/>
    <m/>
    <s v="Not Required"/>
    <m/>
    <m/>
    <s v="Not Required"/>
    <m/>
    <s v="Not Required"/>
    <m/>
    <m/>
    <s v="OK"/>
    <m/>
    <m/>
    <d v="2019-01-14T17:39:00"/>
    <m/>
    <m/>
    <m/>
    <m/>
    <d v="2019-01-11T16:48:13"/>
    <n v="18.700148148098378"/>
    <n v="0"/>
    <s v="No File"/>
    <s v="1-01-03005-004 (KYN018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03005-004 (KYN0185) Application Rev 1.xlsx"/>
    <m/>
  </r>
  <r>
    <n v="3525"/>
    <s v="1-01-17026-003"/>
    <s v="Pan Asia"/>
    <s v="Southern"/>
    <s v="AYY0879"/>
    <s v="Mytel"/>
    <s v="Mytel Phase 1b Colo"/>
    <s v="On Air"/>
    <s v="Other"/>
    <s v="1"/>
    <x v="19"/>
    <n v="2"/>
    <n v="2"/>
    <n v="6"/>
    <s v="SQM"/>
    <s v="42.5"/>
    <s v="47.5"/>
    <x v="0"/>
    <m/>
    <s v="Not Required"/>
    <m/>
    <s v="Not Required"/>
    <m/>
    <s v="Not Required"/>
    <m/>
    <s v="Not Required"/>
    <m/>
    <m/>
    <m/>
    <m/>
    <s v="OK"/>
    <m/>
    <m/>
    <m/>
    <m/>
    <s v="Not Required"/>
    <m/>
    <m/>
    <s v="Not Required"/>
    <m/>
    <s v="Not Required"/>
    <m/>
    <m/>
    <s v="OK"/>
    <m/>
    <m/>
    <d v="2019-01-14T17:39:00"/>
    <m/>
    <m/>
    <m/>
    <m/>
    <d v="2019-01-11T16:48:13"/>
    <n v="18.700148958298087"/>
    <n v="0"/>
    <s v="No File"/>
    <s v="1-01-17026-003 (AYY087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7026-003 (AYY0879) Application Rev 1.xlsx"/>
    <m/>
  </r>
  <r>
    <n v="3526"/>
    <s v="1-01-17004-007"/>
    <s v="Pan Asia"/>
    <s v="Southern"/>
    <s v="AYY0207"/>
    <s v="Mytel"/>
    <s v="Mytel Phase 1b Colo"/>
    <s v="On Air"/>
    <s v="Other"/>
    <s v="1"/>
    <x v="19"/>
    <n v="2"/>
    <n v="2"/>
    <n v="6"/>
    <s v="SQM"/>
    <s v="42.5"/>
    <s v="47.5"/>
    <x v="0"/>
    <m/>
    <s v="Not Required"/>
    <m/>
    <s v="Not Required"/>
    <m/>
    <s v="Not Required"/>
    <m/>
    <s v="Not Required"/>
    <m/>
    <m/>
    <m/>
    <m/>
    <s v="OK"/>
    <s v="1-2 weeks"/>
    <m/>
    <m/>
    <s v="DG SOH TBA"/>
    <s v="Not Required"/>
    <m/>
    <m/>
    <s v="Not Required"/>
    <m/>
    <s v="Not Required"/>
    <m/>
    <m/>
    <s v="OK"/>
    <m/>
    <m/>
    <d v="2019-01-14T17:39:00"/>
    <m/>
    <m/>
    <m/>
    <m/>
    <d v="2019-01-15T11:06:59"/>
    <n v="22.463187615700008"/>
    <n v="0"/>
    <s v="No File"/>
    <s v="1-01-17004-007 (AYY0207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17004-007 (AYY0207) Application Rev 1.xlsx"/>
    <m/>
  </r>
  <r>
    <n v="3516"/>
    <s v="1-01-14001-033"/>
    <s v="Pan Asia"/>
    <s v="Central"/>
    <s v="SHS00466"/>
    <s v="MPT"/>
    <s v="MPT  Phase 1b Colo"/>
    <s v="On Air"/>
    <s v="Other"/>
    <s v=""/>
    <x v="20"/>
    <n v="1.68"/>
    <n v="2.1"/>
    <m/>
    <s v="SQM"/>
    <s v="48"/>
    <s v="53"/>
    <x v="0"/>
    <m/>
    <s v="Not Required"/>
    <m/>
    <s v="Not Required"/>
    <m/>
    <s v="Not Required"/>
    <m/>
    <s v="Not Required"/>
    <m/>
    <m/>
    <m/>
    <m/>
    <s v="OK"/>
    <m/>
    <m/>
    <m/>
    <s v="Monitor BB performance DG 24/7 NS"/>
    <s v="Not Required"/>
    <m/>
    <m/>
    <m/>
    <m/>
    <m/>
    <m/>
    <m/>
    <m/>
    <m/>
    <m/>
    <d v="2019-01-14T17:38:59"/>
    <m/>
    <m/>
    <m/>
    <m/>
    <d v="2019-01-15T10:36:41"/>
    <n v="28.442146759298339"/>
    <n v="0"/>
    <s v="No File"/>
    <s v="1-01-14001-033 (SHS00466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33 (SHS00466) Application Rev .xlsx"/>
    <m/>
  </r>
  <r>
    <n v="3517"/>
    <s v="ACAY_0122"/>
    <s v="Apollo"/>
    <s v="Southern"/>
    <s v="AWD00530"/>
    <s v="MPT"/>
    <s v="MPT  Phase 1a Colo"/>
    <s v="On Air"/>
    <s v="Refarming _ UL2100"/>
    <s v="3"/>
    <x v="20"/>
    <n v="2.16"/>
    <n v="2.7"/>
    <n v="6.0010000000000003"/>
    <s v="EPA"/>
    <s v="30"/>
    <s v="35"/>
    <x v="0"/>
    <m/>
    <s v="Not Required"/>
    <m/>
    <s v="Not Required"/>
    <m/>
    <s v="OK"/>
    <s v="Existing on tower - ( Assume ) TML with 5.74 EPA , OML with 9.87 EPA , MPT with 4.69 EPA - Add RRU "/>
    <s v="Rejected"/>
    <m/>
    <m/>
    <s v="No"/>
    <s v="Existing Tower: OML+TML+KSGM (OLD+NEW) = FDN Unstale due to soil condition is submerged_x000a_(Estimate volume of concrete = 16 cb.m;  extend pad of foundation to 9.6m)"/>
    <s v="OK"/>
    <m/>
    <m/>
    <m/>
    <m/>
    <s v="OK"/>
    <s v="No"/>
    <s v="No action needed "/>
    <m/>
    <m/>
    <m/>
    <m/>
    <m/>
    <s v="Approved by Management"/>
    <s v="ACAY_0122 with MPT Colo App rev. 3 Reject because Foundation is unstable - As discussed specific case for your evaluation// email by mark //Wednesday, 9 January 2019 "/>
    <d v="2018-12-19T09:56:23"/>
    <d v="2019-01-15T13:37:34"/>
    <m/>
    <d v="2018-12-19T09:56:23"/>
    <m/>
    <m/>
    <d v="2019-01-16T09:54:04"/>
    <n v="29.412547916697804"/>
    <n v="0"/>
    <s v="No File"/>
    <s v="ACAY_0122 (AWD00530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CAY_0122 (AWD00530) Application Rev 3.xlsx"/>
    <m/>
  </r>
  <r>
    <n v="3518"/>
    <s v="ANMD_0136"/>
    <s v="Apollo"/>
    <s v="Northern"/>
    <s v="MDY01437"/>
    <s v="MPT"/>
    <s v="MPT  Phase 1a Colo"/>
    <s v="RFI"/>
    <s v="TS"/>
    <s v="2"/>
    <x v="20"/>
    <n v="1.175"/>
    <n v="2.1389999999999998"/>
    <n v="4.29"/>
    <s v="EPA"/>
    <s v="45"/>
    <s v="50"/>
    <x v="0"/>
    <m/>
    <s v="OK"/>
    <s v="26-Dec-18: Okay for survey and TI installtion"/>
    <s v="OK"/>
    <m/>
    <s v="OK"/>
    <s v="Existing on tower - ( Assume ) TML with 7.74 EPA - Add 2 RRU"/>
    <s v="OK"/>
    <m/>
    <m/>
    <s v="No"/>
    <s v="Existing Tower: TML+KSGM (OLD+NEW) = 76.4%"/>
    <s v="OK"/>
    <m/>
    <m/>
    <m/>
    <m/>
    <s v="OK"/>
    <s v="No"/>
    <s v="No action needed "/>
    <m/>
    <m/>
    <m/>
    <m/>
    <m/>
    <m/>
    <m/>
    <d v="2018-12-19T09:56:23"/>
    <d v="2019-01-14T17:38:59"/>
    <d v="2018-12-19T15:55:06"/>
    <d v="2018-12-19T09:56:23"/>
    <d v="2018-12-26T14:29:56"/>
    <d v="2018-12-19T16:04:46"/>
    <d v="2019-01-15T10:30:26"/>
    <n v="28.437795254598313"/>
    <n v="0"/>
    <s v="No File"/>
    <s v="ANMD_0136 (MDY0143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136 (MDY01437) Application Rev 2.xlsx"/>
    <m/>
  </r>
  <r>
    <n v="3519"/>
    <s v="1-01-01010-003"/>
    <s v="Pan Asia"/>
    <s v="Northern"/>
    <s v="KCN00441"/>
    <s v="MPT"/>
    <s v="MPT  Phase 1b Colo"/>
    <s v="RFI"/>
    <s v="TS"/>
    <s v="1"/>
    <x v="20"/>
    <n v="1.175"/>
    <n v="2.1389999999999998"/>
    <n v="5.64"/>
    <s v="SQM"/>
    <s v="36"/>
    <s v="41"/>
    <x v="0"/>
    <m/>
    <s v="OK"/>
    <m/>
    <s v="OK"/>
    <m/>
    <s v="OK"/>
    <s v="Existing on tower Actual -9.17Sqm /  MPT prev colo apps - 5.32 Sqm / TML - 5.00 Sqm / Mytel 5.28 Sqm . Add 1 RRU "/>
    <s v="OK"/>
    <m/>
    <m/>
    <s v="No"/>
    <s v="Strengthened Tower(OML+TML+Mytel+KSGM(OLD+NEW)):  97.51 %_x000a_Strengthened Tower(OML+TML+Mytel+KSGM(OLD)): 97.51 %"/>
    <s v="OK"/>
    <m/>
    <m/>
    <m/>
    <s v="Monitor DG cap increase maybe required DG SOH TBA"/>
    <s v="OK"/>
    <s v="No"/>
    <s v="No action needed "/>
    <m/>
    <m/>
    <m/>
    <m/>
    <m/>
    <m/>
    <m/>
    <d v="2018-12-19T09:56:23"/>
    <d v="2019-01-14T17:39:00"/>
    <d v="2018-12-20T16:01:31"/>
    <d v="2018-12-19T09:56:23"/>
    <d v="2019-01-07T15:45:48"/>
    <d v="2018-12-18T17:33:05"/>
    <d v="2019-01-15T10:30:26"/>
    <n v="28.437795833298878"/>
    <n v="0"/>
    <s v="No File"/>
    <s v="1-01-01010-003 (KCN0044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0-003 (KCN00441) Application Rev 1.xlsx"/>
    <m/>
  </r>
  <r>
    <n v="3520"/>
    <s v="ANKC_0017"/>
    <s v="Apollo"/>
    <s v="Northern"/>
    <s v="KCN00564"/>
    <s v="MPT"/>
    <s v="MPT  Phase 1a Colo"/>
    <s v="RFI"/>
    <s v="TS "/>
    <s v="2"/>
    <x v="20"/>
    <n v="1.175"/>
    <n v="2.1389999999999998"/>
    <n v="4.32"/>
    <s v="EPA"/>
    <s v="38"/>
    <s v="43"/>
    <x v="0"/>
    <m/>
    <s v="OK"/>
    <s v="26-Dec-18: Okay for survey and TI installtion"/>
    <s v="OK"/>
    <m/>
    <s v="OK"/>
    <s v="Existing on tower - ( Assume ) TML with 3.84 EPA - MPT previous Colo Apps 3.924 EPA - Mytel Colo Apps - 5.46 EPA  - Add 2 RRU"/>
    <s v="OK"/>
    <m/>
    <m/>
    <s v="No"/>
    <s v="EXISTING TOWER: TML+MYTEL+KSGM(OLD+NEW)):  57.69%"/>
    <s v="OK"/>
    <m/>
    <m/>
    <m/>
    <m/>
    <s v="OK"/>
    <s v="No"/>
    <s v="No action needed "/>
    <m/>
    <m/>
    <m/>
    <m/>
    <m/>
    <m/>
    <m/>
    <d v="2018-12-19T09:56:23"/>
    <d v="2019-01-14T17:39:00"/>
    <d v="2018-12-20T16:01:31"/>
    <d v="2018-12-19T09:56:23"/>
    <d v="2018-12-26T14:29:56"/>
    <d v="2018-12-19T16:04:47"/>
    <d v="2019-01-15T10:30:26"/>
    <n v="28.437796527803584"/>
    <n v="0"/>
    <s v="No File"/>
    <s v="ANKC_0017 (KCN00564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KC_0017 (KCN00564) Application Rev 2.xlsx"/>
    <m/>
  </r>
  <r>
    <n v="3512"/>
    <s v="1-01-14001-010"/>
    <s v="Pan Asia"/>
    <s v="Central"/>
    <s v="SHS00100"/>
    <s v="MPT"/>
    <s v="MPT  Phase 1b Colo"/>
    <s v="On Air"/>
    <s v="LTE"/>
    <s v="3"/>
    <x v="21"/>
    <n v="3.44"/>
    <n v="4.3"/>
    <n v="7.63"/>
    <s v="SQM"/>
    <s v="45"/>
    <s v="52"/>
    <x v="0"/>
    <m/>
    <s v="Not Required"/>
    <m/>
    <s v="OK"/>
    <m/>
    <s v="OK"/>
    <s v="Existing on tower Actual - OML - 8.44 Sqm / MPT - 7.68 Sqm  - Increase Rf Dimension add RRU / Change MW dimesion and add ODU "/>
    <s v="OK"/>
    <m/>
    <m/>
    <s v="No"/>
    <s v="Strengthened Tower: OML+KSGM (OLD+NEW) = 97.2%_x000a_Strengthened Tower: OML+KSGM (OLD) = 91.1%"/>
    <s v="OK"/>
    <s v="31-Jan-19"/>
    <m/>
    <m/>
    <s v="PE cap incr BB UG - Dep on new PE ordered Dec18 - adjust FC accord"/>
    <s v="OK"/>
    <s v="No"/>
    <s v="No action needed "/>
    <m/>
    <m/>
    <m/>
    <m/>
    <m/>
    <m/>
    <m/>
    <d v="2018-12-18T10:33:03"/>
    <d v="2018-12-18T12:10:35"/>
    <d v="2018-12-18T16:08:08"/>
    <d v="2018-12-18T10:33:03"/>
    <m/>
    <d v="2018-12-17T17:30:34"/>
    <d v="2018-12-19T15:55:55"/>
    <n v="2.6638353008966078"/>
    <n v="0"/>
    <s v="No File"/>
    <s v="1-01-14001-010 (SHS00100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10 (SHS00100) Application Rev 3.xlsx"/>
    <m/>
  </r>
  <r>
    <n v="3513"/>
    <s v="1-01-04007-009"/>
    <s v="Pan Asia"/>
    <s v="Central"/>
    <s v="CHN00225"/>
    <s v="MPT"/>
    <s v="MPT Phase 2 Colo"/>
    <s v="RFI"/>
    <s v="Relo-TS"/>
    <s v="4"/>
    <x v="21"/>
    <n v="0.58399999999999996"/>
    <n v="0.879"/>
    <m/>
    <s v="SQM"/>
    <s v="42.5"/>
    <s v="47.5"/>
    <x v="0"/>
    <m/>
    <s v="Not Required"/>
    <m/>
    <s v="Not Required"/>
    <m/>
    <s v="Not Required"/>
    <m/>
    <s v="Not Required"/>
    <m/>
    <m/>
    <m/>
    <m/>
    <s v="OK"/>
    <s v="ready"/>
    <m/>
    <m/>
    <m/>
    <s v="Not Required"/>
    <m/>
    <m/>
    <m/>
    <m/>
    <m/>
    <m/>
    <m/>
    <m/>
    <m/>
    <m/>
    <d v="2018-12-18T12:10:35"/>
    <m/>
    <m/>
    <m/>
    <m/>
    <d v="2018-12-18T14:01:13"/>
    <n v="1.5841789351979969"/>
    <n v="0"/>
    <s v="No File"/>
    <s v="1-01-04007-009 (CHN00225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4007-009 (CHN00225) Application Rev 4.xlsx"/>
    <m/>
  </r>
  <r>
    <n v="3514"/>
    <s v="1-01-10009-003"/>
    <s v="Pan Asia"/>
    <s v="Northern"/>
    <s v="MDY01362"/>
    <s v="MPT"/>
    <s v="MPT  Phase 1b Colo"/>
    <s v="RFI"/>
    <s v="Other"/>
    <s v="1"/>
    <x v="21"/>
    <n v="1"/>
    <n v="1.4"/>
    <m/>
    <s v="SQM"/>
    <s v="37"/>
    <s v="42"/>
    <x v="0"/>
    <m/>
    <s v="Not Required"/>
    <m/>
    <s v="Not Required"/>
    <m/>
    <s v="Not Required"/>
    <m/>
    <s v="Not Required"/>
    <m/>
    <m/>
    <m/>
    <m/>
    <s v="OK"/>
    <s v="2019-01-30"/>
    <m/>
    <m/>
    <s v="DG &amp; BB upgrade"/>
    <s v="Not Required"/>
    <m/>
    <m/>
    <m/>
    <m/>
    <m/>
    <m/>
    <m/>
    <m/>
    <m/>
    <m/>
    <d v="2018-12-18T12:10:35"/>
    <m/>
    <m/>
    <m/>
    <m/>
    <d v="2018-12-18T14:01:13"/>
    <n v="1.5841826389005291"/>
    <n v="0"/>
    <s v="No File"/>
    <s v="1-01-10009-003 (MDY0136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0009-003 (MDY01362) Application Rev 1.xlsx"/>
    <m/>
  </r>
  <r>
    <n v="3515"/>
    <s v="1-01-14007-016"/>
    <s v="Pan Asia"/>
    <s v="Northern"/>
    <s v="SHN00079"/>
    <s v="MPT"/>
    <s v="MPT  Phase 1b Colo"/>
    <s v="On Air"/>
    <s v="TS_v1"/>
    <s v="2"/>
    <x v="21"/>
    <n v="1"/>
    <n v="1.4"/>
    <n v="4.97"/>
    <s v="SQM"/>
    <s v="48"/>
    <s v="53"/>
    <x v="0"/>
    <m/>
    <s v="Not Required"/>
    <m/>
    <s v="OK"/>
    <m/>
    <s v="OK"/>
    <s v="Existing on tower Actual - OML - 8.09 Sqm / MPT - 4.97 Sqm / TML 2.87 sqm  - Same loading as before - Change height only "/>
    <s v="OK"/>
    <m/>
    <m/>
    <s v="No"/>
    <s v="EXISTING TOWER(OML+TML+KSGM(OLD+NEW)):  96.9%_x000a_EXISTING TOWER(OML+TML+KSGM(OLD)): 96.9  %"/>
    <s v="Not Required"/>
    <m/>
    <m/>
    <m/>
    <m/>
    <s v="OK"/>
    <s v="No"/>
    <s v="No action needed "/>
    <m/>
    <m/>
    <m/>
    <m/>
    <m/>
    <m/>
    <m/>
    <d v="2018-12-18T10:33:03"/>
    <m/>
    <d v="2018-12-18T15:28:33"/>
    <d v="2018-12-18T10:33:03"/>
    <m/>
    <d v="2018-12-17T17:26:58"/>
    <d v="2018-12-18T16:54:30"/>
    <n v="1.7045194443999208"/>
    <n v="0"/>
    <s v="No File"/>
    <s v="1-01-14007-016 (SHN00079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16 (SHN00079) Application Rev 2.xlsx"/>
    <m/>
  </r>
  <r>
    <n v="3498"/>
    <s v="1-01-17007-005"/>
    <s v="Pan Asia"/>
    <s v="Southern"/>
    <s v="AWD00484"/>
    <s v="MPT"/>
    <s v="MPT  Phase 1b Colo"/>
    <s v="On Air"/>
    <s v="Refarmaing_UL2100"/>
    <s v="4"/>
    <x v="22"/>
    <n v="1.68"/>
    <n v="2.1"/>
    <n v="2.9449999999999998"/>
    <s v="SQM"/>
    <s v="48"/>
    <s v="53"/>
    <x v="0"/>
    <m/>
    <s v="Not Required"/>
    <m/>
    <s v="OK"/>
    <m/>
    <s v="OK"/>
    <s v="Existing on tower Actual - OML - 10.60 Sqm / MPT - 2.61 Sqm / Mytel 1.75 Sqm - Add MW and ODU "/>
    <s v="OK"/>
    <m/>
    <m/>
    <s v="No"/>
    <s v="Strengthened Tower: OML+MYTEL+KSGM (OLD+NEW) = 96.1%_x000a_Strengthened Tower: OML+MYTEL+KSGM (OLD) = 95.6%"/>
    <s v="OK"/>
    <s v="2019-04-05"/>
    <m/>
    <m/>
    <s v="PE UG - BB, DG"/>
    <s v="OK"/>
    <s v="No"/>
    <s v="No action needed "/>
    <m/>
    <m/>
    <m/>
    <m/>
    <m/>
    <m/>
    <m/>
    <d v="2018-12-13T18:06:56"/>
    <d v="2018-12-17T08:53:29"/>
    <d v="2018-12-14T11:26:21"/>
    <d v="2018-12-13T18:06:56"/>
    <m/>
    <d v="2018-12-13T17:10:04"/>
    <d v="2018-12-17T09:52:31"/>
    <n v="4.4114646991001791"/>
    <n v="0"/>
    <s v="No File"/>
    <s v="1-01-17007-005 (AWD00484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07-005 (AWD00484) Application Rev 4.xlsx"/>
    <m/>
  </r>
  <r>
    <n v="3499"/>
    <s v="1-01-02003-003"/>
    <s v="Pan Asia"/>
    <s v="Central"/>
    <s v="KYH00055"/>
    <s v="MPT"/>
    <s v="MPT  Phase 1b Colo"/>
    <s v="On Air"/>
    <s v="Refarmaing_UL2100"/>
    <s v="2"/>
    <x v="22"/>
    <n v="2.16"/>
    <n v="2.7"/>
    <n v="4.45"/>
    <s v="SQM"/>
    <s v="48"/>
    <s v="53"/>
    <x v="0"/>
    <m/>
    <s v="Not Required"/>
    <m/>
    <s v="OK"/>
    <m/>
    <s v="OK"/>
    <s v="Existing on tower Actual - OML - 8.44 Sqm / MPT latest Colo Apps - 4.09 Sqm /TML Colo Apps - 4.05 sqm/ Mytel  Colo Apps 4.07 Sqm - Add 3 RRU "/>
    <s v="OK"/>
    <m/>
    <m/>
    <s v="No"/>
    <s v="Strengthened Tower: OML+TML+MYTEL+KSGM (OLD+NEW) = 104.4%_x000a_Strengthened Tower: OML+TML+MYTEL+KSGM (OLD) = 104.4%"/>
    <s v="OK"/>
    <s v="2018-12-27"/>
    <m/>
    <m/>
    <s v="BB &amp; DG swaps/upgrade"/>
    <s v="OK"/>
    <s v="No"/>
    <s v="No action needed "/>
    <m/>
    <m/>
    <m/>
    <m/>
    <m/>
    <m/>
    <m/>
    <d v="2018-12-13T18:06:56"/>
    <d v="2018-12-17T08:53:29"/>
    <d v="2018-12-14T14:34:04"/>
    <d v="2018-12-13T18:06:56"/>
    <m/>
    <d v="2018-12-13T17:10:04"/>
    <d v="2018-12-17T09:52:31"/>
    <n v="4.4114653935030219"/>
    <n v="0"/>
    <s v="No File"/>
    <s v="1-01-02003-003 (KYH0005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2003-003 (KYH00055) Application Rev 2.xlsx"/>
    <m/>
  </r>
  <r>
    <n v="3500"/>
    <s v="1-01-03001-001"/>
    <s v="Pan Asia"/>
    <s v="Southern"/>
    <s v="KYN00267"/>
    <s v="MPT"/>
    <s v="MPT  Phase 1b Colo"/>
    <s v="On Air"/>
    <s v="MS"/>
    <s v="2"/>
    <x v="22"/>
    <n v="3.36"/>
    <n v="4.8"/>
    <n v="4.8600000000000003"/>
    <s v="SQM"/>
    <s v="26"/>
    <s v="31"/>
    <x v="0"/>
    <m/>
    <s v="Not Required"/>
    <m/>
    <s v="OK"/>
    <m/>
    <s v="OK"/>
    <s v="Existing on tower Actual - OML - 7.02 Sqm / MPT latest Colo Apps - 3.99 Sqm /TML  - 2.67 sqm/ - Increase RF Dimension "/>
    <s v="OK"/>
    <m/>
    <m/>
    <s v="No"/>
    <s v="Existing Tower: OML+TML+KSGM (OLD+NEW) = 102.9%_x000a_Existing Tower: OML+TML+KSGM (OLD) = 101.4%"/>
    <s v="OK"/>
    <s v="2019-01-18"/>
    <m/>
    <m/>
    <s v="PE cap incr BB UG - Dep on new PE ordered Dec18 - adjust FC accord"/>
    <s v="OK"/>
    <s v="No"/>
    <s v="No action needed "/>
    <m/>
    <m/>
    <m/>
    <m/>
    <m/>
    <m/>
    <m/>
    <d v="2018-12-13T18:06:57"/>
    <d v="2018-12-17T08:53:30"/>
    <d v="2018-12-14T16:29:24"/>
    <d v="2018-12-13T18:06:57"/>
    <m/>
    <d v="2018-12-18T13:22:48"/>
    <d v="2018-12-18T14:01:13"/>
    <n v="5.584172800903616"/>
    <n v="0"/>
    <s v="No File"/>
    <s v="1-01-03001-001 (KYN0026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3001-001 (KYN00267) Application Rev 2.xlsx"/>
    <m/>
  </r>
  <r>
    <n v="3501"/>
    <s v="1-01-09001-003"/>
    <s v="Pan Asia"/>
    <s v="Central"/>
    <s v="MGW00148"/>
    <s v="MPT"/>
    <s v="MPT  Phase 1b Colo"/>
    <s v="On Air"/>
    <s v="TS _ v1"/>
    <s v="1"/>
    <x v="22"/>
    <n v="1.054"/>
    <n v="1.522"/>
    <n v="4.6900000000000004"/>
    <s v="SQM"/>
    <s v="43"/>
    <s v="48"/>
    <x v="0"/>
    <m/>
    <s v="Not Required"/>
    <m/>
    <s v="OK"/>
    <m/>
    <s v="OK"/>
    <s v="Existing on tower Actual - OML - 8.34 Sqm / MPT  - 4.69 Sqm - Add  MW and ODU as per actual "/>
    <s v="OK"/>
    <m/>
    <m/>
    <s v="No"/>
    <s v="EXISTING TOWER(OP1+OP3(OLD+NEW)):   93.8%_x000a_EXISTING TOWER(OP1+OP3(OLD)):   92.63%"/>
    <s v="OK"/>
    <m/>
    <m/>
    <m/>
    <m/>
    <s v="OK"/>
    <s v="No"/>
    <s v="No action needed "/>
    <m/>
    <m/>
    <m/>
    <m/>
    <m/>
    <m/>
    <m/>
    <d v="2018-12-13T18:06:57"/>
    <d v="2018-12-13T17:12:26"/>
    <d v="2018-12-14T13:57:38"/>
    <d v="2018-12-13T18:06:57"/>
    <m/>
    <d v="2018-12-13T17:10:04"/>
    <d v="2018-12-14T17:28:15"/>
    <n v="1.7279564815034973"/>
    <n v="0"/>
    <s v="No File"/>
    <s v="1-01-09001-003 (MGW00148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01-003 (MGW00148) Application Rev 1.xlsx"/>
    <m/>
  </r>
  <r>
    <n v="3502"/>
    <s v="1-01-09017-004"/>
    <s v="Pan Asia"/>
    <s v="Central"/>
    <s v="MGW00413"/>
    <s v="MPT"/>
    <s v="MPT  Phase 1b Colo"/>
    <s v="On Air"/>
    <s v="LTE"/>
    <s v="1"/>
    <x v="22"/>
    <n v="2.3180000000000001"/>
    <n v="4.3479999999999999"/>
    <n v="3.56"/>
    <s v="SQM"/>
    <s v="43"/>
    <s v="48"/>
    <x v="0"/>
    <m/>
    <s v="Not Required"/>
    <m/>
    <s v="OK"/>
    <m/>
    <s v="OK"/>
    <s v="Existing on tower Actual - OML - 8.34 Sqm / MPT Colo Apps - 4.29 Sqm - Add MW and ODU "/>
    <s v="OK"/>
    <m/>
    <m/>
    <s v="No"/>
    <s v="EXISTING TOWER(OP1+OP3(OLD+NEW)):   89.1%_x000a_EXISTING TOWER(OP1+OP3(OLD)):   85.7%"/>
    <s v="OK"/>
    <s v="2019-04-07"/>
    <m/>
    <m/>
    <s v="PE cap incr BB UG - Dep on new PE ordered Dec18 - adjust FC accord"/>
    <s v="OK"/>
    <s v="No"/>
    <s v="No action needed "/>
    <m/>
    <m/>
    <m/>
    <m/>
    <m/>
    <m/>
    <m/>
    <d v="2018-12-13T18:06:57"/>
    <d v="2018-12-17T08:53:30"/>
    <d v="2018-12-14T13:57:38"/>
    <d v="2018-12-13T18:06:57"/>
    <m/>
    <d v="2018-12-13T17:10:04"/>
    <d v="2018-12-17T09:52:31"/>
    <n v="4.411466898098297"/>
    <n v="0"/>
    <s v="No File"/>
    <s v="1-01-09017-004 (MGW0041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17-004 (MGW00413) Application Rev 1.xlsx"/>
    <m/>
  </r>
  <r>
    <n v="3503"/>
    <s v="1-01-05009-001"/>
    <s v="Pan Asia"/>
    <s v="Northern"/>
    <s v="SGG00235"/>
    <s v="MPT"/>
    <s v="MPT  Phase 1b Colo"/>
    <s v="On Air"/>
    <s v="Exchange"/>
    <s v="1"/>
    <x v="22"/>
    <n v="1.1080000000000001"/>
    <n v="1.52"/>
    <n v="3.11"/>
    <s v="SQM"/>
    <s v="48"/>
    <s v="53"/>
    <x v="0"/>
    <m/>
    <s v="Not Required"/>
    <m/>
    <s v="OK"/>
    <m/>
    <s v="OK"/>
    <s v="Existing on tower Actual - OML - 9.26 Sqm / MPT Colo Apps - 2.29 Sqm - Add MW and ODU "/>
    <s v="OK"/>
    <m/>
    <m/>
    <s v="No"/>
    <s v="Strengthened Tower(OP1+OP5+OP3(OLD+NEW)): 91.4%_x000a_Strengthened Tower(OP1+OP5+OP3(OLD)): 90.6 %"/>
    <s v="OK"/>
    <s v="2019-04-08"/>
    <m/>
    <m/>
    <s v="PE cap incr BB UG - Dep on new PE ordered Dec18 - adjust FC accord"/>
    <s v="OK"/>
    <s v="No"/>
    <s v="No action needed "/>
    <m/>
    <m/>
    <m/>
    <m/>
    <m/>
    <m/>
    <m/>
    <d v="2018-12-13T18:06:57"/>
    <d v="2018-12-17T08:53:30"/>
    <d v="2018-12-14T13:57:38"/>
    <d v="2018-12-13T18:06:57"/>
    <m/>
    <d v="2018-12-13T17:10:05"/>
    <d v="2018-12-17T09:52:31"/>
    <n v="4.4114677082980052"/>
    <n v="0"/>
    <s v="No File"/>
    <s v="1-01-05009-001 (SGG0023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9-001 (SGG00235) Application Rev 1.xlsx"/>
    <m/>
  </r>
  <r>
    <n v="3504"/>
    <s v="1-01-05015-004"/>
    <s v="Pan Asia"/>
    <s v="Northern"/>
    <s v="SGG00765"/>
    <s v="MPT"/>
    <s v="MPT  Phase 1b Colo"/>
    <s v="On Air"/>
    <s v="Exchange"/>
    <s v="1"/>
    <x v="22"/>
    <n v="1.399"/>
    <n v="2.1989999999999998"/>
    <n v="2.87"/>
    <s v="SQM"/>
    <s v="33"/>
    <s v="38"/>
    <x v="0"/>
    <m/>
    <s v="Not Required"/>
    <m/>
    <s v="OK"/>
    <m/>
    <s v="OK"/>
    <s v="Existing on tower Actual - OML - 6.18 Sqm / MPT - 2.71 Sqm / TML 3.51 sqm  - Add 1 RRU "/>
    <s v="OK"/>
    <m/>
    <m/>
    <s v="No"/>
    <s v="EXISTING TOWER(OP1+OP4+OP3(OLD+NEW)):   81.6 %_x000a_EXISTING TOWER(OP1+OP4+OP3(OLD)):  82%"/>
    <s v="OK"/>
    <s v="2018-12-23"/>
    <m/>
    <m/>
    <s v="add rect modules - PE UG later "/>
    <s v="OK"/>
    <s v="No"/>
    <s v="No action needed "/>
    <m/>
    <m/>
    <m/>
    <m/>
    <m/>
    <m/>
    <m/>
    <d v="2018-12-13T18:06:57"/>
    <d v="2018-12-13T17:12:26"/>
    <d v="2018-12-17T13:17:28"/>
    <d v="2018-12-13T18:06:57"/>
    <m/>
    <d v="2018-12-13T17:10:05"/>
    <d v="2018-12-17T17:06:00"/>
    <n v="4.712500462999742"/>
    <n v="0"/>
    <s v="No File"/>
    <s v="1-01-05015-004 (SGG0076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5-004 (SGG00765) Application Rev 1.xlsx"/>
    <m/>
  </r>
  <r>
    <n v="3505"/>
    <s v="1-01-16011-001"/>
    <s v="Pan Asia"/>
    <s v="Central"/>
    <s v="SHE00089"/>
    <s v="MPT"/>
    <s v="MPT  Phase 1b Colo"/>
    <s v="On Air"/>
    <s v="Refarmaing_UL2100"/>
    <s v="6"/>
    <x v="22"/>
    <n v="3.44"/>
    <n v="4.3"/>
    <n v="4.55"/>
    <s v="SQM"/>
    <s v="48"/>
    <s v="53"/>
    <x v="0"/>
    <m/>
    <s v="Not Required"/>
    <m/>
    <s v="OK"/>
    <m/>
    <s v="OK"/>
    <s v="Existing on tower Actual - OML - 6.43 Sqm / MPT prev colo apps - 4.55 Sqm / TML 3.23sqm  - NO Data Changed - Only need to checkwith  power team"/>
    <s v="OK"/>
    <m/>
    <m/>
    <s v="No"/>
    <s v="Existing Tower (OML+TML+KSGM(OLD)) = 101.3%"/>
    <s v="OK"/>
    <s v="2019-04-08"/>
    <m/>
    <m/>
    <s v="PE cap incr BB UG - Dep on new PE ordered Dec18 - adjust FC accord"/>
    <s v="OK"/>
    <s v="No"/>
    <s v="No action needed "/>
    <m/>
    <m/>
    <m/>
    <m/>
    <m/>
    <m/>
    <m/>
    <d v="2018-12-13T18:06:57"/>
    <d v="2018-12-17T08:53:30"/>
    <d v="2018-12-14T14:51:44"/>
    <d v="2018-12-13T18:06:57"/>
    <m/>
    <d v="2018-12-13T17:10:05"/>
    <d v="2018-12-17T09:52:31"/>
    <n v="4.4114694443996996"/>
    <n v="0"/>
    <s v="No File"/>
    <s v="1-01-16011-001 (SHE00089) Application Rev 6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6011-001 (SHE00089) Application Rev 6.xlsx"/>
    <m/>
  </r>
  <r>
    <n v="3506"/>
    <s v="1-01-15012-004"/>
    <s v="Pan Asia"/>
    <s v="Northern"/>
    <s v="SHN00053"/>
    <s v="MPT"/>
    <s v="MPT  Phase 1b Colo"/>
    <s v="On Air"/>
    <s v="LTE"/>
    <s v="4"/>
    <x v="22"/>
    <n v="1.1080000000000001"/>
    <n v="1.5820000000000001"/>
    <n v="5.87"/>
    <s v="SQM"/>
    <s v="44"/>
    <s v="49"/>
    <x v="0"/>
    <m/>
    <s v="Not Required"/>
    <m/>
    <s v="OK"/>
    <m/>
    <s v="OK"/>
    <s v="Existing on tower Actual - OML - 11.46 Sqm / MPT prev colo apps - 5.42 Sqm /Decrease RF Dimension and add MW and Odu "/>
    <s v="OK"/>
    <m/>
    <m/>
    <s v="No"/>
    <s v="Strengthened Tower(OP1+OP3(OLD+NEW)): 91.3 %_x000a_Strengthened Tower(OP1+OP3(OLD)): 85.04 %"/>
    <s v="OK"/>
    <s v="2019-04-09"/>
    <m/>
    <m/>
    <s v="PE cap incr BB UG - Dep on new PE ordered Dec18 - adjust FC accord"/>
    <s v="OK"/>
    <s v="No"/>
    <s v="No action needed "/>
    <m/>
    <m/>
    <m/>
    <m/>
    <m/>
    <m/>
    <m/>
    <d v="2018-12-14T11:14:56"/>
    <d v="2018-12-17T08:53:30"/>
    <d v="2018-12-17T13:17:28"/>
    <d v="2018-12-14T11:14:56"/>
    <m/>
    <d v="2018-12-13T17:10:05"/>
    <d v="2018-12-17T17:06:00"/>
    <n v="4.7125013889017282"/>
    <n v="0"/>
    <s v="No File"/>
    <s v="1-01-15012-004 (SHN00053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2-004 (SHN00053) Application Rev 4.xlsx"/>
    <m/>
  </r>
  <r>
    <n v="3507"/>
    <s v="1-01-15013-008"/>
    <s v="Pan Asia"/>
    <s v="Northern"/>
    <s v="SHN00087"/>
    <s v="MPT"/>
    <s v="MPT  Phase 1b Colo"/>
    <s v="On Air"/>
    <s v="Exchange"/>
    <s v="1"/>
    <x v="22"/>
    <n v="1.399"/>
    <n v="2.2610000000000001"/>
    <n v="5.6059999999999999"/>
    <s v="SQM"/>
    <s v="48"/>
    <s v="53"/>
    <x v="0"/>
    <m/>
    <s v="Not Required"/>
    <m/>
    <s v="OK"/>
    <m/>
    <s v="OK"/>
    <s v="Existing on tower Actual - OML - 14.06 Sqm / MPT prev colo apps - 8.15 Sqm / TML 4.93 sqm / Decrease RF and MW Dimension , add RRU and ODU ."/>
    <s v="OK"/>
    <m/>
    <m/>
    <s v="No"/>
    <s v="Strengthened Tower: OML+TML+KSGM (OLD+NEW) = 103.3%_x000a_Strengthened Tower: OML+TML+KSGM (OLD) = 104.2%"/>
    <s v="OK"/>
    <s v="2018-12-28"/>
    <m/>
    <m/>
    <s v="add rectifer modules UG DG "/>
    <s v="OK"/>
    <s v="No"/>
    <s v="No action needed "/>
    <m/>
    <m/>
    <m/>
    <m/>
    <m/>
    <m/>
    <m/>
    <d v="2018-12-14T11:14:56"/>
    <d v="2018-12-17T08:53:30"/>
    <d v="2018-12-17T15:20:50"/>
    <d v="2018-12-14T11:14:56"/>
    <m/>
    <d v="2018-12-13T17:10:05"/>
    <d v="2018-12-17T17:06:00"/>
    <n v="4.7125021991014364"/>
    <n v="0"/>
    <s v="No File"/>
    <s v="1-01-15013-008 (SHN00087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8 (SHN00087) Application Rev 1.xlsx"/>
    <m/>
  </r>
  <r>
    <n v="3508"/>
    <s v="1-01-17016-011"/>
    <s v="Pan Asia"/>
    <s v="Southern"/>
    <s v="AWD00293"/>
    <s v="MPT"/>
    <s v="MPT  Phase 1b Colo"/>
    <s v="On Air"/>
    <s v="LTE"/>
    <s v="2"/>
    <x v="22"/>
    <n v="2.48"/>
    <n v="3.1"/>
    <n v="3.86"/>
    <s v="SQM"/>
    <s v="48"/>
    <s v="53"/>
    <x v="0"/>
    <m/>
    <s v="Not Required"/>
    <m/>
    <s v="OK"/>
    <m/>
    <s v="OK"/>
    <s v="Existing on tower Actual - OML - 7.56 Sqm / MPT - 2.86 Sqm / TML- 3.87sqm / Increase RF Dimension and add RRU "/>
    <s v="OK"/>
    <m/>
    <m/>
    <s v="No"/>
    <s v="Strengthened Tower: OML+TML+KSGM (OLD+NEW) = 94 %_x000a_Strengthened Tower: OML+TML+KSGM (OLD) = 92.6%"/>
    <s v="OK"/>
    <s v="2019-04-10"/>
    <m/>
    <m/>
    <s v="PE cap incr BB UG - Dep on new PE ordered Dec18 - adjust FC accord"/>
    <s v="OK"/>
    <s v="No"/>
    <s v="No action needed "/>
    <m/>
    <m/>
    <m/>
    <m/>
    <m/>
    <m/>
    <m/>
    <d v="2018-12-14T11:14:56"/>
    <d v="2018-12-17T08:53:30"/>
    <d v="2018-12-17T15:44:30"/>
    <d v="2018-12-14T11:14:56"/>
    <m/>
    <d v="2018-12-13T17:10:05"/>
    <d v="2018-12-17T17:06:00"/>
    <n v="4.7125030093011446"/>
    <n v="0"/>
    <s v="No File"/>
    <s v="1-01-17016-011 (AWD0029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16-011 (AWD00293) Application Rev 2.xlsx"/>
    <m/>
  </r>
  <r>
    <n v="3509"/>
    <s v="1-01-17017-001"/>
    <s v="Pan Asia"/>
    <s v="Southern"/>
    <s v="AWD00871"/>
    <s v="MPT"/>
    <s v="MPT  Phase 1b Colo"/>
    <s v="On Air"/>
    <s v="MS"/>
    <s v="1"/>
    <x v="22"/>
    <n v="2.64"/>
    <n v="3.3"/>
    <n v="4.0949999999999998"/>
    <s v="SQM"/>
    <s v="42.5"/>
    <s v="47.5"/>
    <x v="0"/>
    <m/>
    <s v="Not Required"/>
    <m/>
    <s v="OK"/>
    <m/>
    <s v="OK"/>
    <s v="Existing on tower Actual - OML - 10.88 Sqm / MPT Colo Apps  - 2.35 Sqm / Mytel - 6.13 sqm / Increase RF Dimension and add RRU "/>
    <s v="OK"/>
    <m/>
    <m/>
    <s v="No"/>
    <s v="Strengthened Tower: OML+MYTEL+KSGM (OLD+NEW) = 100.4%_x000a_Strengthened Tower: OML+MYTEL+KSGM (OLD) = 97.9%"/>
    <s v="OK"/>
    <s v="2019-04-11"/>
    <m/>
    <m/>
    <s v="PE cap incr BB UG - Dep on new PE ordered Dec18 - adjust FC accord"/>
    <s v="OK"/>
    <s v="No"/>
    <s v="No action needed "/>
    <m/>
    <m/>
    <m/>
    <m/>
    <m/>
    <m/>
    <m/>
    <d v="2018-12-14T11:14:56"/>
    <d v="2018-12-17T08:53:30"/>
    <d v="2018-12-17T09:31:53"/>
    <d v="2018-12-14T11:14:56"/>
    <m/>
    <d v="2018-12-13T17:10:06"/>
    <d v="2018-12-17T09:52:31"/>
    <n v="4.4114726851985324"/>
    <n v="0"/>
    <s v="No File"/>
    <s v="1-01-17017-001 (AWD0087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17-001 (AWD00871) Application Rev 1.xlsx"/>
    <m/>
  </r>
  <r>
    <n v="3510"/>
    <s v="1-01-01014-005"/>
    <s v="Pan Asia"/>
    <s v="Northern"/>
    <s v="KCN00119"/>
    <s v="MPT"/>
    <s v="MPT  Phase 1b Colo"/>
    <s v="On Air"/>
    <s v="UPG _ v1"/>
    <s v="4"/>
    <x v="22"/>
    <n v="1.1080000000000001"/>
    <n v="1.52"/>
    <n v="3.1070000000000002"/>
    <s v="SQM"/>
    <s v="48"/>
    <s v="53"/>
    <x v="0"/>
    <m/>
    <s v="Not Required"/>
    <m/>
    <s v="OK"/>
    <m/>
    <s v="OK"/>
    <s v="Existing on tower Actual - OML - 8.43 Sqm / MPT  - 3.03 Sqm / Mytel - 4.99 sqm / add RRU "/>
    <s v="OK"/>
    <m/>
    <m/>
    <s v="No"/>
    <s v="Strengthened Tower: OML+MYTEL+KSGM (OLD+NEW) = 92.4%_x000a_Strengthened Tower: OML+MYTEL+KSGM (OLD) = 91.7%"/>
    <s v="Not Required"/>
    <s v="N/A"/>
    <m/>
    <m/>
    <m/>
    <s v="OK"/>
    <s v="No"/>
    <s v="No action needed "/>
    <m/>
    <m/>
    <m/>
    <m/>
    <m/>
    <m/>
    <m/>
    <d v="2018-12-14T11:14:57"/>
    <m/>
    <d v="2018-12-17T13:27:23"/>
    <d v="2018-12-14T11:14:57"/>
    <m/>
    <d v="2018-12-13T17:10:09"/>
    <d v="2018-12-17T17:06:00"/>
    <n v="4.7125037036967115"/>
    <n v="0"/>
    <s v="No File"/>
    <s v="1-01-01014-005 (KCN00119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4-005 (KCN00119) Application Rev 4.xlsx"/>
    <m/>
  </r>
  <r>
    <n v="3511"/>
    <s v="1-01-01014-005"/>
    <s v="Pan Asia"/>
    <s v="Northern"/>
    <s v="KCN00119"/>
    <s v="MPT"/>
    <s v="MPT  Phase 1b Colo"/>
    <s v="On Air"/>
    <s v="Expansion_L2100"/>
    <s v="5"/>
    <x v="22"/>
    <n v="1.399"/>
    <n v="2.1989999999999998"/>
    <n v="3.2650000000000001"/>
    <s v="SQM"/>
    <s v="48"/>
    <s v="53"/>
    <x v="0"/>
    <m/>
    <s v="Not Required"/>
    <m/>
    <s v="OK"/>
    <m/>
    <s v="OK"/>
    <s v="Existing on tower Actual - OML - 8.43 Sqm / MPT  - 3.03 Sqm / Mytel - 4.99 sqm / Add 1 RRU "/>
    <s v="OK"/>
    <m/>
    <m/>
    <s v="No"/>
    <s v="Strengthened Tower: OML+MYTEL+KSGM (OLD+NEW) = 92.5%_x000a_Strengthened Tower: OML+MYTEL+KSGM (OLD) = 92.4"/>
    <s v="Not Required"/>
    <s v="N/A"/>
    <m/>
    <m/>
    <m/>
    <s v="OK"/>
    <s v="No"/>
    <s v="No action needed "/>
    <m/>
    <m/>
    <m/>
    <m/>
    <m/>
    <m/>
    <m/>
    <d v="2018-12-14T11:14:57"/>
    <m/>
    <d v="2018-12-17T13:27:23"/>
    <d v="2018-12-14T11:14:57"/>
    <m/>
    <d v="2018-12-13T17:10:09"/>
    <d v="2018-12-17T17:06:00"/>
    <n v="4.7125043982014176"/>
    <n v="0"/>
    <s v="No File"/>
    <s v="1-01-01014-005 (KCN00119) Application Rev 5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4-005 (KCN00119) Application Rev 5.xlsx"/>
    <m/>
  </r>
  <r>
    <n v="3496"/>
    <s v="ANSG_0483"/>
    <s v="Apollo"/>
    <s v="Northern"/>
    <s v="SGG00406"/>
    <s v="MPT"/>
    <s v="MPT  Phase 1a Colo"/>
    <s v="On Air"/>
    <s v="TS _ v1"/>
    <s v="0"/>
    <x v="23"/>
    <n v="1"/>
    <n v="1.4"/>
    <n v="6.52"/>
    <s v="EPA"/>
    <s v="36"/>
    <s v="41"/>
    <x v="0"/>
    <m/>
    <s v="Not Required"/>
    <m/>
    <s v="OK"/>
    <m/>
    <s v="OK"/>
    <s v="Existing on tower - ( Assume ) TML with 5.65 EPA , MPT with 4.84 EPA - Add RRUand ODU"/>
    <s v="OK"/>
    <m/>
    <m/>
    <s v="No"/>
    <s v="Existing Tower: TML+MYTEL+KSGM (OLD+NEW) = 74.9%"/>
    <s v="OK"/>
    <m/>
    <m/>
    <m/>
    <m/>
    <s v="OK"/>
    <s v="No"/>
    <s v="No action needed "/>
    <m/>
    <m/>
    <m/>
    <m/>
    <m/>
    <m/>
    <m/>
    <d v="2018-12-12T13:52:41"/>
    <d v="2018-12-13T17:12:25"/>
    <d v="2018-12-13T10:09:25"/>
    <d v="2018-12-12T13:52:41"/>
    <m/>
    <d v="2018-12-12T13:01:19"/>
    <d v="2018-12-14T17:28:15"/>
    <n v="2.7279530093001085"/>
    <n v="0"/>
    <s v="No File"/>
    <s v="ANSG_0483 (SGG00406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83 (SGG00406) Application Rev 0.xlsx"/>
    <m/>
  </r>
  <r>
    <n v="3497"/>
    <s v="AYYN_0300"/>
    <s v="Apollo"/>
    <s v="Southern"/>
    <s v="YGN00953"/>
    <s v="MPT"/>
    <s v="MPT  Phase 1a Colo"/>
    <s v="On Air"/>
    <s v="MS _ v1"/>
    <s v="0"/>
    <x v="23"/>
    <n v="2.16"/>
    <n v="2.7"/>
    <n v="5.41"/>
    <s v="EPA"/>
    <s v="18"/>
    <s v="23"/>
    <x v="0"/>
    <m/>
    <s v="Not Required"/>
    <m/>
    <s v="OK"/>
    <m/>
    <s v="OK"/>
    <s v="Existing on tower - ( Assume ) TML with 5.67 EPA , OML with 9.80 EPA , MPT with 6.13 EPA -, Mytel with 2.91 EPA  , Amara  with 2.88 EPA ( Increase RF dimension and add RRU )"/>
    <s v="OK"/>
    <m/>
    <m/>
    <s v="No"/>
    <s v="EXISTING TOWER: TML+OML+KSGM+MYTEL+Amara(NEW)):  69.33%"/>
    <s v="OK"/>
    <m/>
    <m/>
    <m/>
    <m/>
    <s v="OK"/>
    <s v="No"/>
    <s v="No action needed "/>
    <m/>
    <m/>
    <m/>
    <m/>
    <m/>
    <m/>
    <m/>
    <d v="2018-12-12T13:52:41"/>
    <d v="2018-12-13T17:12:25"/>
    <d v="2018-12-13T15:07:07"/>
    <d v="2018-12-12T13:52:41"/>
    <m/>
    <d v="2018-12-13T15:23:16"/>
    <d v="2018-12-14T17:28:15"/>
    <n v="2.7279540508970967"/>
    <n v="0"/>
    <s v="No File"/>
    <s v="AYYN_0300 (YGN00953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300 (YGN00953) Application Rev 0.xlsx"/>
    <m/>
  </r>
  <r>
    <n v="3493"/>
    <s v="ANMD_0022"/>
    <s v="Apollo"/>
    <s v="Northern"/>
    <s v="MDY00913"/>
    <s v="MPT"/>
    <s v="MPT  Phase 1a Colo"/>
    <s v="On Air"/>
    <s v="Refarming UL2100"/>
    <s v="0"/>
    <x v="24"/>
    <n v="1.399"/>
    <n v="2.1989999999999998"/>
    <n v="4.13"/>
    <s v="EPA"/>
    <s v="19"/>
    <s v="24"/>
    <x v="0"/>
    <m/>
    <s v="Not Required"/>
    <m/>
    <s v="OK"/>
    <m/>
    <s v="OK"/>
    <s v="Existing on tower - ( Assume ) TML with 4.80 EPA , OML with 11.81 EPA , MPT with 3.58 EPA - Add RRU"/>
    <s v="OK"/>
    <m/>
    <m/>
    <s v="No"/>
    <s v="EXISTING TOWER: TML+OML+KSGM(OLD+NEW)):   86.85 %"/>
    <s v="OK"/>
    <m/>
    <m/>
    <m/>
    <m/>
    <s v="OK"/>
    <s v="No"/>
    <s v="No action needed "/>
    <m/>
    <m/>
    <m/>
    <m/>
    <m/>
    <m/>
    <m/>
    <d v="2018-12-12T11:20:36"/>
    <d v="2018-12-11T15:21:02"/>
    <d v="2018-12-12T14:40:41"/>
    <d v="2018-12-12T11:20:36"/>
    <m/>
    <d v="2018-12-11T10:25:40"/>
    <d v="2018-12-13T10:12:38"/>
    <n v="2.4254366898021544"/>
    <n v="0"/>
    <s v="No File"/>
    <s v="ANMD_0022 (MDY00913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022 (MDY00913) Application Rev 0.xlsx"/>
    <m/>
  </r>
  <r>
    <n v="3494"/>
    <s v="ANSG_0454"/>
    <s v="Apollo"/>
    <s v="Northern"/>
    <s v="SGG00785"/>
    <s v="MPT"/>
    <s v="MPT  Phase 1a Colo"/>
    <s v="On Air"/>
    <s v="TS _ v1"/>
    <s v="2"/>
    <x v="24"/>
    <n v="1"/>
    <n v="1.4"/>
    <n v="4.51"/>
    <s v="EPA"/>
    <s v="36"/>
    <s v="41"/>
    <x v="0"/>
    <m/>
    <s v="Not Required"/>
    <m/>
    <s v="OK"/>
    <m/>
    <s v="OK"/>
    <s v="Existing on tower - ( Assume ) TML with 7.55 EPA , MPT with 4.20 EPA - Add RRU"/>
    <s v="OK"/>
    <m/>
    <m/>
    <s v="No"/>
    <s v="Existing Tower: TML+KSGM (OLD+NEW) = 64.0%"/>
    <s v="OK"/>
    <m/>
    <m/>
    <m/>
    <m/>
    <s v="OK"/>
    <s v="No"/>
    <s v="No action needed "/>
    <m/>
    <m/>
    <m/>
    <m/>
    <m/>
    <m/>
    <m/>
    <d v="2018-12-12T11:20:36"/>
    <d v="2018-12-11T15:21:02"/>
    <d v="2018-12-12T14:10:44"/>
    <d v="2018-12-12T11:20:36"/>
    <m/>
    <d v="2018-12-18T12:19:41"/>
    <d v="2018-12-18T14:01:12"/>
    <n v="7.5841695601993706"/>
    <n v="0"/>
    <s v="No File"/>
    <s v="ANSG_0454 (SGG0078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54 (SGG00785) Application Rev 2.xlsx"/>
    <m/>
  </r>
  <r>
    <n v="3495"/>
    <s v="1-01-09022-005"/>
    <s v="Pan Asia"/>
    <s v="Central"/>
    <s v="MGW00780"/>
    <s v="MPT"/>
    <s v="MPT  Phase 1b Colo"/>
    <s v="RFI"/>
    <s v="Other"/>
    <s v="0"/>
    <x v="24"/>
    <n v="1"/>
    <n v="1.462"/>
    <m/>
    <s v="SQM"/>
    <s v="48"/>
    <s v="53"/>
    <x v="0"/>
    <m/>
    <s v="Not Required"/>
    <m/>
    <s v="Not Required"/>
    <m/>
    <s v="Not Required"/>
    <m/>
    <s v="Not Required"/>
    <m/>
    <m/>
    <m/>
    <m/>
    <s v="OK"/>
    <m/>
    <m/>
    <m/>
    <m/>
    <s v="Not Required"/>
    <m/>
    <m/>
    <m/>
    <m/>
    <m/>
    <m/>
    <m/>
    <m/>
    <m/>
    <m/>
    <d v="2018-12-11T15:21:02"/>
    <m/>
    <m/>
    <m/>
    <m/>
    <d v="2018-12-11T17:09:05"/>
    <n v="0.71463587960170116"/>
    <n v="0"/>
    <s v="No File"/>
    <s v="1-01-09022-005 (MGW0078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22-005 (MGW00780) Application Rev 0.xlsx"/>
    <m/>
  </r>
  <r>
    <n v="3487"/>
    <s v="1-01-01010-012"/>
    <s v="Pan Asia"/>
    <s v="Northern"/>
    <s v="KCN00455"/>
    <s v="MPT"/>
    <s v="MPT  Phase 1b Colo"/>
    <s v="RFI"/>
    <s v="TS"/>
    <s v="1"/>
    <x v="25"/>
    <n v="1"/>
    <n v="1.462"/>
    <m/>
    <s v="SQM"/>
    <s v="21"/>
    <s v="26"/>
    <x v="0"/>
    <m/>
    <s v="Not Required"/>
    <m/>
    <s v="Not Required"/>
    <m/>
    <s v="Not Required"/>
    <m/>
    <s v="Not Required"/>
    <m/>
    <m/>
    <m/>
    <m/>
    <s v="OK"/>
    <s v="1-2 weeks"/>
    <m/>
    <m/>
    <s v="upgrade DG to 20Kva"/>
    <s v="Not Required"/>
    <m/>
    <m/>
    <m/>
    <m/>
    <m/>
    <m/>
    <m/>
    <m/>
    <m/>
    <m/>
    <d v="2018-12-10T16:19:50"/>
    <m/>
    <m/>
    <m/>
    <m/>
    <d v="2018-12-11T11:36:52"/>
    <n v="1.4839348379973671"/>
    <n v="0"/>
    <s v="No File"/>
    <s v="1-01-01010-012 (KCN0045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0-012 (KCN00455) Application Rev 1.xlsx"/>
    <m/>
  </r>
  <r>
    <n v="3488"/>
    <s v="1-01-17003-008"/>
    <s v="Pan Asia"/>
    <s v="Southern"/>
    <s v="AY0830"/>
    <s v="Telenor"/>
    <s v="TML Phase 1 Colo"/>
    <s v="On Air"/>
    <s v="Add Equipment"/>
    <s v="1"/>
    <x v="25"/>
    <m/>
    <m/>
    <n v="4.6100000000000003"/>
    <s v="SQM"/>
    <s v="46"/>
    <s v="51"/>
    <x v="0"/>
    <m/>
    <s v="Not Required"/>
    <m/>
    <s v="Not Required"/>
    <m/>
    <s v="OK"/>
    <s v="Existing on tower actual - OML - 9.82 sqm / TML - 4.50 Sqm - Decrease MW dimension "/>
    <s v="OK"/>
    <m/>
    <m/>
    <s v="No"/>
    <s v="Strengthened Tower(OP1+OP4(OLD+NEW)):   94.75%_x000a_Strengthened Tower(OP1+OP4(OLD)): 95.8  %"/>
    <s v="Not Required"/>
    <m/>
    <m/>
    <m/>
    <m/>
    <s v="OK"/>
    <s v="No"/>
    <s v="No action needed "/>
    <m/>
    <m/>
    <m/>
    <m/>
    <m/>
    <m/>
    <m/>
    <d v="2018-12-10T14:26:08"/>
    <m/>
    <d v="2018-12-10T16:49:35"/>
    <d v="2018-12-10T14:26:08"/>
    <m/>
    <m/>
    <d v="2018-12-11T14:08:02"/>
    <n v="1.5889107639013673"/>
    <n v="0"/>
    <s v="No File"/>
    <s v="1-01-17003-008 (AY0830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17003-008 (AY0830) Application Rev 1.xlsx"/>
    <m/>
  </r>
  <r>
    <n v="3489"/>
    <s v="1-01-01010-013"/>
    <s v="Pan Asia"/>
    <s v="Northern"/>
    <s v="KCN00442"/>
    <s v="MPT"/>
    <s v="MPT  Phase 1b Colo"/>
    <s v="RFI"/>
    <s v="Other"/>
    <s v="0"/>
    <x v="25"/>
    <n v="1"/>
    <n v="1.462"/>
    <m/>
    <s v="SQM"/>
    <s v="16"/>
    <s v="21"/>
    <x v="0"/>
    <m/>
    <s v="Not Required"/>
    <m/>
    <s v="Not Required"/>
    <m/>
    <s v="Not Required"/>
    <m/>
    <s v="Not Required"/>
    <m/>
    <m/>
    <m/>
    <m/>
    <s v="OK"/>
    <s v="1-2 weeks"/>
    <m/>
    <m/>
    <s v="Add rectifier modules upgrade DG to 20Kva"/>
    <s v="Not Required"/>
    <m/>
    <m/>
    <m/>
    <m/>
    <m/>
    <m/>
    <m/>
    <m/>
    <m/>
    <m/>
    <d v="2018-12-10T16:19:50"/>
    <m/>
    <m/>
    <m/>
    <m/>
    <d v="2018-12-11T11:36:52"/>
    <n v="1.4839356481024879"/>
    <n v="0"/>
    <s v="No File"/>
    <s v="1-01-01010-013 (KCN00442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10-013 (KCN00442) Application Rev 0.xlsx"/>
    <m/>
  </r>
  <r>
    <n v="3490"/>
    <s v="ANMD_0169"/>
    <s v="Apollo"/>
    <s v="Northern"/>
    <s v="MDYPGTG007ML"/>
    <s v="Amara"/>
    <s v="Amara Colocation"/>
    <s v="New Tenant"/>
    <s v="New Colocation"/>
    <s v="0"/>
    <x v="25"/>
    <m/>
    <n v="2"/>
    <n v="3"/>
    <s v="EPA"/>
    <s v="5"/>
    <s v="10"/>
    <x v="0"/>
    <m/>
    <s v="OK"/>
    <s v="26-Dec-18: Already 4 opco at site (TN/MPT/OML/Mytel) possible for lease hike during TI installtion "/>
    <s v="OK"/>
    <m/>
    <s v="OK"/>
    <s v="Existing on tower - ( Assume ) TML with 4.96 EPA , OML with 8.95 EPA , MPT with 1.02 EPA , Mytel colo apps 4.07 EPA "/>
    <s v="OK"/>
    <m/>
    <m/>
    <s v="No"/>
    <s v="EXISTING TOWER: TML+OML+KSGM+MYTEL+Amara(NEW)):  86.79%"/>
    <s v="OK"/>
    <s v="1 week"/>
    <m/>
    <m/>
    <s v="AC connect"/>
    <s v="OK"/>
    <s v="Yes"/>
    <s v="If Amara can share the existing slab , no need to construct new slab- Space to reconfirm base on TSS "/>
    <m/>
    <m/>
    <m/>
    <m/>
    <m/>
    <m/>
    <m/>
    <d v="2018-12-10T14:26:08"/>
    <d v="2018-12-10T16:19:51"/>
    <d v="2018-12-11T16:31:14"/>
    <d v="2018-12-10T14:26:08"/>
    <d v="2018-12-26T14:29:55"/>
    <d v="2018-12-10T16:02:20"/>
    <d v="2019-01-11T09:11:20"/>
    <n v="32.38287083330215"/>
    <n v="0"/>
    <s v="No File"/>
    <s v="ANMD_0169 (MDYPGTG007ML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69 (MDYPGTG007ML) Application Rev 0.xlsx"/>
    <m/>
  </r>
  <r>
    <n v="3491"/>
    <s v="1-01-01009-002"/>
    <s v="Pan Asia"/>
    <s v="Northern"/>
    <s v="KCN00139"/>
    <s v="MPT"/>
    <s v="MPT  Phase 1b Colo"/>
    <s v="On Air"/>
    <s v="Other"/>
    <s v="1"/>
    <x v="25"/>
    <n v="1.39"/>
    <n v="1.7949999999999999"/>
    <m/>
    <s v="SQM"/>
    <s v="45"/>
    <s v="50"/>
    <x v="0"/>
    <m/>
    <s v="Not Required"/>
    <m/>
    <s v="Not Required"/>
    <m/>
    <s v="Not Required"/>
    <m/>
    <s v="Not Required"/>
    <m/>
    <m/>
    <m/>
    <m/>
    <s v="OK"/>
    <s v="1-2 weeks"/>
    <m/>
    <m/>
    <s v="Add rectifier modules upgrade DG to 20Kva"/>
    <s v="Not Required"/>
    <m/>
    <m/>
    <m/>
    <m/>
    <m/>
    <m/>
    <m/>
    <m/>
    <m/>
    <m/>
    <d v="2018-12-10T16:19:51"/>
    <m/>
    <m/>
    <m/>
    <m/>
    <d v="2018-12-11T11:36:52"/>
    <n v="1.4839370370027609"/>
    <n v="0"/>
    <s v="No File"/>
    <s v="1-01-01009-002 (KCN0013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9-002 (KCN00139) Application Rev 1.xlsx"/>
    <m/>
  </r>
  <r>
    <n v="3492"/>
    <s v="ANMD_0195"/>
    <s v="Apollo"/>
    <s v="Northern"/>
    <s v="MDY00607"/>
    <s v="MPT"/>
    <s v="MPT  Phase 1a Colo"/>
    <s v="On Air"/>
    <s v="Refarming UL2100"/>
    <s v="0"/>
    <x v="25"/>
    <n v="1.399"/>
    <n v="2.1989999999999998"/>
    <n v="4.13"/>
    <s v="EPA"/>
    <s v="45"/>
    <s v="50"/>
    <x v="0"/>
    <m/>
    <s v="Not Required"/>
    <m/>
    <s v="OK"/>
    <m/>
    <s v="OK"/>
    <s v="Existing on tower - ( Assume ) TML with 5.75 EPA , MPT with 3.74 EPA , MPT with 1.02 EPA - Add RRU "/>
    <s v="OK"/>
    <m/>
    <m/>
    <s v="No"/>
    <s v="Existing Tower: TML+KSGM (OLD+NEW) = 90.2%"/>
    <s v="OK"/>
    <m/>
    <m/>
    <m/>
    <s v="Monitor battery back up,  BB @ EoL swap"/>
    <s v="OK"/>
    <s v="No"/>
    <s v="No action needed "/>
    <m/>
    <m/>
    <m/>
    <m/>
    <m/>
    <m/>
    <m/>
    <d v="2018-12-12T11:20:36"/>
    <d v="2018-12-11T15:21:02"/>
    <d v="2018-12-12T13:00:37"/>
    <d v="2018-12-12T11:20:36"/>
    <m/>
    <d v="2018-12-11T10:25:40"/>
    <d v="2018-12-13T10:12:38"/>
    <n v="3.4254353009018814"/>
    <n v="0"/>
    <s v="No File"/>
    <s v="ANMD_0195 (MDY00607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195 (MDY00607) Application Rev 0.xlsx"/>
    <m/>
  </r>
  <r>
    <n v="3483"/>
    <s v="AYYN_0225"/>
    <s v="Apollo"/>
    <s v="Southern"/>
    <s v="YGN00526"/>
    <s v="MPT"/>
    <s v="MPT  Phase 1a Colo"/>
    <s v="On Air"/>
    <s v="MW Exp"/>
    <s v="1"/>
    <x v="26"/>
    <n v="3.28"/>
    <n v="4.0999999999999996"/>
    <n v="5"/>
    <s v="EPA"/>
    <s v="34"/>
    <s v="39"/>
    <x v="0"/>
    <m/>
    <s v="Not Required"/>
    <m/>
    <s v="Not Required"/>
    <m/>
    <s v="OK"/>
    <s v="Existing on tower - ( Assume ) TML with 4.73 EPA , MPT with 5.34EPA , Mytel with 2.55EPA ( Decrease MW Dimension ) "/>
    <s v="OK"/>
    <m/>
    <m/>
    <s v="No"/>
    <s v="Total EPA is 4.86+2.55+4.73 =12.09 &lt; 25 EPA Design - OK (Preliminaly Tower Assessment), MPT is 4.86EPA Required"/>
    <s v="OK"/>
    <m/>
    <m/>
    <m/>
    <s v="Capacity available "/>
    <s v="OK"/>
    <s v="No"/>
    <s v="No action needed "/>
    <m/>
    <m/>
    <m/>
    <m/>
    <m/>
    <m/>
    <m/>
    <d v="2018-12-09T22:19:22"/>
    <d v="2018-12-10T16:19:49"/>
    <d v="2018-12-11T14:23:01"/>
    <d v="2018-12-09T22:19:22"/>
    <m/>
    <m/>
    <d v="2018-12-11T16:22:35"/>
    <n v="4.6823525462968973"/>
    <n v="0"/>
    <s v="No File"/>
    <s v="AYYN_0225 (YGN00526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225 (YGN00526) Application Rev 1.xlsx"/>
    <m/>
  </r>
  <r>
    <n v="3484"/>
    <s v="1-01-17019-002"/>
    <s v="Pan Asia"/>
    <s v="Southern"/>
    <s v="AWD00413"/>
    <s v="MPT"/>
    <s v="MPT  Phase 1b Colo"/>
    <s v="On Air"/>
    <s v="LTE"/>
    <s v="2"/>
    <x v="26"/>
    <n v="2.96"/>
    <n v="3.7"/>
    <m/>
    <s v="SQM"/>
    <s v="33"/>
    <s v="38"/>
    <x v="0"/>
    <m/>
    <s v="Not Required"/>
    <m/>
    <s v="Not Required"/>
    <m/>
    <s v="Not Required"/>
    <m/>
    <s v="Not Required"/>
    <m/>
    <m/>
    <m/>
    <m/>
    <s v="OK"/>
    <s v="1-2 weeks"/>
    <m/>
    <m/>
    <s v="PE capacity expansion PE system to be re ordered"/>
    <s v="Not Required"/>
    <m/>
    <m/>
    <m/>
    <m/>
    <m/>
    <m/>
    <m/>
    <m/>
    <m/>
    <m/>
    <d v="2018-12-10T16:19:49"/>
    <m/>
    <m/>
    <m/>
    <m/>
    <d v="2018-12-11T11:36:52"/>
    <n v="4.4839324073982425"/>
    <n v="0"/>
    <s v="No File"/>
    <s v="1-01-17019-002 (AWD0041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19-002 (AWD00413) Application Rev 2.xlsx"/>
    <m/>
  </r>
  <r>
    <n v="3485"/>
    <s v="1-01-17011-006"/>
    <s v="Pan Asia"/>
    <s v="Southern"/>
    <s v="AWD00287"/>
    <s v="MPT"/>
    <s v="MPT  Phase 1b Colo"/>
    <s v="On Air"/>
    <s v="LTE"/>
    <s v="3"/>
    <x v="26"/>
    <n v="2.96"/>
    <n v="3.7"/>
    <m/>
    <s v="SQM"/>
    <s v="48"/>
    <s v="53"/>
    <x v="0"/>
    <m/>
    <s v="Not Required"/>
    <m/>
    <s v="Not Required"/>
    <m/>
    <s v="Not Required"/>
    <m/>
    <s v="Not Required"/>
    <m/>
    <m/>
    <m/>
    <m/>
    <s v="OK"/>
    <s v="1-2 weeks"/>
    <m/>
    <m/>
    <s v="PE capacity expansion PE system to be re ordered"/>
    <s v="Not Required"/>
    <m/>
    <m/>
    <m/>
    <m/>
    <m/>
    <m/>
    <m/>
    <m/>
    <m/>
    <m/>
    <d v="2018-12-10T16:19:49"/>
    <m/>
    <m/>
    <m/>
    <m/>
    <d v="2018-12-11T11:36:52"/>
    <n v="4.4839334490970941"/>
    <n v="0"/>
    <s v="No File"/>
    <s v="1-01-17011-006 (AWD00287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11-006 (AWD00287) Application Rev 3.xlsx"/>
    <m/>
  </r>
  <r>
    <n v="3486"/>
    <s v="1-03-06008-014"/>
    <s v="Pan Asia"/>
    <s v="Southern"/>
    <s v="TNY00361"/>
    <s v="MPT"/>
    <s v="MPT  Phase 1b Colo"/>
    <s v="RFI"/>
    <s v="Other"/>
    <s v=""/>
    <x v="26"/>
    <n v="1.5"/>
    <m/>
    <m/>
    <s v="SQM"/>
    <s v="40"/>
    <s v="45"/>
    <x v="0"/>
    <m/>
    <s v="Not Required"/>
    <m/>
    <s v="Not Required"/>
    <m/>
    <s v="Not Required"/>
    <m/>
    <s v="Not Required"/>
    <m/>
    <m/>
    <m/>
    <m/>
    <s v="OK"/>
    <s v="2019-01-12"/>
    <m/>
    <m/>
    <s v="Needs PE system none installed  on site "/>
    <s v="Not Required"/>
    <m/>
    <m/>
    <m/>
    <m/>
    <m/>
    <m/>
    <m/>
    <m/>
    <m/>
    <m/>
    <d v="2018-12-17T08:53:29"/>
    <m/>
    <m/>
    <m/>
    <m/>
    <d v="2018-12-17T09:52:30"/>
    <n v="10.411462500000198"/>
    <n v="0"/>
    <s v="No File"/>
    <s v="1-03-06008-014 (TNY00361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3-06008-014 (TNY00361) Application Rev .xlsx"/>
    <m/>
  </r>
  <r>
    <n v="3477"/>
    <s v="ANMD_0004"/>
    <s v="Apollo"/>
    <s v="Northern"/>
    <s v="MDYAMTZ010"/>
    <s v="Amara"/>
    <s v="Amara Colocation"/>
    <s v="New Tenant"/>
    <s v="New Colocation"/>
    <s v="0"/>
    <x v="27"/>
    <m/>
    <n v="2"/>
    <n v="3"/>
    <s v="EPA"/>
    <s v="23"/>
    <s v="27"/>
    <x v="0"/>
    <m/>
    <s v="Not Required"/>
    <s v="26-Dec-18: Re-negotation has to be done with owner as we have to install new slab for Amara. Note: Mytel is already present on the same roof."/>
    <s v="OK"/>
    <m/>
    <s v="OK"/>
    <s v="Existing on tower - ( Assume ) TML with 4.10 EPA "/>
    <s v="OK"/>
    <m/>
    <m/>
    <s v="No"/>
    <s v="Total EPA is 4.10+3 =7.10 &lt; 10.5 EPA Design - OK (Preliminaly Tower Assessment), Amara 3.0EPA Required"/>
    <s v="OK"/>
    <s v="1-2 weeks"/>
    <m/>
    <m/>
    <s v="AC connect"/>
    <s v="OK"/>
    <s v="No"/>
    <s v="sharing on the existing slab "/>
    <m/>
    <m/>
    <m/>
    <m/>
    <m/>
    <m/>
    <m/>
    <d v="2018-12-06T11:57:01"/>
    <d v="2018-12-10T16:19:47"/>
    <d v="2018-12-07T10:06:44"/>
    <d v="2018-12-06T11:57:01"/>
    <m/>
    <d v="2018-12-10T16:02:19"/>
    <d v="2019-01-17T18:09:04"/>
    <n v="42.75629224540171"/>
    <n v="0"/>
    <s v="No File"/>
    <s v="ANMD_0004 (MDYAMTZ01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04 (MDYAMTZ010) Application Rev 0.xlsx"/>
    <m/>
  </r>
  <r>
    <n v="3478"/>
    <s v="ANMD_0173"/>
    <s v="Apollo"/>
    <s v="Northern"/>
    <s v="MDYPGTG007"/>
    <s v="Amara"/>
    <s v="Amara Colocation"/>
    <s v="New Tenant"/>
    <s v="New Colocation"/>
    <s v="0"/>
    <x v="27"/>
    <m/>
    <n v="2"/>
    <n v="3"/>
    <s v="EPA"/>
    <s v="18"/>
    <s v="23"/>
    <x v="0"/>
    <m/>
    <s v="OK"/>
    <s v="26-Dec-18: Already 4 opco at site (TN/MPT/OML/Mytel) possible for lease hike during TI installtion "/>
    <s v="OK"/>
    <m/>
    <s v="OK"/>
    <s v="Existing on tower - ( Assume ) TML with 4.83 EPA , OML with 9.22 EPA , MPT with 3.48 EPA ,Mytel with 5.467 EPA"/>
    <s v="OK"/>
    <m/>
    <m/>
    <s v="No"/>
    <s v="Total EPA is 17.53+3 =20.53 &lt; 25 EPA Design - OK (Preliminaly Tower Assessment), Amara 3.0EPA Required"/>
    <s v="OK"/>
    <s v="1-2 weeks"/>
    <m/>
    <m/>
    <s v="AC connect"/>
    <s v="OK"/>
    <s v="No"/>
    <s v="sharing on the existing slab "/>
    <m/>
    <m/>
    <m/>
    <m/>
    <m/>
    <m/>
    <m/>
    <d v="2018-12-06T11:57:01"/>
    <d v="2018-12-10T16:19:47"/>
    <d v="2018-12-07T10:06:45"/>
    <d v="2018-12-06T11:57:01"/>
    <d v="2018-12-26T14:29:55"/>
    <d v="2018-12-10T16:02:19"/>
    <d v="2019-01-10T16:21:30"/>
    <n v="35.681592013897898"/>
    <n v="0"/>
    <s v="No File"/>
    <s v="ANMD_0173 (MDYPGTG007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73 (MDYPGTG007) Application Rev 0.xlsx"/>
    <m/>
  </r>
  <r>
    <n v="3479"/>
    <s v="ANMD_0164"/>
    <s v="Apollo"/>
    <s v="Northern"/>
    <s v="MDYPGTG010"/>
    <s v="Amara"/>
    <s v="Amara Colocation"/>
    <s v="New Tenant"/>
    <s v="New Colocation"/>
    <s v="0"/>
    <x v="27"/>
    <m/>
    <n v="2"/>
    <n v="3"/>
    <s v="EPA"/>
    <s v="22"/>
    <s v="25"/>
    <x v="0"/>
    <m/>
    <s v="OK"/>
    <s v="26-Dec-18: Okay for survey and TI installtion"/>
    <s v="OK"/>
    <m/>
    <s v="OK"/>
    <s v="Existing on tower - ( Assume ) TML with 4.74 EPA "/>
    <s v="OK"/>
    <m/>
    <m/>
    <s v="No"/>
    <s v="Total EPA is 4.74+3 =7.74 &lt; 18 EPA Design - OK (Preliminaly Tower Assessment), Amara 3.0EPA Required"/>
    <s v="OK"/>
    <s v="1-2 weeks"/>
    <m/>
    <m/>
    <s v="AC connect"/>
    <s v="OK"/>
    <s v="No"/>
    <s v="sharing on the existing slab "/>
    <m/>
    <m/>
    <m/>
    <m/>
    <m/>
    <m/>
    <m/>
    <d v="2018-12-06T11:57:01"/>
    <d v="2018-12-10T16:19:48"/>
    <d v="2018-12-07T10:06:45"/>
    <d v="2018-12-06T11:57:01"/>
    <d v="2018-12-26T14:29:55"/>
    <d v="2018-12-10T16:02:20"/>
    <d v="2019-01-10T16:21:30"/>
    <n v="35.681592708300741"/>
    <n v="0"/>
    <s v="No File"/>
    <s v="ANMD_0164 (MDYPGTG01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64 (MDYPGTG010) Application Rev 0.xlsx"/>
    <m/>
  </r>
  <r>
    <n v="3481"/>
    <s v="1-01-10006-004"/>
    <s v="Pan Asia"/>
    <s v="Northern"/>
    <s v="MDYAMPR005"/>
    <s v="Amara"/>
    <s v="Amara Colocation"/>
    <s v="New Tenant"/>
    <s v="New Colocation"/>
    <s v="0"/>
    <x v="27"/>
    <m/>
    <n v="2"/>
    <n v="3"/>
    <s v="EPA"/>
    <s v="25"/>
    <s v="30"/>
    <x v="0"/>
    <m/>
    <s v="OK"/>
    <m/>
    <s v="OK"/>
    <m/>
    <s v="OK"/>
    <s v="Existing on tower actual - OML - 6.70 sqm "/>
    <s v="OK"/>
    <m/>
    <m/>
    <s v="No"/>
    <s v="EXISTING TOWER(OP1+OP6(NEW)):   71.8%"/>
    <s v="OK"/>
    <s v="1-2 weeks"/>
    <m/>
    <m/>
    <s v="AC connect"/>
    <s v="OK"/>
    <s v="Yes"/>
    <s v="Need new slab "/>
    <m/>
    <m/>
    <m/>
    <m/>
    <m/>
    <m/>
    <m/>
    <d v="2018-12-07T08:37:19"/>
    <d v="2018-12-10T16:19:48"/>
    <d v="2018-12-10T10:50:56"/>
    <d v="2018-12-07T08:37:19"/>
    <d v="2019-01-07T15:45:47"/>
    <d v="2019-01-14T09:48:14"/>
    <d v="2019-01-14T14:38:40"/>
    <n v="39.610190277802758"/>
    <n v="0"/>
    <s v="No File"/>
    <s v="1-01-10006-004 (MDYAMPR005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1-01-10006-004 (MDYAMPR005) Application Rev 0.xlsx"/>
    <m/>
  </r>
  <r>
    <n v="3462"/>
    <s v="ANMD_0069"/>
    <s v="Apollo"/>
    <s v="Northern"/>
    <s v="MDYAMPR004"/>
    <s v="Amara"/>
    <s v="Amara Colocation"/>
    <s v="New Tenant"/>
    <s v="New Colocation"/>
    <s v="0"/>
    <x v="28"/>
    <m/>
    <n v="2"/>
    <n v="3"/>
    <s v="EPA"/>
    <s v="35"/>
    <s v="40"/>
    <x v="0"/>
    <m/>
    <s v="OK"/>
    <s v="4-Dec-18: Considering this site as GBT okay to go ahead."/>
    <s v="OK"/>
    <m/>
    <s v="OK"/>
    <s v="Existing on tower - ( Assume ) TML with 8.18 EPA "/>
    <s v="OK"/>
    <m/>
    <m/>
    <s v="No"/>
    <s v="Total EPA is 8.18+3 =11.18 &lt; 25 EPA Design - OK (Preliminaly Tower Assessment), Amara 3.0EPA Required"/>
    <s v="OK"/>
    <s v="WK50"/>
    <m/>
    <m/>
    <s v="AC connect"/>
    <s v="OK"/>
    <s v="No"/>
    <s v="sharing on the existing slab "/>
    <m/>
    <m/>
    <m/>
    <m/>
    <m/>
    <m/>
    <m/>
    <d v="2018-12-03T17:19:26"/>
    <d v="2018-12-05T12:10:21"/>
    <d v="2018-12-04T16:37:08"/>
    <d v="2018-12-04T11:34:09"/>
    <d v="2018-12-04T17:43:47"/>
    <d v="2018-12-03T16:51:47"/>
    <d v="2018-12-07T09:21:13"/>
    <n v="4.3897280093005975"/>
    <n v="0"/>
    <s v="No File"/>
    <s v="ANMD_0069 (MDYAMPR004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69 (MDYAMPR004) Application Rev 0.xlsx"/>
    <m/>
  </r>
  <r>
    <n v="3463"/>
    <s v="ANMD_0066"/>
    <s v="Apollo"/>
    <s v="Northern"/>
    <s v="MDYAMPR011"/>
    <s v="Amara"/>
    <s v="Amara Colocation"/>
    <s v="New Tenant"/>
    <s v="New Colocation"/>
    <s v="0"/>
    <x v="28"/>
    <m/>
    <n v="1.9"/>
    <n v="3"/>
    <s v="EPA"/>
    <s v="20"/>
    <s v="25"/>
    <x v="0"/>
    <m/>
    <s v="OK"/>
    <s v="4-Dec-18: Considering this site as GBT okay to go ahead."/>
    <s v="OK"/>
    <m/>
    <s v="OK"/>
    <s v="Existing on tower - ( Assume ) TML with 4.20 EPA "/>
    <s v="OK"/>
    <m/>
    <m/>
    <s v="No"/>
    <s v="Total EPA is 4.2+3 =7.2 &lt; 25 EPA Design - OK (Preliminaly Tower Assessment), Amara 3.0EPA Required"/>
    <s v="OK"/>
    <s v="WK50"/>
    <m/>
    <m/>
    <s v="AC connect"/>
    <s v="OK"/>
    <s v="No"/>
    <s v="sharing on the existing slab "/>
    <m/>
    <m/>
    <m/>
    <m/>
    <m/>
    <m/>
    <m/>
    <d v="2018-12-03T17:19:26"/>
    <d v="2018-12-05T12:10:21"/>
    <d v="2018-12-04T16:37:08"/>
    <d v="2018-12-04T11:34:09"/>
    <d v="2018-12-04T17:43:47"/>
    <d v="2018-12-03T16:51:47"/>
    <d v="2018-12-07T09:21:13"/>
    <n v="4.3897284721970209"/>
    <n v="0"/>
    <s v="No File"/>
    <s v="ANMD_0066 (MDYAMPR011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66 (MDYAMPR011) Application Rev 0.xlsx"/>
    <m/>
  </r>
  <r>
    <n v="3464"/>
    <s v="ANMD_0067"/>
    <s v="Apollo"/>
    <s v="Northern"/>
    <s v="MDYAMPR012"/>
    <s v="Amara"/>
    <s v="Amara Colocation"/>
    <s v="New Tenant"/>
    <s v="New Colocation"/>
    <s v="0"/>
    <x v="28"/>
    <m/>
    <n v="2.5"/>
    <n v="3"/>
    <s v="EPA"/>
    <s v="20"/>
    <s v="25"/>
    <x v="0"/>
    <m/>
    <s v="OK"/>
    <s v="4-Dec-18: Considering this site as GBT okay to go ahead."/>
    <s v="OK"/>
    <m/>
    <s v="OK"/>
    <s v="Existing on tower - ( Assume ) TML with 4.26 EPA "/>
    <s v="OK"/>
    <m/>
    <m/>
    <s v="No"/>
    <s v="Total EPA is 4.26+3 =7.26 &lt; 18 EPA Design - OK (Preliminaly Tower Assessment), Amara 3.0EPA Required"/>
    <s v="OK"/>
    <s v="WK50"/>
    <m/>
    <m/>
    <s v="AC connect "/>
    <s v="OK"/>
    <s v="No"/>
    <s v="sharing on the existing slab "/>
    <m/>
    <m/>
    <m/>
    <m/>
    <m/>
    <m/>
    <m/>
    <d v="2018-12-03T17:19:26"/>
    <d v="2018-12-05T12:10:21"/>
    <d v="2018-12-04T16:37:08"/>
    <d v="2018-12-04T11:34:09"/>
    <d v="2018-12-04T17:43:47"/>
    <d v="2018-12-03T16:51:47"/>
    <d v="2018-12-07T09:21:13"/>
    <n v="4.3897299769014353"/>
    <n v="0"/>
    <s v="No File"/>
    <s v="ANMD_0067 (MDYAMPR012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67 (MDYAMPR012) Application Rev 0.xlsx"/>
    <m/>
  </r>
  <r>
    <n v="3465"/>
    <s v="ANMD_0070"/>
    <s v="Apollo"/>
    <s v="Northern"/>
    <s v="MDYAMPR013"/>
    <s v="Amara"/>
    <s v="Amara Colocation"/>
    <s v="New Tenant"/>
    <s v="New Colocation"/>
    <s v="0"/>
    <x v="28"/>
    <m/>
    <n v="2.5"/>
    <n v="3"/>
    <s v="EPA"/>
    <s v="25"/>
    <s v="30"/>
    <x v="0"/>
    <m/>
    <s v="OK"/>
    <s v="4-Dec-18: Considering this site as GBT okay to go ahead. But lese hike may raise while TI installation as already 3 opco exisiting on site."/>
    <s v="OK"/>
    <m/>
    <s v="OK"/>
    <s v="Existing on tower - ( Assume ) TML with 4.38 EPA ,OML with 11.43 EPA , MPT with 1.02EPA"/>
    <s v="OK"/>
    <m/>
    <m/>
    <s v="No"/>
    <s v="Total EPA is 16.82+3 =19.82 &lt; 25 EPA Design - OK (Preliminaly Tower Assessment), Amara 3.0EPA Required"/>
    <s v="OK"/>
    <s v="WK50"/>
    <m/>
    <m/>
    <s v="AC connect"/>
    <s v="OK"/>
    <s v="No"/>
    <s v="sharing on the existing slab "/>
    <m/>
    <m/>
    <m/>
    <m/>
    <m/>
    <m/>
    <m/>
    <d v="2018-12-04T11:34:09"/>
    <d v="2018-12-05T12:10:21"/>
    <d v="2018-12-04T16:37:08"/>
    <d v="2018-12-04T11:34:09"/>
    <d v="2018-12-04T17:43:48"/>
    <d v="2018-12-03T16:51:47"/>
    <d v="2018-12-07T09:21:13"/>
    <n v="4.3897309028034215"/>
    <n v="0"/>
    <s v="No File"/>
    <s v="ANMD_0070 (MDYAMPR013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70 (MDYAMPR013) Application Rev 0.xlsx"/>
    <m/>
  </r>
  <r>
    <n v="3466"/>
    <s v="ANMD_0071"/>
    <s v="Apollo"/>
    <s v="Northern"/>
    <s v="MDYAMPR014"/>
    <s v="Amara"/>
    <s v="Amara Colocation"/>
    <s v="New Tenant"/>
    <s v="New Colocation"/>
    <s v="0"/>
    <x v="28"/>
    <m/>
    <n v="2"/>
    <n v="3"/>
    <s v="EPA"/>
    <s v="30"/>
    <s v="35"/>
    <x v="0"/>
    <m/>
    <s v="OK"/>
    <s v="4-Dec-18: Considering this site as GBT okay to go ahead. But lese hike may raise while TI installation as already 3 opco exisiting on site."/>
    <s v="OK"/>
    <m/>
    <s v="OK"/>
    <s v="Existing on tower - ( Assume ) TML with 4.38 EPA ,OML with 11.07 EPA "/>
    <s v="OK"/>
    <m/>
    <m/>
    <s v="No"/>
    <s v="Total EPA is 15.45+3 =18.45 &lt; 25 EPA Design - OK (Preliminaly Tower Assessment), Amara 3.0EPA Required"/>
    <s v="OK"/>
    <s v="WK50"/>
    <m/>
    <m/>
    <s v="AC connect "/>
    <s v="OK"/>
    <s v="No"/>
    <s v="sharing on the existing slab "/>
    <m/>
    <m/>
    <m/>
    <m/>
    <m/>
    <m/>
    <m/>
    <d v="2018-12-04T11:34:10"/>
    <d v="2018-12-05T12:10:21"/>
    <d v="2018-12-04T16:37:08"/>
    <d v="2018-12-04T11:34:10"/>
    <d v="2018-12-04T17:43:48"/>
    <d v="2018-12-03T16:51:47"/>
    <d v="2018-12-07T09:21:13"/>
    <n v="4.3897325231009745"/>
    <n v="0"/>
    <s v="No File"/>
    <s v="ANMD_0071 (MDYAMPR014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71 (MDYAMPR014) Application Rev 0.xlsx"/>
    <m/>
  </r>
  <r>
    <n v="3467"/>
    <s v="ANMD_0077"/>
    <s v="Apollo"/>
    <s v="Northern"/>
    <s v="MDYAMPR015"/>
    <s v="Amara"/>
    <s v="Amara Colocation"/>
    <s v="New Tenant"/>
    <s v="New Colocation"/>
    <s v="0"/>
    <x v="28"/>
    <m/>
    <n v="2.5"/>
    <n v="3"/>
    <s v="EPA"/>
    <s v="29"/>
    <s v="32"/>
    <x v="0"/>
    <m/>
    <s v="OK"/>
    <s v="4-Dec-18: Considering this site as GBT okay to go ahead. But lese hike may raise while TI installation as already 3 opco exisiting on site."/>
    <s v="OK"/>
    <m/>
    <s v="OK"/>
    <s v="Existing on tower - ( Assume ) TML with 6.29 EPA ,OML with 9.22 EPA , Mytel 5.47 EPA"/>
    <s v="OK"/>
    <m/>
    <m/>
    <s v="No"/>
    <s v="Total EPA is 15.51+3 =18.51 &lt; 25 EPA Design - OK (Preliminaly Tower Assessment), Amara 3.0EPA Required"/>
    <s v="OK"/>
    <s v="WK50"/>
    <m/>
    <m/>
    <s v="AC connect"/>
    <s v="OK"/>
    <s v="No"/>
    <s v="sharing on the existing slab "/>
    <m/>
    <m/>
    <m/>
    <m/>
    <m/>
    <m/>
    <m/>
    <d v="2018-12-04T11:34:10"/>
    <d v="2018-12-05T12:10:21"/>
    <d v="2018-12-04T16:37:08"/>
    <d v="2018-12-04T11:34:10"/>
    <d v="2018-12-04T17:43:48"/>
    <d v="2018-12-03T16:51:47"/>
    <d v="2018-12-07T09:21:13"/>
    <n v="4.3897332175984047"/>
    <n v="0"/>
    <s v="No File"/>
    <s v="ANMD_0077 (MDYAMPR015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77 (MDYAMPR015) Application Rev 0.xlsx"/>
    <m/>
  </r>
  <r>
    <n v="3468"/>
    <s v="ANMD_0266"/>
    <s v="Apollo"/>
    <s v="Northern"/>
    <s v="MDYPGTG020"/>
    <s v="Amara"/>
    <s v="Amara Colocation"/>
    <s v="New Tenant"/>
    <s v="New Colocation"/>
    <s v="0"/>
    <x v="28"/>
    <m/>
    <n v="2"/>
    <n v="3"/>
    <s v="EPA"/>
    <s v="29"/>
    <s v="34"/>
    <x v="0"/>
    <m/>
    <s v="OK"/>
    <s v="4-Dec-18: Considering this site as GBT okay to go ahead."/>
    <s v="OK"/>
    <m/>
    <s v="OK"/>
    <s v="Existing on tower - ( Assume ) TML with 3.93 EPA "/>
    <s v="OK"/>
    <m/>
    <m/>
    <s v="No"/>
    <s v="Total EPA is 3.93+3 =6.93 &lt; 25 EPA Design - OK (Preliminaly Tower Assessment), Amara 3.0EPA Required"/>
    <s v="OK"/>
    <s v="WK50"/>
    <m/>
    <m/>
    <s v="AC connect "/>
    <s v="OK"/>
    <s v="No"/>
    <s v="sharing on the existing slab "/>
    <m/>
    <m/>
    <m/>
    <m/>
    <m/>
    <m/>
    <m/>
    <d v="2018-12-04T11:34:10"/>
    <d v="2018-12-05T12:10:21"/>
    <d v="2018-12-04T16:37:09"/>
    <d v="2018-12-04T11:34:10"/>
    <d v="2018-12-04T17:43:49"/>
    <d v="2018-12-03T16:51:47"/>
    <d v="2018-12-07T09:21:13"/>
    <n v="4.3897347222009557"/>
    <n v="0"/>
    <s v="No File"/>
    <s v="ANMD_0266 (MDYPGTG02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266 (MDYPGTG020) Application Rev 0.xlsx"/>
    <m/>
  </r>
  <r>
    <n v="3469"/>
    <s v="ANMD_0165"/>
    <s v="Apollo"/>
    <s v="Northern"/>
    <s v="MDYPGTG033"/>
    <s v="Amara"/>
    <s v="Amara Colocation"/>
    <s v="New Tenant"/>
    <s v="New Colocation"/>
    <s v="0"/>
    <x v="28"/>
    <m/>
    <n v="2"/>
    <n v="3"/>
    <s v="EPA"/>
    <s v="19"/>
    <s v="24"/>
    <x v="0"/>
    <m/>
    <s v="OK"/>
    <s v="4-Dec-18: Considering this site as GBT okay to go ahead."/>
    <s v="OK"/>
    <m/>
    <s v="OK"/>
    <s v="Existing on tower - ( Assume ) TML with 4.56 EPA "/>
    <s v="OK"/>
    <m/>
    <m/>
    <s v="No"/>
    <s v="Total EPA is 4.56+3 =7.56 &lt; 18 EPA Design - OK (Preliminaly Tower Assessment), Amara 3.0EPA Required"/>
    <s v="OK"/>
    <s v="WK50"/>
    <m/>
    <m/>
    <s v="AC connect "/>
    <s v="OK"/>
    <s v="No"/>
    <s v="sharing on the existing slab "/>
    <m/>
    <m/>
    <m/>
    <m/>
    <m/>
    <m/>
    <m/>
    <d v="2018-12-04T11:34:10"/>
    <d v="2018-12-05T12:10:21"/>
    <d v="2018-12-04T16:37:09"/>
    <d v="2018-12-04T11:34:10"/>
    <d v="2018-12-04T17:43:49"/>
    <d v="2018-12-03T16:51:47"/>
    <d v="2018-12-07T09:21:13"/>
    <n v="4.3897363426003722"/>
    <n v="0"/>
    <s v="No File"/>
    <s v="ANMD_0165 (MDYPGTG033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65 (MDYPGTG033) Application Rev 0.xlsx"/>
    <m/>
  </r>
  <r>
    <n v="3470"/>
    <s v="ANMD_0167"/>
    <s v="Apollo"/>
    <s v="Northern"/>
    <s v="MDYPGTG036"/>
    <s v="Amara"/>
    <s v="Amara Colocation"/>
    <s v="New Tenant"/>
    <s v="New Colocation"/>
    <s v="0"/>
    <x v="28"/>
    <m/>
    <n v="2"/>
    <n v="3"/>
    <s v="EPA"/>
    <s v="19"/>
    <s v="24"/>
    <x v="0"/>
    <m/>
    <s v="OK"/>
    <s v="4-Dec-18: Considering this site as GBT okay to go ahead."/>
    <s v="OK"/>
    <m/>
    <s v="OK"/>
    <s v="Existing on tower - ( Assume ) TML with 6.77 EPA "/>
    <s v="OK"/>
    <m/>
    <m/>
    <s v="No"/>
    <s v="Total EPA is 6.77+3 =9.77 &lt; 18 EPA Design - OK (Preliminaly Tower Assessment), Amara 3.0EPA Required"/>
    <s v="OK"/>
    <s v="WK50"/>
    <m/>
    <m/>
    <s v="AC connect "/>
    <s v="OK"/>
    <s v="No"/>
    <s v="sharing on the existing slab "/>
    <m/>
    <m/>
    <m/>
    <m/>
    <m/>
    <m/>
    <m/>
    <d v="2018-12-04T11:34:10"/>
    <d v="2018-12-05T12:10:22"/>
    <d v="2018-12-04T16:37:09"/>
    <d v="2018-12-04T11:34:10"/>
    <d v="2018-12-04T17:43:49"/>
    <d v="2018-12-03T16:51:47"/>
    <d v="2018-12-07T09:21:13"/>
    <n v="4.3897370370032149"/>
    <n v="0"/>
    <s v="No File"/>
    <s v="ANMD_0167 (MDYPGTG036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67 (MDYPGTG036) Application Rev 0.xlsx"/>
    <m/>
  </r>
  <r>
    <n v="3471"/>
    <s v="ANMD_0172"/>
    <s v="Apollo"/>
    <s v="Northern"/>
    <s v="MDYPGTG039"/>
    <s v="Amara"/>
    <s v="Amara Colocation"/>
    <s v="New Tenant"/>
    <s v="New Colocation"/>
    <s v="0"/>
    <x v="28"/>
    <m/>
    <n v="2.5"/>
    <n v="5"/>
    <s v="EPA"/>
    <s v="14"/>
    <s v="17"/>
    <x v="0"/>
    <m/>
    <s v="OK"/>
    <s v="4-Dec-18: Considering this site as GBT okay to go ahead."/>
    <s v="OK"/>
    <m/>
    <s v="OK"/>
    <s v="Existing on tower - ( Assume ) TML with 5.10 EPA "/>
    <s v="OK"/>
    <m/>
    <m/>
    <s v="No"/>
    <s v="Total EPA is 8.69+5 =13.69 &lt; 18 EPA Design - OK (Preliminaly Tower Assessment), Amara 5.0EPA Required"/>
    <s v="OK"/>
    <s v="WK50"/>
    <m/>
    <m/>
    <s v="AC connect "/>
    <s v="OK"/>
    <s v="No"/>
    <s v="sharing on the existing slab "/>
    <m/>
    <m/>
    <m/>
    <m/>
    <m/>
    <m/>
    <m/>
    <d v="2018-12-04T11:34:10"/>
    <d v="2018-12-05T12:10:22"/>
    <d v="2018-12-04T16:37:09"/>
    <d v="2018-12-04T11:34:10"/>
    <d v="2018-12-04T17:43:49"/>
    <d v="2018-12-03T16:51:47"/>
    <d v="2018-12-07T09:21:13"/>
    <n v="4.3897377315006452"/>
    <n v="0"/>
    <s v="No File"/>
    <s v="ANMD_0172 (MDYPGTG03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72 (MDYPGTG039) Application Rev 0.xlsx"/>
    <m/>
  </r>
  <r>
    <n v="3472"/>
    <s v="ACAY_0122"/>
    <s v="Apollo"/>
    <s v="Southern"/>
    <s v="AWD00530"/>
    <s v="MPT"/>
    <s v="MPT  Phase 1a Colo"/>
    <s v="On Air"/>
    <s v="TS _v1"/>
    <s v="2"/>
    <x v="28"/>
    <n v="1.44"/>
    <n v="1.8"/>
    <m/>
    <s v="EPA"/>
    <s v="30"/>
    <s v="35"/>
    <x v="0"/>
    <m/>
    <s v="OK"/>
    <s v="12-Dec-18: Okay for MPT upgrdation program as we don’t have any issue any site._x000a_4-Dec-18: MPT is already on air from 27-Feb-17, then why again its repeated for pre-validation"/>
    <s v="OK"/>
    <m/>
    <s v="OK"/>
    <s v="Existing on tower - ( Assume ) TML with 5.74 EPA / OML with 9.87 EPA / MPT with 4.69 EPA - add ODU as per the actual on tower "/>
    <s v="OK"/>
    <m/>
    <m/>
    <s v="No"/>
    <s v="Existing Tower: OML+TML+KSGM (OLD+NEW) = FDN Unstale due to soil condition is submerged (Estimate volume of concrete = 16 cb.m;  exten pad of foundation to 9.6m)_x000a__x000a_Approved By Rudy per email on 17-Dec-2018."/>
    <s v="OK"/>
    <s v="WK50"/>
    <m/>
    <m/>
    <s v="AC connect"/>
    <s v="OK"/>
    <s v="No"/>
    <s v="No action needed "/>
    <m/>
    <m/>
    <m/>
    <m/>
    <m/>
    <m/>
    <m/>
    <d v="2018-12-04T11:34:10"/>
    <d v="2018-12-06T16:29:58"/>
    <d v="2018-12-17T15:36:47"/>
    <d v="2018-12-04T11:34:10"/>
    <d v="2018-12-10T11:37:46"/>
    <d v="2018-12-03T16:51:48"/>
    <d v="2018-12-17T17:06:00"/>
    <n v="14.712499189801747"/>
    <n v="0"/>
    <s v="No File"/>
    <s v="ACAY_0122 (AWD0053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CAY_0122 (AWD00530) Application Rev 2.xlsx"/>
    <m/>
  </r>
  <r>
    <n v="3473"/>
    <s v="ANMD_0153"/>
    <s v="Apollo"/>
    <s v="Northern"/>
    <s v="MDYPTGI008"/>
    <s v="Amara"/>
    <s v="Amara Colocation"/>
    <s v="New Tenant"/>
    <s v="New Colocation"/>
    <s v="0"/>
    <x v="28"/>
    <m/>
    <n v="2.5"/>
    <n v="3"/>
    <s v="EPA"/>
    <s v="15"/>
    <s v="20"/>
    <x v="0"/>
    <m/>
    <s v="Not Required"/>
    <s v="4-Dec-18: Has to reverifiy with owner and lease area and space._x000a_27-June-18: Lease hike approved by ATF by Managment for Mytel only_x000a_4-June-18: No reduction..the difficulty here is its a phase 1 site on which we have very little litigation leverage._x000a_16-May-18: owner on three occasions but he is adamant and resists any form of contract or mandate explanation. He demands an additional 300,000 MMK/M for Mytel only"/>
    <s v="OK"/>
    <m/>
    <s v="OK"/>
    <s v="Existing on tower - ( Assume ) TML with 6.55 EPA "/>
    <s v="OK"/>
    <m/>
    <m/>
    <s v="No"/>
    <s v="Total EPA is 6.55+3 =9.55 &lt; 18 EPA Design - OK (Preliminaly Tower Assessment), Amara 3.0EPA Required"/>
    <s v="OK"/>
    <s v="WK50"/>
    <m/>
    <m/>
    <s v="AC connect"/>
    <s v="OK"/>
    <s v="No"/>
    <s v="sharing on the existing slab "/>
    <m/>
    <m/>
    <m/>
    <m/>
    <m/>
    <m/>
    <m/>
    <d v="2018-12-04T11:34:10"/>
    <d v="2018-12-06T16:29:58"/>
    <d v="2018-12-04T16:37:09"/>
    <d v="2018-12-04T11:34:10"/>
    <m/>
    <d v="2018-12-03T16:51:48"/>
    <d v="2019-01-17T18:09:03"/>
    <n v="45.756289814802585"/>
    <n v="0"/>
    <s v="No File"/>
    <s v="ANMD_0153 (MDYPTGI008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53 (MDYPTGI008) Application Rev 0.xlsx"/>
    <m/>
  </r>
  <r>
    <n v="3474"/>
    <s v="1-01-05012-001"/>
    <s v="Pan Asia"/>
    <s v="Northern"/>
    <s v="SGG00200"/>
    <s v="MPT"/>
    <s v="MPT  Phase 1b Colo"/>
    <s v="On Air"/>
    <s v="Exchange"/>
    <s v="3"/>
    <x v="28"/>
    <n v="1.329"/>
    <n v="2.1989999999999998"/>
    <m/>
    <s v="SQM"/>
    <s v="46.5-48.5"/>
    <s v="53-56"/>
    <x v="0"/>
    <m/>
    <s v="OK"/>
    <s v="Based on history, no issues noted"/>
    <s v="OK"/>
    <m/>
    <s v="OK"/>
    <s v="Existing on tower actual - OML - 8.63 sqm  / MPT - 4.73 Sqm / TML - 3.51 Sqm /  / Added 1 RRU"/>
    <s v="OK"/>
    <m/>
    <m/>
    <s v="No"/>
    <s v="Strengthened Tower(OP1+OP4+OP3(OLD+NEW)): 100.6%_x000a_Strengthened Tower(OP1+OP4+OP3(OLD)): 98.6 %"/>
    <s v="OK"/>
    <s v="2018-12-31"/>
    <m/>
    <m/>
    <s v="Add rectifier modules, BB SOH check, monitor DG performance"/>
    <s v="OK"/>
    <s v="No"/>
    <s v="No action needed "/>
    <m/>
    <m/>
    <m/>
    <m/>
    <m/>
    <m/>
    <m/>
    <d v="2018-12-04T11:34:10"/>
    <d v="2018-12-17T08:53:29"/>
    <d v="2018-12-07T13:52:07"/>
    <d v="2018-12-04T11:34:10"/>
    <d v="2018-12-04T15:27:40"/>
    <d v="2018-12-03T16:40:44"/>
    <d v="2018-12-17T09:52:30"/>
    <n v="14.411460879600781"/>
    <n v="0"/>
    <s v="No File"/>
    <s v="1-01-05012-001 (SGG00200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2-001 (SGG00200) Application Rev 3.xlsx"/>
    <m/>
  </r>
  <r>
    <n v="3475"/>
    <s v="1-01-05009-003"/>
    <s v="Pan Asia"/>
    <s v="Northern"/>
    <s v="SGG00236"/>
    <s v="MPT"/>
    <s v="MPT  Phase 1b Colo"/>
    <s v="On Air"/>
    <s v="LTE"/>
    <s v="3"/>
    <x v="28"/>
    <n v="2.673"/>
    <n v="4.556"/>
    <m/>
    <s v="SQM"/>
    <s v="46"/>
    <s v="51"/>
    <x v="0"/>
    <m/>
    <s v="OK"/>
    <s v="Based on history, no issues noted"/>
    <s v="OK"/>
    <m/>
    <s v="OK"/>
    <s v="Existing on tower actual - OML - 7.72 sqm  / MPT - 4.67 Sqm actual and 7.24 sqm on previous colo apps  - Added RRU . "/>
    <s v="OK"/>
    <m/>
    <m/>
    <s v="No"/>
    <s v="EXISTING TOWER(OP1+OP3(OLD+NEW)):   89.1%_x000a_EXISTING TOWER(OP1+OP3(OLD)): 89.2  %"/>
    <s v="OK"/>
    <s v="2019-04-17"/>
    <m/>
    <m/>
    <s v="PE capacity expansion"/>
    <s v="OK"/>
    <s v="No"/>
    <s v="No action needed "/>
    <m/>
    <m/>
    <m/>
    <m/>
    <m/>
    <m/>
    <m/>
    <d v="2018-12-04T11:34:11"/>
    <d v="2018-12-17T08:53:29"/>
    <d v="2018-12-07T13:52:07"/>
    <d v="2018-12-04T11:34:11"/>
    <d v="2018-12-04T15:27:40"/>
    <d v="2018-12-03T16:40:45"/>
    <d v="2018-12-17T09:52:30"/>
    <n v="14.41146168980049"/>
    <n v="0"/>
    <s v="No File"/>
    <s v="1-01-05009-003 (SGG00236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9-003 (SGG00236) Application Rev 3.xlsx"/>
    <m/>
  </r>
  <r>
    <n v="3453"/>
    <s v="1-01-04002-004"/>
    <s v="Pan Asia"/>
    <s v="Central"/>
    <s v="CHN00147"/>
    <s v="MPT"/>
    <s v="MPT  Phase 1b Colo"/>
    <s v="On Air"/>
    <s v="MW Exp"/>
    <s v="1"/>
    <x v="29"/>
    <n v="1"/>
    <n v="1.44"/>
    <n v="2.82"/>
    <s v="SQM"/>
    <s v="48"/>
    <s v="53"/>
    <x v="0"/>
    <m/>
    <s v="OK"/>
    <s v="Based on history, no issues noted"/>
    <s v="OK"/>
    <m/>
    <s v="OK"/>
    <s v="Existing on tower actual - OML - 6.63 sqm  / MPT - 2.41 Sqm actual and 3.18sqm for Colo Apps  /Decrease MW Dimension "/>
    <s v="OK"/>
    <m/>
    <m/>
    <s v="No"/>
    <s v="Strengthened Tower(OP1+OP3(OLD+NEW)): 92.4%_x000a_Strengthened Tower(OP1+OP3(OLD)): 95.1 %"/>
    <s v="OK"/>
    <m/>
    <m/>
    <m/>
    <m/>
    <s v="OK"/>
    <s v="No"/>
    <s v="No action needed "/>
    <m/>
    <m/>
    <m/>
    <m/>
    <m/>
    <m/>
    <m/>
    <d v="2018-12-03T14:46:27"/>
    <d v="2018-12-05T15:19:16"/>
    <d v="2018-12-06T16:55:54"/>
    <d v="2018-12-03T14:46:27"/>
    <d v="2018-12-04T15:27:38"/>
    <d v="2018-11-30T16:11:53"/>
    <d v="2018-12-07T10:04:29"/>
    <n v="7.4197810184996342"/>
    <n v="0"/>
    <s v="No File"/>
    <s v="1-01-04002-004 (CHN00147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4002-004 (CHN00147) Application Rev 1.xlsx"/>
    <m/>
  </r>
  <r>
    <n v="3454"/>
    <s v="1-01-08009-002"/>
    <s v="Pan Asia"/>
    <s v="Central"/>
    <s v="MGW00400"/>
    <s v="MPT"/>
    <s v="MPT  Phase 1b Colo"/>
    <s v="On Air"/>
    <s v="TS _ v1"/>
    <s v="2"/>
    <x v="29"/>
    <n v="1"/>
    <n v="1.4"/>
    <n v="3.59"/>
    <s v="SQM"/>
    <s v="41.5"/>
    <s v="46.5"/>
    <x v="0"/>
    <m/>
    <s v="OK"/>
    <s v="Based on history, no issues noted"/>
    <s v="OK"/>
    <m/>
    <s v="OK"/>
    <s v="Existing on tower actual - OML - 8.34 sqm  / MPT - 3.59 Sqm / Change MW and RF height "/>
    <s v="OK"/>
    <m/>
    <m/>
    <s v="No"/>
    <s v="EXISTING TOWER(OP1+OP3(OLD+NEW)):   83.1%_x000a_EXISTING TOWER(OP1+OP3(OLD)):    83.1 %"/>
    <s v="OK"/>
    <s v="2019-01-10"/>
    <m/>
    <m/>
    <s v="Add Rect mods, increase BB cap, DG UG"/>
    <s v="OK"/>
    <s v="No"/>
    <s v="No action needed "/>
    <m/>
    <m/>
    <m/>
    <m/>
    <m/>
    <m/>
    <m/>
    <d v="2018-12-03T14:46:27"/>
    <d v="2018-12-17T08:53:29"/>
    <d v="2018-12-06T11:51:54"/>
    <d v="2018-12-03T14:46:27"/>
    <d v="2018-12-04T15:27:38"/>
    <d v="2018-11-30T16:11:53"/>
    <d v="2018-12-17T09:52:30"/>
    <n v="17.41145844910352"/>
    <n v="0"/>
    <s v="No File"/>
    <s v="1-01-08009-002 (MGW0040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8009-002 (MGW00400) Application Rev 2.xlsx"/>
    <m/>
  </r>
  <r>
    <n v="3455"/>
    <s v="1-01-09017-004"/>
    <s v="Pan Asia"/>
    <s v="Central"/>
    <s v="MGW00413"/>
    <s v="MPT"/>
    <s v="MPT  Phase 1b Colo"/>
    <s v="On Air"/>
    <s v="TS _ v1"/>
    <s v="1"/>
    <x v="29"/>
    <n v="1"/>
    <n v="1.4"/>
    <n v="4.29"/>
    <s v="SQM"/>
    <s v="43"/>
    <s v="48"/>
    <x v="0"/>
    <m/>
    <s v="OK"/>
    <s v="Based on history, no issues noted"/>
    <s v="OK"/>
    <m/>
    <s v="OK"/>
    <s v="Existing on tower actual - OML - 8.34 sqm  / MPT - 3.52 Sqm / change MW and ODU height "/>
    <s v="OK"/>
    <m/>
    <m/>
    <s v="No"/>
    <s v="EXISTING TOWER(OP1+OP3(OLD+NEW)):   88.7%_x000a_EXISTING TOWER(OP1+OP3(OLD)):   89.1%"/>
    <s v="OK"/>
    <m/>
    <m/>
    <m/>
    <m/>
    <s v="OK"/>
    <s v="No"/>
    <s v="No action needed "/>
    <m/>
    <m/>
    <m/>
    <m/>
    <m/>
    <m/>
    <m/>
    <d v="2018-12-03T14:46:27"/>
    <d v="2018-12-06T10:16:22"/>
    <d v="2018-12-06T11:51:55"/>
    <d v="2018-12-03T14:46:27"/>
    <d v="2018-12-04T15:27:38"/>
    <d v="2018-11-30T16:11:53"/>
    <d v="2018-12-07T10:04:29"/>
    <n v="7.4197822916976293"/>
    <n v="0"/>
    <s v="No File"/>
    <s v="1-01-09017-004 (MGW0041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17-004 (MGW00413) Application Rev 1.xlsx"/>
    <m/>
  </r>
  <r>
    <n v="3456"/>
    <s v="1-01-05010-002"/>
    <s v="Pan Asia"/>
    <s v="Northern"/>
    <s v="SGG00209"/>
    <s v="MPT"/>
    <s v="MPT  Phase 1b Colo"/>
    <s v="On Air"/>
    <s v="LTE"/>
    <s v="2"/>
    <x v="29"/>
    <n v="2.0590000000000002"/>
    <n v="3.5489999999999999"/>
    <n v="5.56"/>
    <s v="SQM"/>
    <s v="48"/>
    <s v="53"/>
    <x v="0"/>
    <m/>
    <s v="OK"/>
    <s v="Based on history, no issues noted"/>
    <s v="OK"/>
    <m/>
    <s v="OK"/>
    <s v="Existing on tower actual - OML - 7.23 sqm  / MPT - 3.70 Sqm / Increase RF dimension and add RRU "/>
    <s v="OK"/>
    <m/>
    <m/>
    <s v="No"/>
    <s v="EXISTING TOWER(OP1+OP4+OP3(OLD+NEW)):   92.7%_x000a_EXISTING TOWER(OP1+OP4+OP3(OLD)):   91.4 %"/>
    <s v="OK"/>
    <s v="Wk52"/>
    <m/>
    <m/>
    <s v="Add rectifier modules, Swap DG, BB SOH check "/>
    <s v="OK"/>
    <s v="No"/>
    <s v="No action needed "/>
    <m/>
    <m/>
    <m/>
    <m/>
    <m/>
    <m/>
    <m/>
    <d v="2018-12-03T14:46:27"/>
    <d v="2018-12-06T10:16:22"/>
    <d v="2018-12-06T16:55:55"/>
    <d v="2018-12-03T14:46:27"/>
    <d v="2018-12-04T15:27:38"/>
    <d v="2018-11-30T16:11:54"/>
    <d v="2018-12-07T10:04:29"/>
    <n v="7.419782986100472"/>
    <n v="0"/>
    <s v="No File"/>
    <s v="1-01-05010-002 (SGG00209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0-002 (SGG00209) Application Rev 2.xlsx"/>
    <m/>
  </r>
  <r>
    <n v="3457"/>
    <s v="1-01-05005-002"/>
    <s v="Pan Asia"/>
    <s v="Northern"/>
    <s v="SGG00219"/>
    <s v="MPT"/>
    <s v="MPT  Phase 1b Colo"/>
    <s v="On Air"/>
    <s v="TS _ v1"/>
    <s v="2"/>
    <x v="29"/>
    <n v="1"/>
    <n v="1.462"/>
    <n v="4.24"/>
    <s v="SQM"/>
    <s v="48"/>
    <s v="53"/>
    <x v="0"/>
    <m/>
    <s v="OK"/>
    <s v="Based on history, no issues noted"/>
    <s v="OK"/>
    <m/>
    <s v="OK"/>
    <s v="Existing on tower actual - OML - 7.72 sqm  / MPT - 4.16 Sqm / TML 2.83 /  Change RF and MW height "/>
    <s v="OK"/>
    <m/>
    <m/>
    <s v="No"/>
    <s v="EXISTING TOWER(OP1+OP4+OP3(OLD+NEW)):   102.3%_x000a_EXISTING TOWER(OP1+OP4+OP3(OLD)):   102.5 %"/>
    <s v="OK"/>
    <m/>
    <m/>
    <m/>
    <m/>
    <s v="OK"/>
    <s v="No"/>
    <s v="No action needed "/>
    <m/>
    <m/>
    <m/>
    <m/>
    <m/>
    <m/>
    <m/>
    <d v="2018-12-03T14:46:28"/>
    <d v="2018-12-06T16:29:56"/>
    <d v="2018-12-06T16:55:55"/>
    <d v="2018-12-03T14:46:28"/>
    <d v="2018-12-04T15:27:38"/>
    <d v="2018-11-30T16:11:54"/>
    <d v="2018-12-07T10:04:29"/>
    <n v="7.4197839120024582"/>
    <n v="0"/>
    <s v="No File"/>
    <s v="1-01-05005-002 (SGG00219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5-002 (SGG00219) Application Rev 2.xlsx"/>
    <m/>
  </r>
  <r>
    <n v="3458"/>
    <s v="1-01-05010-006"/>
    <s v="Pan Asia"/>
    <s v="Northern"/>
    <s v="SGG00232"/>
    <s v="MPT"/>
    <s v="MPT  Phase 1b Colo"/>
    <s v="On Air"/>
    <s v="LTE"/>
    <s v="3"/>
    <x v="29"/>
    <n v="2.0590000000000002"/>
    <n v="3.649"/>
    <n v="11.26"/>
    <s v="SQM"/>
    <s v="45.5"/>
    <s v="53.5"/>
    <x v="0"/>
    <m/>
    <s v="OK"/>
    <s v="Based on history, no issues noted"/>
    <s v="OK"/>
    <m/>
    <s v="OK"/>
    <s v="Existing on tower actual - OML - 10.25 sqm  / MPT - 9.26 Sqm / Increase RF Dimension and "/>
    <s v="OK"/>
    <m/>
    <m/>
    <s v="No"/>
    <s v="EXISTING TOWER(OP1+OP3(OLD+NEW)):   103.1%_x000a_EXISTING TOWER(OP1+OP3(OLD)):  102.8%"/>
    <s v="OK"/>
    <s v="Wk52"/>
    <d v="1900-01-01T12:00:00"/>
    <m/>
    <s v="Add rectifier modules, BB SOH check "/>
    <s v="OK"/>
    <s v="No"/>
    <s v="No action needed "/>
    <m/>
    <m/>
    <m/>
    <m/>
    <m/>
    <m/>
    <m/>
    <d v="2018-12-03T14:46:28"/>
    <d v="2018-12-06T16:29:56"/>
    <d v="2018-12-05T16:58:47"/>
    <d v="2018-12-03T14:46:28"/>
    <d v="2018-12-04T15:27:39"/>
    <d v="2018-11-30T16:11:54"/>
    <d v="2018-12-07T10:04:29"/>
    <n v="7.4197846064998885"/>
    <n v="0"/>
    <s v="No File"/>
    <s v="1-01-05010-006 (SGG00232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0-006 (SGG00232) Application Rev 3.xlsx"/>
    <m/>
  </r>
  <r>
    <n v="3459"/>
    <s v="1-01-05007-006"/>
    <s v="Pan Asia"/>
    <s v="Northern"/>
    <s v="SGG00780"/>
    <s v="MPT"/>
    <s v="MPT  Phase 1b Colo"/>
    <s v="On Air"/>
    <s v="TS _ v1"/>
    <s v="2"/>
    <x v="29"/>
    <n v="1"/>
    <n v="1.4"/>
    <n v="3.56"/>
    <s v="SQM"/>
    <s v="48"/>
    <s v="53"/>
    <x v="0"/>
    <m/>
    <s v="OK"/>
    <s v="Based on history, no issues noted"/>
    <s v="OK"/>
    <m/>
    <s v="OK"/>
    <s v="Existing on tower actual - OML - 10.25 sqm  / MPT - 3.56 Sqm / TML - 3.90 sqm- Change RF and MW height "/>
    <s v="OK"/>
    <m/>
    <m/>
    <s v="No"/>
    <s v="EXISTING TOWER(OP1+OP4+OP3(OLD+NEW)):   99.5%_x000a_EXISTING TOWER(OP1+OP4+OP3(OLD)):    92   %"/>
    <s v="OK"/>
    <m/>
    <m/>
    <m/>
    <m/>
    <s v="OK"/>
    <s v="No"/>
    <s v="No action needed "/>
    <m/>
    <m/>
    <m/>
    <m/>
    <m/>
    <m/>
    <m/>
    <d v="2018-12-03T14:46:28"/>
    <d v="2018-12-06T16:29:57"/>
    <d v="2018-12-05T16:58:47"/>
    <d v="2018-12-03T14:46:28"/>
    <d v="2018-12-04T15:27:39"/>
    <d v="2018-11-30T16:11:54"/>
    <d v="2018-12-07T10:04:29"/>
    <n v="7.4197855324018747"/>
    <n v="0"/>
    <s v="No File"/>
    <s v="1-01-05007-006 (SGG0078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7-006 (SGG00780) Application Rev 2.xlsx"/>
    <m/>
  </r>
  <r>
    <n v="3460"/>
    <s v="1-01-15009-006"/>
    <s v="Pan Asia"/>
    <s v="Northern"/>
    <s v="SHN00051"/>
    <s v="MPT"/>
    <s v="MPT  Phase 1b Colo"/>
    <s v="On Air"/>
    <s v="TS _ v1"/>
    <s v="3"/>
    <x v="29"/>
    <n v="1"/>
    <n v="1.462"/>
    <n v="3.56"/>
    <s v="SQM"/>
    <s v="46"/>
    <s v="51"/>
    <x v="0"/>
    <m/>
    <s v="OK"/>
    <s v="Based on history, no issues noted"/>
    <s v="OK"/>
    <m/>
    <s v="OK"/>
    <s v="Existing on tower actual - OML - 6.46 sqm  / MPT - 3.56 Sqm / TML - 3.51 sqm . Change RF and MW height "/>
    <s v="OK"/>
    <m/>
    <m/>
    <s v="No"/>
    <s v="EXISTING TOWER(OP1+OP4+OP3(OLD+NEW)):   93.7%_x000a_EXISTING TOWER(OP1+OP4+OP3(OLD)):    93.8  %"/>
    <s v="OK"/>
    <s v="2018-12-27"/>
    <m/>
    <m/>
    <s v="Add rectifier modules, BB SOH check, monitor DG performance"/>
    <s v="OK"/>
    <s v="No"/>
    <s v="No action needed "/>
    <m/>
    <m/>
    <m/>
    <m/>
    <m/>
    <m/>
    <m/>
    <d v="2018-12-03T14:46:29"/>
    <d v="2018-12-17T08:53:29"/>
    <d v="2018-12-05T16:58:47"/>
    <d v="2018-12-03T14:46:29"/>
    <d v="2018-12-04T15:27:39"/>
    <d v="2018-11-30T16:11:54"/>
    <d v="2018-12-17T09:52:30"/>
    <n v="17.411459259303228"/>
    <n v="0"/>
    <s v="No File"/>
    <s v="1-01-15009-006 (SHN00051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09-006 (SHN00051) Application Rev 3.xlsx"/>
    <m/>
  </r>
  <r>
    <n v="3461"/>
    <s v="1-01-15012-004"/>
    <s v="Pan Asia"/>
    <s v="Northern"/>
    <s v="SHN00053"/>
    <s v="MPT"/>
    <s v="MPT  Phase 1b Colo"/>
    <s v="On Air"/>
    <s v="TS _ v1"/>
    <s v="3"/>
    <x v="29"/>
    <n v="1"/>
    <n v="1.462"/>
    <n v="4.1900000000000004"/>
    <s v="SQM"/>
    <s v="44"/>
    <s v="49"/>
    <x v="0"/>
    <m/>
    <s v="OK"/>
    <s v="Based on history, no issues noted"/>
    <s v="OK"/>
    <m/>
    <s v="OK"/>
    <s v="Existing on tower actual - OML - 11.16 sqm  / MPT - 3.52 Sqm Actual and 5.42 ( Colo Apps ) / Increase RF Dimension "/>
    <s v="OK"/>
    <m/>
    <m/>
    <s v="No"/>
    <s v="Strengthened Tower(OP1+OP3(OLD+NEW)): 95.3%_x000a_Strengthened Tower(OP1+OP3(OLD)): 99.9 %"/>
    <s v="OK"/>
    <s v="Wk52"/>
    <m/>
    <m/>
    <m/>
    <s v="OK"/>
    <s v="No"/>
    <s v="No action needed "/>
    <m/>
    <m/>
    <m/>
    <m/>
    <m/>
    <m/>
    <m/>
    <d v="2018-12-03T14:46:29"/>
    <d v="2018-12-06T16:29:57"/>
    <d v="2018-12-06T11:51:55"/>
    <d v="2018-12-03T14:46:29"/>
    <d v="2018-12-04T15:27:39"/>
    <d v="2018-11-30T16:11:54"/>
    <d v="2018-12-07T10:04:30"/>
    <n v="7.4197872685035691"/>
    <n v="0"/>
    <s v="No File"/>
    <s v="1-01-15012-004 (SHN0005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2-004 (SHN00053) Application Rev 3.xlsx"/>
    <m/>
  </r>
  <r>
    <n v="3446"/>
    <s v="1-01-15013-004"/>
    <s v="Pan Asia"/>
    <s v="Northern"/>
    <s v="SHN00327"/>
    <s v="MPT"/>
    <s v="MPT  Phase 1b Colo"/>
    <s v="On Air"/>
    <s v="TS _ v1"/>
    <s v="2"/>
    <x v="30"/>
    <n v="1"/>
    <n v="1.4"/>
    <n v="3.56"/>
    <s v="SQM"/>
    <s v="46"/>
    <s v="51"/>
    <x v="0"/>
    <m/>
    <s v="OK"/>
    <s v="Based on history, no issues noted"/>
    <s v="OK"/>
    <m/>
    <s v="OK"/>
    <s v="Existing on tower actual - OML - 11.75 sqm  / MPT - 3.56 Sqm / Change RF Height 49.5 to 50 m "/>
    <s v="OK"/>
    <m/>
    <m/>
    <s v="No"/>
    <s v="Strengthened Tower(OP1+OP3(OLD+NEW)): 95.1%_x000a_Strengthened Tower(OP1+OP3(OLD)): 95.1 %"/>
    <s v="OK"/>
    <m/>
    <m/>
    <m/>
    <s v="Site on grid - DG capacity UG to be confirmed grid avail to be monitored"/>
    <s v="OK"/>
    <s v="No"/>
    <s v="No action needed "/>
    <m/>
    <m/>
    <m/>
    <m/>
    <m/>
    <m/>
    <m/>
    <d v="2018-11-29T16:18:48"/>
    <d v="2018-11-29T15:03:12"/>
    <d v="2018-11-30T17:20:57"/>
    <d v="2018-11-29T16:18:48"/>
    <d v="2018-12-04T15:27:37"/>
    <d v="2018-11-29T11:20:33"/>
    <d v="2018-12-05T15:13:12"/>
    <n v="7.6341701389028458"/>
    <n v="0"/>
    <s v="No File"/>
    <s v="1-01-15013-004 (SHN0032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4 (SHN00327) Application Rev 2.xlsx"/>
    <m/>
  </r>
  <r>
    <n v="3447"/>
    <s v="1-01-11009-002"/>
    <s v="Pan Asia"/>
    <s v="Southern"/>
    <s v="MON00311"/>
    <s v="MPT"/>
    <s v="MPT  Phase 1b Colo"/>
    <s v="On Air"/>
    <s v="LTE _ v1"/>
    <s v="1"/>
    <x v="30"/>
    <n v="3.36"/>
    <n v="4.2"/>
    <n v="3.98"/>
    <s v="SQM"/>
    <s v="4"/>
    <s v="9"/>
    <x v="0"/>
    <m/>
    <s v="OK"/>
    <s v="Based on history, no issues noted"/>
    <s v="OK"/>
    <m/>
    <s v="OK"/>
    <s v="Existing on tower actual - OML - 8.01 sqm  / MPT - 2.56 Sqm / Increase RF dimension and add RRU ."/>
    <s v="OK"/>
    <m/>
    <m/>
    <s v="No"/>
    <s v="EXISTING TOWER(OP1+OP4+OP3(OLD+NEW)):    97%_x000a_EXISTING TOWER(OP1+OP4+OP3(OLD)):  94.4%"/>
    <s v="OK"/>
    <s v="2019-04-14"/>
    <m/>
    <m/>
    <s v="PE system upgrade - Dep on new PE ordered Dec18 - adjust FC accord"/>
    <s v="OK"/>
    <s v="No"/>
    <s v="No action needed "/>
    <m/>
    <m/>
    <m/>
    <m/>
    <m/>
    <m/>
    <m/>
    <d v="2018-11-29T16:18:48"/>
    <d v="2018-12-17T08:53:28"/>
    <d v="2018-11-30T17:20:57"/>
    <d v="2018-11-29T16:18:48"/>
    <d v="2018-12-04T15:27:37"/>
    <d v="2018-11-29T11:20:33"/>
    <d v="2018-12-17T09:52:30"/>
    <n v="19.411454282402701"/>
    <n v="0"/>
    <s v="No File"/>
    <s v="1-01-11009-002 (MON0031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1009-002 (MON00311) Application Rev 1.xlsx"/>
    <m/>
  </r>
  <r>
    <n v="3448"/>
    <s v="1-01-14001-015"/>
    <s v="Pan Asia"/>
    <s v="Central"/>
    <s v="SHS00057"/>
    <s v="MPT"/>
    <s v="MPT  Phase 1b Colo"/>
    <s v="On Air"/>
    <s v="LTE _ v1"/>
    <s v="5"/>
    <x v="30"/>
    <n v="3.12"/>
    <n v="3.9"/>
    <n v="4.21"/>
    <s v="SQM"/>
    <s v="33"/>
    <s v="38"/>
    <x v="0"/>
    <m/>
    <s v="OK"/>
    <s v="Based on history, no issues noted"/>
    <s v="OK"/>
    <m/>
    <s v="OK"/>
    <s v="Existing on tower actual - OML - 9.84 sqm  / MPT - 3.50 Sqm / TML - 3.00Sqm / Mytel Actual 1.73 - Colo apps 4.73 Sqm Increase RF dimension "/>
    <s v="OK"/>
    <m/>
    <m/>
    <s v="No"/>
    <s v="Strengthened Tower(OP1+OP4+OP5+OP3(OLD+NEW)): 99.4%_x000a_Strengthened Tower(OP1+OP4+OP5+OP3(OLD)): 99.5%"/>
    <s v="OK"/>
    <s v="2019-04-18"/>
    <m/>
    <m/>
    <s v="PE cap incr BB UG - Dep on new PE ordered Dec18 - adjust FC accord"/>
    <s v="OK"/>
    <s v="No"/>
    <s v="No action needed "/>
    <m/>
    <m/>
    <m/>
    <m/>
    <m/>
    <m/>
    <m/>
    <d v="2018-11-29T16:18:49"/>
    <d v="2018-12-17T08:53:28"/>
    <d v="2018-11-30T17:20:57"/>
    <d v="2018-11-29T16:18:49"/>
    <d v="2018-12-04T15:27:37"/>
    <d v="2018-11-29T11:20:33"/>
    <d v="2018-12-17T09:52:30"/>
    <n v="19.411455208297411"/>
    <n v="0"/>
    <s v="No File"/>
    <s v="1-01-14001-015 (SHS00057) Application Rev 5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15 (SHS00057) Application Rev 5.xlsx"/>
    <m/>
  </r>
  <r>
    <n v="3449"/>
    <s v="1-01-14001-026"/>
    <s v="Pan Asia"/>
    <s v="Central"/>
    <s v="SHS00070"/>
    <s v="MPT"/>
    <s v="MPT  Phase 1b Colo"/>
    <s v="On Air"/>
    <s v="MS _ v1"/>
    <s v="4"/>
    <x v="30"/>
    <n v="2.3199999999999998"/>
    <n v="2.9"/>
    <n v="2.88"/>
    <s v="SQM"/>
    <s v="48"/>
    <s v="53"/>
    <x v="0"/>
    <m/>
    <s v="OK"/>
    <s v="Based on history, no issues noted"/>
    <s v="OK"/>
    <m/>
    <s v="OK"/>
    <s v="Existing on tower actual - OML - 7.99 sqm  / MPT - 2.61 Sqm / Increase RF dimension and add RRU"/>
    <s v="OK"/>
    <m/>
    <m/>
    <s v="No"/>
    <s v="Strengthened Tower: OML+KSGM (OLD+NEW) = 100.3%_x000a_Strengthened Tower: OML+KSGM (OLD) = 95.8%"/>
    <s v="OK"/>
    <m/>
    <m/>
    <m/>
    <s v="existing load slpit 1.5KW "/>
    <s v="OK"/>
    <s v="No"/>
    <s v="No action needed "/>
    <m/>
    <m/>
    <m/>
    <m/>
    <m/>
    <m/>
    <m/>
    <d v="2018-11-29T16:18:49"/>
    <d v="2018-11-29T15:03:12"/>
    <d v="2018-11-30T10:41:46"/>
    <d v="2018-11-29T16:18:49"/>
    <d v="2018-12-04T15:27:38"/>
    <d v="2018-11-29T11:20:33"/>
    <d v="2018-12-05T15:13:13"/>
    <n v="7.6341743055963889"/>
    <n v="0"/>
    <s v="No File"/>
    <s v="1-01-14001-026 (SHS00070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26 (SHS00070) Application Rev 4.xlsx"/>
    <m/>
  </r>
  <r>
    <n v="3450"/>
    <s v="1-01-06002-003"/>
    <s v="Pan Asia"/>
    <s v="Southern"/>
    <s v="TNY00206"/>
    <s v="MPT"/>
    <s v="MPT  Phase 1b Colo"/>
    <s v="On Air"/>
    <s v="LTE _ v1"/>
    <s v="4"/>
    <x v="30"/>
    <n v="3.28"/>
    <n v="4.0999999999999996"/>
    <n v="4.42"/>
    <s v="SQM"/>
    <s v="44"/>
    <s v="49"/>
    <x v="0"/>
    <m/>
    <s v="OK"/>
    <s v="Based on history, no issues noted"/>
    <s v="OK"/>
    <m/>
    <s v="OK"/>
    <s v="Existing on tower actual - OML - 7.16 sqm  / MPT - 3.14 Sqm / Mytel -1.47 actual . 4.07 Colo Apps - Increase RF Dimension and add RRU"/>
    <s v="OK"/>
    <m/>
    <m/>
    <s v="No"/>
    <s v="Existing Tower: OML+MYTEL+KSGM (OLD+NEW) = 96.0%_x000a_Existing Tower: OML+MYTEL+KSGM (OLD) = 91.5%"/>
    <s v="OK"/>
    <s v="2019-04-20"/>
    <m/>
    <m/>
    <s v="PE cap incr BB UG - Dep on new PE ordered Dec18 - adjust FC accord"/>
    <s v="OK"/>
    <s v="No"/>
    <s v="No action needed "/>
    <m/>
    <m/>
    <m/>
    <m/>
    <m/>
    <m/>
    <m/>
    <d v="2018-11-29T16:18:50"/>
    <d v="2018-12-17T08:53:28"/>
    <d v="2018-11-30T13:52:24"/>
    <d v="2018-11-29T16:18:50"/>
    <d v="2018-12-04T15:27:38"/>
    <d v="2018-11-29T11:20:33"/>
    <d v="2018-12-17T09:52:30"/>
    <n v="19.411456481502682"/>
    <n v="0"/>
    <s v="No File"/>
    <s v="1-01-06002-003 (TNY00206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6002-003 (TNY00206) Application Rev 4.xlsx"/>
    <m/>
  </r>
  <r>
    <n v="3451"/>
    <s v="1-01-06001-002"/>
    <s v="Pan Asia"/>
    <s v="Southern"/>
    <s v="TNY00288"/>
    <s v="MPT"/>
    <s v="MPT  Phase 1b Colo"/>
    <s v="On Air"/>
    <s v="MS _ v1"/>
    <s v="4"/>
    <x v="30"/>
    <n v="1.92"/>
    <n v="2.4"/>
    <n v="3.72"/>
    <s v="SQM"/>
    <s v="21"/>
    <s v="26"/>
    <x v="0"/>
    <m/>
    <s v="OK"/>
    <s v="Based on history, no issues noted"/>
    <s v="OK"/>
    <m/>
    <s v="OK"/>
    <s v="Existing on tower actual - OML - 6.00 sqm  / MPT - 2.90 Sqm - Add RRU "/>
    <s v="OK"/>
    <m/>
    <m/>
    <s v="No"/>
    <s v="Existing Tower: OML+KSGM (OLD+NEW) = 53.7%_x000a_Existing Tower: OML+KSGM (OLD) = 51.9%"/>
    <s v="OK"/>
    <s v="2019-04-15"/>
    <m/>
    <m/>
    <s v="PE capacity increase needed"/>
    <s v="OK"/>
    <s v="No"/>
    <s v="No action needed "/>
    <m/>
    <m/>
    <m/>
    <m/>
    <m/>
    <m/>
    <m/>
    <d v="2018-11-29T16:18:50"/>
    <d v="2018-12-17T08:53:28"/>
    <d v="2018-11-30T15:06:14"/>
    <d v="2018-11-29T16:18:50"/>
    <d v="2018-12-04T15:27:38"/>
    <d v="2018-11-29T11:20:33"/>
    <d v="2018-12-17T09:52:30"/>
    <n v="19.411457754598814"/>
    <n v="0"/>
    <s v="No File"/>
    <s v="1-01-06001-002 (TNY00288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6001-002 (TNY00288) Application Rev 4.xlsx"/>
    <m/>
  </r>
  <r>
    <n v="3452"/>
    <s v="1-01-13004-006"/>
    <s v="Pan Asia"/>
    <s v="Southern"/>
    <s v="YGN00927"/>
    <s v="MPT"/>
    <s v="MPT  Phase 1b Colo"/>
    <s v="On Air"/>
    <s v="MS _ v1"/>
    <s v="2"/>
    <x v="30"/>
    <n v="2.16"/>
    <n v="2.7"/>
    <n v="3.47"/>
    <s v="SQM"/>
    <s v="33"/>
    <s v="38"/>
    <x v="0"/>
    <m/>
    <s v="OK"/>
    <s v="Based on history, no issues noted"/>
    <s v="OK"/>
    <m/>
    <s v="OK"/>
    <s v="Existing on tower actual - OML - 7.44 sqm  / MPT - 2.56 Sqm / TML -3.30 actual -Increase RF Dimension and add  RRU ."/>
    <s v="OK"/>
    <m/>
    <m/>
    <s v="No"/>
    <s v="Existing Tower: OML+TML+KSGM (OLD+NEW) = 65.5%_x000a_Existing Tower: OML+TML+KSGM (OLD) = 62.0%"/>
    <s v="OK"/>
    <m/>
    <m/>
    <m/>
    <s v="Site on grid - DG capacity UG to be confirmed grid avail to be monitored"/>
    <s v="OK"/>
    <s v="No"/>
    <s v="No action needed "/>
    <m/>
    <m/>
    <m/>
    <m/>
    <m/>
    <m/>
    <m/>
    <d v="2018-11-29T16:18:51"/>
    <d v="2018-11-29T15:03:12"/>
    <d v="2018-11-30T17:12:35"/>
    <d v="2018-11-29T16:18:51"/>
    <d v="2018-12-04T15:27:38"/>
    <d v="2018-11-29T11:20:33"/>
    <d v="2018-12-05T15:13:13"/>
    <n v="7.6341788193967659"/>
    <n v="0"/>
    <s v="No File"/>
    <s v="1-01-13004-006 (YGN0092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3004-006 (YGN00927) Application Rev 2.xlsx"/>
    <m/>
  </r>
  <r>
    <n v="3445"/>
    <s v="1-01-05007-011"/>
    <s v="Pan Asia"/>
    <s v="Northern"/>
    <s v="SG1093"/>
    <s v="Telenor"/>
    <s v="TML Phase 1 Colo"/>
    <s v="On Air"/>
    <s v="Move Equipment"/>
    <s v="1"/>
    <x v="31"/>
    <m/>
    <m/>
    <n v="4.8"/>
    <s v="SQM"/>
    <s v="42.5"/>
    <s v="47.5"/>
    <x v="0"/>
    <m/>
    <s v="Not Required"/>
    <m/>
    <s v="OK"/>
    <s v="OK"/>
    <s v="OK"/>
    <s v="Existing on tower actual - OML - 8.92sqm  / MPT - 4.49 Sqm / TML 3.23 Sqm / Decrease MW dimension "/>
    <s v="OK"/>
    <m/>
    <m/>
    <s v="No"/>
    <s v="EXISTING TOWER(OP1+OP3+OP4(OLD+NEW)):    103.5%_x000a_EXISTING TOWER(OP1+OP3+OP4(OLD)):  102.2%"/>
    <s v="Not Required"/>
    <m/>
    <m/>
    <m/>
    <m/>
    <s v="OK"/>
    <s v="No"/>
    <s v="No action needed "/>
    <m/>
    <m/>
    <m/>
    <m/>
    <m/>
    <m/>
    <m/>
    <d v="2018-11-27T15:09:04"/>
    <m/>
    <d v="2018-11-30T10:19:15"/>
    <d v="2018-11-27T15:09:04"/>
    <m/>
    <d v="2018-11-27T15:32:30"/>
    <d v="2018-11-30T10:19:15"/>
    <n v="3.4300329860998318"/>
    <n v="0"/>
    <s v="No File"/>
    <s v="1-01-05007-011 (SG109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Telenor\"/>
    <s v="D:\OneDrive - apollo-towers.com\Apollo Towers\00-Process &amp; Database\Documentation\Colo Applications\Colo App Telenor\1-01-05007-011 (SG1093) Application Rev 1.xlsx"/>
    <m/>
  </r>
  <r>
    <n v="3435"/>
    <s v="1-01-05011-004"/>
    <s v="Pan Asia"/>
    <s v="Northern"/>
    <s v="SGG00215"/>
    <s v="MPT"/>
    <s v="MPT  Phase 1b Colo"/>
    <s v="On Air"/>
    <s v="LTE"/>
    <s v="1"/>
    <x v="32"/>
    <n v="2.0179999999999998"/>
    <n v="3.22"/>
    <n v="6.0659999999999998"/>
    <s v="SQM"/>
    <s v="48"/>
    <s v="53"/>
    <x v="0"/>
    <m/>
    <s v="OK"/>
    <s v="There should be no rental increase as PAT already granted rental increase sometime in Nov-14"/>
    <s v="OK"/>
    <m/>
    <s v="OK"/>
    <s v="Existing on tower actual - OML - 9.75 Sqm / MPT - 3.68 Sqm / TML - 4.78 Sqm  - Increase RF dimension and Add MW and ODU , RRU "/>
    <s v="OK"/>
    <m/>
    <m/>
    <s v="No"/>
    <s v="EXISTING TOWER(OP1+OP4+OP3(OLD+NEW)):    98.5%_x000a_EXISTING TOWER(OP1+OP4+OP3(OLD)):  97.1%"/>
    <s v="OK"/>
    <s v="2019-01-20"/>
    <m/>
    <m/>
    <s v="PE system upgrade"/>
    <s v="OK"/>
    <s v="No"/>
    <s v="No action needed "/>
    <m/>
    <m/>
    <m/>
    <m/>
    <m/>
    <m/>
    <m/>
    <d v="2018-11-26T17:31:11"/>
    <d v="2018-12-17T08:53:28"/>
    <d v="2018-11-29T14:41:14"/>
    <d v="2018-11-26T17:31:11"/>
    <d v="2018-11-26T11:55:13"/>
    <d v="2018-11-26T20:15:00"/>
    <d v="2018-12-17T09:21:07"/>
    <n v="21.389660300897958"/>
    <n v="0"/>
    <s v="No File"/>
    <s v="1-01-05011-004 (SGG0021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1-004 (SGG00215) Application Rev 1.xlsx"/>
    <m/>
  </r>
  <r>
    <n v="3436"/>
    <s v="1-01-05010-004"/>
    <s v="Pan Asia"/>
    <s v="Northern"/>
    <s v="SGG00233"/>
    <s v="MPT"/>
    <s v="MPT  Phase 1b Colo"/>
    <s v="On Air"/>
    <s v="Exchange"/>
    <s v="3"/>
    <x v="32"/>
    <n v="1.399"/>
    <n v="2.2610000000000001"/>
    <n v="2.87"/>
    <s v="SQM"/>
    <s v="48"/>
    <s v="53"/>
    <x v="0"/>
    <m/>
    <s v="OK"/>
    <s v="Based on history, no issues noted"/>
    <s v="OK"/>
    <m/>
    <s v="OK"/>
    <s v="Existing on tower actual - OML - 9.49 Sqm / MPT - 2.69 Sqm / Mytel Colo Apps - 5.20Sqm  - add one RRU "/>
    <s v="OK"/>
    <m/>
    <m/>
    <s v="No"/>
    <s v="EXISTING TOWER(OP1+OP3(OLD+NEW)):   93.7%_x000a_EXISTING TOWER(OP1+OP3(OLD)):   93.7%"/>
    <s v="OK"/>
    <s v="2019-01-07"/>
    <m/>
    <m/>
    <s v="PE system upgrade"/>
    <s v="OK"/>
    <s v="No"/>
    <s v="No action needed "/>
    <m/>
    <m/>
    <m/>
    <m/>
    <m/>
    <m/>
    <m/>
    <d v="2018-11-26T17:31:11"/>
    <d v="2018-12-17T08:53:28"/>
    <d v="2018-11-29T09:59:34"/>
    <d v="2018-11-26T17:31:11"/>
    <d v="2018-11-26T11:55:13"/>
    <d v="2018-11-26T20:15:00"/>
    <d v="2018-12-17T09:21:07"/>
    <n v="21.389661458299088"/>
    <n v="0"/>
    <s v="No File"/>
    <s v="1-01-05010-004 (SGG0023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0-004 (SGG00233) Application Rev 3.xlsx"/>
    <m/>
  </r>
  <r>
    <n v="3437"/>
    <s v="1-01-01002-008"/>
    <s v="Pan Asia"/>
    <s v="Northern"/>
    <s v="KCN00372"/>
    <s v="MPT"/>
    <s v="MPT  Phase 1b Colo"/>
    <s v="On Air"/>
    <s v="LTE"/>
    <s v="3"/>
    <x v="32"/>
    <n v="1.9890000000000001"/>
    <n v="3.5489999999999999"/>
    <n v="4.54"/>
    <s v="SQM"/>
    <s v="45"/>
    <s v="50"/>
    <x v="0"/>
    <m/>
    <s v="OK"/>
    <s v="Based on history, no issues noted"/>
    <s v="OK"/>
    <m/>
    <s v="OK"/>
    <s v="Existing on tower actual - OML - 13.53 Sqm ( UE Top and Down - OML area 59.60 - 48 .60 )  / MPT - 3.07 Sqm / Mytel -1.74 Sqm  - Increase RF dimension and add RRU "/>
    <s v="OK"/>
    <m/>
    <m/>
    <s v="No"/>
    <s v="STR TOWER(OP1+OP5+OP3(OLD+NEW)): 95.95%_x000a_STR TOWER(OP1+OP5+OP3(OLD)):  91.6 %"/>
    <s v="OK"/>
    <s v="2019-01-08"/>
    <m/>
    <m/>
    <s v="PE system upgrade"/>
    <s v="OK"/>
    <s v="No"/>
    <s v="No action needed "/>
    <m/>
    <m/>
    <m/>
    <m/>
    <m/>
    <m/>
    <m/>
    <d v="2018-11-27T08:28:12"/>
    <d v="2018-12-17T08:53:28"/>
    <d v="2018-11-29T09:59:34"/>
    <d v="2018-11-27T08:28:12"/>
    <d v="2018-11-27T16:24:56"/>
    <d v="2018-11-26T20:15:01"/>
    <d v="2018-12-17T09:21:07"/>
    <n v="21.389662268498796"/>
    <n v="0"/>
    <s v="No File"/>
    <s v="1-01-01002-008 (KCN00372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2-008 (KCN00372) Application Rev 3.xlsx"/>
    <m/>
  </r>
  <r>
    <n v="3439"/>
    <s v="1-01-11007-003"/>
    <s v="Pan Asia"/>
    <s v="Southern"/>
    <s v="MON00275"/>
    <s v="MPT"/>
    <s v="MPT  Phase 1b Colo"/>
    <s v="On Air"/>
    <s v="UPG"/>
    <s v="3"/>
    <x v="32"/>
    <n v="1.68"/>
    <n v="2.1"/>
    <n v="4.59"/>
    <s v="SQM"/>
    <s v="46"/>
    <s v="51"/>
    <x v="0"/>
    <m/>
    <s v="OK"/>
    <s v="Based on history, no issues noted"/>
    <s v="OK"/>
    <m/>
    <s v="OK"/>
    <s v="Existing on tower actual - OML - 9.33sqm  / MPT - 4.69 Sqm  - Decrease RF dimension and add RRU "/>
    <s v="OK"/>
    <m/>
    <m/>
    <s v="No"/>
    <s v="EXISTING TOWER(OP1+OP3(OLD+NEW)):   90.9%_x000a_EXISTING TOWER(OP1+OP3(OLD)):   91.3%"/>
    <s v="OK"/>
    <s v="2019-01-08"/>
    <m/>
    <m/>
    <s v="PE system upgrade"/>
    <s v="OK"/>
    <s v="No"/>
    <s v="No action needed "/>
    <m/>
    <m/>
    <m/>
    <m/>
    <m/>
    <m/>
    <m/>
    <d v="2018-11-27T08:28:12"/>
    <d v="2018-12-17T08:53:28"/>
    <d v="2018-11-29T09:59:34"/>
    <d v="2018-11-27T08:28:12"/>
    <d v="2018-11-27T16:24:56"/>
    <d v="2018-11-26T20:15:01"/>
    <d v="2018-12-17T09:21:07"/>
    <n v="21.389663425899926"/>
    <n v="0"/>
    <s v="No File"/>
    <s v="1-01-11007-003 (MON00275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1007-003 (MON00275) Application Rev 3.xlsx"/>
    <m/>
  </r>
  <r>
    <n v="3440"/>
    <s v="1-01-16001-003"/>
    <s v="Pan Asia"/>
    <s v="Central"/>
    <s v="SHE00021"/>
    <s v="MPT"/>
    <s v="MPT  Phase 1b Colo"/>
    <s v="On Air"/>
    <s v="LTE"/>
    <s v="3"/>
    <x v="32"/>
    <n v="3.44"/>
    <n v="4.3"/>
    <n v="4.55"/>
    <s v="SQM"/>
    <s v="33"/>
    <s v="38"/>
    <x v="0"/>
    <m/>
    <s v="OK"/>
    <s v="Based on history, no issues noted"/>
    <s v="OK"/>
    <m/>
    <s v="OK"/>
    <s v="Existing on tower actual - OML - 7.76sqm  / MPT - 2.61 Sqm  - Increase RF dimension and add RRU "/>
    <s v="OK"/>
    <m/>
    <m/>
    <s v="No"/>
    <s v="STR TOWER(OP1+OP3(OLD+NEW)): 84.8%_x000a_STR TOWER(OP1+OP3(OLD)): 80.5%"/>
    <s v="OK"/>
    <s v="2019-01-21"/>
    <m/>
    <m/>
    <s v="Site will require PE system capacity increase adding load will max current system, BB cap increase required"/>
    <s v="OK"/>
    <s v="No"/>
    <s v="No action needed "/>
    <m/>
    <m/>
    <m/>
    <m/>
    <m/>
    <m/>
    <m/>
    <d v="2018-11-27T09:22:12"/>
    <d v="2018-12-17T08:53:28"/>
    <d v="2018-11-29T14:41:15"/>
    <d v="2018-11-27T09:22:12"/>
    <d v="2018-11-27T16:24:56"/>
    <d v="2018-11-26T20:15:02"/>
    <d v="2018-12-17T09:21:07"/>
    <n v="21.389664467598777"/>
    <n v="0"/>
    <s v="No File"/>
    <s v="1-01-16001-003 (SHE00021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6001-003 (SHE00021) Application Rev 3.xlsx"/>
    <m/>
  </r>
  <r>
    <n v="3441"/>
    <s v="1-01-15012-002"/>
    <s v="Pan Asia"/>
    <s v="Northern"/>
    <s v="SHN00218"/>
    <s v="MPT"/>
    <s v="MPT  Phase 1b Colo"/>
    <s v="On Air"/>
    <s v="LTE"/>
    <s v="2"/>
    <x v="32"/>
    <n v="1.9890000000000001"/>
    <n v="3.6110000000000002"/>
    <n v="4.45"/>
    <s v="SQM"/>
    <s v="48"/>
    <s v="53"/>
    <x v="0"/>
    <m/>
    <s v="Not Required"/>
    <s v="Rental increase was granted sometime in August 2016, which doubled the initial agreed rate; LL/Lessor recently asking for 100k/month on top of the current rate of 400k/month"/>
    <s v="OK"/>
    <m/>
    <s v="OK"/>
    <s v="Existing on tower actual - OML - 7.20sqm  / MPT - 2.61 Sqm  - Increase RF dimension and add RRU "/>
    <s v="OK"/>
    <m/>
    <m/>
    <s v="No"/>
    <s v="Strengthened Tower: OML+TML+MYTEL+KSGM (OLD+NEW) = 100.6%_x000a_Strengthened Tower: OML+TML+MYTEL+KSGM (OLD) = 90.8%"/>
    <s v="OK"/>
    <s v="2018-12-31"/>
    <m/>
    <m/>
    <s v="Okay short term DG 12Hrs NS, DG&amp;BB capacity increase required"/>
    <s v="OK"/>
    <s v="No"/>
    <s v="No action needed "/>
    <m/>
    <m/>
    <m/>
    <m/>
    <m/>
    <m/>
    <m/>
    <d v="2018-11-27T09:22:12"/>
    <d v="2018-12-17T08:53:28"/>
    <d v="2018-11-28T11:49:52"/>
    <d v="2018-11-27T09:22:12"/>
    <m/>
    <d v="2018-12-18T16:13:50"/>
    <d v="2018-12-18T16:54:30"/>
    <n v="22.704516782403516"/>
    <n v="0"/>
    <s v="No File"/>
    <s v="1-01-15012-002 (SHN0021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2-002 (SHN00218) Application Rev 2.xlsx"/>
    <m/>
  </r>
  <r>
    <n v="3442"/>
    <s v="1-01-06008-002"/>
    <s v="Pan Asia"/>
    <s v="Southern"/>
    <s v="TNY00033"/>
    <s v="MPT"/>
    <s v="MPT  Phase 1b Colo"/>
    <s v="On Air"/>
    <s v="MS"/>
    <s v="5"/>
    <x v="32"/>
    <n v="2.64"/>
    <n v="3.3"/>
    <n v="4.4400000000000004"/>
    <s v="SQM"/>
    <s v="48"/>
    <s v="53"/>
    <x v="0"/>
    <m/>
    <s v="OK"/>
    <s v="Based on history, no issues noted"/>
    <s v="OK"/>
    <m/>
    <s v="OK"/>
    <s v="Existing on tower actual - OML - 7.35sqm  / MPT - 4.10 Sqm / TML 4.64 Sqm / Mytel - 2.33 sqm - Increase RF dimension and add RRU "/>
    <s v="OK"/>
    <m/>
    <m/>
    <s v="No"/>
    <s v="Strengthened Tower: OML+TML+MYTEL+KSGM (OLD+NEW) = 98.1%_x000a_Strengthened Tower: OML+TML+MYTEL+KSGM (OLD) = 100.5%"/>
    <s v="OK"/>
    <s v="2019-04-01"/>
    <m/>
    <m/>
    <s v="PE system upgrade - Dep on new PE ordered Dec18 - adjust FC accord"/>
    <s v="OK"/>
    <s v="No"/>
    <s v="No action needed "/>
    <m/>
    <m/>
    <m/>
    <m/>
    <m/>
    <m/>
    <m/>
    <d v="2018-11-27T09:22:12"/>
    <d v="2018-12-17T08:53:28"/>
    <d v="2018-11-28T16:30:45"/>
    <d v="2018-11-27T09:22:12"/>
    <d v="2018-11-27T16:24:56"/>
    <d v="2018-11-26T20:15:03"/>
    <d v="2018-12-17T09:21:07"/>
    <n v="21.38966631940275"/>
    <n v="0"/>
    <s v="No File"/>
    <s v="1-01-06008-002 (TNY00033) Application Rev 5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6008-002 (TNY00033) Application Rev 5.xlsx"/>
    <m/>
  </r>
  <r>
    <n v="3443"/>
    <s v="ANSG_0393"/>
    <s v="Apollo"/>
    <s v="Northern"/>
    <s v="SGG00203"/>
    <s v="MPT"/>
    <s v="MPT  Phase 1a Colo"/>
    <s v="On Air"/>
    <s v="LTE"/>
    <s v="2"/>
    <x v="32"/>
    <n v="2.097"/>
    <n v="3.669"/>
    <n v="9.01"/>
    <s v="EPA"/>
    <s v="30"/>
    <s v="35"/>
    <x v="0"/>
    <m/>
    <s v="OK"/>
    <s v="Based on records, no issues noted"/>
    <s v="OK"/>
    <s v="OK"/>
    <s v="OK"/>
    <s v="Existing on tower ( Assume ) - TML - 5.92 EPA  / MPT - 3.34 EPA / TML 4.64 Sqm / Mytel -5.47 EPA  - Increase RF dimension and add MW and RRU "/>
    <s v="OK"/>
    <m/>
    <m/>
    <s v="No"/>
    <s v="Existing Tower: TML+MYTEL+KSGM (OLD+NEW) = 68.6%"/>
    <s v="OK"/>
    <m/>
    <m/>
    <m/>
    <m/>
    <s v="OK"/>
    <s v="No"/>
    <s v="No action needed "/>
    <m/>
    <m/>
    <m/>
    <m/>
    <m/>
    <m/>
    <m/>
    <d v="2018-11-27T09:22:12"/>
    <d v="2018-11-27T17:50:08"/>
    <d v="2018-11-29T13:24:49"/>
    <d v="2018-11-27T15:09:04"/>
    <d v="2018-11-27T16:24:56"/>
    <d v="2018-11-27T15:32:30"/>
    <d v="2018-11-29T13:24:49"/>
    <n v="3.5589003471977776"/>
    <n v="0"/>
    <s v="No File"/>
    <s v="ANSG_0393 (SGG0020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393 (SGG00203) Application Rev 2.xlsx"/>
    <m/>
  </r>
  <r>
    <n v="3444"/>
    <s v="ANMD_3001"/>
    <s v="Apollo"/>
    <s v="Northern"/>
    <s v="MDY01695"/>
    <s v="MPT"/>
    <s v="MPT  Phase 1a B2S"/>
    <s v="RFI"/>
    <s v="BTS"/>
    <s v="0"/>
    <x v="32"/>
    <n v="0.98299999999999998"/>
    <n v="1.6779999999999999"/>
    <n v="3.91"/>
    <s v="EPA"/>
    <s v="45"/>
    <s v="50"/>
    <x v="0"/>
    <m/>
    <s v="OK"/>
    <s v="Based on records, no issues noted"/>
    <s v="OK"/>
    <m/>
    <s v="OK"/>
    <s v="MPT BTS New Colo Application - For Regional Team - RF Pole to install and MW pole not require "/>
    <s v="OK"/>
    <m/>
    <m/>
    <s v="No"/>
    <s v="Existing Tower: KSGM (NEW) = 93.4%"/>
    <s v="OK"/>
    <m/>
    <m/>
    <m/>
    <m/>
    <s v="OK"/>
    <s v="Yes"/>
    <s v="Required to construct the Slab "/>
    <m/>
    <m/>
    <m/>
    <m/>
    <m/>
    <m/>
    <m/>
    <d v="2018-11-27T09:22:12"/>
    <d v="2018-11-27T17:50:09"/>
    <d v="2018-11-29T16:27:14"/>
    <d v="2018-11-27T09:22:12"/>
    <d v="2018-11-27T16:24:56"/>
    <d v="2018-11-26T19:55:45"/>
    <d v="2018-11-29T16:27:14"/>
    <n v="3.6855792823989759"/>
    <n v="0"/>
    <s v="No File"/>
    <s v="ANMD_3001 (MDY01695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3001 (MDY01695) Application Rev 0.xlsx"/>
    <m/>
  </r>
  <r>
    <n v="3429"/>
    <s v="1-01-05010-002"/>
    <s v="Pan Asia"/>
    <s v="Northern"/>
    <s v="SGG00209"/>
    <s v="MPT"/>
    <s v="MPT  Phase 1b Colo"/>
    <s v="On Air"/>
    <s v="TS _ v1"/>
    <s v="1"/>
    <x v="33"/>
    <n v="1"/>
    <n v="1.4"/>
    <n v="3.7429999999999999"/>
    <s v="SQM"/>
    <s v="48"/>
    <s v="53"/>
    <x v="0"/>
    <m/>
    <s v="OK"/>
    <s v="Based on history, no issues noted"/>
    <s v="OK"/>
    <m/>
    <s v="OK"/>
    <s v="Existing on tower actual - OML - 7.23 Sqm / MPT - 3.70Sqm / TML Colo Apps - 3.90 Sqm  change RF and RRU height 51 to 51.5 as per actual "/>
    <s v="OK"/>
    <m/>
    <m/>
    <s v="No"/>
    <s v="Existing Tower: OML+TML+KSGM (OLD+NEW) = 88.3%_x000a_Existing Tower: OML+TML+KSGM (OLD) = 88.2%"/>
    <s v="OK"/>
    <m/>
    <m/>
    <m/>
    <s v="Monitor BB confirm EoL swap "/>
    <s v="OK"/>
    <s v="No"/>
    <s v="No action needed "/>
    <m/>
    <m/>
    <m/>
    <m/>
    <m/>
    <m/>
    <m/>
    <d v="2018-11-20T16:40:19"/>
    <d v="2018-11-20T16:45:28"/>
    <d v="2018-11-26T16:19:28"/>
    <d v="2018-11-20T16:40:19"/>
    <d v="2018-11-26T11:55:11"/>
    <d v="2018-11-26T20:14:58"/>
    <d v="2018-11-26T20:14:58"/>
    <n v="6.843723842597683"/>
    <n v="0"/>
    <s v="No File"/>
    <s v="1-01-05010-002 (SGG0020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0-002 (SGG00209) Application Rev 1.xlsx"/>
    <m/>
  </r>
  <r>
    <n v="3430"/>
    <s v="1-01-05010-006"/>
    <s v="Pan Asia"/>
    <s v="Northern"/>
    <s v="SGG00232"/>
    <s v="MPT"/>
    <s v="MPT  Phase 1b Colo"/>
    <s v="On Air"/>
    <s v="TS _ v1"/>
    <s v="2"/>
    <x v="33"/>
    <n v="1.1619999999999999"/>
    <n v="1.68"/>
    <n v="10.129"/>
    <s v="SQM"/>
    <s v="45.5"/>
    <s v="53.5"/>
    <x v="0"/>
    <m/>
    <s v="OK"/>
    <s v="Based on history, no issues noted"/>
    <s v="OK"/>
    <m/>
    <s v="OK"/>
    <s v="Existing on tower actual -  OML 10.25 Sqm / MPT - 9.25 Sqm  - Add MW ( 2x0.6) and change RF and RRU height "/>
    <s v="OK"/>
    <m/>
    <m/>
    <s v="No"/>
    <s v="Existing Tower: OML+KSGM (OLD+NEW) = 100.7%_x000a_Existing Tower: OML+KSGM (OLD) = 101.0%"/>
    <s v="OK"/>
    <m/>
    <m/>
    <m/>
    <s v="Monitor BB confirm EoL swap "/>
    <s v="OK"/>
    <s v="No"/>
    <s v="No action needed "/>
    <m/>
    <m/>
    <m/>
    <m/>
    <m/>
    <m/>
    <m/>
    <d v="2018-11-20T16:40:19"/>
    <d v="2018-11-20T16:45:28"/>
    <d v="2018-11-27T11:33:31"/>
    <d v="2018-11-20T16:40:19"/>
    <d v="2018-11-26T11:55:11"/>
    <d v="2018-11-26T20:14:58"/>
    <d v="2018-11-27T11:33:31"/>
    <n v="7.4816129629980423"/>
    <n v="0"/>
    <s v="No File"/>
    <s v="1-01-05010-006 (SGG0023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0-006 (SGG00232) Application Rev 2.xlsx"/>
    <m/>
  </r>
  <r>
    <n v="3431"/>
    <s v="1-01-05009-003"/>
    <s v="Pan Asia"/>
    <s v="Northern"/>
    <s v="SGG00236"/>
    <s v="MPT"/>
    <s v="MPT  Phase 1b Colo"/>
    <s v="On Air"/>
    <s v="TS _ v1"/>
    <s v="2"/>
    <x v="33"/>
    <n v="1"/>
    <n v="1.4"/>
    <n v="4.6900000000000004"/>
    <s v="SQM"/>
    <s v="46"/>
    <s v="51"/>
    <x v="0"/>
    <m/>
    <s v="OK"/>
    <s v="There should be no rental increase as PAT already granted rental increase sometime in Feb-17"/>
    <s v="OK"/>
    <m/>
    <s v="OK"/>
    <s v="Existing on tower actual -  OML 7.72 Sqm / MPT - 4.67 actual   - Removed 1.8 MW ( the actual on tower )"/>
    <s v="OK"/>
    <m/>
    <m/>
    <s v="No"/>
    <s v="Existing Tower: OML+KSGM (OLD+NEW) = 87.6%_x000a_Existing Tower: OML+KSGM (OLD) = 87.9%"/>
    <s v="OK"/>
    <m/>
    <m/>
    <m/>
    <s v="Monitor BB confirm EoL swap "/>
    <s v="OK"/>
    <s v="No"/>
    <s v="No action needed "/>
    <m/>
    <m/>
    <m/>
    <m/>
    <m/>
    <m/>
    <m/>
    <d v="2018-11-20T16:40:19"/>
    <d v="2018-11-20T16:45:29"/>
    <d v="2018-11-27T13:51:26"/>
    <d v="2018-11-20T16:40:19"/>
    <d v="2018-11-26T11:55:12"/>
    <d v="2018-11-26T20:14:59"/>
    <d v="2018-11-27T13:51:26"/>
    <n v="7.5773879629996372"/>
    <n v="0"/>
    <s v="No File"/>
    <s v="1-01-05009-003 (SGG00236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9-003 (SGG00236) Application Rev 2.xlsx"/>
    <m/>
  </r>
  <r>
    <n v="3432"/>
    <s v="1-01-14007-014"/>
    <s v="Pan Asia"/>
    <s v="Northern"/>
    <s v="SHN00080"/>
    <s v="MPT"/>
    <s v="MPT  Phase 1b Colo"/>
    <s v="On Air"/>
    <s v="TS _ v1"/>
    <s v="2"/>
    <x v="33"/>
    <n v="1"/>
    <n v="1.462"/>
    <n v="3.72"/>
    <s v="SQM"/>
    <s v="48"/>
    <s v="53"/>
    <x v="0"/>
    <m/>
    <s v="OK"/>
    <s v="Based on history, no issues noted"/>
    <s v="OK"/>
    <m/>
    <s v="OK"/>
    <s v="Existing on tower actual -   OML - 7.03sqm / KSGM -  3.72 sqm - Change RF and RRU height from 51 - 51.5"/>
    <s v="OK"/>
    <m/>
    <m/>
    <s v="No"/>
    <s v="EXISTING TOWER(OP1+OP3(OLD+NEW)):   93.2%_x000a_EXISTING TOWER(OP1+OP3(OLD)):   93.2%"/>
    <s v="OK"/>
    <m/>
    <m/>
    <m/>
    <s v="Monitor BB confirm EoL swap "/>
    <s v="OK"/>
    <s v="No"/>
    <s v="No action needed "/>
    <m/>
    <m/>
    <m/>
    <m/>
    <m/>
    <m/>
    <m/>
    <d v="2018-11-20T16:40:19"/>
    <d v="2018-11-20T16:45:29"/>
    <d v="2018-11-27T14:34:54"/>
    <d v="2018-11-20T16:40:19"/>
    <d v="2018-11-26T11:55:12"/>
    <d v="2018-11-26T20:14:59"/>
    <d v="2018-11-27T14:34:54"/>
    <n v="7.6075696758998674"/>
    <n v="0"/>
    <s v="No File"/>
    <s v="1-01-14007-014 (SHN0008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14 (SHN00080) Application Rev 2.xlsx"/>
    <m/>
  </r>
  <r>
    <n v="3433"/>
    <s v="1-01-15013-007"/>
    <s v="Pan Asia"/>
    <s v="Northern"/>
    <s v="SHN00086"/>
    <s v="MPT"/>
    <s v="MPT  Phase 1b Colo"/>
    <s v="On Air"/>
    <s v="LTE"/>
    <s v="2"/>
    <x v="33"/>
    <n v="2.0590000000000002"/>
    <n v="3.6110000000000002"/>
    <n v="4.51"/>
    <s v="SQM"/>
    <s v="48"/>
    <s v="53"/>
    <x v="0"/>
    <m/>
    <s v="OK"/>
    <s v="Based on history, no issues noted"/>
    <s v="OK"/>
    <m/>
    <s v="OK"/>
    <s v="Existing on tower actual -   OML - 11.02sqm ( UE Split -59.50 - 54.00 / 48.00 - 46.00 ) / KSGM -  3.80 sqm / TML 3.51 - Add RRU"/>
    <s v="OK"/>
    <m/>
    <m/>
    <s v="No"/>
    <s v="EXISTING TOWER(OP1+OP4+OP3(OLD+NEW)):  100.6%_x000a_EXISTING TOWER(OP1+OP4+OP3(OLD)):  100.6%"/>
    <s v="OK"/>
    <s v="2019-01-23"/>
    <m/>
    <m/>
    <s v="PE system upgrade"/>
    <s v="OK"/>
    <s v="No"/>
    <s v="No action needed "/>
    <m/>
    <m/>
    <m/>
    <m/>
    <m/>
    <m/>
    <m/>
    <d v="2018-11-20T16:40:20"/>
    <d v="2018-12-17T08:53:27"/>
    <d v="2018-11-27T14:34:54"/>
    <d v="2018-11-20T16:40:20"/>
    <d v="2018-11-26T11:55:12"/>
    <d v="2018-11-26T20:14:59"/>
    <d v="2018-12-17T09:21:06"/>
    <n v="27.38965833329712"/>
    <n v="0"/>
    <s v="No File"/>
    <s v="1-01-15013-007 (SHN00086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3-007 (SHN00086) Application Rev 2.xlsx"/>
    <m/>
  </r>
  <r>
    <n v="3434"/>
    <s v="1-01-14007-002"/>
    <s v="Pan Asia"/>
    <s v="Central"/>
    <s v="SHS00093"/>
    <s v="MPT"/>
    <s v="MPT  Phase 1b Colo"/>
    <s v="On Air"/>
    <s v="Exchange"/>
    <s v="2"/>
    <x v="33"/>
    <n v="2.16"/>
    <n v="2.7"/>
    <n v="6.82"/>
    <s v="SQM"/>
    <s v="48"/>
    <s v="53"/>
    <x v="0"/>
    <m/>
    <s v="OK"/>
    <s v="There should be no rental increase as PAT already granted rental increase sometime in Nov-17"/>
    <s v="OK"/>
    <m/>
    <s v="OK"/>
    <s v="Existing on tower actual -   OML - 11.02sqm ( UE Split -60.00 - 53.50 / 47.50 - 45.50 ) / KSGM -  4.36 sqm - Add MW ( 2 x 1.2 ) &amp; add RRU and ODU "/>
    <s v="OK"/>
    <m/>
    <m/>
    <s v="No"/>
    <s v="EXISTING TOWER(OP1+OP4+OP3(OLD+NEW)):    107.1%_x000a_EXISTING TOWER(OP1+OP4+OP3(OLD)):  104.3%"/>
    <s v="OK"/>
    <s v="2019-01-20"/>
    <m/>
    <m/>
    <s v="PE system upgrade"/>
    <s v="OK"/>
    <s v="Yes"/>
    <s v="No action needed "/>
    <m/>
    <m/>
    <m/>
    <m/>
    <m/>
    <m/>
    <m/>
    <d v="2018-11-20T16:40:20"/>
    <d v="2018-12-17T08:53:27"/>
    <d v="2018-11-27T14:34:54"/>
    <d v="2018-11-20T16:40:20"/>
    <d v="2018-11-26T11:55:13"/>
    <d v="2018-11-26T20:15:00"/>
    <d v="2018-12-17T09:21:07"/>
    <n v="27.389659375003248"/>
    <n v="0"/>
    <s v="No File"/>
    <s v="1-01-14007-002 (SHS0009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02 (SHS00093) Application Rev 2.xlsx"/>
    <m/>
  </r>
  <r>
    <n v="3428"/>
    <s v="ANMD_0132"/>
    <s v="Apollo"/>
    <s v="Northern"/>
    <s v="MDY00422"/>
    <s v="MPT"/>
    <s v="MPT  Phase 1a Colo"/>
    <s v="On Air"/>
    <s v="LTE"/>
    <s v="1"/>
    <x v="34"/>
    <n v="1.66"/>
    <n v="2.75"/>
    <n v="3.4"/>
    <s v="EPA"/>
    <s v="17"/>
    <s v="22"/>
    <x v="0"/>
    <m/>
    <s v="OK"/>
    <m/>
    <s v="OK"/>
    <m/>
    <s v="OK"/>
    <s v="Existing on tower - ( Assume ) TML with 6.19 EPA/ OML with  12.24 EPA /   MPT with 3.86 EPA  ( Change 1 RF Bigger Dimension and add RRU )"/>
    <s v="OK"/>
    <m/>
    <m/>
    <s v="No"/>
    <s v="EXISTING TOWER(OML+TML+KSGM (OLD+NEW)): 89.26%"/>
    <s v="OK"/>
    <s v="N/A"/>
    <m/>
    <m/>
    <s v="Monitor PE poss candiate for PE upgrade"/>
    <s v="OK"/>
    <s v="No"/>
    <s v="No action needed "/>
    <m/>
    <m/>
    <m/>
    <m/>
    <m/>
    <m/>
    <m/>
    <d v="2018-11-19T12:07:25"/>
    <d v="2018-11-19T17:29:11"/>
    <d v="2018-11-26T11:19:08"/>
    <d v="2018-11-19T12:07:25"/>
    <d v="2018-11-20T08:50:55"/>
    <d v="2018-11-19T18:23:28"/>
    <d v="2018-11-26T11:19:08"/>
    <n v="10.471621875003621"/>
    <n v="0"/>
    <s v="No File"/>
    <s v="ANMD_0132 (MDY0042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132 (MDY00422) Application Rev 1.xlsx"/>
    <m/>
  </r>
  <r>
    <n v="3416"/>
    <s v="AYYN_0264"/>
    <s v="Apollo"/>
    <s v="Southern"/>
    <s v="YGNINSN003"/>
    <s v="Amara"/>
    <s v="Amara Phase 1"/>
    <s v="On Air"/>
    <s v="Remove Equipment"/>
    <s v="1"/>
    <x v="35"/>
    <m/>
    <m/>
    <n v="3"/>
    <s v="SQM"/>
    <s v="18"/>
    <s v="23"/>
    <x v="0"/>
    <m/>
    <s v="Not Required"/>
    <m/>
    <s v="Not Required"/>
    <m/>
    <s v="OK"/>
    <s v="Existing on tower - ( Assume ) TML with 4.93 EPA/ OML with 10.14 EPA / Mytel with 2.55 EPA/ Amara with 2.97 EPA  ( Remove MW )"/>
    <s v="Not Required"/>
    <m/>
    <m/>
    <s v="No"/>
    <s v="Strengthened Tower : OML+TML+MYTEL+AMARA (OLD+NEW) =  206.4%_x000a_GTL did not consider underground water in design strengthening calculation since this site has flood history that is the reason why the foundation is failing."/>
    <s v="Not Required"/>
    <m/>
    <m/>
    <m/>
    <m/>
    <s v="Not Required"/>
    <m/>
    <m/>
    <s v="Not Required"/>
    <m/>
    <s v="Not Required"/>
    <m/>
    <m/>
    <s v="OK"/>
    <m/>
    <d v="2018-11-15T17:36:57"/>
    <m/>
    <m/>
    <m/>
    <m/>
    <m/>
    <d v="2018-12-13T15:45:58"/>
    <n v="28.656926504598232"/>
    <n v="0"/>
    <s v="No File"/>
    <s v="AYYN_0264 (YGNINSN00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264 (YGNINSN003) Application Rev 1.xlsx"/>
    <m/>
  </r>
  <r>
    <n v="3417"/>
    <s v="AYYN_0334"/>
    <s v="Apollo"/>
    <s v="Southern"/>
    <s v="YGNMYGE005"/>
    <s v="Amara"/>
    <s v="Amara Phase 1"/>
    <s v="On Air"/>
    <s v="Remove Equipment"/>
    <s v="1"/>
    <x v="35"/>
    <m/>
    <m/>
    <n v="3.1"/>
    <s v="SQM"/>
    <s v="17.4"/>
    <s v="22.4"/>
    <x v="0"/>
    <m/>
    <s v="Not Required"/>
    <m/>
    <s v="Not Required"/>
    <m/>
    <s v="OK"/>
    <s v="Existing on tower - ( Assume ) TML with 4.02 EPA/  Amara Colo Apps with  EPA 3.19  ( Remove MW )"/>
    <s v="Not Required"/>
    <m/>
    <m/>
    <m/>
    <m/>
    <s v="Not Required"/>
    <m/>
    <m/>
    <m/>
    <m/>
    <s v="Not Required"/>
    <m/>
    <m/>
    <s v="Not Required"/>
    <m/>
    <s v="Not Required"/>
    <m/>
    <m/>
    <s v="OK"/>
    <m/>
    <d v="2018-11-15T17:36:57"/>
    <m/>
    <m/>
    <m/>
    <m/>
    <m/>
    <d v="2018-12-13T15:45:59"/>
    <n v="28.656927777803503"/>
    <n v="0"/>
    <s v="No File"/>
    <s v="AYYN_0334 (YGNMYGE00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334 (YGNMYGE005) Application Rev 1.xlsx"/>
    <m/>
  </r>
  <r>
    <n v="3418"/>
    <s v="AYYN_0579"/>
    <s v="Apollo"/>
    <s v="Southern"/>
    <s v="YGNSPTR024"/>
    <s v="Amara"/>
    <s v="Amara Phase 1"/>
    <s v="On Air"/>
    <s v="Remove Equipment"/>
    <s v="1"/>
    <x v="35"/>
    <m/>
    <m/>
    <n v="2.97"/>
    <s v="SQM"/>
    <s v="31"/>
    <s v="35"/>
    <x v="0"/>
    <m/>
    <s v="Not Required"/>
    <m/>
    <s v="Not Required"/>
    <m/>
    <s v="OK"/>
    <s v="Existing on tower - ( Assume ) TML with 4.96 EPA/ OML with 11.43 /   Amara Colo Apps with 3.35 EPA  ( Remove MW )"/>
    <s v="OK"/>
    <m/>
    <m/>
    <s v="Yes"/>
    <s v="Strengthened Tower : OML+TML+MYTEL+AMARA (OLD+NEW) = 88.2%_x000a_(FDN Retrofitting but it was not installed yet. However, it was considered in the analysis already)"/>
    <s v="Not Required"/>
    <m/>
    <m/>
    <m/>
    <m/>
    <s v="Not Required"/>
    <m/>
    <m/>
    <s v="Not Required"/>
    <m/>
    <s v="Not Required"/>
    <m/>
    <m/>
    <s v="OK"/>
    <m/>
    <d v="2018-11-15T17:36:57"/>
    <m/>
    <d v="2018-12-07T17:28:48"/>
    <m/>
    <m/>
    <m/>
    <d v="2018-12-13T15:45:59"/>
    <n v="28.656928935197357"/>
    <n v="0"/>
    <s v="No File"/>
    <s v="AYYN_0579 (YGNSPTR024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579 (YGNSPTR024) Application Rev 1.xlsx"/>
    <m/>
  </r>
  <r>
    <n v="3419"/>
    <s v="AYYN_0553"/>
    <s v="Apollo"/>
    <s v="Southern"/>
    <s v="YGNTKTA010"/>
    <s v="Amara"/>
    <s v="Amara Phase 1"/>
    <s v="On Air"/>
    <s v="Remove Equipment"/>
    <s v="1"/>
    <x v="35"/>
    <m/>
    <m/>
    <n v="3"/>
    <s v="SQM"/>
    <m/>
    <s v="4.5"/>
    <x v="0"/>
    <m/>
    <s v="Not Required"/>
    <m/>
    <s v="Not Required"/>
    <m/>
    <s v="OK"/>
    <s v="Existing on tower - ( Assume ) TML with 4.96 EPA/ OML with 11.43 /   Amara Colo Apps with 2.97 EPA  ( Remove MW )"/>
    <s v="Not Required"/>
    <m/>
    <m/>
    <m/>
    <m/>
    <s v="Not Required"/>
    <m/>
    <m/>
    <m/>
    <m/>
    <s v="Not Required"/>
    <m/>
    <m/>
    <s v="Not Required"/>
    <m/>
    <s v="Not Required"/>
    <m/>
    <m/>
    <s v="OK"/>
    <m/>
    <d v="2018-11-15T17:36:57"/>
    <m/>
    <m/>
    <m/>
    <m/>
    <m/>
    <d v="2018-12-13T15:45:59"/>
    <n v="28.656929861099343"/>
    <n v="0"/>
    <s v="No File"/>
    <s v="AYYN_0553 (YGNTKTA010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553 (YGNTKTA010) Application Rev 1.xlsx"/>
    <m/>
  </r>
  <r>
    <n v="3424"/>
    <s v="AYYN_0306"/>
    <s v="Apollo"/>
    <s v="Southern"/>
    <s v="YAW7763"/>
    <s v="OML"/>
    <s v="Colocation"/>
    <m/>
    <s v="New Colocation"/>
    <s v="1"/>
    <x v="35"/>
    <n v="3"/>
    <n v="3.6"/>
    <n v="4.5"/>
    <s v="EPA"/>
    <s v="10"/>
    <s v="15"/>
    <x v="0"/>
    <m/>
    <s v="OK"/>
    <s v="19-Nov-18: If structural team is okay then can go with easy micro soultion_x000a_6-July-17: Structural issue cant go for any co-location."/>
    <s v="OK"/>
    <m/>
    <s v="OK"/>
    <s v="Requested OML EPA - 3.78 EPA ( Require Colo Apps for more details ) -  Existing on tower ( assume ) TML - 3.02 EPA"/>
    <s v="OK"/>
    <m/>
    <m/>
    <s v="No"/>
    <s v="Total EPA is 3.02+6 =9.02&lt; 18 EPA Design - OK (Preliminaly Tower Assessment), OML 6.0EPA Required"/>
    <s v="OK"/>
    <s v="1 week"/>
    <m/>
    <m/>
    <s v="DCDB only"/>
    <s v="OK"/>
    <s v="No"/>
    <s v="Can use the existing slab - Space to reconfirm base on TSS "/>
    <m/>
    <m/>
    <m/>
    <m/>
    <m/>
    <m/>
    <m/>
    <d v="2018-11-16T10:04:35"/>
    <d v="2018-11-16T09:37:51"/>
    <d v="2018-12-13T13:21:55"/>
    <d v="2018-11-15T17:36:58"/>
    <d v="2018-11-20T08:50:55"/>
    <d v="2018-11-15T15:47:16"/>
    <d v="2018-12-13T13:21:55"/>
    <n v="28.556885532401793"/>
    <n v="0"/>
    <s v="No File"/>
    <s v="AYYN_0306 (YAW7763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306 (YAW7763) Application Rev 1.xlsx"/>
    <m/>
  </r>
  <r>
    <n v="3426"/>
    <s v="1-01-05027-009"/>
    <s v="Pan Asia"/>
    <s v="Northern"/>
    <s v="SGG00227"/>
    <s v="MPT"/>
    <s v="MPT  Phase 1b Colo"/>
    <s v="On Air"/>
    <s v="MS"/>
    <s v="3"/>
    <x v="35"/>
    <n v="2.1259999999999999"/>
    <n v="4.0149999999999997"/>
    <n v="3.3250000000000002"/>
    <s v="SQM"/>
    <s v="33"/>
    <s v="38"/>
    <x v="0"/>
    <m/>
    <s v="OK"/>
    <m/>
    <s v="Not Required"/>
    <m/>
    <s v="OK"/>
    <s v="Existing on tower actual - OML 9.18 sqm /MPT - 2.69 sqm / TML - 3.20 sqm  ) change 1 RF to smaller dimension "/>
    <s v="OK"/>
    <m/>
    <m/>
    <s v="No"/>
    <s v="EXISTING TOWER(OP1+OP4+OP3(OLD+NEW)):    102.93%_x000a_EXISTING TOWER(OP1+OP4+OP3(OLD)):  103.77%"/>
    <s v="OK"/>
    <s v="2019-01-24"/>
    <m/>
    <d v="1900-01-01T07:12:00"/>
    <s v="PE system upgrade"/>
    <s v="OK"/>
    <s v="No"/>
    <s v="No action needed "/>
    <m/>
    <m/>
    <m/>
    <m/>
    <m/>
    <m/>
    <m/>
    <d v="2018-11-16T10:04:35"/>
    <d v="2018-12-17T08:53:27"/>
    <d v="2018-11-19T11:10:58"/>
    <d v="2018-11-16T10:04:35"/>
    <d v="2018-11-20T08:50:55"/>
    <m/>
    <d v="2018-12-17T09:21:06"/>
    <n v="32.389657291700132"/>
    <n v="0"/>
    <s v="No File"/>
    <s v="1-01-05027-009 (SGG00227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9 (SGG00227) Application Rev 3.xlsx"/>
    <m/>
  </r>
  <r>
    <n v="3427"/>
    <s v="1-01-15011-001"/>
    <s v="Pan Asia"/>
    <s v="Northern"/>
    <s v="SHN00043"/>
    <s v="MPT"/>
    <s v="MPT  Phase 1b Colo"/>
    <s v="On Air"/>
    <s v="LTE"/>
    <s v="3"/>
    <x v="35"/>
    <n v="1.9890000000000001"/>
    <n v="3.6110000000000002"/>
    <n v="4.37"/>
    <s v="SQM"/>
    <s v="33"/>
    <s v="38"/>
    <x v="0"/>
    <m/>
    <s v="OK"/>
    <m/>
    <s v="Not Required"/>
    <m/>
    <s v="OK"/>
    <s v="Existing on tower actual - OML 6.29 sqm /MPT - 2.71 sqm  )- Increase 3 RF dimension and add RRU "/>
    <s v="OK"/>
    <m/>
    <m/>
    <s v="No"/>
    <s v="EXISTING TOWER(OP1+OP3(OLD+NEW)):     78%_x000a_EXISTING TOWER(OP1+OP3(OLD)):  77 %"/>
    <s v="OK"/>
    <s v="1-2 weeks"/>
    <m/>
    <d v="1899-12-31T12:00:00"/>
    <s v="DCDB for MPT tapping from OML integrated cabinet"/>
    <s v="OK"/>
    <s v="No"/>
    <s v="No action needed "/>
    <m/>
    <m/>
    <m/>
    <m/>
    <m/>
    <m/>
    <m/>
    <d v="2018-11-16T10:04:35"/>
    <d v="2018-11-16T13:19:54"/>
    <d v="2018-11-19T11:10:58"/>
    <d v="2018-11-16T10:04:35"/>
    <d v="2018-11-20T08:50:55"/>
    <m/>
    <d v="2018-11-20T08:50:55"/>
    <n v="5.3686964119988261"/>
    <n v="0"/>
    <s v="No File"/>
    <s v="1-01-15011-001 (SHN0004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1-001 (SHN00043) Application Rev 3.xlsx"/>
    <m/>
  </r>
  <r>
    <n v="3415"/>
    <s v="AYYN_0583"/>
    <s v="Apollo"/>
    <s v="Southern"/>
    <s v="YGNSPTR021"/>
    <s v="Amara"/>
    <s v="Amara Phase 1"/>
    <s v="On Air"/>
    <s v="r-remove"/>
    <s v="1"/>
    <x v="36"/>
    <m/>
    <m/>
    <n v="6"/>
    <s v="EPA"/>
    <s v="32"/>
    <s v="35"/>
    <x v="0"/>
    <m/>
    <s v="Not Required"/>
    <m/>
    <s v="Not Required"/>
    <m/>
    <s v="OK"/>
    <s v="Existing on tower - ( Assume ) TML with 4.48 EPA/ OML with 7.13 EPA / MPT with 1.02 EPA /Mytel with 2.09 EPA/ Amara with 3.52 EPA  ( Remove MW )"/>
    <s v="OK"/>
    <m/>
    <m/>
    <s v="No"/>
    <s v="Existing Tower(TML+OML+MPT+MYTEL+AMARA) : 102.44%"/>
    <s v="Not Required"/>
    <m/>
    <m/>
    <m/>
    <m/>
    <s v="Not Required"/>
    <m/>
    <m/>
    <s v="Not Required"/>
    <m/>
    <s v="Not Required"/>
    <m/>
    <m/>
    <m/>
    <m/>
    <d v="2018-11-15T17:36:57"/>
    <m/>
    <d v="2018-11-23T17:11:58"/>
    <m/>
    <m/>
    <m/>
    <d v="2018-11-23T17:11:58"/>
    <n v="9.7166425925970543"/>
    <n v="0"/>
    <s v="No File"/>
    <s v="AYYN_0583 (YGNSPTR02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583 (YGNSPTR021) Application Rev 1.xlsx"/>
    <m/>
  </r>
  <r>
    <n v="3413"/>
    <s v="1-01-01002-008"/>
    <s v="Pan Asia"/>
    <s v="Northern"/>
    <s v="KCN00372"/>
    <s v="MPT"/>
    <s v="MPT  Phase 1b Colo"/>
    <s v="On Air"/>
    <s v="TS  _ v1"/>
    <s v="2"/>
    <x v="37"/>
    <m/>
    <m/>
    <n v="3.07"/>
    <s v="SQM"/>
    <s v="45"/>
    <s v="50"/>
    <x v="0"/>
    <m/>
    <s v="Not Required"/>
    <m/>
    <s v="Not Required"/>
    <m/>
    <s v="OK"/>
    <s v="Existing on tower actual - OML 13.53 sqm ( UE Down 59.60 - 48.60 ) /MPT - 3.07 sqm / Mytel - 1.74 sqm  )- Changed Model name "/>
    <s v="Not Required"/>
    <m/>
    <m/>
    <m/>
    <m/>
    <s v="Review"/>
    <s v="120 days min"/>
    <m/>
    <d v="1899-12-31T14:24:00"/>
    <s v="PE upgrade required "/>
    <s v="OK"/>
    <s v="No"/>
    <s v="No action needed "/>
    <m/>
    <m/>
    <m/>
    <m/>
    <m/>
    <m/>
    <m/>
    <d v="2018-11-14T08:53:34"/>
    <m/>
    <m/>
    <d v="2018-11-14T08:53:34"/>
    <m/>
    <m/>
    <d v="2018-11-14T08:53:34"/>
    <n v="1.3705266203978681"/>
    <n v="0"/>
    <s v="No File"/>
    <s v="1-01-01002-008 (KCN0037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2-008 (KCN00372) Application Rev 2.xlsx"/>
    <m/>
  </r>
  <r>
    <n v="3414"/>
    <s v="1-01-15012-002"/>
    <s v="Pan Asia"/>
    <s v="Northern"/>
    <s v="SHN00218"/>
    <s v="MPT"/>
    <s v="MPT  Phase 1b Colo"/>
    <s v="On Air"/>
    <s v="TS  _ v1"/>
    <s v="1"/>
    <x v="37"/>
    <m/>
    <m/>
    <n v="2.82"/>
    <s v="SQM"/>
    <s v="48"/>
    <s v="53"/>
    <x v="0"/>
    <m/>
    <s v="Not Required"/>
    <s v="Rental increase was granted sometime in August 2016, which doubled the initial agreed rate; LL/Lessor recently asking for 100k/month on top of the current rate of 400k/month"/>
    <s v="OK"/>
    <m/>
    <s v="OK"/>
    <s v="Existing on tower actual - OML 7.20 sqm  /MPT - 2.50 sqm / TML 3.47 / Mytel - 1.53 sqm  )- Add 1 MW ( 0.6 ) and add 1 ODU ."/>
    <s v="OK"/>
    <m/>
    <m/>
    <s v="No"/>
    <s v="STR TOWER(OP1+OP4+OP5+OP3(OLD+NEW)): 104.84%_x000a_STR TOWER(OP1+OP4+OP5+OP3(OLD)):104.02%"/>
    <s v="OK"/>
    <s v="1-2 weeks"/>
    <m/>
    <d v="1899-12-31T14:24:00"/>
    <s v="DCDB for MPT tapping from OML integrated cabinet"/>
    <s v="OK"/>
    <s v="No"/>
    <s v="No action needed "/>
    <m/>
    <m/>
    <m/>
    <m/>
    <m/>
    <m/>
    <m/>
    <d v="2018-11-14T08:53:34"/>
    <d v="2018-11-15T18:03:33"/>
    <d v="2018-11-15T10:32:13"/>
    <d v="2018-11-14T08:53:34"/>
    <m/>
    <d v="2018-12-18T17:22:47"/>
    <d v="2018-12-18T16:54:30"/>
    <n v="35.704516088000673"/>
    <n v="0"/>
    <s v="No File"/>
    <s v="1-01-15012-002 (SHN00218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2-002 (SHN00218) Application Rev 1.xlsx"/>
    <m/>
  </r>
  <r>
    <n v="3411"/>
    <s v="1-01-05027-008"/>
    <s v="Pan Asia"/>
    <s v="Northern"/>
    <s v="SGG00158"/>
    <s v="MPT"/>
    <s v="MPT  Phase 1b Colo"/>
    <s v="On Air"/>
    <s v="_x000a_MS _v1"/>
    <s v="3"/>
    <x v="38"/>
    <m/>
    <n v="2.2999999999999998"/>
    <n v="3.113"/>
    <s v="SQM"/>
    <s v="16"/>
    <s v="21"/>
    <x v="0"/>
    <m/>
    <s v="Not Required"/>
    <m/>
    <s v="Not Required"/>
    <m/>
    <s v="OK"/>
    <s v="Existing on tower actual - OML 6.91 sqm / MPT - 3.11 sqm )- Add ODU and RRU "/>
    <s v="OK"/>
    <m/>
    <m/>
    <s v="No"/>
    <s v="Existing Tower: OML+KSGM (OLD+NEW) = 62.9%_x000a_Existing Tower: OML+KSGM (OLD) = 62.9"/>
    <s v="Not Required"/>
    <m/>
    <m/>
    <m/>
    <m/>
    <m/>
    <m/>
    <m/>
    <m/>
    <m/>
    <m/>
    <m/>
    <m/>
    <m/>
    <m/>
    <m/>
    <m/>
    <m/>
    <m/>
    <m/>
    <m/>
    <d v="2018-11-08T00:00:00"/>
    <s v="Not  Calculated"/>
    <n v="0"/>
    <s v="No File"/>
    <s v="1-01-05027-008 (SGG00158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8 (SGG00158) Application Rev 3.xlsx"/>
    <m/>
  </r>
  <r>
    <n v="3412"/>
    <s v="1-01-15011-001"/>
    <s v="Pan Asia"/>
    <s v="Northern"/>
    <s v="SHN00043"/>
    <s v="MPT"/>
    <s v="MPT  Phase 1b Colo"/>
    <s v="On Air"/>
    <s v="TS _v1"/>
    <s v="2"/>
    <x v="38"/>
    <m/>
    <n v="1.462"/>
    <n v="2.714"/>
    <s v="SQM"/>
    <s v="33"/>
    <s v="38"/>
    <x v="0"/>
    <m/>
    <s v="Not Required"/>
    <m/>
    <s v="Not Required"/>
    <m/>
    <s v="OK"/>
    <s v="Existing on tower actual - OML 6.29 sqm / MPT - 2.71 sqm )- change MW height to 33.5 - Same loading as before "/>
    <s v="OK"/>
    <m/>
    <m/>
    <s v="No"/>
    <s v="EXISTING TOWER(OP1+OP3(OLD+NEW)):     77%_x000a_EXISTING TOWER(OP1+OP3(OLD)):  77 %"/>
    <s v="Not Required"/>
    <m/>
    <m/>
    <m/>
    <m/>
    <m/>
    <m/>
    <m/>
    <m/>
    <m/>
    <m/>
    <m/>
    <m/>
    <m/>
    <m/>
    <m/>
    <m/>
    <m/>
    <m/>
    <m/>
    <m/>
    <d v="2018-11-08T00:00:00"/>
    <s v="Not  Calculated"/>
    <n v="0"/>
    <s v="No File"/>
    <s v="1-01-15011-001 (SHN0004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1-001 (SHN00043) Application Rev 2.xlsx"/>
    <m/>
  </r>
  <r>
    <n v="3405"/>
    <s v="1-01-04004-007"/>
    <s v="Pan Asia"/>
    <s v="Central"/>
    <s v="CHN00118"/>
    <s v="MPT"/>
    <s v="MPT  Phase 1b Colo"/>
    <s v="On Air"/>
    <s v="UPG"/>
    <s v="2"/>
    <x v="39"/>
    <m/>
    <n v="2.456"/>
    <n v="6.2130000000000001"/>
    <s v="SQM"/>
    <s v="42.5"/>
    <s v="47.5"/>
    <x v="0"/>
    <m/>
    <s v="Not Required"/>
    <m/>
    <s v="Not Required"/>
    <m/>
    <s v="OK"/>
    <s v="Existing on tower actual - OML 6.38 sqm / MPT - 4.26 sqm )- Change RF Dimension and add RRU "/>
    <s v="OK"/>
    <m/>
    <m/>
    <s v="No"/>
    <s v="STRENGTHENED TOWER(OP1+OP3(OLD+NEW)): 99.5%_x000a_STRENGTHENED  TOWER(OP1+OP3(OLD)): 98.3%"/>
    <s v="Not Required"/>
    <m/>
    <m/>
    <m/>
    <m/>
    <m/>
    <m/>
    <m/>
    <m/>
    <m/>
    <m/>
    <m/>
    <m/>
    <m/>
    <m/>
    <m/>
    <m/>
    <m/>
    <m/>
    <m/>
    <m/>
    <d v="2018-11-07T00:00:00"/>
    <s v="Not  Calculated"/>
    <n v="0"/>
    <s v="No File"/>
    <s v="1-01-04004-007 (CHN0011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4004-007 (CHN00118) Application Rev 2.xlsx"/>
    <m/>
  </r>
  <r>
    <n v="3406"/>
    <s v="1-01-05005-006"/>
    <s v="Pan Asia"/>
    <s v="Northern"/>
    <s v="SGG00246"/>
    <s v="MPT"/>
    <s v="MPT  Phase 1b Colo"/>
    <s v="On Air"/>
    <s v="LTE"/>
    <s v="3"/>
    <x v="39"/>
    <m/>
    <n v="3.6110000000000002"/>
    <n v="7.94"/>
    <s v="SQM"/>
    <s v="48"/>
    <s v="53"/>
    <x v="0"/>
    <m/>
    <s v="Not Required"/>
    <m/>
    <s v="Not Required"/>
    <m/>
    <s v="OK"/>
    <s v="Existing on tower actual - OML 14.21 sqm / MPT - 6.37 sqm )- Change RF Dimension and add RRU "/>
    <s v="OK"/>
    <m/>
    <m/>
    <s v="No"/>
    <s v="Existing Tower: OML+1.2MW(UE)+KSGM (OLD+NEW) = 102.0%_x000a_Existing Tower: OML+1.2MW(UE)+KSGM (OLD) = 95.1%"/>
    <s v="Not Required"/>
    <m/>
    <m/>
    <m/>
    <m/>
    <m/>
    <m/>
    <m/>
    <m/>
    <m/>
    <m/>
    <m/>
    <m/>
    <m/>
    <m/>
    <m/>
    <m/>
    <m/>
    <m/>
    <m/>
    <m/>
    <d v="2018-11-07T00:00:00"/>
    <s v="Not  Calculated"/>
    <n v="0"/>
    <s v="No File"/>
    <s v="1-01-05005-006 (SGG00246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05-006 (SGG00246) Application Rev 3.xlsx"/>
    <m/>
  </r>
  <r>
    <n v="3407"/>
    <s v="1-01-14001-033"/>
    <s v="Pan Asia"/>
    <s v="Central"/>
    <s v="SHS00466"/>
    <s v="MPT"/>
    <s v="MPT  Phase 1b Colo"/>
    <s v="On Air"/>
    <s v="EXC"/>
    <s v="3"/>
    <x v="39"/>
    <m/>
    <n v="2.1"/>
    <n v="2.91"/>
    <s v="SQM"/>
    <s v="48"/>
    <s v="53"/>
    <x v="0"/>
    <m/>
    <s v="Not Required"/>
    <m/>
    <s v="Not Required"/>
    <m/>
    <s v="OK"/>
    <s v="Existing on tower actual - OML 9.85 sqm / MPT - 2.86 sqm / Mytel - 2.69sqm )- Change MW Dimension"/>
    <s v="OK"/>
    <m/>
    <m/>
    <s v="No"/>
    <s v="Strengthened Tower: OML+MYTEL+KSGM (OLD+NEW) = 77.9%_x000a_Strengthened Tower: OML+MYTEL+KSGM (OLD) = 77.5%"/>
    <s v="Not Required"/>
    <m/>
    <m/>
    <m/>
    <m/>
    <m/>
    <m/>
    <m/>
    <m/>
    <m/>
    <m/>
    <m/>
    <m/>
    <m/>
    <m/>
    <m/>
    <m/>
    <m/>
    <m/>
    <m/>
    <m/>
    <d v="2018-11-07T00:00:00"/>
    <s v="Not  Calculated"/>
    <n v="0"/>
    <s v="No File"/>
    <s v="1-01-14001-033 (SHS00466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33 (SHS00466) Application Rev 3.xlsx"/>
    <m/>
  </r>
  <r>
    <n v="3394"/>
    <s v="1-01-04007-009"/>
    <s v="Pan Asia"/>
    <s v="Central"/>
    <s v="CHN00225"/>
    <s v="MPT"/>
    <s v="MPT Phase 2 Colo"/>
    <s v="RFI"/>
    <s v="Relo-TS"/>
    <s v="0"/>
    <x v="40"/>
    <m/>
    <n v="0.879"/>
    <n v="3.99"/>
    <s v="SQM"/>
    <s v="42.5"/>
    <s v="47.5"/>
    <x v="0"/>
    <m/>
    <s v="Not Required"/>
    <m/>
    <s v="Not Required"/>
    <m/>
    <s v="OK"/>
    <s v="Existing on tower actual - OML 6.58 sqm /TML - 2.89sqm )- New Colo Application "/>
    <s v="OK"/>
    <m/>
    <m/>
    <s v="No"/>
    <s v="Strengthened Tower: OML+TML+KSGM (OLD+NEW) = 89.7%_x000a_Strengthened Tower: OML+TML+KSGM (OLD) = 80.67%"/>
    <s v="Not Required"/>
    <m/>
    <m/>
    <m/>
    <m/>
    <m/>
    <m/>
    <m/>
    <m/>
    <m/>
    <s v="OK"/>
    <m/>
    <m/>
    <m/>
    <m/>
    <m/>
    <m/>
    <m/>
    <m/>
    <m/>
    <m/>
    <d v="2018-11-05T00:00:00"/>
    <s v="Not  Calculated"/>
    <n v="0"/>
    <s v="No File"/>
    <s v="1-01-04007-009 (CHN00225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4007-009 (CHN00225) Application Rev 0.xlsx"/>
    <m/>
  </r>
  <r>
    <n v="3395"/>
    <s v="1-01-17009-002"/>
    <s v="Pan Asia"/>
    <s v="Southern"/>
    <s v="AWD00481"/>
    <s v="MPT"/>
    <s v="MPT  Phase 1b Colo"/>
    <s v="On Air"/>
    <s v="UPG _ v1"/>
    <s v="3"/>
    <x v="40"/>
    <m/>
    <n v="2.1"/>
    <n v="3.2469999999999999"/>
    <s v="SQM"/>
    <s v="42.5"/>
    <s v="47.5"/>
    <x v="0"/>
    <m/>
    <s v="Not Required"/>
    <m/>
    <s v="Not Required"/>
    <m/>
    <s v="OK"/>
    <s v="Existing on tower actual - OML 7.72 sqm /MPT - 3.42 sqm / TML - 4.50 sqm )- Add ODU "/>
    <s v="OK"/>
    <m/>
    <m/>
    <s v="No"/>
    <s v="Existing Tower; OML + TML + KSGM (OLD+NEW) = 99.4%_x000a_Existing Tower; OML + TML + KSGM (OLD) = 99.4%"/>
    <m/>
    <m/>
    <m/>
    <m/>
    <m/>
    <m/>
    <m/>
    <m/>
    <m/>
    <m/>
    <m/>
    <m/>
    <m/>
    <m/>
    <m/>
    <m/>
    <m/>
    <m/>
    <m/>
    <m/>
    <m/>
    <d v="2018-11-05T00:00:00"/>
    <s v="Not  Calculated"/>
    <n v="0"/>
    <s v="No File"/>
    <s v="1-01-17009-002 (AWD00481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09-002 (AWD00481) Application Rev 3.xlsx"/>
    <m/>
  </r>
  <r>
    <n v="3396"/>
    <s v="1-01-05027-002"/>
    <s v="Pan Asia"/>
    <s v="Northern"/>
    <s v="SGG00113"/>
    <s v="MPT"/>
    <s v="MPT  Phase 1b Colo"/>
    <s v="On Air"/>
    <s v="LTE"/>
    <s v="3"/>
    <x v="40"/>
    <m/>
    <n v="5.1470000000000002"/>
    <n v="4.3600000000000003"/>
    <s v="SQM"/>
    <s v="39.5"/>
    <s v="44.5"/>
    <x v="0"/>
    <m/>
    <s v="Not Required"/>
    <m/>
    <s v="Not Required"/>
    <m/>
    <s v="OK"/>
    <s v="Existing on tower actual - OML 10.58 sqm ( UE Down - OML Occupied Area 54.90 - 49.46 )/MPT - 2.97 sqm  )- Add RRU and Change RF Dimension "/>
    <s v="OK"/>
    <m/>
    <m/>
    <s v="No"/>
    <s v="EXISTING TOWER(OP1+OP3(OLD+NEW)): 104.5  %_x000a_EXISTING TOWER(OP1+OP3(OLD)): 97.4%"/>
    <m/>
    <m/>
    <m/>
    <m/>
    <m/>
    <m/>
    <m/>
    <m/>
    <m/>
    <m/>
    <m/>
    <m/>
    <m/>
    <m/>
    <m/>
    <m/>
    <m/>
    <m/>
    <m/>
    <m/>
    <m/>
    <d v="2018-11-05T00:00:00"/>
    <s v="Not  Calculated"/>
    <n v="0"/>
    <s v="No File"/>
    <s v="1-01-05027-002 (SGG00113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2 (SGG00113) Application Rev 3.xlsx"/>
    <m/>
  </r>
  <r>
    <n v="3397"/>
    <s v="1-01-16001-003"/>
    <s v="Pan Asia"/>
    <s v="Central"/>
    <s v="SHE00021"/>
    <s v="MPT"/>
    <s v="MPT  Phase 1b Colo"/>
    <s v="On Air"/>
    <s v="MS _ v1"/>
    <s v="3"/>
    <x v="40"/>
    <m/>
    <n v="2.7"/>
    <n v="3.5920000000000001"/>
    <s v="SQM"/>
    <s v="33"/>
    <s v="38"/>
    <x v="0"/>
    <m/>
    <s v="Not Required"/>
    <m/>
    <s v="Not Required"/>
    <m/>
    <s v="OK"/>
    <s v="Existing on tower actual - OML 7.76 sqm /MPT - 2.61 sqm - Add RRU and Change RF Dimension "/>
    <s v="OK"/>
    <m/>
    <m/>
    <s v="No"/>
    <s v="STR TOWER(OP1+OP3(OLD+NEW)): 80.5%_x000a_STR TOWER(OP1+OP3(OLD)): 79.3%"/>
    <s v="Not Required"/>
    <m/>
    <m/>
    <m/>
    <m/>
    <m/>
    <m/>
    <m/>
    <m/>
    <m/>
    <m/>
    <m/>
    <m/>
    <m/>
    <m/>
    <m/>
    <m/>
    <m/>
    <m/>
    <m/>
    <m/>
    <d v="2018-11-05T00:00:00"/>
    <s v="Not  Calculated"/>
    <n v="0"/>
    <s v="No File"/>
    <s v="1-01-16001-003 (SHE00021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6001-003 (SHE00021) Application Rev 3.xlsx"/>
    <m/>
  </r>
  <r>
    <n v="3398"/>
    <s v="1-01-10015-003"/>
    <s v="Pan Asia"/>
    <s v="Northern"/>
    <s v="MDY00347"/>
    <s v="MPT"/>
    <s v="MPT  Phase 1b Colo"/>
    <s v="On Air"/>
    <s v="LTE"/>
    <s v="2"/>
    <x v="40"/>
    <m/>
    <n v="3.5489999999999999"/>
    <n v="7.0659999999999998"/>
    <s v="SQM"/>
    <s v="48"/>
    <s v="53"/>
    <x v="0"/>
    <m/>
    <s v="Not Required"/>
    <m/>
    <s v="Not Required"/>
    <m/>
    <s v="OK"/>
    <s v="Existing on tower actual - OML 8.34 sqm /MPT - 4.16 sqm - Add RRU and Change RF Dimension "/>
    <s v="OK"/>
    <m/>
    <m/>
    <s v="No"/>
    <s v="EXISTING TOWER(OP1+OP3(OLD+NEW)): 96.2  %_x000a_EXISTING TOWER(OP1+OP3(OLD)): 94.1%"/>
    <s v="Not Required"/>
    <m/>
    <m/>
    <m/>
    <m/>
    <m/>
    <m/>
    <m/>
    <m/>
    <m/>
    <m/>
    <m/>
    <m/>
    <m/>
    <m/>
    <m/>
    <m/>
    <m/>
    <m/>
    <m/>
    <m/>
    <d v="2018-11-05T00:00:00"/>
    <s v="Not  Calculated"/>
    <n v="0"/>
    <s v="No File"/>
    <s v="1-01-10015-003 (MDY0034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0015-003 (MDY00347) Application Rev 2.xlsx"/>
    <m/>
  </r>
  <r>
    <n v="3399"/>
    <s v="1-01-05027-006"/>
    <s v="Pan Asia"/>
    <s v="Northern"/>
    <s v="SGG00225"/>
    <s v="MPT"/>
    <s v="MPT  Phase 1b Colo"/>
    <s v="On Air"/>
    <s v="LTE"/>
    <s v="1"/>
    <x v="40"/>
    <m/>
    <n v="3.649"/>
    <n v="7"/>
    <s v="SQM"/>
    <s v="48"/>
    <s v="53"/>
    <x v="0"/>
    <m/>
    <s v="Not Required"/>
    <m/>
    <s v="Not Required"/>
    <m/>
    <s v="OK"/>
    <s v="Existing on tower actual - OML 8.91 sqm /MPT - 5.29 sqm / TML - 3.51 sqm )- Add RRU and Change RF Dimension "/>
    <s v="OK"/>
    <m/>
    <m/>
    <s v="No"/>
    <s v="EXISTING TOWER(OP1+OP4+OP3(OLD+NEW)):  99.9%_x000a_EXISTING TOWER(OP1+OP4+OP3(OLD)): 99%"/>
    <s v="Not Required"/>
    <m/>
    <m/>
    <m/>
    <m/>
    <m/>
    <m/>
    <m/>
    <m/>
    <m/>
    <m/>
    <m/>
    <m/>
    <m/>
    <m/>
    <m/>
    <m/>
    <m/>
    <m/>
    <m/>
    <m/>
    <d v="2018-11-05T00:00:00"/>
    <s v="Not  Calculated"/>
    <n v="0"/>
    <s v="No File"/>
    <s v="1-01-05027-006 (SGG00225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6 (SGG00225) Application Rev 1.xlsx"/>
    <m/>
  </r>
  <r>
    <n v="3400"/>
    <s v="1-01-05018-006"/>
    <s v="Pan Asia"/>
    <s v="Northern"/>
    <s v="SGG00198"/>
    <s v="MPT"/>
    <s v="MPT  Phase 1b Colo"/>
    <s v="On Air"/>
    <s v="LTE"/>
    <s v="3"/>
    <x v="40"/>
    <m/>
    <n v="3.6110000000000002"/>
    <n v="5.5419999999999998"/>
    <s v="SQM"/>
    <s v="46.5"/>
    <s v="51.5"/>
    <x v="0"/>
    <m/>
    <s v="Not Required"/>
    <m/>
    <s v="Not Required"/>
    <m/>
    <s v="OK"/>
    <s v="Existing on tower actual - OML 7.84 sqm ( UE Down 58.00 - 52.43 ) /MPT - 3.88 sqm / TML - 3.79 sqm )- Added RRU and Change RF Dimension "/>
    <s v="OK"/>
    <m/>
    <m/>
    <s v="No"/>
    <s v="EXISTING TOWER(OP1+OP4+OP3(OLD+NEW)):  97.5%_x000a_EXISTING TOWER(OP1+OP4+OP3(OLD)): 96.8%"/>
    <m/>
    <m/>
    <m/>
    <m/>
    <m/>
    <m/>
    <m/>
    <m/>
    <m/>
    <m/>
    <m/>
    <m/>
    <m/>
    <m/>
    <m/>
    <m/>
    <m/>
    <m/>
    <m/>
    <m/>
    <m/>
    <d v="2018-11-05T00:00:00"/>
    <s v="Not  Calculated"/>
    <n v="0"/>
    <s v="No File"/>
    <s v="1-01-05018-006 (SGG00198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8-006 (SGG00198) Application Rev 3.xlsx"/>
    <m/>
  </r>
  <r>
    <n v="3401"/>
    <s v="1-01-05030-010"/>
    <s v="Pan Asia"/>
    <s v="Northern"/>
    <s v="SGG00149"/>
    <s v="MPT"/>
    <s v="MPT  Phase 1b Colo"/>
    <s v="On Air"/>
    <s v="LTE"/>
    <s v="1"/>
    <x v="40"/>
    <m/>
    <n v="3.5489999999999999"/>
    <n v="7.5"/>
    <s v="SQM"/>
    <s v="48"/>
    <s v="53"/>
    <x v="0"/>
    <m/>
    <s v="Not Required"/>
    <m/>
    <s v="Not Required"/>
    <m/>
    <s v="OK"/>
    <s v="Existing on tower actual - OML 9.75 sqm /MPT - 5.82 sqm / Mytel - 1.74 sqm  )- Added RRU and Change RF Dimension "/>
    <s v="OK"/>
    <m/>
    <m/>
    <s v="No"/>
    <s v="Existing Tower: OML+TML+KSGM (OLD+NEW) = 114.3% (Estimate strengthening weight = 646 kg)_x000a_Existing Tower: OML+TML+KSGM (OLD) = 114.3%_x000a_** ROI is provided  with STR first, tower need to be strengthening befor KSGM antenna install**"/>
    <s v="OK"/>
    <s v="1-2 weeks"/>
    <m/>
    <d v="1899-12-31T14:24:00"/>
    <s v="DCDB for MPT tapping from OML integrated cabinet"/>
    <s v="OK"/>
    <m/>
    <m/>
    <m/>
    <m/>
    <m/>
    <m/>
    <m/>
    <m/>
    <m/>
    <d v="2018-11-13T14:56:12"/>
    <d v="2018-11-15T18:03:33"/>
    <d v="2018-12-10T11:32:16"/>
    <d v="2018-11-27T15:09:03"/>
    <m/>
    <m/>
    <d v="2018-12-10T11:45:32"/>
    <n v="35.489957175901509"/>
    <n v="0"/>
    <s v="No File"/>
    <s v="1-01-05030-010 (SGG00149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30-010 (SGG00149) Application Rev 1.xlsx"/>
    <m/>
  </r>
  <r>
    <n v="3402"/>
    <s v="1-01-17023-009"/>
    <s v="Pan Asia"/>
    <s v="Southern"/>
    <s v="AWD01309"/>
    <s v="MPT"/>
    <s v="MPT Phase 2 Colo"/>
    <s v="RFI"/>
    <s v="Relo-TS"/>
    <s v="0"/>
    <x v="40"/>
    <m/>
    <n v="3.3"/>
    <n v="4.4400000000000004"/>
    <s v="SQM"/>
    <s v="48"/>
    <s v="53"/>
    <x v="0"/>
    <m/>
    <s v="Not Required"/>
    <m/>
    <s v="Not Required"/>
    <m/>
    <s v="OK"/>
    <s v="Existing on tower actual - OML 11.02 sqm / TML - 2.97 sqm )- New Colo Application "/>
    <s v="OK"/>
    <m/>
    <m/>
    <s v="No"/>
    <s v="Existing Tower: OML+TML+KSGM (OLD+NEW) = 102.4%_x000a_Existing Tower: OML+TML+KSGM (OLD) = 90.8%"/>
    <s v="Not Required"/>
    <m/>
    <m/>
    <m/>
    <m/>
    <m/>
    <m/>
    <m/>
    <m/>
    <m/>
    <s v="OK"/>
    <m/>
    <m/>
    <m/>
    <m/>
    <m/>
    <m/>
    <m/>
    <m/>
    <m/>
    <m/>
    <d v="2018-11-05T00:00:00"/>
    <s v="Not  Calculated"/>
    <n v="0"/>
    <s v="No File"/>
    <s v="1-01-17023-009 (AWD01309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23-009 (AWD01309) Application Rev 0.xlsx"/>
    <m/>
  </r>
  <r>
    <n v="3392"/>
    <s v="1-01-14001-026"/>
    <s v="Pan Asia"/>
    <s v="Central"/>
    <s v="SHS00070"/>
    <s v="MPT"/>
    <s v="MPT  Phase 1b Colo"/>
    <s v="On Air"/>
    <s v="UPG _ v1"/>
    <s v="3"/>
    <x v="41"/>
    <m/>
    <n v="2.1"/>
    <n v="2.1989999999999998"/>
    <s v="SQM"/>
    <s v="48"/>
    <s v="53"/>
    <x v="0"/>
    <m/>
    <s v="Not Required"/>
    <m/>
    <s v="Not Required"/>
    <m/>
    <s v="OK"/>
    <s v="Existing on tower actual - OML 7.88 sqm /MPT - 2.66sqm )- Change RF Dimension and add RRU "/>
    <s v="OK"/>
    <m/>
    <m/>
    <s v="No"/>
    <s v="STR TOWER(OP1+OP3(OLD+NEW)):90.88 %_x000a_STR TOWER(OP1+OP3(OLD)): 91.4%"/>
    <s v="Review"/>
    <m/>
    <m/>
    <m/>
    <s v="Site data required - PE swap a possibility "/>
    <m/>
    <m/>
    <m/>
    <m/>
    <m/>
    <m/>
    <m/>
    <m/>
    <m/>
    <m/>
    <m/>
    <m/>
    <m/>
    <m/>
    <m/>
    <m/>
    <d v="2018-11-01T00:00:00"/>
    <s v="Not  Calculated"/>
    <n v="0"/>
    <s v="No File"/>
    <s v="1-01-14001-026 (SHS00070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26 (SHS00070) Application Rev 3.xlsx"/>
    <m/>
  </r>
  <r>
    <n v="3390"/>
    <s v="1-01-14007-007"/>
    <s v="Pan Asia"/>
    <s v="Central"/>
    <s v="SHS00221"/>
    <s v="MPT"/>
    <s v="MPT  Phase 1b Colo"/>
    <s v="On Air"/>
    <s v="UPG_v1"/>
    <s v="4"/>
    <x v="42"/>
    <m/>
    <n v="2.1"/>
    <n v="2.66"/>
    <s v="SQM"/>
    <s v="48"/>
    <s v="53"/>
    <x v="0"/>
    <m/>
    <s v="Not Required"/>
    <m/>
    <s v="Not Required"/>
    <m/>
    <s v="OK"/>
    <s v="Existing on tower actual - OML 7.03 sqm (UE Down 58.60-52.53 )  /MPT - 2.61sqm / TML 3.51sqm  ) - Change RF Dimension and add RRU "/>
    <s v="OK"/>
    <m/>
    <m/>
    <s v="No"/>
    <s v="EXISTING TOWER(OML+TML+KSGM(OLD+NEW)):  104.1%_x000a_EXISTING TOWER(OML+TML+KSGM(OLD)): 104.4%"/>
    <s v="Review"/>
    <m/>
    <m/>
    <m/>
    <s v="Site data required - PE swap a possibility "/>
    <s v="Not Required"/>
    <m/>
    <m/>
    <m/>
    <m/>
    <m/>
    <m/>
    <m/>
    <m/>
    <m/>
    <m/>
    <m/>
    <m/>
    <m/>
    <m/>
    <m/>
    <d v="2018-10-31T00:00:00"/>
    <s v="Not  Calculated"/>
    <n v="0"/>
    <s v="No File"/>
    <s v="1-01-14007-007 (SHS00221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7-007 (SHS00221) Application Rev 4.xlsx"/>
    <m/>
  </r>
  <r>
    <n v="3391"/>
    <s v="AYYN_0086"/>
    <s v="Apollo"/>
    <s v="Southern"/>
    <s v="YGN00788"/>
    <s v="MPT"/>
    <s v="MPT  Phase 1a Colo"/>
    <s v="On Air"/>
    <s v="TS_v1"/>
    <s v="1"/>
    <x v="42"/>
    <m/>
    <n v="1.8"/>
    <n v="3.66"/>
    <s v="EPA"/>
    <s v="18.5"/>
    <s v="23.5"/>
    <x v="0"/>
    <m/>
    <s v="Not Required"/>
    <m/>
    <s v="Not Required"/>
    <m/>
    <s v="OK"/>
    <s v="Existing on tower - ( Assume ) TML with 4.39 EPA/ OML with 12.88 EPA / MPT with 5.67 EPA /Mytel with 2.45 EPA/ Amara with 3.06 EPA  ( Change RF smaller Dimension )"/>
    <s v="OK"/>
    <m/>
    <m/>
    <s v="Yes"/>
    <s v="Strengthened Tower(TML+OML+MYTEL+AMARA+KSGM(OLD+NEW)): 104.4.%"/>
    <s v="OK"/>
    <s v="1 week"/>
    <m/>
    <m/>
    <s v="Monitor BB increase to 1800/2400AH a possibility "/>
    <s v="OK"/>
    <m/>
    <m/>
    <m/>
    <m/>
    <m/>
    <m/>
    <m/>
    <m/>
    <m/>
    <d v="2018-11-13T14:56:12"/>
    <d v="2018-11-13T16:09:13"/>
    <d v="2018-11-30T09:52:06"/>
    <d v="2018-11-27T15:09:03"/>
    <m/>
    <m/>
    <d v="2018-11-30T09:52:06"/>
    <n v="30.411177314803354"/>
    <n v="0"/>
    <s v="No File"/>
    <s v="AYYN_0086 (YGN00788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086 (YGN00788) Application Rev 1.xlsx"/>
    <m/>
  </r>
  <r>
    <n v="3382"/>
    <s v="ANSG_0454"/>
    <s v="Apollo"/>
    <s v="Northern"/>
    <s v="SGG00785"/>
    <s v="MPT"/>
    <s v="MPT  Phase 1a Colo"/>
    <s v="On Air"/>
    <s v="TS"/>
    <s v=""/>
    <x v="43"/>
    <m/>
    <n v="1.8580000000000001"/>
    <n v="6.774"/>
    <s v="EPA"/>
    <s v="36"/>
    <s v="41"/>
    <x v="0"/>
    <m/>
    <s v="Not Required"/>
    <m/>
    <s v="Not Required"/>
    <m/>
    <s v="OK"/>
    <s v="Existing on tower - ( Assume ) TML with 7.55 EPA/MPT with 4.20 EPA - ( change RF height , add MW and ODU  ) "/>
    <s v="OK"/>
    <m/>
    <m/>
    <s v="No"/>
    <s v="Existing Tower: TML+KSGM : 60.57%"/>
    <s v="Review"/>
    <m/>
    <m/>
    <d v="1899-12-31T00:00:00"/>
    <s v="comes with risk - site on 10 hours NS mode daily."/>
    <m/>
    <m/>
    <m/>
    <m/>
    <m/>
    <m/>
    <m/>
    <m/>
    <m/>
    <m/>
    <m/>
    <m/>
    <m/>
    <m/>
    <m/>
    <m/>
    <d v="2018-10-30T00:00:00"/>
    <s v="Not  Calculated"/>
    <n v="0"/>
    <s v="No File"/>
    <s v="ANSG_0454 (SGG00785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54 (SGG00785) Application Rev .xlsx"/>
    <m/>
  </r>
  <r>
    <n v="3383"/>
    <s v="1-01-13004-003"/>
    <s v="Pan Asia"/>
    <s v="Southern"/>
    <s v="YGN02146"/>
    <s v="MPT"/>
    <s v="MPT  Phase 1b Colo"/>
    <s v="RFI"/>
    <s v="TS"/>
    <s v="2"/>
    <x v="43"/>
    <m/>
    <n v="2.1"/>
    <n v="2.08"/>
    <s v="SQM"/>
    <s v="37"/>
    <s v="42"/>
    <x v="0"/>
    <m/>
    <s v="Not Required"/>
    <m/>
    <s v="Not Required"/>
    <m/>
    <s v="OK"/>
    <s v="Existing on tower actual - OML 8.34 sqm no UE  /MPT prev Colo Apps - 2.08sqm , TML 3.30sqm  ) - Change Auzimuth "/>
    <s v="Not Required"/>
    <m/>
    <m/>
    <m/>
    <m/>
    <s v="Review"/>
    <m/>
    <m/>
    <m/>
    <s v="Site data required - PE swap a possibility "/>
    <s v="Not Required"/>
    <m/>
    <m/>
    <m/>
    <m/>
    <m/>
    <m/>
    <m/>
    <m/>
    <m/>
    <m/>
    <m/>
    <m/>
    <m/>
    <m/>
    <m/>
    <d v="2018-10-30T00:00:00"/>
    <s v="Not  Calculated"/>
    <n v="0"/>
    <s v="No File"/>
    <s v="1-01-13004-003 (YGN02146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3004-003 (YGN02146) Application Rev 2.xlsx"/>
    <m/>
  </r>
  <r>
    <n v="3384"/>
    <s v="ACBA_0053"/>
    <s v="Apollo"/>
    <s v="Southern"/>
    <s v="YGN00594"/>
    <s v="MPT"/>
    <s v="MPT  Phase 1a Colo"/>
    <s v="On Air"/>
    <s v="UPG"/>
    <s v=""/>
    <x v="43"/>
    <m/>
    <n v="1.8"/>
    <n v="4.0350000000000001"/>
    <s v="EPA"/>
    <s v="45"/>
    <s v="50"/>
    <x v="0"/>
    <m/>
    <s v="Not Required"/>
    <m/>
    <s v="Not Required"/>
    <m/>
    <s v="OK"/>
    <s v="Existing on tower - ( Assume ) TML with 6.73 EPA/MPT with 3.51 EPA - ( Add RF and add RRU ) "/>
    <s v="OK"/>
    <m/>
    <m/>
    <s v="No"/>
    <s v="Existing tower: TML + KSGM (OLD+NEW) = 91.82% (New wind zone 130 kph)"/>
    <s v="OK"/>
    <m/>
    <m/>
    <m/>
    <s v="PE UG - full K10 upagrade"/>
    <m/>
    <m/>
    <m/>
    <m/>
    <m/>
    <m/>
    <m/>
    <m/>
    <m/>
    <m/>
    <m/>
    <d v="2018-12-19T09:05:57"/>
    <m/>
    <m/>
    <m/>
    <m/>
    <d v="2018-10-30T00:00:00"/>
    <s v="Not  Calculated"/>
    <n v="0"/>
    <s v="No File"/>
    <s v="ACBA_0053 (YGN00594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CBA_0053 (YGN00594) Application Rev .xlsx"/>
    <m/>
  </r>
  <r>
    <n v="3386"/>
    <s v="ANSG_0463"/>
    <s v="Apollo"/>
    <s v="Northern"/>
    <s v="SGG00730"/>
    <s v="MPT"/>
    <s v="MPT  Phase 1a Colo"/>
    <s v="On Air"/>
    <s v="LTE"/>
    <s v=""/>
    <x v="43"/>
    <m/>
    <n v="3.7669999999999999"/>
    <n v="7.3760000000000003"/>
    <s v="EPA"/>
    <s v="36"/>
    <s v="41"/>
    <x v="0"/>
    <m/>
    <s v="Not Required"/>
    <m/>
    <s v="Review"/>
    <s v="Undoable due to high VCC"/>
    <s v="OK"/>
    <s v="Existing on tower - ( Assume ) TML with 8.99 EPA/OML with 11.23 EPA / MPT with 4.84 EPA - (Change RF And MW Dimension and add RRU / ODU )"/>
    <s v="OK"/>
    <m/>
    <m/>
    <s v="No"/>
    <s v="EXISTING TOWER: TML+OML+KSGM(OLD+NEW)):  101.3%"/>
    <s v="OK"/>
    <s v="2018-12-28"/>
    <m/>
    <d v="1900-01-01T00:00:00"/>
    <s v="10 hrs NS - High load - 36Kw PE Sys UG required"/>
    <s v="OK"/>
    <m/>
    <m/>
    <m/>
    <m/>
    <m/>
    <m/>
    <m/>
    <m/>
    <m/>
    <d v="2018-11-13T14:56:12"/>
    <d v="2018-12-17T08:53:27"/>
    <d v="2018-11-13T16:19:20"/>
    <d v="2018-11-27T15:09:02"/>
    <m/>
    <m/>
    <d v="2018-12-18T16:54:30"/>
    <n v="49.704514930599544"/>
    <n v="0"/>
    <s v="No File"/>
    <s v="ANSG_0463 (SGG00730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63 (SGG00730) Application Rev .xlsx"/>
    <m/>
  </r>
  <r>
    <n v="3387"/>
    <s v="ANSG_0485"/>
    <s v="Apollo"/>
    <s v="Northern"/>
    <s v="SGG00698"/>
    <s v="MPT"/>
    <s v="MPT  Phase 1a Colo"/>
    <s v="On Air"/>
    <s v="LTE"/>
    <s v=""/>
    <x v="43"/>
    <m/>
    <n v="3.9470000000000001"/>
    <n v="8.8360000000000003"/>
    <s v="EPA"/>
    <s v="36"/>
    <s v="41"/>
    <x v="0"/>
    <m/>
    <s v="Not Required"/>
    <m/>
    <s v="OK"/>
    <m/>
    <s v="OK"/>
    <s v="Existing on tower - ( Assume ) TML with 4.29 EPA/ MPT with 4.55EPA (Change RF Dimension and add MW and RRU, ODU )"/>
    <s v="OK"/>
    <m/>
    <m/>
    <s v="No"/>
    <s v="Existing Tower: TML+KSGM+Mytel : 76.94%"/>
    <s v="OK"/>
    <s v="2018-12-29"/>
    <m/>
    <d v="1899-12-31T00:00:00"/>
    <s v="Site has 10 hours DG NS or Grid connect/UG PE/Take the risk-outages "/>
    <s v="OK"/>
    <m/>
    <m/>
    <m/>
    <m/>
    <m/>
    <m/>
    <m/>
    <m/>
    <m/>
    <d v="2018-11-13T14:56:12"/>
    <d v="2018-12-17T08:53:27"/>
    <d v="2018-11-13T16:19:20"/>
    <d v="2018-11-27T15:09:02"/>
    <m/>
    <d v="2018-11-13T16:25:51"/>
    <d v="2018-12-17T09:21:06"/>
    <n v="48.389656018502137"/>
    <n v="0"/>
    <s v="No File"/>
    <s v="ANSG_0485 (SGG00698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85 (SGG00698) Application Rev .xlsx"/>
    <m/>
  </r>
  <r>
    <n v="3388"/>
    <s v="ANSG_0483"/>
    <s v="Apollo"/>
    <s v="Northern"/>
    <s v="SGG00406"/>
    <s v="MPT"/>
    <s v="MPT  Phase 1a Colo"/>
    <s v="On Air"/>
    <s v="UPG"/>
    <s v=""/>
    <x v="43"/>
    <m/>
    <n v="1.653"/>
    <n v="7.9"/>
    <s v="EPA"/>
    <s v="36"/>
    <s v="41"/>
    <x v="0"/>
    <m/>
    <s v="Not Required"/>
    <m/>
    <s v="Not Required"/>
    <m/>
    <s v="OK"/>
    <s v="Existing on tower - ( Assume ) TML with 4.29 EPA/ MPT with 5.65 EPA (add MW and RRU, ODU )"/>
    <s v="OK"/>
    <m/>
    <m/>
    <s v="No"/>
    <s v="Existing Tower: TML+KSGM+Mytel : 78.47%"/>
    <s v="OK"/>
    <s v="1 week  "/>
    <m/>
    <m/>
    <s v="BB SOH so UG can be verified"/>
    <m/>
    <m/>
    <m/>
    <m/>
    <m/>
    <m/>
    <m/>
    <m/>
    <m/>
    <m/>
    <m/>
    <d v="2018-12-19T09:05:57"/>
    <m/>
    <m/>
    <m/>
    <m/>
    <d v="2018-10-30T00:00:00"/>
    <s v="Not  Calculated"/>
    <n v="0"/>
    <s v="No File"/>
    <s v="ANSG_0483 (SGG00406) Application Rev 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83 (SGG00406) Application Rev .xlsx"/>
    <m/>
  </r>
  <r>
    <n v="3389"/>
    <s v="1-01-05018-006"/>
    <s v="Pan Asia"/>
    <s v="Northern"/>
    <s v="SGG00198"/>
    <s v="MPT"/>
    <s v="MPT  Phase 1b Colo"/>
    <s v="On Air"/>
    <s v="TS_v1"/>
    <s v="2"/>
    <x v="43"/>
    <m/>
    <n v="1.9119999999999999"/>
    <n v="3.88"/>
    <s v="SQM"/>
    <s v="46.5"/>
    <s v="51.5"/>
    <x v="0"/>
    <m/>
    <s v="Not Required"/>
    <m/>
    <s v="Not Required"/>
    <m/>
    <s v="OK"/>
    <s v="Existing on tower actual - OML 7.84 sqm no UE  /MPT - 3.88sqm , TML 3.79sqm  ) - Change Antenna Height as par actual "/>
    <s v="OK"/>
    <m/>
    <m/>
    <s v="No"/>
    <s v="EXISTING TOWER(OML+TML+KSGM(OLD+NEW)):  96.8%_x000a_EXISTING TOWER(OML+TML+KSGM(OLD)): 96.1%"/>
    <s v="Review"/>
    <m/>
    <m/>
    <m/>
    <s v="Site data required - PE swap a possibility "/>
    <s v="Not Required"/>
    <m/>
    <m/>
    <m/>
    <m/>
    <m/>
    <m/>
    <m/>
    <m/>
    <m/>
    <m/>
    <m/>
    <m/>
    <m/>
    <m/>
    <m/>
    <d v="2018-10-30T00:00:00"/>
    <s v="Not  Calculated"/>
    <n v="0"/>
    <s v="No File"/>
    <s v="1-01-05018-006 (SGG0019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8-006 (SGG00198) Application Rev 2.xlsx"/>
    <m/>
  </r>
  <r>
    <n v="3381"/>
    <s v="1-01-09008-001"/>
    <s v="Pan Asia"/>
    <s v="Central"/>
    <s v="MGW00412"/>
    <s v="MPT"/>
    <s v="MPT  Phase 1b Colo"/>
    <s v="On Air"/>
    <s v="UPG"/>
    <s v="1"/>
    <x v="44"/>
    <m/>
    <n v="2.5"/>
    <n v="3.52"/>
    <s v="SQM"/>
    <s v="48"/>
    <s v="53"/>
    <x v="0"/>
    <m/>
    <s v="Not Required"/>
    <m/>
    <s v="Not Required"/>
    <m/>
    <s v="OK"/>
    <s v="Existing on tower actual - OML 7.72 sqm no UE  /MPT  - 3.52 sqm - No UE ) - Change RFModel and Change MW leg and add RRU/ ODU"/>
    <s v="OK"/>
    <m/>
    <m/>
    <s v="No"/>
    <s v="EXISTING TOWER(OML+KSGM(OLD+NEW)):  87.6%_x000a_EXISTING TOWER(OML+KSGM(OLD)): 87.3%"/>
    <s v="Not Required"/>
    <m/>
    <m/>
    <m/>
    <m/>
    <s v="Not Required"/>
    <m/>
    <m/>
    <m/>
    <m/>
    <m/>
    <m/>
    <m/>
    <m/>
    <m/>
    <m/>
    <m/>
    <m/>
    <m/>
    <m/>
    <m/>
    <d v="2018-10-29T00:00:00"/>
    <s v="Not  Calculated"/>
    <n v="0"/>
    <s v="No File"/>
    <s v="1-01-09008-001 (MGW00412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9008-001 (MGW00412) Application Rev 1.xlsx"/>
    <m/>
  </r>
  <r>
    <n v="3375"/>
    <s v="1-01-11003-002"/>
    <s v="Pan Asia"/>
    <s v="Southern"/>
    <s v="MON00212"/>
    <s v="MPT"/>
    <s v="MPT  Phase 1b Colo"/>
    <s v="On Air"/>
    <s v="UPG"/>
    <s v="2"/>
    <x v="45"/>
    <m/>
    <n v="2.1"/>
    <n v="2.5590000000000002"/>
    <s v="SQM"/>
    <s v="43"/>
    <s v="48"/>
    <x v="0"/>
    <m/>
    <s v="Not Required"/>
    <m/>
    <s v="Not Required"/>
    <m/>
    <s v="OK"/>
    <s v="Existing on tower actual - OML 8.85 sqm ( UE Down (59.00 - 53.50 / 38.80 - 37.60) / KSGM - 2.51sqm no UE, Mytel  - 4.08 sqm - No UE ) - Change RF dimension and add RRU"/>
    <s v="OK"/>
    <m/>
    <m/>
    <s v="No"/>
    <s v="Strengthened Tower(OML+MYTEL+KSGM(OLD+NEW)): 103.3%_x000a_Strengthened Tower(OML+MYTEL+KSGM(OLD)): 104.5%"/>
    <s v="Not Required"/>
    <m/>
    <m/>
    <m/>
    <m/>
    <s v="Not Required"/>
    <m/>
    <m/>
    <m/>
    <m/>
    <m/>
    <m/>
    <m/>
    <m/>
    <m/>
    <m/>
    <m/>
    <m/>
    <m/>
    <m/>
    <m/>
    <d v="2018-10-18T00:00:00"/>
    <s v="Not  Calculated"/>
    <n v="0"/>
    <s v="No File"/>
    <s v="1-01-11003-002 (MON0021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1003-002 (MON00212) Application Rev 2.xlsx"/>
    <m/>
  </r>
  <r>
    <n v="3377"/>
    <s v="1-01-14001-015"/>
    <s v="Pan Asia"/>
    <s v="Central"/>
    <s v="SHS00057"/>
    <s v="MPT"/>
    <s v="MPT  Phase 1b Colo"/>
    <s v="On Air"/>
    <s v="MS"/>
    <s v="3"/>
    <x v="45"/>
    <m/>
    <n v="2.7"/>
    <n v="3.5030000000000001"/>
    <s v="SQM"/>
    <s v="33"/>
    <s v="38"/>
    <x v="0"/>
    <m/>
    <s v="Not Required"/>
    <m/>
    <s v="Not Required"/>
    <m/>
    <s v="OK"/>
    <s v="Existing on tower actual - OML 9.84 sqm no UE  / KSGM 2.47 sqm  No UE /TML - 3.00 sqm no UE/ Mytel  - 1.53 sqm - No UE ) - Change RF dimension and add RRU"/>
    <s v="OK"/>
    <m/>
    <m/>
    <s v="No"/>
    <s v="Strengthened Tower(OML+TML+MYTEL+KSGM(OLD+NEW)): 99.5% _x000a_Strengthened Tower(OML+TML+MYTEL+KSGM(OLD)): 97.2%"/>
    <s v="Not Required"/>
    <m/>
    <m/>
    <m/>
    <m/>
    <s v="Not Required"/>
    <m/>
    <m/>
    <m/>
    <m/>
    <m/>
    <m/>
    <m/>
    <m/>
    <m/>
    <m/>
    <m/>
    <m/>
    <m/>
    <m/>
    <m/>
    <d v="2018-10-18T00:00:00"/>
    <s v="Not  Calculated"/>
    <n v="0"/>
    <s v="No File"/>
    <s v="1-01-14001-015 (SHS00057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15 (SHS00057) Application Rev 3.xlsx"/>
    <m/>
  </r>
  <r>
    <n v="3378"/>
    <s v="1-01-06002-003"/>
    <s v="Pan Asia"/>
    <s v="Southern"/>
    <s v="TNY00206"/>
    <s v="MPT"/>
    <s v="MPT  Phase 1b Colo"/>
    <s v="On Air"/>
    <s v="MS"/>
    <s v="3"/>
    <x v="45"/>
    <m/>
    <n v="2.7"/>
    <n v="3.141"/>
    <s v="SQM"/>
    <s v="44"/>
    <s v="49"/>
    <x v="0"/>
    <m/>
    <s v="Not Required"/>
    <m/>
    <s v="Not Required"/>
    <m/>
    <s v="OK"/>
    <s v="Existing on tower actual - OML 7.16 sqm no UE  /Mytel  - 1.47 sqm - No UE ) - Change RF dimension and add RRU"/>
    <s v="OK"/>
    <m/>
    <m/>
    <s v="No"/>
    <s v="Existing Tower(OML+MYTEL+KSGM(OLD) =94.7%_x000a_Existing Tower(OML+MYTEL+KSGM(OLD+NEW) =94.1%"/>
    <s v="Not Required"/>
    <m/>
    <m/>
    <m/>
    <m/>
    <s v="Not Required"/>
    <m/>
    <m/>
    <m/>
    <m/>
    <m/>
    <m/>
    <m/>
    <m/>
    <m/>
    <m/>
    <m/>
    <m/>
    <m/>
    <m/>
    <m/>
    <d v="2018-10-18T00:00:00"/>
    <s v="Not  Calculated"/>
    <n v="0"/>
    <s v="No File"/>
    <s v="1-01-06002-003 (TNY00206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6002-003 (TNY00206) Application Rev 3.xlsx"/>
    <m/>
  </r>
  <r>
    <n v="3379"/>
    <s v="ANMD_0132"/>
    <s v="Apollo"/>
    <s v="Northern"/>
    <s v="MDY00422"/>
    <s v="MPT"/>
    <s v="MPT  Phase 1a Colo"/>
    <s v="On Air"/>
    <s v="TS"/>
    <s v="2"/>
    <x v="45"/>
    <m/>
    <n v="1.4"/>
    <n v="2.746"/>
    <s v="SQM"/>
    <s v="17"/>
    <s v="22"/>
    <x v="0"/>
    <m/>
    <s v="Not Required"/>
    <m/>
    <s v="Not Required"/>
    <m/>
    <s v="OK"/>
    <s v="Existing on tower - ( Assume ) TML with 6.19 EPA / OML with 12.24 EPA / MPT with 3.86 EPA - ( Remove MW and ODU and change RF ,RRU height )"/>
    <s v="OK"/>
    <m/>
    <m/>
    <s v="No"/>
    <s v="Existing Tower: OML+TML+KSGM : 99.49%"/>
    <s v="Review"/>
    <s v="2 weeks"/>
    <m/>
    <m/>
    <s v="TML HUB 3 tenant site high load. PE SYS Upgrade "/>
    <m/>
    <m/>
    <m/>
    <m/>
    <m/>
    <m/>
    <m/>
    <m/>
    <m/>
    <m/>
    <m/>
    <m/>
    <m/>
    <m/>
    <m/>
    <m/>
    <d v="2018-10-18T00:00:00"/>
    <s v="Not  Calculated"/>
    <n v="0"/>
    <s v="No File"/>
    <s v="ANMD_0132 (MDY0042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MD_0132 (MDY00422) Application Rev 2.xlsx"/>
    <m/>
  </r>
  <r>
    <n v="3380"/>
    <s v="ANSG_0343"/>
    <s v="Apollo"/>
    <s v="Northern"/>
    <s v="SGG00692"/>
    <s v="MPT"/>
    <s v="MPT  Phase 1a Colo"/>
    <s v="On Air"/>
    <s v="LTE"/>
    <s v="2"/>
    <x v="45"/>
    <m/>
    <n v="3.86"/>
    <n v="6.2549999999999999"/>
    <s v="SQM"/>
    <s v="32"/>
    <s v="37"/>
    <x v="0"/>
    <m/>
    <s v="Not Required"/>
    <m/>
    <s v="Not Required"/>
    <m/>
    <s v="OK"/>
    <s v="Existing on tower - ( Assume ) TML with 3.93 EPA / MPT with 3.58 EPA /Mytel Colo apps loading 3.354 EPA - ( Remove MW , Add RRU and change RF dimension  )"/>
    <s v="OK"/>
    <m/>
    <m/>
    <s v="No"/>
    <s v="Existing Tower: OML+TML+KSGM+MYTEL : 104.41%"/>
    <s v="OK"/>
    <m/>
    <m/>
    <d v="1900-01-01T00:00:00"/>
    <s v="monitor DG, capacity upgrade possible, grid availability dependant "/>
    <m/>
    <m/>
    <m/>
    <m/>
    <m/>
    <m/>
    <m/>
    <m/>
    <m/>
    <m/>
    <m/>
    <d v="2018-12-19T09:05:56"/>
    <m/>
    <m/>
    <m/>
    <m/>
    <d v="2018-10-18T00:00:00"/>
    <s v="Not  Calculated"/>
    <n v="0"/>
    <s v="No File"/>
    <s v="ANSG_0343 (SGG0069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343 (SGG00692) Application Rev 2.xlsx"/>
    <m/>
  </r>
  <r>
    <n v="3372"/>
    <s v="1-01-05027-009"/>
    <s v="Pan Asia"/>
    <s v="Northern"/>
    <s v="SGG00227"/>
    <s v="MPT"/>
    <s v="MPT  Phase 1b Colo"/>
    <s v="On Air"/>
    <s v="MS"/>
    <s v="2"/>
    <x v="46"/>
    <m/>
    <n v="4.0149999999999997"/>
    <n v="3.3119999999999998"/>
    <s v="SQM"/>
    <s v="33"/>
    <s v="38"/>
    <x v="0"/>
    <m/>
    <s v="Not Required"/>
    <m/>
    <s v="Not Required"/>
    <m/>
    <s v="OK"/>
    <s v="Existing on tower actual - OML 9.18 sqm / KSGM - 2.69 sqm no UE, TML Colo Apps  - 3.20 sqm )Requested SQM 3.312 sqm - Change RF dimension and add RRU"/>
    <s v="OK"/>
    <m/>
    <m/>
    <s v="No"/>
    <s v="Existing Tower(OML+TML+KSGM(OLD+NEW) = 104.15%_x000a_Existing Tower(OML+TML+KSGM(OLD) = 95.13%"/>
    <s v="Not Required"/>
    <m/>
    <m/>
    <m/>
    <m/>
    <s v="Not Required"/>
    <m/>
    <m/>
    <m/>
    <m/>
    <m/>
    <m/>
    <m/>
    <m/>
    <m/>
    <m/>
    <m/>
    <m/>
    <m/>
    <m/>
    <m/>
    <d v="2018-10-16T00:00:00"/>
    <s v="Not  Calculated"/>
    <n v="0"/>
    <s v="No File"/>
    <s v="1-01-05027-009 (SGG00227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9 (SGG00227) Application Rev 2.xlsx"/>
    <m/>
  </r>
  <r>
    <n v="3373"/>
    <s v="1-01-14001-005"/>
    <s v="Pan Asia"/>
    <s v="Central"/>
    <s v="SHS00183"/>
    <s v="MPT"/>
    <s v="MPT  Phase 1b Colo"/>
    <s v="On Air"/>
    <s v="LTE"/>
    <s v="4"/>
    <x v="46"/>
    <m/>
    <n v="3.4"/>
    <n v="4.1859999999999999"/>
    <s v="SQM"/>
    <s v="48"/>
    <s v="53"/>
    <x v="0"/>
    <m/>
    <s v="Not Required"/>
    <m/>
    <s v="Not Required"/>
    <m/>
    <s v="OK"/>
    <s v="Existing on tower actual - OML 12.07 sqm / KSGM - 2.51sqm no UE, TML  - 3.87 sqm - No UE )Requested SQM 4.186 sqm - Change RF dimension and add RRU"/>
    <s v="OK"/>
    <m/>
    <m/>
    <s v="No"/>
    <s v="Existing Tower(OML+TML+KSGM(OLD) =104%_x000a_Existing Tower(OML+TML+KSGM(OLD+NEW) =105%"/>
    <s v="Not Required"/>
    <m/>
    <m/>
    <m/>
    <m/>
    <s v="Not Required"/>
    <m/>
    <m/>
    <m/>
    <m/>
    <m/>
    <m/>
    <m/>
    <m/>
    <m/>
    <m/>
    <m/>
    <m/>
    <m/>
    <m/>
    <m/>
    <d v="2018-10-16T00:00:00"/>
    <s v="Not  Calculated"/>
    <n v="0"/>
    <s v="No File"/>
    <s v="1-01-14001-005 (SHS00183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05 (SHS00183) Application Rev 4.xlsx"/>
    <m/>
  </r>
  <r>
    <n v="3374"/>
    <s v="1-01-01009-013"/>
    <s v="Pan Asia"/>
    <s v="Northern"/>
    <s v="KCN00152"/>
    <s v="MPT"/>
    <s v="MPT  Phase 1b Colo"/>
    <s v="On Air"/>
    <s v="LTE"/>
    <s v="3"/>
    <x v="46"/>
    <m/>
    <n v="3.7"/>
    <n v="5.1020000000000003"/>
    <s v="SQM"/>
    <s v="48"/>
    <s v="53"/>
    <x v="0"/>
    <m/>
    <s v="Not Required"/>
    <m/>
    <s v="Not Required"/>
    <m/>
    <s v="OK"/>
    <s v="Colo Prevalidation Completed by Cover Sheet and Colo application approved on 15 Nov 2018 . "/>
    <s v="Not Required"/>
    <m/>
    <m/>
    <m/>
    <m/>
    <s v="Not Required"/>
    <m/>
    <m/>
    <m/>
    <m/>
    <s v="Not Required"/>
    <m/>
    <m/>
    <m/>
    <m/>
    <m/>
    <m/>
    <m/>
    <m/>
    <m/>
    <d v="2018-11-16T11:39:31"/>
    <m/>
    <m/>
    <m/>
    <m/>
    <m/>
    <d v="2018-11-16T11:39:31"/>
    <n v="31.485773032400175"/>
    <n v="0"/>
    <s v="No File"/>
    <s v="1-01-01009-013 (KCN00152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9-013 (KCN00152) Application Rev 3.xlsx"/>
    <m/>
  </r>
  <r>
    <n v="3352"/>
    <s v="1-01-05027-002"/>
    <s v="Pan Asia"/>
    <s v="Northern"/>
    <s v="SGG00113"/>
    <s v="MPT"/>
    <s v="MPT  Phase 1b Colo"/>
    <s v="On Air"/>
    <s v="MS_v1"/>
    <s v="2"/>
    <x v="47"/>
    <m/>
    <n v="1.4"/>
    <n v="5.24"/>
    <s v="SQM"/>
    <s v="39.5"/>
    <s v="44.5"/>
    <x v="0"/>
    <m/>
    <s v="Not Required"/>
    <m/>
    <s v="Not Required"/>
    <m/>
    <s v="OK"/>
    <s v="Existing on tower actual - OML 10.58 sqm - No UE  / KSGM -2.97 sqm - No UE  ) - Requested SQM 5.242 -  Change MW and RF Azimuth as per the actual "/>
    <s v="OK"/>
    <m/>
    <m/>
    <s v="No"/>
    <s v="EXISTING TOWER(OP1+OP3(OLD+NEW)):  97.4 %_x000a_EXISTING TOWER(OP1+OP3(OLD)): 97.8 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05027-002 (SGG0011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2 (SGG00113) Application Rev 2.xlsx"/>
    <m/>
  </r>
  <r>
    <n v="3353"/>
    <s v="1-01-16011-001"/>
    <s v="Pan Asia"/>
    <s v="Central"/>
    <s v="SHE00089"/>
    <s v="MPT"/>
    <s v="MPT  Phase 1b Colo"/>
    <s v="On Air"/>
    <s v="Colocation "/>
    <s v="4"/>
    <x v="47"/>
    <m/>
    <n v="4.3"/>
    <n v="4.55"/>
    <s v="SQM"/>
    <s v="48"/>
    <s v="53"/>
    <x v="0"/>
    <m/>
    <s v="Not Required"/>
    <m/>
    <s v="Not Required"/>
    <m/>
    <s v="OK"/>
    <s v="Existing on tower actual - OML - 6.43 sqm - No UE  / KSGM - 5.57sqm - No UE TML 4.41sqm  )Requested SQM 4.546 -  Change RF dimension and add RRU"/>
    <s v="OK"/>
    <m/>
    <m/>
    <s v="No"/>
    <s v="Existing Tower(OML+TML+KSGM(OLD+NEW) =101.3%_x000a_Existing Tower(OML+TML+KSGM(OLD) =100.6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6011-001 (SHE00089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6011-001 (SHE00089) Application Rev 4.xlsx"/>
    <m/>
  </r>
  <r>
    <n v="3354"/>
    <s v="1-01-14003-002"/>
    <s v="Pan Asia"/>
    <s v="Central"/>
    <s v="SHS00117"/>
    <s v="MPT"/>
    <s v="MPT  Phase 1b Colo"/>
    <s v="On Air"/>
    <s v="Colocation "/>
    <s v="4"/>
    <x v="47"/>
    <m/>
    <n v="3.4"/>
    <n v="3.59"/>
    <s v="SQM"/>
    <s v="48"/>
    <s v="53"/>
    <x v="0"/>
    <m/>
    <s v="Not Required"/>
    <m/>
    <s v="Not Required"/>
    <m/>
    <s v="OK"/>
    <s v="Existing on tower actual - OML - 6.18 sqm - UE Down ( OML accupied area 55.35 - 52.66)  / KSGM - 3.21sqm no UE )Requested SQM 3.586 -  Change RF dimension and add RRU"/>
    <s v="OK"/>
    <m/>
    <m/>
    <s v="No"/>
    <s v="Existing Tower(OML+TML+KSGM(OLD+NEW) =96.6%_x000a_Existing Tower(OML+TML+KSGM(OLD) =96.2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4003-002 (SHS00117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3-002 (SHS00117) Application Rev 4.xlsx"/>
    <m/>
  </r>
  <r>
    <n v="3355"/>
    <s v="1-01-14013-002"/>
    <s v="Pan Asia"/>
    <s v="Central"/>
    <s v="SHS00185"/>
    <s v="MPT"/>
    <s v="MPT  Phase 1b Colo"/>
    <s v="On Air"/>
    <s v="Colocation "/>
    <s v="2"/>
    <x v="47"/>
    <m/>
    <n v="3.9"/>
    <n v="3.37"/>
    <s v="SQM"/>
    <s v="37"/>
    <s v="42"/>
    <x v="0"/>
    <m/>
    <s v="Not Required"/>
    <m/>
    <s v="Not Required"/>
    <m/>
    <s v="OK"/>
    <s v="Existing on tower actual - OML - 6.63 sqm - No UE  / KSGM - 2.29 sqm no UE  / TML - 3.30 sqm- No UE / Mytel Colo Apps - 4.07sqm ) Requested SQM 3.374 - Change RF dimension and add RRU"/>
    <s v="OK"/>
    <m/>
    <m/>
    <s v="No"/>
    <s v="Strengthened Tower (Mytel Project - Install Completed) :_x000a_OML+TML+MYTEL+KSGM(NEW+OLD) = 94.5%_x000a_OML+TML+MYTEL+KSGM(OLD) = 89.5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4013-002 (SHS0018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13-002 (SHS00185) Application Rev 2.xlsx"/>
    <m/>
  </r>
  <r>
    <n v="3356"/>
    <s v="1-01-06008-002"/>
    <s v="Pan Asia"/>
    <s v="Southern"/>
    <s v="TNY00033"/>
    <s v="MPT"/>
    <s v="MPT  Phase 1b Colo"/>
    <s v="On Air"/>
    <s v="Colocation "/>
    <s v="4"/>
    <x v="47"/>
    <m/>
    <n v="3.3"/>
    <n v="4.3099999999999996"/>
    <s v="SQM"/>
    <s v="48"/>
    <s v="53"/>
    <x v="0"/>
    <m/>
    <s v="Not Required"/>
    <m/>
    <s v="Not Required"/>
    <m/>
    <s v="OK"/>
    <s v="Existing on tower actual - OML - 7.35sqm - No UE  / KSGM - 4.10 sqm no UE  / TML - 4.64 sqm- No UE / Mytel Colo Apps - 4.07sqm )Requested SQM 4.314 - Change RF dimension and add RRU"/>
    <s v="OK"/>
    <m/>
    <m/>
    <s v="No"/>
    <s v="STR TOWER(OML+TML+MYTEL+KSGM(OLD+NEW)):  99.1%_x000a_STR TOWER(OML+TML+MYTEL+KSGM(OLD)): 97.5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06008-002 (TNY00033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6008-002 (TNY00033) Application Rev 4.xlsx"/>
    <m/>
  </r>
  <r>
    <n v="3357"/>
    <s v="1-01-01002-007"/>
    <s v="Pan Asia"/>
    <s v="Northern"/>
    <s v="KCN00293"/>
    <s v="MPT"/>
    <s v="MPT  Phase 1b Colo"/>
    <s v="On Air"/>
    <s v="Colocation "/>
    <s v="2"/>
    <x v="47"/>
    <m/>
    <n v="3.5"/>
    <n v="4.25"/>
    <s v="SQM"/>
    <s v="33"/>
    <s v="38"/>
    <x v="0"/>
    <m/>
    <s v="Not Required"/>
    <m/>
    <s v="Not Required"/>
    <m/>
    <s v="OK"/>
    <s v="Existing on tower actual - OML - 8.70 sqm - No UE  / KSGM - 4.23 sqm no UE  / TML - 3.30 sqm- No UE )Requested SQM 4.254 -Change RF dimension and height, Changed RRU height"/>
    <s v="OK"/>
    <m/>
    <m/>
    <s v="No"/>
    <s v="Existing Tower(OML+TML+KSGM(OLD+NEW) =101.4%_x000a_Existing Tower(OML+TML+KSGM(OLD) =100.8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01002-007 (KCN00293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1002-007 (KCN00293) Application Rev 2.xlsx"/>
    <m/>
  </r>
  <r>
    <n v="3358"/>
    <s v="1-01-17019-003"/>
    <s v="Pan Asia"/>
    <s v="Southern"/>
    <s v="AWD00111"/>
    <s v="MPT"/>
    <s v="MPT  Phase 1b Colo"/>
    <s v="On Air"/>
    <s v="Colocation "/>
    <s v="2"/>
    <x v="47"/>
    <m/>
    <n v="2.7"/>
    <n v="4.97"/>
    <s v="SQM"/>
    <s v="33"/>
    <s v="38"/>
    <x v="0"/>
    <m/>
    <s v="Not Required"/>
    <m/>
    <s v="Not Required"/>
    <m/>
    <s v="OK"/>
    <s v="Existing on tower actual - OML - 9.14 sqm - No UE  / KSGM - 3.78 sqm no UE  / TML - 3.35 sqm- No UE / Mytel Colo Apps 3.79sqm  )Requested SQM 4.968 - Change RF dimension and added RRU"/>
    <s v="OK"/>
    <m/>
    <m/>
    <s v="No"/>
    <s v="Existing Tower(OML+TML+MYTEL+KSGM(OLD+NEW) =103.3%_x000a_Existing Tower(OML+TML+MYTEL+KSGM(OLD) =102.7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7019-003 (AWD00111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19-003 (AWD00111) Application Rev 2.xlsx"/>
    <m/>
  </r>
  <r>
    <n v="3359"/>
    <s v="1-01-05027-008"/>
    <s v="Pan Asia"/>
    <s v="Northern"/>
    <s v="SGG00158"/>
    <s v="MPT"/>
    <s v="MPT  Phase 1b Colo"/>
    <s v="On Air"/>
    <s v="Colocation "/>
    <s v="2"/>
    <x v="47"/>
    <m/>
    <n v="2.2999999999999998"/>
    <n v="3.11"/>
    <s v="SQM"/>
    <s v="16"/>
    <s v="21"/>
    <x v="0"/>
    <m/>
    <s v="Not Required"/>
    <m/>
    <s v="Not Required"/>
    <m/>
    <s v="OK"/>
    <s v="Existing on tower actual - OML -6.91 sqm - No UE  / KSGM - 2.83 sqm no UE   )Requested SQM 3.113 - Change MW cables size and ODU dimension/model"/>
    <s v="OK"/>
    <m/>
    <m/>
    <s v="No"/>
    <s v="Existing Tower(OML+ KSGM(OLD+NEW) = 62.4%_x000a_Existing Tower(OML+ KSGM(OLD) = 62.3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05027-008 (SGG0015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27-008 (SGG00158) Application Rev 2.xlsx"/>
    <m/>
  </r>
  <r>
    <n v="3360"/>
    <s v="1-01-05011-006"/>
    <s v="Pan Asia"/>
    <s v="Northern"/>
    <s v="SGG00544"/>
    <s v="MPT"/>
    <s v="MPT  Phase 1b Colo"/>
    <s v="On Air"/>
    <s v="Colocation "/>
    <s v="3"/>
    <x v="47"/>
    <m/>
    <n v="2.64"/>
    <n v="6.53"/>
    <s v="SQM"/>
    <s v="48"/>
    <s v="53"/>
    <x v="0"/>
    <m/>
    <s v="Not Required"/>
    <m/>
    <s v="Not Required"/>
    <m/>
    <s v="OK"/>
    <s v="Existing on tower actual - OML -7.59 sqm - No UE  / KSGM - 4.16 sqm no UE / TML - 3.87  sqm no UE )Requested SQM 6.525 -add MW as per the actual and Add RF as new additional "/>
    <s v="OK"/>
    <m/>
    <m/>
    <s v="No"/>
    <s v="Existing Tower(OML+TML+KSGM(OLD+NEW) =102.1%_x000a_Existing Tower(OML+TML+KSGM(OLD) =99.2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05011-006 (SGG00544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5011-006 (SGG00544) Application Rev 3.xlsx"/>
    <m/>
  </r>
  <r>
    <n v="3361"/>
    <s v="1-01-14008-002"/>
    <s v="Pan Asia"/>
    <s v="Central"/>
    <s v="SHS00382"/>
    <s v="MPT"/>
    <s v="MPT  Phase 1b Colo"/>
    <s v="On Air"/>
    <s v="Colocation "/>
    <s v="2"/>
    <x v="47"/>
    <m/>
    <n v="2.1"/>
    <n v="1.74"/>
    <s v="SQM"/>
    <s v="48"/>
    <s v="53"/>
    <x v="0"/>
    <m/>
    <s v="Not Required"/>
    <m/>
    <s v="Not Required"/>
    <m/>
    <s v="OK"/>
    <s v="Existing on tower actual - OML Not Yet On Air / KSGM - 2.69 sqm no UE / TML - 3.87  sqm no UE )Requested SQM 1.744 -Change RF dimension and added RRU"/>
    <s v="OK"/>
    <m/>
    <m/>
    <s v="No"/>
    <s v="EXISTING TOWER(OML+TML+KSGM(OLD+NEW)):  90.5 %_x000a_EXISTING TOWER(OML+TML+KSGM(OLD)): 91.7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4008-002 (SHS00382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8-002 (SHS00382) Application Rev 2.xlsx"/>
    <m/>
  </r>
  <r>
    <n v="3362"/>
    <s v="1-01-16001-003"/>
    <s v="Pan Asia"/>
    <s v="Central"/>
    <s v="SHE00021"/>
    <s v="MPT"/>
    <s v="MPT  Phase 1b Colo"/>
    <s v="On Air"/>
    <s v="Colocation "/>
    <s v="1"/>
    <x v="47"/>
    <m/>
    <n v="1.8"/>
    <n v="3.024"/>
    <s v="SQM"/>
    <s v="33"/>
    <s v="38"/>
    <x v="0"/>
    <m/>
    <s v="Not Required"/>
    <m/>
    <s v="Not Required"/>
    <m/>
    <s v="OK"/>
    <s v="Existing on tower actual - OML 7.76sqm / KSGM - 2.08 sqm no UE )Requested SQM 3.024 -Change RF /RRU dimension"/>
    <s v="OK"/>
    <m/>
    <m/>
    <s v="No"/>
    <s v="STR TOWER(OP1+OP3(OLD+NEW)): 79.3%_x000a_STR TOWER(OP1+OP3(OLD)): 76.6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6001-003 (SHE00021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6001-003 (SHE00021) Application Rev 1.xlsx"/>
    <m/>
  </r>
  <r>
    <n v="3363"/>
    <s v="1-01-14001-019"/>
    <s v="Pan Asia"/>
    <s v="Central"/>
    <s v="SHS00259"/>
    <s v="MPT"/>
    <s v="MPT  Phase 1b Colo"/>
    <s v="On Air"/>
    <s v="Colocation "/>
    <s v="3"/>
    <x v="47"/>
    <m/>
    <n v="4.8"/>
    <n v="5.9880000000000004"/>
    <s v="SQM"/>
    <s v="34.5"/>
    <s v="39.5"/>
    <x v="0"/>
    <m/>
    <s v="Not Required"/>
    <m/>
    <s v="Not Required"/>
    <m/>
    <s v="OK"/>
    <s v="Existing on tower actual - OML 7.24 sqm / KSGM - 2.29 sqm  / Mytel - 1.46  sqm no UE )Requested SQM 5.988 -Change RF dimension and added RRU"/>
    <s v="OK"/>
    <m/>
    <m/>
    <s v="No"/>
    <s v="Approved by Pasky (8/11/2018) by hard copy_x000a_STR TOWER(OML+MYTEL+KSGM(OLD+NEW)): 101.09%_x000a_STR TOWER(OML+MYTEL+KSGM(OLD)): 98.23  %_x000a_EXISTING TOWER(OML+MYTEL+KSGM(OLD+NEW)):  114.2%_x000a_EXISTING TOWER(OML+MYTEL+KSGM(OLD)): 111%"/>
    <s v="Not Required"/>
    <m/>
    <m/>
    <m/>
    <m/>
    <s v="Not Required"/>
    <m/>
    <m/>
    <m/>
    <m/>
    <m/>
    <m/>
    <m/>
    <m/>
    <m/>
    <d v="2018-11-19T12:07:22"/>
    <m/>
    <d v="2018-11-19T11:14:16"/>
    <m/>
    <m/>
    <m/>
    <d v="2018-11-19T12:07:22"/>
    <n v="35.505113310202432"/>
    <n v="0"/>
    <s v="No File"/>
    <s v="1-01-14001-019 (SHS00259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1-019 (SHS00259) Application Rev 3.xlsx"/>
    <m/>
  </r>
  <r>
    <n v="3364"/>
    <s v="1-01-15010-002"/>
    <s v="Pan Asia"/>
    <s v="Northern"/>
    <s v="SHN00092"/>
    <s v="MPT"/>
    <s v="MPT  Phase 1b Colo"/>
    <s v="On Air"/>
    <s v="Colocation "/>
    <s v="3"/>
    <x v="47"/>
    <m/>
    <n v="3.88"/>
    <n v="7.4580000000000002"/>
    <s v="SQM"/>
    <s v="33"/>
    <s v="38"/>
    <x v="0"/>
    <m/>
    <s v="Not Required"/>
    <m/>
    <s v="Not Required"/>
    <m/>
    <s v="OK"/>
    <s v="Existing on tower actual - OML 8.67 sqm / KSGM - 4.34 sqm  / TML colo apps  - 4.41 sqm )Requested SQM 7.458 -Added RF as new additional "/>
    <s v="OK"/>
    <m/>
    <m/>
    <s v="No"/>
    <s v="EXISTING TOWER(OML+TML+KSGM(OLD+NEW)):  101 %_x000a_EXISTING TOWER(OML+TML+KSGM(OLD)): 97.2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5010-002 (SHN00092) Application Rev 3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5010-002 (SHN00092) Application Rev 3.xlsx"/>
    <m/>
  </r>
  <r>
    <n v="3365"/>
    <s v="1-01-08002-005"/>
    <s v="Pan Asia"/>
    <s v="Central"/>
    <s v="BGW00115"/>
    <s v="MPT"/>
    <s v="MPT  Phase 1b Colo"/>
    <s v="On Air"/>
    <s v="Colocation "/>
    <s v="2"/>
    <x v="47"/>
    <m/>
    <n v="3.3"/>
    <n v="2.7519999999999998"/>
    <s v="SQM"/>
    <s v="30.5"/>
    <s v="35.5"/>
    <x v="0"/>
    <m/>
    <s v="Not Required"/>
    <m/>
    <s v="Not Required"/>
    <m/>
    <s v="OK"/>
    <s v="Existing on tower actual - OML 7.16 sqm / KSGM - 3.08 sqm no UE ) Requested SQM 2.752 -Change RF dimension and add RRU"/>
    <s v="OK"/>
    <m/>
    <m/>
    <s v="No"/>
    <s v="Existing Tower(OML+KSGM(OLD+NEW) = 80.1%_x000a_Existing Tower(OML+KSGM(OLD) = 80.7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08002-005 (BGW0011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08002-005 (BGW00115) Application Rev 2.xlsx"/>
    <m/>
  </r>
  <r>
    <n v="3366"/>
    <s v="1-01-11009-003"/>
    <s v="Pan Asia"/>
    <s v="Southern"/>
    <s v="MON00160"/>
    <s v="MPT"/>
    <s v="MPT  Phase 1b Colo"/>
    <s v="On Air"/>
    <s v="Colocation "/>
    <s v="2"/>
    <x v="47"/>
    <m/>
    <n v="4.8"/>
    <n v="4.4539999999999997"/>
    <s v="SQM"/>
    <s v="52"/>
    <s v="57"/>
    <x v="0"/>
    <m/>
    <s v="Not Required"/>
    <m/>
    <s v="Not Required"/>
    <m/>
    <s v="OK"/>
    <s v="Existing on tower actual - OML 8.09 sqm / KSGM - 2.29 sqm no UE, Mytel colo apps  4.50 sqm  )Requested SQM 4.454- Change RF dimension and add RRU"/>
    <s v="OK"/>
    <m/>
    <m/>
    <s v="No"/>
    <s v="Strengthened Tower (Mytel Project - Install Completed) :_x000a_OML+MYTEL+KSGM(NEW+OLD) = 99.7%_x000a_OML+MYTEL+KSGM(OLD) = 92.2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1009-003 (MON00160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1009-003 (MON00160) Application Rev 2.xlsx"/>
    <m/>
  </r>
  <r>
    <n v="3367"/>
    <s v="1-01-14005-005"/>
    <s v="Pan Asia"/>
    <s v="Central"/>
    <s v="SHS00349"/>
    <s v="MPT"/>
    <s v="MPT  Phase 1b Colo"/>
    <s v="On Air"/>
    <s v="Colocation "/>
    <s v="4"/>
    <x v="47"/>
    <m/>
    <n v="3.3"/>
    <n v="3.9460000000000002"/>
    <s v="SQM"/>
    <s v="48"/>
    <s v="53"/>
    <x v="0"/>
    <m/>
    <s v="Not Required"/>
    <m/>
    <s v="Not Required"/>
    <m/>
    <s v="OK"/>
    <s v="Existing on tower actual - OML 8.89 sqm / KSGM - 2.97 sqm no UE, TML  4.36 sqm - no UE  )Requested SQM 3.946- Change RF dimension and add RRU"/>
    <s v="OK"/>
    <m/>
    <m/>
    <s v="No"/>
    <s v="EXISTING TOWER(OML+TML+KSGM(OLD+NEW)): 99.5 %_x000a_EXISTING TOWER(OML+TML+KSGM(OLD)): 97.8 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4005-005 (SHS00349) Application Rev 4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4005-005 (SHS00349) Application Rev 4.xlsx"/>
    <m/>
  </r>
  <r>
    <n v="3368"/>
    <s v="1-01-17016-004"/>
    <s v="Pan Asia"/>
    <s v="Southern"/>
    <s v="AWD00498"/>
    <s v="MPT"/>
    <s v="MPT  Phase 1b Colo"/>
    <s v="On Air"/>
    <s v="Colocation "/>
    <s v="2"/>
    <x v="47"/>
    <m/>
    <n v="2.1"/>
    <n v="3.5750000000000002"/>
    <s v="SQM"/>
    <s v="42.5"/>
    <s v="47.5"/>
    <x v="0"/>
    <m/>
    <s v="Not Required"/>
    <m/>
    <s v="Not Required"/>
    <m/>
    <s v="OK"/>
    <s v="Existing on tower actual - OML 9.15 sqm / KSGM - 3.43 sqm no UE, TML  5.00 sqm - no UE  )Requested SQM 3.575- Change RF dimension and add MW"/>
    <s v="OK"/>
    <m/>
    <m/>
    <s v="No"/>
    <s v="Strengthened Tower(OML+TML+KSGM(OLD+NEW)): 101.87%_x000a_Strengthened Tower(OML+TML+KSGM(OLD)): 101.92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7016-004 (AWD0049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16-004 (AWD00498) Application Rev 2.xlsx"/>
    <m/>
  </r>
  <r>
    <n v="3369"/>
    <s v="1-01-13004-002"/>
    <s v="Pan Asia"/>
    <s v="Southern"/>
    <s v="YGN00555"/>
    <s v="MPT"/>
    <s v="MPT  Phase 1b Colo"/>
    <s v="On Air"/>
    <s v="Colocation "/>
    <s v="2"/>
    <x v="47"/>
    <m/>
    <n v="2.4"/>
    <n v="3.5150000000000001"/>
    <s v="SQM"/>
    <s v="33"/>
    <s v="38"/>
    <x v="0"/>
    <m/>
    <s v="Not Required"/>
    <m/>
    <s v="Not Required"/>
    <m/>
    <s v="OK"/>
    <s v="Existing on tower actual - OML 7.49 sqm / KSGM - 3.25 sqm no UE,   )Requested SQM 3.515- Change RF dimension and add MW"/>
    <s v="OK"/>
    <m/>
    <m/>
    <s v="No"/>
    <s v="EXISTING TOWER(OML+KSGM(OLD+NEW)):  80.2 %_x000a_EXISTING TOWER(OML+KSGM(OLD)): 80 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3004-002 (YGN00555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3004-002 (YGN00555) Application Rev 2.xlsx"/>
    <m/>
  </r>
  <r>
    <n v="3370"/>
    <s v="1-01-17009-002"/>
    <s v="Pan Asia"/>
    <s v="Southern"/>
    <s v="AWD00481"/>
    <s v="MPT"/>
    <s v="MPT  Phase 1b Colo"/>
    <s v="On Air"/>
    <s v="Tower Share "/>
    <s v="2"/>
    <x v="47"/>
    <m/>
    <n v="0.9"/>
    <n v="2.887"/>
    <s v="SQM"/>
    <s v="42.5"/>
    <s v="47.5"/>
    <x v="0"/>
    <m/>
    <s v="Not Required"/>
    <m/>
    <s v="Not Required"/>
    <m/>
    <s v="OK"/>
    <s v="Existing on tower actual - OML 7.72 sqm / KSGM - 3.42 sqm no UE, TML - 4.94 sqm )Requested SQM 2.887 - Change RF dimension and add MW"/>
    <s v="OK"/>
    <m/>
    <m/>
    <s v="No"/>
    <s v="Existing Tower(OP1+OP4+OP3(OLD+NEW) =103%_x000a_Existing Tower(OP1+OP4+OP3(OLD) =103.9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7009-002 (AWD00481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09-002 (AWD00481) Application Rev 2.xlsx"/>
    <m/>
  </r>
  <r>
    <n v="3371"/>
    <s v="1-01-17008-022"/>
    <s v="Pan Asia"/>
    <s v="Southern"/>
    <s v="AWD00548"/>
    <s v="MPT"/>
    <s v="MPT  Phase 1b Colo"/>
    <s v="On Air"/>
    <s v="Tower Share "/>
    <s v="2"/>
    <x v="47"/>
    <m/>
    <n v="1.5"/>
    <n v="2.9119999999999999"/>
    <s v="SQM"/>
    <s v="24"/>
    <s v="29"/>
    <x v="0"/>
    <m/>
    <s v="Not Required"/>
    <m/>
    <s v="Not Required"/>
    <m/>
    <s v="OK"/>
    <s v="Existing on tower actual - OML 6.71 sqm / KSGM - 2.50 sqm no UE, TML - 4.01 sqm )Requested SQM 2.912 - Change existing Antenna height "/>
    <s v="OK"/>
    <m/>
    <m/>
    <s v="No"/>
    <s v="Existing Tower(OML+TML+KSGM(OLD+NEW) = 91.7%_x000a_Existing Tower(OML+TML+KSGM(OLD) = 91.8%"/>
    <s v="Not Required"/>
    <m/>
    <m/>
    <m/>
    <m/>
    <s v="Not Required"/>
    <m/>
    <m/>
    <m/>
    <m/>
    <m/>
    <m/>
    <m/>
    <m/>
    <m/>
    <m/>
    <m/>
    <m/>
    <m/>
    <m/>
    <m/>
    <d v="2018-10-15T00:00:00"/>
    <s v="Not  Calculated"/>
    <n v="0"/>
    <s v="No File"/>
    <s v="1-01-17008-022 (AWD00548) Application Rev 2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1-01-17008-022 (AWD00548) Application Rev 2.xlsx"/>
    <m/>
  </r>
  <r>
    <n v="3348"/>
    <s v="ANSG_0483"/>
    <s v="Apollo"/>
    <s v="Northern"/>
    <s v="SGG00406"/>
    <s v="MPT"/>
    <s v="MPT  Phase 1a Colo"/>
    <s v="On Air"/>
    <s v="Change Request"/>
    <s v="1"/>
    <x v="48"/>
    <m/>
    <n v="1.4"/>
    <n v="5"/>
    <s v="EPA"/>
    <s v="36"/>
    <s v="41"/>
    <x v="0"/>
    <m/>
    <s v="Not Required"/>
    <m/>
    <s v="Rejected"/>
    <s v="Grid request on hold due to high VCC 10 million"/>
    <s v="OK"/>
    <s v="Existing on tower - ( Assume ) Telenor with 5.65 EPA . MPT with 4.84 EPA - Mytel Colo Apps EPA -  6.914"/>
    <s v="OK"/>
    <m/>
    <m/>
    <m/>
    <m/>
    <s v="Not Required"/>
    <m/>
    <m/>
    <m/>
    <s v="Comment below site duplicated"/>
    <s v="Not Required"/>
    <m/>
    <m/>
    <m/>
    <m/>
    <m/>
    <m/>
    <m/>
    <m/>
    <m/>
    <m/>
    <m/>
    <m/>
    <m/>
    <m/>
    <m/>
    <d v="2018-10-11T00:00:00"/>
    <s v="Not  Calculated"/>
    <n v="0"/>
    <s v="No File"/>
    <s v="ANSG_0483 (SGG00406) Application Rev 1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483 (SGG00406) Application Rev 1.xlsx"/>
    <m/>
  </r>
  <r>
    <n v="3349"/>
    <s v="AYYN_0609"/>
    <s v="Apollo"/>
    <s v="Southern"/>
    <s v="BGE00472"/>
    <s v="MPT"/>
    <s v="MPT Colocation"/>
    <s v="Under Colo"/>
    <s v="Change Request"/>
    <s v="0"/>
    <x v="48"/>
    <m/>
    <n v="2.1"/>
    <n v="5"/>
    <s v="EPA"/>
    <s v="25"/>
    <s v="30"/>
    <x v="0"/>
    <m/>
    <s v="Not Required"/>
    <m/>
    <s v="Rejected"/>
    <s v="community asking extra VCC (80lakhs) for MPT colo and OML, mytel as well. They received 30lakhs VCC when we connected a grid on site since 2017."/>
    <s v="OK"/>
    <s v="Existing on tower - ( Assume ) Telenor with 5.83 EPA .OML with 11.13 EPA - Mytel with EPA -  3.90"/>
    <m/>
    <m/>
    <m/>
    <m/>
    <m/>
    <s v="OK"/>
    <s v="2 weeks"/>
    <m/>
    <m/>
    <s v="BB EoL swap "/>
    <s v="Not Required"/>
    <m/>
    <m/>
    <m/>
    <m/>
    <m/>
    <m/>
    <m/>
    <m/>
    <m/>
    <m/>
    <d v="2018-12-19T09:05:55"/>
    <m/>
    <m/>
    <m/>
    <m/>
    <d v="2018-10-11T00:00:00"/>
    <s v="Not  Calculated"/>
    <n v="0"/>
    <s v="No File"/>
    <s v="AYYN_0609 (BGE00472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609 (BGE00472) Application Rev 0.xlsx"/>
    <m/>
  </r>
  <r>
    <n v="3351"/>
    <s v="AYYN_0529"/>
    <s v="Apollo"/>
    <s v="Southern"/>
    <s v="YGN00500"/>
    <s v="MPT"/>
    <s v="MPT  Phase 1a Colo"/>
    <s v="On Air"/>
    <s v="Change Request"/>
    <s v="0"/>
    <x v="48"/>
    <m/>
    <n v="2.1"/>
    <m/>
    <s v="EPA"/>
    <s v="25"/>
    <s v="30"/>
    <x v="0"/>
    <m/>
    <s v="Not Required"/>
    <m/>
    <s v="OK"/>
    <m/>
    <s v="OK"/>
    <s v="Existing on tower - ( Assume ) Telenor with 4.65 EPA .MPT with 4.70 EPA "/>
    <m/>
    <m/>
    <m/>
    <m/>
    <m/>
    <s v="OK"/>
    <s v="1 week"/>
    <m/>
    <m/>
    <m/>
    <s v="Not Required"/>
    <m/>
    <m/>
    <m/>
    <m/>
    <m/>
    <m/>
    <m/>
    <m/>
    <m/>
    <m/>
    <d v="2018-12-19T09:05:55"/>
    <m/>
    <m/>
    <m/>
    <m/>
    <d v="2018-10-11T00:00:00"/>
    <s v="Not  Calculated"/>
    <n v="0"/>
    <s v="No File"/>
    <s v="AYYN_0529 (YGN00500) Application Rev 0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529 (YGN00500) Application Rev 0.xlsx"/>
    <m/>
  </r>
  <r>
    <n v="648"/>
    <s v="ACAY_0154"/>
    <s v="Apollo"/>
    <s v="Southern"/>
    <s v="AYW5603"/>
    <s v="OML"/>
    <s v="OML Phase 2 Colo"/>
    <s v="On Air"/>
    <s v="Colocation"/>
    <m/>
    <x v="49"/>
    <m/>
    <n v="3"/>
    <n v="6"/>
    <s v="EPA"/>
    <s v="23"/>
    <s v="28"/>
    <x v="0"/>
    <m/>
    <s v="OK"/>
    <s v="13-Sep-18: Okay for TI installation,  Lease hike request may raise while TI installation"/>
    <s v="OK"/>
    <m/>
    <s v="OK"/>
    <m/>
    <s v="Not Required"/>
    <m/>
    <m/>
    <s v="No"/>
    <m/>
    <s v="OK"/>
    <s v="1 week"/>
    <m/>
    <m/>
    <s v="NOTE: site has 24/7 DG run restriction"/>
    <s v="OK"/>
    <s v="No"/>
    <m/>
    <m/>
    <m/>
    <m/>
    <m/>
    <m/>
    <m/>
    <m/>
    <d v="2018-11-13T14:56:12"/>
    <d v="2018-11-13T16:09:11"/>
    <m/>
    <d v="2018-11-13T17:30:58"/>
    <d v="2018-11-13T16:30:57"/>
    <d v="2018-11-13T16:25:48"/>
    <d v="2018-09-07T00:00:00"/>
    <s v="Not  Calculated"/>
    <n v="0"/>
    <s v="No File"/>
    <s v="ACAY_0154 (AYW560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154 (AYW5603) Application.xlsx"/>
    <m/>
  </r>
  <r>
    <n v="649"/>
    <s v="ACAY_0056"/>
    <s v="Apollo"/>
    <s v="Southern"/>
    <s v="AYW5611"/>
    <s v="OML"/>
    <s v="OML Phase 2 Colo"/>
    <s v="On Air"/>
    <s v="Colocation"/>
    <m/>
    <x v="49"/>
    <m/>
    <n v="3"/>
    <n v="6"/>
    <s v="EPA"/>
    <s v="23"/>
    <s v="28"/>
    <x v="0"/>
    <m/>
    <s v="OK"/>
    <s v="13-Sep-18: Okay for TI installation,  Lease hike request may raise while TI installation"/>
    <s v="OK"/>
    <m/>
    <s v="OK"/>
    <m/>
    <s v="Not Required"/>
    <m/>
    <m/>
    <s v="No"/>
    <m/>
    <s v="OK"/>
    <s v="2 weeks"/>
    <m/>
    <m/>
    <s v="BB EoL swap &amp; expansion + DG upgrade needed"/>
    <s v="OK"/>
    <s v="No"/>
    <m/>
    <m/>
    <m/>
    <m/>
    <m/>
    <m/>
    <m/>
    <m/>
    <d v="2018-11-13T14:56:12"/>
    <d v="2018-11-13T16:09:12"/>
    <m/>
    <d v="2018-11-13T17:30:58"/>
    <d v="2018-11-13T16:30:57"/>
    <d v="2018-11-13T16:25:48"/>
    <d v="2018-09-07T00:00:00"/>
    <s v="Not  Calculated"/>
    <n v="0"/>
    <s v="No File"/>
    <s v="ACAY_0056 (AYW561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056 (AYW5611) Application.xlsx"/>
    <m/>
  </r>
  <r>
    <n v="652"/>
    <s v="ASMO_0161"/>
    <s v="Apollo"/>
    <s v="Southern"/>
    <s v="MOW6321"/>
    <s v="OML"/>
    <s v="OML Phase 2 Colo"/>
    <s v="On Air"/>
    <s v="Colocation"/>
    <m/>
    <x v="49"/>
    <m/>
    <n v="3"/>
    <n v="6"/>
    <s v="EPA"/>
    <s v="31"/>
    <s v="36"/>
    <x v="0"/>
    <m/>
    <s v="OK"/>
    <s v="13-Sep-18: Okay for TI installation as owner is okay, Team has to be much quite while OML installation as ward and Nieghbour may raise concern."/>
    <s v="OK"/>
    <m/>
    <s v="OK"/>
    <m/>
    <s v="Not Required"/>
    <m/>
    <m/>
    <s v="No"/>
    <m/>
    <s v="OK"/>
    <s v="2 weeks"/>
    <m/>
    <m/>
    <s v="NOTE: site has 24/7 DG run restriction BB Eol swap &amp; expansion + DG UG"/>
    <s v="OK"/>
    <s v="No"/>
    <s v="need to relocate DCDB pole"/>
    <m/>
    <m/>
    <m/>
    <m/>
    <m/>
    <m/>
    <m/>
    <d v="2018-11-13T14:56:12"/>
    <d v="2018-11-13T16:09:12"/>
    <m/>
    <d v="2018-11-13T17:30:58"/>
    <d v="2018-11-13T16:30:57"/>
    <d v="2018-11-13T16:25:48"/>
    <d v="2018-09-07T00:00:00"/>
    <s v="Not  Calculated"/>
    <n v="0"/>
    <s v="No File"/>
    <s v="ASMO_0161 (MOW632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61 (MOW6321) Application.xlsx"/>
    <m/>
  </r>
  <r>
    <n v="653"/>
    <s v="ACBA_0104"/>
    <s v="Apollo"/>
    <s v="Central"/>
    <s v="BAW5607"/>
    <s v="OML"/>
    <s v="OML Phase 2 Colo"/>
    <s v="On Air"/>
    <s v="Colocation"/>
    <m/>
    <x v="49"/>
    <m/>
    <n v="3"/>
    <n v="6"/>
    <s v="EPA"/>
    <s v="35"/>
    <s v="40"/>
    <x v="0"/>
    <m/>
    <s v="OK"/>
    <s v="13-Sep-18: Okay for TI installation,  Lease hike request may raise while TI installation"/>
    <s v="OK"/>
    <m/>
    <s v="OK"/>
    <m/>
    <s v="Not Required"/>
    <m/>
    <m/>
    <s v="No"/>
    <m/>
    <s v="OK"/>
    <s v="2 weeks"/>
    <m/>
    <m/>
    <s v="monitor Grid &amp; battery performance - BB UG may be requiured "/>
    <s v="Not Required"/>
    <m/>
    <m/>
    <m/>
    <m/>
    <m/>
    <m/>
    <m/>
    <m/>
    <m/>
    <d v="2018-11-13T14:56:12"/>
    <d v="2018-11-13T16:09:12"/>
    <m/>
    <m/>
    <d v="2018-11-13T16:30:57"/>
    <d v="2018-11-13T16:25:49"/>
    <d v="2018-09-07T00:00:00"/>
    <s v="Not  Calculated"/>
    <n v="0"/>
    <s v="No File"/>
    <s v="ACBA_0104 (BAW560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104 (BAW5607) Application.xlsx"/>
    <m/>
  </r>
  <r>
    <n v="654"/>
    <s v="ACBA_0099"/>
    <s v="Apollo"/>
    <s v="Central"/>
    <s v="BAW5608"/>
    <s v="OML"/>
    <s v="OML Phase 2 Colo"/>
    <s v="On Air"/>
    <s v="Colocation"/>
    <m/>
    <x v="49"/>
    <m/>
    <n v="3"/>
    <n v="6"/>
    <s v="EPA"/>
    <s v="23"/>
    <s v="28"/>
    <x v="0"/>
    <m/>
    <s v="OK"/>
    <s v="13-Sep-18: Okay for TI installation,  Lease hike request may raise while TI installation"/>
    <s v="OK"/>
    <m/>
    <s v="OK"/>
    <m/>
    <s v="Not Required"/>
    <m/>
    <m/>
    <s v="No"/>
    <m/>
    <s v="OK"/>
    <s v="2wee"/>
    <m/>
    <m/>
    <s v="BB EoL swap - monitor grid performance - DG UG if poor grid"/>
    <s v="Not Required"/>
    <m/>
    <m/>
    <m/>
    <m/>
    <m/>
    <m/>
    <m/>
    <m/>
    <m/>
    <d v="2018-11-13T14:56:12"/>
    <d v="2018-11-13T16:09:12"/>
    <m/>
    <m/>
    <d v="2018-11-13T16:30:57"/>
    <d v="2018-11-13T16:25:49"/>
    <d v="2018-09-07T00:00:00"/>
    <s v="Not  Calculated"/>
    <n v="0"/>
    <s v="No File"/>
    <s v="ACBA_0099 (BAW560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99 (BAW5608) Application.xlsx"/>
    <m/>
  </r>
  <r>
    <n v="275"/>
    <s v="ANMD_0011"/>
    <s v="Apollo"/>
    <s v="Northern"/>
    <s v="MDYAMTZ017"/>
    <s v="Amara"/>
    <s v="Colocation"/>
    <m/>
    <s v="Colocation"/>
    <m/>
    <x v="50"/>
    <m/>
    <n v="2.5"/>
    <n v="3"/>
    <s v="EPA"/>
    <s v="13.5"/>
    <s v="16.5"/>
    <x v="0"/>
    <m/>
    <s v="OK"/>
    <m/>
    <s v="OK"/>
    <m/>
    <s v="OK"/>
    <m/>
    <m/>
    <m/>
    <m/>
    <m/>
    <s v="Waiting for review BA report"/>
    <s v="OK"/>
    <s v="1 week"/>
    <m/>
    <m/>
    <s v="AC connect?"/>
    <s v="Not Required"/>
    <m/>
    <m/>
    <s v="Not Required"/>
    <m/>
    <s v="Not Required"/>
    <m/>
    <m/>
    <s v="Approved by Management"/>
    <s v="Kitcha agreed on 26 Dec 18 to proceed and accepted the BA report."/>
    <d v="2018-11-13T14:56:11"/>
    <d v="2018-11-13T16:09:11"/>
    <m/>
    <m/>
    <d v="2018-11-20T08:50:53"/>
    <d v="2018-12-28T11:37:59"/>
    <d v="2018-12-28T11:37:59"/>
    <n v="135.48471388890175"/>
    <n v="0"/>
    <s v="No File"/>
    <s v="ANMD_0011 (MDYAMTZ01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11 (MDYAMTZ017) Application.xlsx"/>
    <m/>
  </r>
  <r>
    <n v="276"/>
    <s v="ANMD_0097"/>
    <s v="Apollo"/>
    <s v="Northern"/>
    <s v="MDYCMTZ034"/>
    <s v="Amara"/>
    <s v="Amara Phase 1"/>
    <s v="RFI"/>
    <s v="Colocation"/>
    <m/>
    <x v="50"/>
    <m/>
    <n v="2.5"/>
    <n v="3"/>
    <s v="EPA"/>
    <s v="16"/>
    <s v="21"/>
    <x v="0"/>
    <s v="Colo Application already approved on 18th Sep."/>
    <s v="OK"/>
    <s v="13-Sep-18: Okay for TI installation,  Lease hike request may raise while TI installation"/>
    <s v="OK"/>
    <m/>
    <s v="OK"/>
    <m/>
    <m/>
    <m/>
    <m/>
    <s v="No"/>
    <m/>
    <m/>
    <m/>
    <m/>
    <m/>
    <m/>
    <m/>
    <m/>
    <m/>
    <m/>
    <m/>
    <m/>
    <m/>
    <m/>
    <m/>
    <m/>
    <m/>
    <m/>
    <m/>
    <m/>
    <m/>
    <m/>
    <d v="2018-08-15T00:00:00"/>
    <s v="Not  Calculated"/>
    <n v="0"/>
    <s v="No File"/>
    <s v="ANMD_0097 (MDYCMTZ03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97 (MDYCMTZ034) Application.xlsx"/>
    <m/>
  </r>
  <r>
    <n v="266"/>
    <s v="AYYN_0021"/>
    <s v="Apollo"/>
    <s v="Southern"/>
    <s v="YGN0821"/>
    <s v="Mytel"/>
    <s v="Mytel Phase 1a Colo"/>
    <s v="On Air"/>
    <s v="Colocation"/>
    <m/>
    <x v="51"/>
    <m/>
    <n v="2"/>
    <m/>
    <s v="EPA"/>
    <s v="45"/>
    <s v="50"/>
    <x v="0"/>
    <m/>
    <s v="OK"/>
    <s v="Lease hike may raise"/>
    <s v="OK"/>
    <m/>
    <s v="OK"/>
    <m/>
    <s v="OK"/>
    <m/>
    <m/>
    <m/>
    <s v="Ok, if no extension"/>
    <s v="OK"/>
    <s v="1 week after approval DCDB only"/>
    <m/>
    <m/>
    <s v="BB EOL swap needed"/>
    <s v="OK"/>
    <m/>
    <m/>
    <m/>
    <m/>
    <m/>
    <m/>
    <m/>
    <m/>
    <m/>
    <m/>
    <d v="2018-12-19T09:05:54"/>
    <m/>
    <m/>
    <m/>
    <m/>
    <m/>
    <s v="Not  Calculated"/>
    <n v="0"/>
    <s v="No File"/>
    <s v="AYYN_0021 (YGN082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021 (YGN0821) Application.xlsx"/>
    <m/>
  </r>
  <r>
    <n v="268"/>
    <s v="1-01-05018-005"/>
    <s v="Pan Asia"/>
    <s v="Northern"/>
    <s v="SGG0351"/>
    <s v="Mytel"/>
    <s v="Mytel Phase 1b Colo"/>
    <s v="RFI"/>
    <s v="Colocation"/>
    <m/>
    <x v="51"/>
    <m/>
    <n v="2"/>
    <m/>
    <s v="EPA"/>
    <s v="55"/>
    <s v="60"/>
    <x v="0"/>
    <m/>
    <s v="OK"/>
    <s v="Lease hike may raise"/>
    <s v="OK"/>
    <m/>
    <s v="OK"/>
    <m/>
    <s v="OK"/>
    <m/>
    <m/>
    <m/>
    <s v="Ok, If no extension"/>
    <s v="OK"/>
    <s v="1 week after approval DCDB only"/>
    <m/>
    <m/>
    <s v="BB EOL swap needed"/>
    <s v="OK"/>
    <m/>
    <m/>
    <m/>
    <m/>
    <m/>
    <m/>
    <m/>
    <m/>
    <m/>
    <m/>
    <d v="2018-12-19T09:05:54"/>
    <m/>
    <m/>
    <m/>
    <m/>
    <m/>
    <s v="Not  Calculated"/>
    <n v="0"/>
    <s v="No File"/>
    <s v="1-01-05018-005 (SGG035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1-01-05018-005 (SGG0351) Application.xlsx"/>
    <m/>
  </r>
  <r>
    <n v="269"/>
    <s v="AYYN_0323"/>
    <s v="Apollo"/>
    <s v="Southern"/>
    <s v="YGN1545"/>
    <s v="Mytel"/>
    <s v="Mytel Phase 1a Colo"/>
    <s v="On Air"/>
    <s v="Colocation"/>
    <m/>
    <x v="51"/>
    <m/>
    <n v="2"/>
    <m/>
    <s v="EPA"/>
    <s v="21"/>
    <s v="26"/>
    <x v="0"/>
    <m/>
    <s v="OK"/>
    <s v="Lease hike may raise"/>
    <s v="OK"/>
    <m/>
    <s v="OK"/>
    <m/>
    <s v="Review"/>
    <m/>
    <m/>
    <s v="No"/>
    <s v="Review, need to change wind speed from 160kph to 195kph"/>
    <s v="OK"/>
    <s v="1 week after approval DCDB only"/>
    <m/>
    <m/>
    <s v="BB EOL swap needed"/>
    <s v="OK"/>
    <m/>
    <m/>
    <m/>
    <m/>
    <m/>
    <m/>
    <m/>
    <m/>
    <m/>
    <m/>
    <d v="2018-12-19T09:05:54"/>
    <m/>
    <m/>
    <m/>
    <m/>
    <d v="2018-08-06T00:00:00"/>
    <s v="Not  Calculated"/>
    <n v="0"/>
    <s v="No File"/>
    <s v="AYYN_0323 (YGN154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323 (YGN1545) Application.xlsx"/>
    <m/>
  </r>
  <r>
    <n v="270"/>
    <s v="ANMG_0076"/>
    <s v="Apollo"/>
    <s v="Central"/>
    <s v="MGY0061"/>
    <s v="Mytel"/>
    <s v="Mytel Phase 1a Colo"/>
    <s v="On Air"/>
    <s v="Colocation"/>
    <m/>
    <x v="51"/>
    <m/>
    <m/>
    <m/>
    <s v="EPA"/>
    <s v="35"/>
    <s v="40"/>
    <x v="0"/>
    <m/>
    <s v="OK"/>
    <s v="Lease hike may raise"/>
    <s v="OK"/>
    <m/>
    <s v="OK"/>
    <m/>
    <s v="OK"/>
    <m/>
    <m/>
    <m/>
    <s v="Ok, If no extension"/>
    <s v="OK"/>
    <s v="1 week after approval DCDB only"/>
    <m/>
    <m/>
    <s v="BB EOL swap needed"/>
    <s v="OK"/>
    <m/>
    <m/>
    <m/>
    <m/>
    <m/>
    <m/>
    <m/>
    <m/>
    <m/>
    <m/>
    <d v="2018-12-19T09:05:54"/>
    <m/>
    <m/>
    <m/>
    <m/>
    <m/>
    <s v="Not  Calculated"/>
    <n v="0"/>
    <s v="No File"/>
    <s v="ANMG_0076 (MGY006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G_0076 (MGY0061) Application.xlsx"/>
    <m/>
  </r>
  <r>
    <n v="273"/>
    <s v="ANNP_0329"/>
    <s v="Apollo"/>
    <s v="Central"/>
    <s v="NPW0281"/>
    <s v="Mytel"/>
    <s v="Mytel Phase 1a Colo"/>
    <s v="On Air"/>
    <s v="Colocation"/>
    <m/>
    <x v="52"/>
    <m/>
    <n v="2"/>
    <m/>
    <s v="EPA"/>
    <s v="55"/>
    <s v="60"/>
    <x v="0"/>
    <m/>
    <s v="OK"/>
    <m/>
    <s v="OK"/>
    <m/>
    <s v="OK"/>
    <m/>
    <s v="OK"/>
    <m/>
    <m/>
    <m/>
    <s v="Ok"/>
    <s v="OK"/>
    <m/>
    <m/>
    <m/>
    <m/>
    <s v="OK"/>
    <m/>
    <m/>
    <m/>
    <m/>
    <m/>
    <m/>
    <m/>
    <m/>
    <m/>
    <m/>
    <d v="2018-12-19T09:05:54"/>
    <m/>
    <m/>
    <m/>
    <m/>
    <m/>
    <s v="Not  Calculated"/>
    <n v="0"/>
    <s v="No File"/>
    <s v="ANNP_0329 (NPW028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NP_0329 (NPW0281) Application.xlsx"/>
    <m/>
  </r>
  <r>
    <n v="265"/>
    <s v="ANMD_0080"/>
    <s v="Apollo"/>
    <s v="Northern"/>
    <s v="MAW2380"/>
    <s v="OML"/>
    <s v="OML Phase 2 Colo"/>
    <s v="On Air"/>
    <s v="Colocation"/>
    <m/>
    <x v="53"/>
    <m/>
    <n v="3"/>
    <n v="6.5"/>
    <s v="EPA"/>
    <s v="15"/>
    <s v="20"/>
    <x v="0"/>
    <m/>
    <s v="OK"/>
    <s v="15-Aug-18: Okay for TI installation,  Lease hike request may raise while TI installation"/>
    <s v="OK"/>
    <m/>
    <s v="OK"/>
    <s v="RF Height - 15M-20M MW Height- 32M-35M (If there is LOS blockage)"/>
    <s v="Not Required"/>
    <m/>
    <m/>
    <s v="No"/>
    <m/>
    <s v="OK"/>
    <m/>
    <m/>
    <m/>
    <m/>
    <s v="OK"/>
    <s v="Yes"/>
    <s v="New extension slab (2m x 1m)"/>
    <m/>
    <m/>
    <m/>
    <m/>
    <m/>
    <m/>
    <m/>
    <d v="2018-11-13T14:56:11"/>
    <d v="2018-11-13T16:09:11"/>
    <m/>
    <d v="2018-11-13T17:30:58"/>
    <d v="2018-11-13T16:30:56"/>
    <d v="2018-11-13T16:25:48"/>
    <d v="2018-07-18T00:00:00"/>
    <s v="Not  Calculated"/>
    <n v="0"/>
    <s v="No File"/>
    <s v="ANMD_0080 (MAW238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080 (MAW2380) Application.xlsx"/>
    <m/>
  </r>
  <r>
    <n v="261"/>
    <s v="ANSH_0044"/>
    <s v="Apollo"/>
    <s v="Central"/>
    <s v="SHW1986"/>
    <s v="OML"/>
    <s v="OML Phase 2 Colo"/>
    <s v="RFI"/>
    <s v="Colocation"/>
    <m/>
    <x v="54"/>
    <m/>
    <n v="3"/>
    <n v="6"/>
    <s v="EPA"/>
    <m/>
    <m/>
    <x v="0"/>
    <m/>
    <s v="OK"/>
    <s v="17-July-18: Lease hike request may come up while installtion of OML."/>
    <s v="OK"/>
    <m/>
    <s v="OK"/>
    <s v="At this is ok after TSS will confirm available height"/>
    <s v="OK"/>
    <m/>
    <m/>
    <s v="No"/>
    <m/>
    <s v="Review"/>
    <m/>
    <m/>
    <m/>
    <s v="Flex SS1 K10 UG BB DG+ Grid"/>
    <m/>
    <m/>
    <m/>
    <m/>
    <m/>
    <m/>
    <m/>
    <m/>
    <m/>
    <m/>
    <m/>
    <m/>
    <m/>
    <m/>
    <m/>
    <m/>
    <m/>
    <s v="Not  Calculated"/>
    <n v="0"/>
    <s v="No File"/>
    <s v="ANSH_0044 (SHW198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H_0044 (SHW1986) Application.xlsx"/>
    <m/>
  </r>
  <r>
    <n v="258"/>
    <s v="AYYN_0413"/>
    <s v="Apollo"/>
    <s v="Southern"/>
    <s v="YGNTKTA008"/>
    <s v="Amara"/>
    <s v="Amara Phase 1"/>
    <s v="RFI"/>
    <s v="Colocation"/>
    <m/>
    <x v="55"/>
    <m/>
    <n v="1.9"/>
    <n v="3"/>
    <s v="EPA"/>
    <s v="12.77"/>
    <s v="17.77"/>
    <x v="0"/>
    <m/>
    <s v="OK"/>
    <s v="10-July-18: Lease hike approved, okay for TI installtion."/>
    <s v="OK"/>
    <m/>
    <s v="OK"/>
    <s v="OK"/>
    <s v="OK"/>
    <m/>
    <m/>
    <s v="No"/>
    <s v="Need to add new pole, need to do building Analysis"/>
    <s v="OK"/>
    <s v="1 wk after site survey complete colo appl approved"/>
    <m/>
    <m/>
    <s v="DC connect - BB &amp; PE UG TBO"/>
    <s v="OK"/>
    <s v="Yes"/>
    <s v="need to provide additional cable tray"/>
    <m/>
    <m/>
    <m/>
    <m/>
    <m/>
    <m/>
    <m/>
    <m/>
    <d v="2018-12-19T09:05:54"/>
    <m/>
    <m/>
    <m/>
    <m/>
    <d v="2018-07-09T00:00:00"/>
    <s v="Not  Calculated"/>
    <n v="0"/>
    <s v="No File"/>
    <s v="AYYN_0413 (YGNTKTA00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413 (YGNTKTA008) Application.xlsx"/>
    <m/>
  </r>
  <r>
    <n v="256"/>
    <s v="ANMD_0273"/>
    <s v="Apollo"/>
    <s v="Northern"/>
    <s v="MDYAMTZ023"/>
    <s v="Amara"/>
    <s v="Amara Phase 1"/>
    <s v="RFI"/>
    <s v="Colocation"/>
    <m/>
    <x v="56"/>
    <m/>
    <n v="2.5"/>
    <n v="3"/>
    <s v="EPA"/>
    <s v="36.5"/>
    <s v="39.5"/>
    <x v="0"/>
    <s v="Colo Application already approved on 15th Aug."/>
    <s v="OK"/>
    <s v="14-Aug-18: Owner agreed for Amara installtion on exisiting pole and space."/>
    <s v="Review"/>
    <s v="Hotel rooftop - long DG outages non negotiable"/>
    <s v="OK"/>
    <s v="OK"/>
    <s v="OK"/>
    <m/>
    <m/>
    <s v="No"/>
    <m/>
    <s v="OK"/>
    <s v="1 wk after site survey complete colo appl approved"/>
    <m/>
    <m/>
    <s v="AC connect material in stock - pending all clear from site survey"/>
    <m/>
    <m/>
    <m/>
    <m/>
    <m/>
    <m/>
    <m/>
    <m/>
    <m/>
    <m/>
    <m/>
    <d v="2018-12-19T09:05:54"/>
    <m/>
    <m/>
    <m/>
    <m/>
    <d v="2018-07-05T00:00:00"/>
    <s v="Not  Calculated"/>
    <n v="0"/>
    <s v="No File"/>
    <s v="ANMD_0273 (MDYAMTZ02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273 (MDYAMTZ023) Application.xlsx"/>
    <m/>
  </r>
  <r>
    <n v="252"/>
    <s v="AYYN_0141"/>
    <s v="Apollo"/>
    <s v="Southern"/>
    <s v="YGNLTHA011"/>
    <s v="Amara"/>
    <s v="Colocation"/>
    <m/>
    <s v="Colocation"/>
    <m/>
    <x v="57"/>
    <m/>
    <n v="1.9"/>
    <n v="3"/>
    <s v="EPA"/>
    <s v="24.5"/>
    <s v="29.5"/>
    <x v="0"/>
    <m/>
    <s v="OK"/>
    <s v="10-July-18: Lease hike approved, okay for TI installtion."/>
    <s v="OK"/>
    <m/>
    <s v="OK"/>
    <s v="OK"/>
    <s v="OK"/>
    <m/>
    <m/>
    <s v="No"/>
    <s v="Ok, For easy macro without cabinet"/>
    <s v="OK"/>
    <s v="1 wk after site survey complete colo appl approved"/>
    <m/>
    <m/>
    <s v="AC connect material in stock - pending all clear from site survey"/>
    <s v="OK"/>
    <s v="Yes"/>
    <m/>
    <m/>
    <m/>
    <m/>
    <m/>
    <m/>
    <m/>
    <m/>
    <m/>
    <d v="2018-12-19T09:05:53"/>
    <m/>
    <m/>
    <m/>
    <m/>
    <d v="2018-06-26T00:00:00"/>
    <s v="Not  Calculated"/>
    <n v="0"/>
    <s v="No File"/>
    <s v="AYYN_0141 (YGNLTHA01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141 (YGNLTHA011) Application.xlsx"/>
    <m/>
  </r>
  <r>
    <n v="246"/>
    <s v="ACAY_3003"/>
    <s v="Apollo"/>
    <s v="Southern"/>
    <s v="AYW5573"/>
    <s v="OML"/>
    <s v="OML Phase 2 Colo"/>
    <s v="On Air"/>
    <s v="Colocation"/>
    <m/>
    <x v="58"/>
    <m/>
    <n v="3"/>
    <n v="6"/>
    <s v="EPA"/>
    <m/>
    <m/>
    <x v="0"/>
    <m/>
    <s v="OK"/>
    <s v="10-July-18: Good to go for OML."/>
    <s v="OK"/>
    <m/>
    <s v="OK"/>
    <s v="At this is ok after TSS will confirm available height"/>
    <s v="OK"/>
    <m/>
    <m/>
    <s v="No"/>
    <m/>
    <s v="Review"/>
    <m/>
    <m/>
    <m/>
    <s v="Flex UG BB DG"/>
    <s v="OK"/>
    <s v="No"/>
    <s v="2m x 1.5m"/>
    <m/>
    <m/>
    <m/>
    <m/>
    <m/>
    <m/>
    <m/>
    <m/>
    <m/>
    <m/>
    <m/>
    <m/>
    <m/>
    <m/>
    <s v="Not  Calculated"/>
    <n v="0"/>
    <s v="No File"/>
    <s v="ACAY_3003 (AYW557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3003 (AYW5573) Application.xlsx"/>
    <m/>
  </r>
  <r>
    <n v="248"/>
    <s v="ANMG_0027"/>
    <s v="Apollo"/>
    <s v="Central"/>
    <s v="MWW3486"/>
    <s v="OML"/>
    <s v="Colocation"/>
    <m/>
    <s v="Colocation"/>
    <m/>
    <x v="58"/>
    <m/>
    <n v="3"/>
    <n v="6"/>
    <s v="EPA"/>
    <m/>
    <m/>
    <x v="0"/>
    <m/>
    <s v="OK"/>
    <s v="10-July-18: Good to go for OML, lease hike may raise while TI installation"/>
    <s v="OK"/>
    <m/>
    <s v="OK"/>
    <s v="At this is ok after TSS will confirm available height"/>
    <s v="OK"/>
    <m/>
    <m/>
    <s v="No"/>
    <m/>
    <s v="Review"/>
    <m/>
    <m/>
    <m/>
    <s v="Flex UG BB DG"/>
    <s v="OK"/>
    <s v="No"/>
    <s v="2m x 1.5m"/>
    <m/>
    <m/>
    <m/>
    <m/>
    <m/>
    <m/>
    <m/>
    <m/>
    <m/>
    <m/>
    <m/>
    <m/>
    <m/>
    <m/>
    <s v="Not  Calculated"/>
    <n v="0"/>
    <s v="No File"/>
    <s v="ANMG_0027 (MWW348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027 (MWW3486) Application.xlsx"/>
    <m/>
  </r>
  <r>
    <n v="249"/>
    <s v="ANSH_0013"/>
    <s v="Apollo"/>
    <s v="Central"/>
    <s v="SHW1978"/>
    <s v="OML"/>
    <s v="OML Phase 2 Colo"/>
    <s v="RFI"/>
    <s v="Colocation"/>
    <m/>
    <x v="58"/>
    <m/>
    <n v="3"/>
    <n v="6"/>
    <s v="EPA"/>
    <m/>
    <m/>
    <x v="0"/>
    <m/>
    <s v="OK"/>
    <s v="10-July-18: Good to go for OML."/>
    <s v="OK"/>
    <m/>
    <s v="OK"/>
    <s v="At this is ok after TSS will confirm available height"/>
    <s v="OK"/>
    <m/>
    <m/>
    <s v="No"/>
    <m/>
    <s v="Review"/>
    <m/>
    <m/>
    <m/>
    <s v="BB DG"/>
    <s v="OK"/>
    <s v="No"/>
    <s v="2m x 1.5m"/>
    <m/>
    <m/>
    <m/>
    <m/>
    <m/>
    <m/>
    <m/>
    <m/>
    <m/>
    <m/>
    <m/>
    <m/>
    <m/>
    <m/>
    <s v="Not  Calculated"/>
    <n v="0"/>
    <s v="No File"/>
    <s v="ANSH_0013 (SHW197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H_0013 (SHW1978) Application.xlsx"/>
    <m/>
  </r>
  <r>
    <n v="250"/>
    <s v="AYYN_0419"/>
    <s v="Apollo"/>
    <s v="Southern"/>
    <s v="YGNKTDA015"/>
    <s v="Amara"/>
    <s v="Amara Phase 1"/>
    <s v="RFI"/>
    <s v="Colocation"/>
    <m/>
    <x v="58"/>
    <m/>
    <n v="1.9"/>
    <n v="3"/>
    <s v="EPA"/>
    <s v="27.85"/>
    <s v="32.85"/>
    <x v="0"/>
    <m/>
    <s v="OK"/>
    <s v="10-July-18: Lease hike approved, okay for TI installtion."/>
    <s v="OK"/>
    <m/>
    <s v="OK"/>
    <s v="OK"/>
    <s v="OK"/>
    <m/>
    <m/>
    <s v="No"/>
    <s v="Ok, For easy macro without cabinet"/>
    <s v="OK"/>
    <s v="1 wk after site survey complete colo appl approved"/>
    <m/>
    <m/>
    <s v="AC connect material in stock - pending all clear from site survey"/>
    <s v="OK"/>
    <s v="Yes"/>
    <s v="ok, if they agree to install easy micro"/>
    <m/>
    <m/>
    <m/>
    <m/>
    <m/>
    <m/>
    <m/>
    <m/>
    <d v="2018-12-19T09:05:53"/>
    <m/>
    <m/>
    <m/>
    <m/>
    <d v="2018-06-22T00:00:00"/>
    <s v="Not  Calculated"/>
    <n v="0"/>
    <s v="No File"/>
    <s v="AYYN_0419 (YGNKTDA01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419 (YGNKTDA015) Application.xlsx"/>
    <m/>
  </r>
  <r>
    <n v="251"/>
    <s v="AYYN_0100"/>
    <s v="Apollo"/>
    <s v="Southern"/>
    <s v="YGN0496"/>
    <s v="Mytel"/>
    <s v="Mytel Phase 1a Colo"/>
    <s v="On Air"/>
    <s v="Colocation"/>
    <m/>
    <x v="59"/>
    <m/>
    <n v="2"/>
    <n v="6"/>
    <s v="EPA"/>
    <s v="18"/>
    <s v="23"/>
    <x v="0"/>
    <m/>
    <s v="OK"/>
    <s v="25-June-18: Lease hike request may come up while installtion of Mytel."/>
    <s v="OK"/>
    <m/>
    <s v="OK"/>
    <s v="OK"/>
    <s v="OK"/>
    <m/>
    <m/>
    <s v="No"/>
    <m/>
    <s v="OK"/>
    <s v="BB UG "/>
    <m/>
    <d v="1900-01-01T00:00:00"/>
    <s v="add BB due to 24/7 DG restriction site on grid"/>
    <s v="OK"/>
    <s v="No"/>
    <m/>
    <m/>
    <m/>
    <m/>
    <m/>
    <m/>
    <m/>
    <m/>
    <d v="2018-11-13T15:02:39"/>
    <d v="2018-11-13T16:09:11"/>
    <d v="2018-11-13T16:19:19"/>
    <d v="2018-11-13T17:04:12"/>
    <d v="2018-11-13T16:30:56"/>
    <d v="2018-11-13T16:25:48"/>
    <d v="2018-12-20T17:26:19"/>
    <n v="187.72661064809654"/>
    <n v="0"/>
    <s v="No File"/>
    <s v="AYYN_0100 (YGN049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100 (YGN0496) Application.xlsx"/>
    <m/>
  </r>
  <r>
    <n v="244"/>
    <s v="ANMD_0118"/>
    <s v="Apollo"/>
    <s v="Northern"/>
    <s v="MDYMHAM042"/>
    <s v="Amara"/>
    <s v="Amara Phase 1"/>
    <s v="RFI"/>
    <s v="Colocation"/>
    <m/>
    <x v="60"/>
    <m/>
    <n v="2"/>
    <n v="5"/>
    <s v="EPA"/>
    <s v="15.3"/>
    <s v="20.3"/>
    <x v="0"/>
    <s v="Colo Application already approved on 17th July"/>
    <s v="OK"/>
    <s v="21-June-18: Addtioanl lease hike forwarded to ACS_x000a_20-June-18: Owner is requesting addtioanl lease hike _x000a_10-Apr-18: Need to build new pole and slab."/>
    <s v="OK"/>
    <m/>
    <s v="OK"/>
    <s v="OK"/>
    <s v="OK"/>
    <m/>
    <m/>
    <s v="No"/>
    <s v="Need to add new pole, need to do building Analysis"/>
    <s v="OK"/>
    <s v="PE UG - Batt &amp; DCDB - K10 kit TBO"/>
    <m/>
    <d v="1900-01-01T00:00:00"/>
    <s v="PE equipment TBO (To Be Ordered)"/>
    <m/>
    <m/>
    <m/>
    <m/>
    <m/>
    <m/>
    <m/>
    <m/>
    <m/>
    <m/>
    <m/>
    <d v="2018-12-19T09:05:53"/>
    <m/>
    <m/>
    <m/>
    <m/>
    <d v="2018-06-14T00:00:00"/>
    <s v="Not  Calculated"/>
    <n v="0"/>
    <s v="No File"/>
    <s v="ANMD_0118 (MDYMHAM04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18 (MDYMHAM042) Application.xlsx"/>
    <m/>
  </r>
  <r>
    <n v="242"/>
    <s v="ANMD_0089"/>
    <s v="Apollo"/>
    <s v="Northern"/>
    <s v="MDYCMTN019_2"/>
    <s v="Amara"/>
    <s v="Colocation"/>
    <m/>
    <s v="Colocation"/>
    <m/>
    <x v="61"/>
    <m/>
    <n v="2"/>
    <n v="5"/>
    <s v="EPA"/>
    <s v="25"/>
    <s v="30"/>
    <x v="0"/>
    <s v="Colo Application already approved on 26th June"/>
    <s v="OK"/>
    <s v="7-June-18: Lease hike approved by ATF_x000a_31-May-18: Lease apprvoal pending at ATF_x000a_29-May-18: Leae hike approved by Amara._x000a_12-Mar-18: Owner is asking lease hike."/>
    <s v="OK"/>
    <m/>
    <s v="OK"/>
    <s v="OK"/>
    <s v="OK"/>
    <m/>
    <m/>
    <s v="No"/>
    <s v="Need to add new pole, need to do building Analysis"/>
    <s v="OK"/>
    <s v="1 wk after site survey complete"/>
    <m/>
    <m/>
    <s v="AC connect material in stock"/>
    <m/>
    <m/>
    <m/>
    <m/>
    <m/>
    <m/>
    <m/>
    <m/>
    <m/>
    <m/>
    <m/>
    <d v="2018-12-19T09:05:53"/>
    <m/>
    <m/>
    <m/>
    <m/>
    <d v="2018-06-12T00:00:00"/>
    <s v="Not  Calculated"/>
    <n v="0"/>
    <s v="No File"/>
    <s v="ANMD_0089 (MDYCMTN019_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89 (MDYCMTN019_2) Application.xlsx"/>
    <m/>
  </r>
  <r>
    <n v="239"/>
    <s v="ANMG_0011"/>
    <s v="Apollo"/>
    <s v="Central"/>
    <s v="MWW3525"/>
    <s v="OML"/>
    <s v="Colocation"/>
    <m/>
    <s v="Colocation"/>
    <m/>
    <x v="62"/>
    <m/>
    <n v="3"/>
    <n v="6"/>
    <s v="EPA"/>
    <m/>
    <m/>
    <x v="0"/>
    <m/>
    <s v="OK"/>
    <s v="10-July-18: Good to go for OML, lease hike may raise while TI installation"/>
    <s v="OK"/>
    <m/>
    <s v="OK"/>
    <s v="At this is ok after TSS will confirm available height"/>
    <s v="OK"/>
    <m/>
    <m/>
    <s v="No"/>
    <s v="for small RF"/>
    <s v="Review"/>
    <m/>
    <m/>
    <m/>
    <s v="DCDB"/>
    <s v="OK"/>
    <s v="No"/>
    <s v="1m x 1m"/>
    <m/>
    <m/>
    <m/>
    <m/>
    <m/>
    <m/>
    <m/>
    <m/>
    <m/>
    <m/>
    <m/>
    <m/>
    <m/>
    <m/>
    <s v="Not  Calculated"/>
    <n v="0"/>
    <s v="No File"/>
    <s v="ANMG_0011 (MWW352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011 (MWW3525) Application.xlsx"/>
    <m/>
  </r>
  <r>
    <n v="240"/>
    <s v="ANMG_0113"/>
    <s v="Apollo"/>
    <s v="Central"/>
    <s v="MWW3516"/>
    <s v="OML"/>
    <s v="OML Phase 2 Colo"/>
    <s v="RFI"/>
    <s v="Colocation"/>
    <m/>
    <x v="62"/>
    <m/>
    <n v="3"/>
    <n v="6"/>
    <s v="EPA"/>
    <m/>
    <m/>
    <x v="0"/>
    <m/>
    <s v="OK"/>
    <s v="10-July-18: Good to go for OML, lease hike may raise while TI installation"/>
    <s v="Review"/>
    <s v="DG noise issue"/>
    <s v="OK"/>
    <s v="At this is ok after TSS will confirm available height"/>
    <s v="OK"/>
    <m/>
    <m/>
    <s v="No"/>
    <s v="for small RF"/>
    <s v="Review"/>
    <m/>
    <m/>
    <m/>
    <s v="Flex UG BB DG+ Grid"/>
    <s v="OK"/>
    <s v="No"/>
    <s v="1.5m x 1m"/>
    <m/>
    <m/>
    <m/>
    <m/>
    <m/>
    <m/>
    <m/>
    <m/>
    <m/>
    <m/>
    <m/>
    <m/>
    <m/>
    <m/>
    <s v="Not  Calculated"/>
    <n v="0"/>
    <s v="No File"/>
    <s v="ANMG_0113 (MWW351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113 (MWW3516) Application.xlsx"/>
    <m/>
  </r>
  <r>
    <n v="241"/>
    <s v="AYYN_0517"/>
    <s v="Apollo"/>
    <s v="Southern"/>
    <s v="YAW7769"/>
    <s v="OML"/>
    <s v="Colocation"/>
    <m/>
    <s v="Colocation"/>
    <m/>
    <x v="62"/>
    <m/>
    <n v="3"/>
    <n v="6"/>
    <s v="EPA"/>
    <m/>
    <m/>
    <x v="0"/>
    <m/>
    <s v="OK"/>
    <s v="10-July-18: Good to go for OML, lease hike may raise while TI installation"/>
    <s v="OK"/>
    <m/>
    <s v="OK"/>
    <s v="At this is ok after TSS will confirm available height"/>
    <s v="OK"/>
    <m/>
    <m/>
    <s v="No"/>
    <s v="for small RF"/>
    <s v="Review"/>
    <m/>
    <m/>
    <m/>
    <s v="36KW 1800 BB"/>
    <s v="OK"/>
    <s v="No"/>
    <m/>
    <m/>
    <m/>
    <m/>
    <m/>
    <m/>
    <m/>
    <m/>
    <m/>
    <m/>
    <m/>
    <m/>
    <m/>
    <m/>
    <m/>
    <s v="Not  Calculated"/>
    <n v="0"/>
    <s v="No File"/>
    <s v="AYYN_0517 (YAW776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17 (YAW7769) Application.xlsx"/>
    <m/>
  </r>
  <r>
    <n v="225"/>
    <s v="ANMD_0091"/>
    <s v="Apollo"/>
    <s v="Northern"/>
    <s v="MDYCMTN004"/>
    <s v="Amara"/>
    <s v="Amara Phase 1"/>
    <s v="RFI"/>
    <s v="Colocation"/>
    <m/>
    <x v="63"/>
    <m/>
    <n v="2"/>
    <n v="3"/>
    <s v="EPA"/>
    <s v="18"/>
    <s v="21"/>
    <x v="0"/>
    <s v="Colo Application already approved on 25th June"/>
    <s v="OK"/>
    <s v="31-May-18: Okay for TI installation,  Lease hike request may raise while TI installation"/>
    <s v="OK"/>
    <s v="The owner only accepts 2 tenants"/>
    <s v="OK"/>
    <s v="OK"/>
    <s v="OK"/>
    <m/>
    <m/>
    <s v="No"/>
    <s v="Need to add new pole, need to do building Analysis"/>
    <s v="OK"/>
    <m/>
    <m/>
    <m/>
    <s v="ACDB installation only"/>
    <m/>
    <m/>
    <m/>
    <m/>
    <m/>
    <m/>
    <m/>
    <m/>
    <m/>
    <m/>
    <m/>
    <d v="2018-12-19T09:05:52"/>
    <m/>
    <m/>
    <m/>
    <m/>
    <d v="2018-05-30T00:00:00"/>
    <s v="Not  Calculated"/>
    <n v="0"/>
    <s v="No File"/>
    <s v="ANMD_0091 (MDYCMTN00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091 (MDYCMTN004) Application.xlsx"/>
    <m/>
  </r>
  <r>
    <n v="227"/>
    <s v="ANMD_0105"/>
    <s v="Apollo"/>
    <s v="Northern"/>
    <s v="MDYCMTZ023"/>
    <s v="Amara"/>
    <s v="Amara Phase 1"/>
    <s v="RFI"/>
    <s v="Colocation"/>
    <m/>
    <x v="63"/>
    <m/>
    <n v="2"/>
    <n v="3"/>
    <s v="EPA"/>
    <s v="21"/>
    <s v="24"/>
    <x v="0"/>
    <s v="Colo Application already approved on 26-Jul-18"/>
    <s v="OK"/>
    <s v="31-May-18: Okay for TI installation,  Lease hike request may raise while TI installation"/>
    <s v="OK"/>
    <m/>
    <s v="OK"/>
    <s v="OK"/>
    <s v="OK"/>
    <m/>
    <m/>
    <s v="No"/>
    <s v="Need to add new pole, need to do building Analysis"/>
    <s v="OK"/>
    <m/>
    <m/>
    <m/>
    <s v="Need to verify the power source AC / DC, Gurwinder : Lease Hike OK"/>
    <m/>
    <m/>
    <m/>
    <m/>
    <m/>
    <m/>
    <m/>
    <m/>
    <m/>
    <m/>
    <m/>
    <d v="2018-12-19T09:05:52"/>
    <m/>
    <m/>
    <m/>
    <m/>
    <d v="2018-05-30T00:00:00"/>
    <s v="Not  Calculated"/>
    <n v="0"/>
    <s v="No File"/>
    <s v="ANMD_0105 (MDYCMTZ02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NMD_0105 (MDYCMTZ023) Application.xlsx"/>
    <m/>
  </r>
  <r>
    <n v="229"/>
    <s v="AYYN_0520"/>
    <s v="Apollo"/>
    <s v="Southern"/>
    <s v="YAM7610"/>
    <s v="OML"/>
    <s v="OML Phase 2 Colo"/>
    <s v="On Air"/>
    <s v="Colocation"/>
    <m/>
    <x v="63"/>
    <m/>
    <n v="3"/>
    <n v="6"/>
    <s v="EPA"/>
    <m/>
    <m/>
    <x v="0"/>
    <m/>
    <s v="OK"/>
    <s v="31-May-18: Good to go for TI installtion."/>
    <s v="OK"/>
    <m/>
    <s v="OK"/>
    <s v="OK"/>
    <s v="OK"/>
    <m/>
    <m/>
    <s v="No"/>
    <m/>
    <s v="Review"/>
    <m/>
    <m/>
    <m/>
    <s v="PE UG"/>
    <s v="OK"/>
    <s v="No"/>
    <m/>
    <m/>
    <m/>
    <m/>
    <m/>
    <m/>
    <m/>
    <m/>
    <m/>
    <m/>
    <m/>
    <m/>
    <m/>
    <m/>
    <m/>
    <s v="Not  Calculated"/>
    <n v="0"/>
    <s v="No File"/>
    <s v="AYYN_0520 (YAM761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20 (YAM7610) Application.xlsx"/>
    <m/>
  </r>
  <r>
    <n v="230"/>
    <s v="AYYN_0110"/>
    <s v="Apollo"/>
    <s v="Southern"/>
    <s v="YAW7657"/>
    <s v="OML"/>
    <s v="OML Phase 2 Colo"/>
    <s v="On Air"/>
    <s v="Colocation"/>
    <m/>
    <x v="63"/>
    <m/>
    <n v="3"/>
    <n v="6"/>
    <s v="EPA"/>
    <m/>
    <m/>
    <x v="0"/>
    <m/>
    <s v="OK"/>
    <s v="31-May-18: Okay for TI installation,  Lease hike request may raise while TI installation"/>
    <s v="OK"/>
    <m/>
    <s v="OK"/>
    <s v="Only Macro Solutions//Slim Tower"/>
    <s v="OK"/>
    <m/>
    <m/>
    <s v="No"/>
    <s v="for small RF"/>
    <s v="OK"/>
    <s v="90 Days"/>
    <m/>
    <d v="1900-01-02T12:00:00"/>
    <s v="BB DG"/>
    <s v="OK"/>
    <s v="No"/>
    <s v="need to provide additional cable tray"/>
    <m/>
    <m/>
    <m/>
    <m/>
    <m/>
    <m/>
    <m/>
    <m/>
    <d v="2018-12-19T09:05:52"/>
    <m/>
    <m/>
    <m/>
    <m/>
    <d v="2018-05-30T00:00:00"/>
    <s v="Not  Calculated"/>
    <n v="0"/>
    <s v="No File"/>
    <s v="AYYN_0110 (YAW765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110 (YAW7657) Application.xlsx"/>
    <m/>
  </r>
  <r>
    <n v="232"/>
    <s v="ANNP_0210"/>
    <s v="Apollo"/>
    <s v="Central"/>
    <s v="NPW2259"/>
    <s v="OML"/>
    <s v="Colocation"/>
    <m/>
    <s v="Colocation"/>
    <m/>
    <x v="63"/>
    <m/>
    <n v="3"/>
    <n v="6"/>
    <s v="EPA"/>
    <m/>
    <m/>
    <x v="0"/>
    <m/>
    <s v="OK"/>
    <s v="31-May-18:  Okay for TI installtion, lease hike may raise while TI installation"/>
    <s v="OK"/>
    <m/>
    <s v="OK"/>
    <s v="OK"/>
    <s v="OK"/>
    <m/>
    <m/>
    <s v="No"/>
    <s v="for small RF"/>
    <s v="OK"/>
    <s v="120 Days"/>
    <m/>
    <d v="1900-01-02T12:00:00"/>
    <s v="BB DG+ Grid"/>
    <s v="OK"/>
    <s v="Yes"/>
    <s v="Need to provide additional equipment slab"/>
    <m/>
    <m/>
    <m/>
    <m/>
    <m/>
    <m/>
    <m/>
    <m/>
    <d v="2018-12-19T09:05:52"/>
    <m/>
    <m/>
    <m/>
    <m/>
    <d v="2018-05-30T00:00:00"/>
    <s v="Not  Calculated"/>
    <n v="0"/>
    <s v="No File"/>
    <s v="ANNP_0210 (NPW225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NP_0210 (NPW2259) Application.xlsx"/>
    <m/>
  </r>
  <r>
    <n v="234"/>
    <s v="ANSG_0364"/>
    <s v="Apollo"/>
    <s v="Northern"/>
    <s v="SAW0705"/>
    <s v="OML"/>
    <s v="OML Phase 2 Colo"/>
    <s v="RFI"/>
    <s v="Colocation"/>
    <m/>
    <x v="63"/>
    <m/>
    <n v="3"/>
    <n v="6"/>
    <s v="EPA"/>
    <m/>
    <m/>
    <x v="0"/>
    <m/>
    <s v="OK"/>
    <s v="31-May-18: Okay for TI installation,  Lease hike request may raise while TI installation"/>
    <s v="Review"/>
    <s v="Rent increase to be negotiated for operator"/>
    <s v="OK"/>
    <s v="OK"/>
    <s v="OK"/>
    <m/>
    <m/>
    <s v="No"/>
    <m/>
    <s v="Review"/>
    <m/>
    <m/>
    <m/>
    <s v="BB DG"/>
    <s v="OK"/>
    <s v="No"/>
    <s v="2m x 1.5m"/>
    <m/>
    <m/>
    <m/>
    <m/>
    <m/>
    <m/>
    <m/>
    <m/>
    <m/>
    <m/>
    <m/>
    <m/>
    <m/>
    <m/>
    <s v="Not  Calculated"/>
    <n v="0"/>
    <s v="No File"/>
    <s v="ANSG_0364 (SAW070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64 (SAW0705) Application.xlsx"/>
    <m/>
  </r>
  <r>
    <n v="235"/>
    <s v="ACAY_0102"/>
    <s v="Apollo"/>
    <s v="Southern"/>
    <s v="AYW5275"/>
    <s v="OML"/>
    <s v="Colocation"/>
    <m/>
    <s v="Colocation"/>
    <m/>
    <x v="63"/>
    <m/>
    <n v="3"/>
    <n v="6"/>
    <s v="EPA"/>
    <m/>
    <m/>
    <x v="0"/>
    <s v="remaining EPA still can collocate "/>
    <s v="OK"/>
    <s v="31-May-18: Okay for TI installation,  Lease hike request may raise while TI installation"/>
    <s v="OK"/>
    <m/>
    <s v="OK"/>
    <s v="OK"/>
    <s v="Review"/>
    <m/>
    <m/>
    <s v="No"/>
    <s v="Tower already strengthening without consider OML"/>
    <s v="Review"/>
    <m/>
    <m/>
    <m/>
    <s v="BB DG"/>
    <s v="OK"/>
    <s v="No"/>
    <m/>
    <m/>
    <m/>
    <m/>
    <m/>
    <m/>
    <m/>
    <m/>
    <m/>
    <m/>
    <m/>
    <m/>
    <m/>
    <m/>
    <m/>
    <s v="Not  Calculated"/>
    <n v="0"/>
    <s v="No File"/>
    <s v="ACAY_0102 (AYW527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102 (AYW5275) Application.xlsx"/>
    <m/>
  </r>
  <r>
    <n v="236"/>
    <s v="ASKH_3000"/>
    <s v="Apollo"/>
    <s v="Central"/>
    <s v="KYW6046"/>
    <s v="OML"/>
    <s v="Colocation"/>
    <m/>
    <s v="Colocation"/>
    <m/>
    <x v="63"/>
    <m/>
    <n v="3"/>
    <n v="6"/>
    <s v="EPA"/>
    <m/>
    <m/>
    <x v="0"/>
    <m/>
    <s v="OK"/>
    <s v="31-May-18: Good to go for TI installtion."/>
    <s v="OK"/>
    <m/>
    <s v="OK"/>
    <s v="OK"/>
    <s v="OK"/>
    <m/>
    <m/>
    <s v="No"/>
    <m/>
    <s v="OK"/>
    <s v="90 Days"/>
    <m/>
    <d v="1900-01-02T12:00:00"/>
    <s v="Flex UG BB DG"/>
    <s v="OK"/>
    <s v="No"/>
    <m/>
    <m/>
    <m/>
    <m/>
    <m/>
    <m/>
    <m/>
    <m/>
    <m/>
    <d v="2018-12-19T09:05:53"/>
    <m/>
    <m/>
    <m/>
    <m/>
    <d v="2018-05-30T00:00:00"/>
    <s v="Not  Calculated"/>
    <n v="0"/>
    <s v="No File"/>
    <s v="ASKH_3000 (KYW604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KH_3000 (KYW6046) Application.xlsx"/>
    <m/>
  </r>
  <r>
    <n v="237"/>
    <s v="ANSG_0348"/>
    <s v="Apollo"/>
    <s v="Northern"/>
    <s v="SAW0704"/>
    <s v="OML"/>
    <s v="OML Phase 2 Colo"/>
    <s v="On Air"/>
    <s v="Colocation"/>
    <m/>
    <x v="63"/>
    <m/>
    <n v="3"/>
    <n v="6"/>
    <s v="EPA"/>
    <m/>
    <m/>
    <x v="0"/>
    <m/>
    <s v="OK"/>
    <s v="31-May-18: Okay for TI installation,  Lease hike request may raise while TI installation"/>
    <s v="OK"/>
    <m/>
    <s v="OK"/>
    <s v="OK"/>
    <s v="OK"/>
    <m/>
    <m/>
    <s v="No"/>
    <s v="for small RF"/>
    <s v="OK"/>
    <s v="90 Days"/>
    <m/>
    <d v="1900-01-02T12:00:00"/>
    <s v="DCDB"/>
    <s v="OK"/>
    <s v="No"/>
    <s v="2m x 1.5m"/>
    <m/>
    <m/>
    <m/>
    <m/>
    <m/>
    <m/>
    <m/>
    <m/>
    <d v="2018-12-19T09:05:53"/>
    <m/>
    <m/>
    <m/>
    <m/>
    <d v="2018-05-30T00:00:00"/>
    <s v="Not  Calculated"/>
    <n v="0"/>
    <s v="No File"/>
    <s v="ANSG_0348 (SAW070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48 (SAW0704) Application.xlsx"/>
    <m/>
  </r>
  <r>
    <n v="221"/>
    <s v="ANNP_0391"/>
    <s v="Apollo"/>
    <s v="Central"/>
    <s v="NPW0266"/>
    <s v="Mytel"/>
    <s v="Mytel Phase 1a Colo"/>
    <s v="On Air"/>
    <s v="Colocation"/>
    <m/>
    <x v="64"/>
    <m/>
    <n v="2"/>
    <n v="6"/>
    <s v="EPA"/>
    <s v="30"/>
    <s v="35"/>
    <x v="0"/>
    <m/>
    <s v="OK"/>
    <s v="28-May-18: Good to go for Mytel, lease hike may raise while TI installation"/>
    <s v="OK"/>
    <m/>
    <s v="OK"/>
    <s v="OK"/>
    <s v="OK"/>
    <m/>
    <m/>
    <s v="No"/>
    <m/>
    <s v="OK"/>
    <s v="2weeks"/>
    <m/>
    <d v="1899-12-31T12:00:00"/>
    <s v="BB &amp; DG UG required"/>
    <s v="OK"/>
    <s v="No"/>
    <m/>
    <m/>
    <m/>
    <m/>
    <m/>
    <m/>
    <m/>
    <m/>
    <m/>
    <d v="2018-12-19T09:05:52"/>
    <m/>
    <m/>
    <m/>
    <m/>
    <d v="2018-05-25T00:00:00"/>
    <s v="Not  Calculated"/>
    <n v="0"/>
    <s v="No File"/>
    <s v="ANNP_0391 (NPW026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NP_0391 (NPW0266) Application.xlsx"/>
    <m/>
  </r>
  <r>
    <n v="224"/>
    <s v="ANSG_0373"/>
    <s v="Apollo"/>
    <s v="Northern"/>
    <s v="SGG0992"/>
    <s v="Mytel"/>
    <s v="Mytel Phase 1a Colo"/>
    <s v="RFI"/>
    <s v="Colocation"/>
    <m/>
    <x v="64"/>
    <m/>
    <n v="2"/>
    <n v="6"/>
    <s v="EPA"/>
    <s v="45"/>
    <s v="50"/>
    <x v="0"/>
    <m/>
    <s v="OK"/>
    <s v="28-May-18: Good to go for Mytel, lease hike may raise while TI installation"/>
    <s v="OK"/>
    <m/>
    <s v="OK"/>
    <s v="OK"/>
    <s v="OK"/>
    <m/>
    <m/>
    <s v="No"/>
    <m/>
    <s v="Not Required"/>
    <s v="1 week after material arrives to date 4 wk delay"/>
    <m/>
    <d v="1900-01-01T00:00:00"/>
    <s v="PE UG NEEDED_x000a_PE UG material delivery pending  - WK31"/>
    <s v="OK"/>
    <s v="No"/>
    <m/>
    <s v="Not Required"/>
    <m/>
    <s v="Not Required"/>
    <m/>
    <m/>
    <s v="OK"/>
    <m/>
    <d v="2018-11-13T14:56:11"/>
    <m/>
    <d v="2018-11-13T16:19:19"/>
    <d v="2018-11-13T17:04:12"/>
    <d v="2018-11-13T16:30:56"/>
    <d v="2018-11-13T16:25:48"/>
    <d v="2018-12-20T17:26:19"/>
    <n v="209.72660972220183"/>
    <n v="0"/>
    <s v="No File"/>
    <s v="ANSG_0373 (SGG099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SG_0373 (SGG0992) Application.xlsx"/>
    <m/>
  </r>
  <r>
    <n v="217"/>
    <s v="ACRK_0028"/>
    <s v="Apollo"/>
    <s v="Central"/>
    <s v="RKE00512"/>
    <s v="MPT"/>
    <s v="MPT  Phase 1a Colo"/>
    <s v="On Air"/>
    <s v="Colocation"/>
    <m/>
    <x v="65"/>
    <m/>
    <n v="1.3"/>
    <n v="1"/>
    <s v="EPA"/>
    <s v="33"/>
    <s v="38"/>
    <x v="0"/>
    <m/>
    <s v="OK"/>
    <s v="Good to go for TSS"/>
    <s v="OK"/>
    <m/>
    <s v="OK"/>
    <m/>
    <s v="OK"/>
    <m/>
    <m/>
    <s v="No"/>
    <m/>
    <s v="OK"/>
    <s v="BB swap and DCDB "/>
    <m/>
    <d v="1900-01-01T00:00:00"/>
    <s v="BB TBO"/>
    <s v="OK"/>
    <s v="No"/>
    <m/>
    <m/>
    <m/>
    <m/>
    <m/>
    <m/>
    <m/>
    <m/>
    <m/>
    <d v="2018-12-19T09:05:51"/>
    <m/>
    <m/>
    <m/>
    <m/>
    <d v="2018-05-17T00:00:00"/>
    <s v="Not  Calculated"/>
    <n v="0"/>
    <s v="No File"/>
    <s v="ACRK_0028 (RKE0051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CRK_0028 (RKE00512) Application.xlsx"/>
    <m/>
  </r>
  <r>
    <n v="69"/>
    <s v="ACAY_0015"/>
    <s v="Apollo"/>
    <s v="Southern"/>
    <s v="AYW5549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TBA"/>
    <m/>
    <d v="1900-01-01T00:00:00"/>
    <s v="PE UG"/>
    <s v="OK"/>
    <s v="No"/>
    <m/>
    <m/>
    <m/>
    <m/>
    <m/>
    <m/>
    <m/>
    <m/>
    <m/>
    <d v="2018-12-19T09:05:43"/>
    <m/>
    <m/>
    <m/>
    <m/>
    <d v="2018-05-16T00:00:00"/>
    <s v="Not  Calculated"/>
    <n v="0"/>
    <s v="No File"/>
    <s v="ACAY_0015 (AYW554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015 (AYW5549) Application.xlsx"/>
    <m/>
  </r>
  <r>
    <n v="70"/>
    <s v="ASMO_0313"/>
    <s v="Apollo"/>
    <s v="Southern"/>
    <s v="MOW6298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43"/>
    <m/>
    <m/>
    <m/>
    <m/>
    <d v="2018-05-16T00:00:00"/>
    <s v="Not  Calculated"/>
    <n v="0"/>
    <s v="No File"/>
    <s v="ASMO_0313 (MOW629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313 (MOW6298) Application.xlsx"/>
    <m/>
  </r>
  <r>
    <n v="71"/>
    <s v="ASMO_0201"/>
    <s v="Apollo"/>
    <s v="Southern"/>
    <s v="MOW6299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TBA"/>
    <m/>
    <d v="1900-01-01T00:00:00"/>
    <s v="BB UG - 12 hrs NS expect outages w/add colo"/>
    <s v="OK"/>
    <s v="No"/>
    <m/>
    <m/>
    <m/>
    <m/>
    <m/>
    <m/>
    <m/>
    <m/>
    <m/>
    <d v="2018-12-19T09:05:43"/>
    <m/>
    <m/>
    <m/>
    <m/>
    <d v="2018-05-16T00:00:00"/>
    <s v="Not  Calculated"/>
    <n v="0"/>
    <s v="No File"/>
    <s v="ASMO_0201 (MOW629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201 (MOW6299) Application.xlsx"/>
    <m/>
  </r>
  <r>
    <n v="72"/>
    <s v="ACBA_0255"/>
    <s v="Apollo"/>
    <s v="Southern"/>
    <s v="BAW5557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43"/>
    <m/>
    <m/>
    <m/>
    <m/>
    <d v="2018-05-16T00:00:00"/>
    <s v="Not  Calculated"/>
    <n v="0"/>
    <s v="No File"/>
    <s v="ACBA_0255 (BAW555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255 (BAW5557) Application.xlsx"/>
    <m/>
  </r>
  <r>
    <n v="75"/>
    <s v="AYYN_0244"/>
    <s v="Apollo"/>
    <s v="Southern"/>
    <s v="YAW7770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CD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44"/>
    <m/>
    <m/>
    <m/>
    <m/>
    <d v="2018-05-16T00:00:00"/>
    <s v="Not  Calculated"/>
    <n v="0"/>
    <s v="No File"/>
    <s v="AYYN_0244 (YAW777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244 (YAW7770) Application.xlsx"/>
    <m/>
  </r>
  <r>
    <n v="79"/>
    <s v="ACBA_0094"/>
    <s v="Apollo"/>
    <s v="Central"/>
    <s v="BAW5558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BCD"/>
    <s v="OK"/>
    <m/>
    <m/>
    <m/>
    <s v="for small RF"/>
    <s v="OK"/>
    <s v="90 Days"/>
    <m/>
    <d v="1900-01-02T12:00:00"/>
    <s v="Flex UG BB DG"/>
    <s v="OK"/>
    <s v="No"/>
    <m/>
    <m/>
    <m/>
    <m/>
    <m/>
    <m/>
    <m/>
    <m/>
    <m/>
    <d v="2018-12-19T09:05:44"/>
    <m/>
    <m/>
    <m/>
    <m/>
    <d v="2018-05-16T00:00:00"/>
    <s v="Not  Calculated"/>
    <n v="0"/>
    <s v="No File"/>
    <s v="ACBA_0094 (BAW555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94 (BAW5558) Application.xlsx"/>
    <m/>
  </r>
  <r>
    <n v="83"/>
    <s v="ACBA_0056"/>
    <s v="Apollo"/>
    <s v="Southern"/>
    <s v="BAW5560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44"/>
    <m/>
    <m/>
    <m/>
    <m/>
    <d v="2018-05-16T00:00:00"/>
    <s v="Not  Calculated"/>
    <n v="0"/>
    <s v="No File"/>
    <s v="ACBA_0056 (BAW556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56 (BAW5560) Application.xlsx"/>
    <m/>
  </r>
  <r>
    <n v="85"/>
    <s v="ASMO_0267"/>
    <s v="Apollo"/>
    <s v="Southern"/>
    <s v="MOW6300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Review"/>
    <m/>
    <m/>
    <m/>
    <s v="DG 24/7 restricted - BB UG - expect outages with long grid outages"/>
    <s v="OK"/>
    <s v="No"/>
    <m/>
    <m/>
    <m/>
    <m/>
    <m/>
    <m/>
    <m/>
    <m/>
    <m/>
    <m/>
    <m/>
    <m/>
    <m/>
    <m/>
    <m/>
    <s v="Not  Calculated"/>
    <n v="0"/>
    <s v="No File"/>
    <s v="ASMO_0267 (MOW630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267 (MOW6300) Application.xlsx"/>
    <m/>
  </r>
  <r>
    <n v="90"/>
    <s v="ASMO_0263"/>
    <s v="Apollo"/>
    <s v="Southern"/>
    <s v="MOW6303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44"/>
    <m/>
    <m/>
    <m/>
    <m/>
    <d v="2018-05-16T00:00:00"/>
    <s v="Not  Calculated"/>
    <n v="0"/>
    <s v="No File"/>
    <s v="ASMO_0263 (MOW630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263 (MOW6303) Application.xlsx"/>
    <m/>
  </r>
  <r>
    <n v="93"/>
    <s v="AYYN_0534"/>
    <s v="Apollo"/>
    <s v="Southern"/>
    <s v="YAW7825"/>
    <s v="OML"/>
    <s v="Colocation"/>
    <m/>
    <s v="Colocation"/>
    <m/>
    <x v="66"/>
    <m/>
    <n v="3"/>
    <m/>
    <s v="EPA"/>
    <m/>
    <m/>
    <x v="0"/>
    <m/>
    <s v="OK"/>
    <s v="23-May-18: Already 4 opertor are co-located on site, if go from structural Engg we can go ahead with negotation."/>
    <s v="OK"/>
    <m/>
    <s v="OK"/>
    <s v="At this is ok after TSS will confirm available height"/>
    <s v="Review"/>
    <m/>
    <m/>
    <s v="No"/>
    <s v="Tower already strengthening without consider OML"/>
    <s v="Review"/>
    <m/>
    <m/>
    <m/>
    <s v="Flex UG BB DG"/>
    <s v="OK"/>
    <s v="Yes"/>
    <m/>
    <m/>
    <m/>
    <m/>
    <m/>
    <m/>
    <m/>
    <m/>
    <m/>
    <m/>
    <m/>
    <m/>
    <m/>
    <m/>
    <m/>
    <s v="Not  Calculated"/>
    <n v="0"/>
    <s v="No File"/>
    <s v="AYYN_0534 (YAW782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34 (YAW7825) Application.xlsx"/>
    <m/>
  </r>
  <r>
    <n v="96"/>
    <s v="AYYN_0128"/>
    <s v="Apollo"/>
    <s v="Southern"/>
    <s v="YAW7818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Review"/>
    <m/>
    <m/>
    <m/>
    <s v="EPA almost over design"/>
    <s v="Review"/>
    <m/>
    <m/>
    <m/>
    <s v="Flex UG BB DG+ Grid"/>
    <s v="OK"/>
    <s v="No"/>
    <m/>
    <m/>
    <m/>
    <m/>
    <m/>
    <m/>
    <m/>
    <m/>
    <m/>
    <m/>
    <m/>
    <m/>
    <m/>
    <m/>
    <m/>
    <s v="Not  Calculated"/>
    <n v="0"/>
    <s v="No File"/>
    <s v="AYYN_0128 (YAW781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128 (YAW7818) Application.xlsx"/>
    <m/>
  </r>
  <r>
    <n v="98"/>
    <s v="AYYN_0104"/>
    <s v="Apollo"/>
    <s v="Southern"/>
    <s v="YAW7816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90 Days"/>
    <m/>
    <d v="1900-01-02T12:00:00"/>
    <s v="Flex UG BB DG"/>
    <s v="OK"/>
    <s v="No"/>
    <m/>
    <m/>
    <m/>
    <m/>
    <m/>
    <m/>
    <m/>
    <m/>
    <m/>
    <d v="2018-12-19T09:05:44"/>
    <m/>
    <m/>
    <m/>
    <m/>
    <d v="2018-05-16T00:00:00"/>
    <s v="Not  Calculated"/>
    <n v="0"/>
    <s v="No File"/>
    <s v="AYYN_0104 (YAW781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104 (YAW7816) Application.xlsx"/>
    <m/>
  </r>
  <r>
    <n v="99"/>
    <s v="AYYN_0580"/>
    <s v="Apollo"/>
    <s v="Southern"/>
    <s v="YAW7405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OK"/>
    <m/>
    <d v="1900-01-01T00:00:00"/>
    <s v="OK"/>
    <s v="OK"/>
    <s v="No"/>
    <m/>
    <m/>
    <m/>
    <m/>
    <m/>
    <m/>
    <m/>
    <m/>
    <m/>
    <d v="2018-12-19T09:05:45"/>
    <m/>
    <m/>
    <m/>
    <m/>
    <d v="2018-05-16T00:00:00"/>
    <s v="Not  Calculated"/>
    <n v="0"/>
    <s v="No File"/>
    <s v="AYYN_0580 (YAW740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80 (YAW7405) Application.xlsx"/>
    <m/>
  </r>
  <r>
    <n v="103"/>
    <s v="AYYN_0576"/>
    <s v="Apollo"/>
    <s v="Southern"/>
    <s v="YAW7812"/>
    <s v="OML"/>
    <s v="OML Phase 2 Colo"/>
    <s v="RFI"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Review"/>
    <m/>
    <m/>
    <s v="No"/>
    <s v="Tower already strengthening without consider OML"/>
    <s v="Review"/>
    <m/>
    <m/>
    <m/>
    <s v="BB DG"/>
    <s v="OK"/>
    <s v="Yes"/>
    <m/>
    <m/>
    <m/>
    <m/>
    <m/>
    <m/>
    <m/>
    <m/>
    <m/>
    <m/>
    <m/>
    <m/>
    <m/>
    <m/>
    <m/>
    <s v="Not  Calculated"/>
    <n v="0"/>
    <s v="No File"/>
    <s v="AYYN_0576 (YAW781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76 (YAW7812) Application.xlsx"/>
    <m/>
  </r>
  <r>
    <n v="105"/>
    <s v="AYYN_0331"/>
    <s v="Apollo"/>
    <s v="Southern"/>
    <s v="YAW7807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90 Days"/>
    <m/>
    <d v="1900-01-02T12:00:00"/>
    <s v="Flex UG BB DG"/>
    <s v="OK"/>
    <s v="No"/>
    <m/>
    <m/>
    <m/>
    <m/>
    <m/>
    <m/>
    <m/>
    <m/>
    <m/>
    <d v="2018-12-19T09:05:45"/>
    <m/>
    <m/>
    <m/>
    <m/>
    <d v="2018-05-16T00:00:00"/>
    <s v="Not  Calculated"/>
    <n v="0"/>
    <s v="No File"/>
    <s v="AYYN_0331 (YAW780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331 (YAW7807) Application.xlsx"/>
    <m/>
  </r>
  <r>
    <n v="107"/>
    <s v="ACBA_0108"/>
    <s v="Apollo"/>
    <s v="Central"/>
    <s v="BAW5569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120 Days"/>
    <m/>
    <d v="1900-01-02T12:00:00"/>
    <s v="BB DG+ Grid"/>
    <s v="OK"/>
    <s v="No"/>
    <m/>
    <m/>
    <m/>
    <m/>
    <m/>
    <m/>
    <m/>
    <m/>
    <m/>
    <d v="2018-12-19T09:05:45"/>
    <m/>
    <m/>
    <m/>
    <m/>
    <d v="2018-05-16T00:00:00"/>
    <s v="Not  Calculated"/>
    <n v="0"/>
    <s v="No File"/>
    <s v="ACBA_0108 (BAW556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108 (BAW5569) Application.xlsx"/>
    <m/>
  </r>
  <r>
    <n v="108"/>
    <s v="ASMO_0305"/>
    <s v="Apollo"/>
    <s v="Southern"/>
    <s v="MOW6308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s v="Need to provide additional equipment slab"/>
    <m/>
    <m/>
    <m/>
    <m/>
    <m/>
    <m/>
    <m/>
    <m/>
    <d v="2018-12-19T09:05:45"/>
    <m/>
    <m/>
    <m/>
    <m/>
    <d v="2018-05-16T00:00:00"/>
    <s v="Not  Calculated"/>
    <n v="0"/>
    <s v="No File"/>
    <s v="ASMO_0305 (MOW630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305 (MOW6308) Application.xlsx"/>
    <m/>
  </r>
  <r>
    <n v="113"/>
    <s v="ASMO_0180"/>
    <s v="Apollo"/>
    <s v="Southern"/>
    <s v="MOW6311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OK"/>
    <m/>
    <m/>
    <s v="No"/>
    <s v="OK for small RF"/>
    <s v="OK"/>
    <s v="PE UG - Batt DG &amp; DCDB"/>
    <m/>
    <d v="1900-01-01T00:00:00"/>
    <s v="PE equipment TBO (To Be Ordered)"/>
    <s v="OK"/>
    <s v="Yes"/>
    <m/>
    <m/>
    <m/>
    <m/>
    <m/>
    <m/>
    <m/>
    <m/>
    <m/>
    <d v="2018-12-19T09:05:45"/>
    <m/>
    <m/>
    <m/>
    <m/>
    <d v="2018-05-16T00:00:00"/>
    <s v="Not  Calculated"/>
    <n v="0"/>
    <s v="No File"/>
    <s v="ASMO_0180 (MOW631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80 (MOW6311) Application.xlsx"/>
    <m/>
  </r>
  <r>
    <n v="114"/>
    <s v="AYYN_0536"/>
    <s v="Apollo"/>
    <s v="Southern"/>
    <s v="YAW7758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Review"/>
    <m/>
    <m/>
    <s v="No"/>
    <s v="RT site need TSSR"/>
    <s v="Review"/>
    <m/>
    <m/>
    <m/>
    <s v="LiPO4"/>
    <s v="OK"/>
    <s v="Yes"/>
    <m/>
    <m/>
    <m/>
    <m/>
    <m/>
    <m/>
    <m/>
    <m/>
    <m/>
    <m/>
    <m/>
    <m/>
    <m/>
    <m/>
    <d v="2018-05-16T00:00:00"/>
    <s v="Not  Calculated"/>
    <n v="0"/>
    <s v="No File"/>
    <s v="AYYN_0536 (YAW775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36 (YAW7758) Application.xlsx"/>
    <m/>
  </r>
  <r>
    <n v="120"/>
    <s v="ACBA_0051"/>
    <s v="Apollo"/>
    <s v="Southern"/>
    <s v="BAW5574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BC"/>
    <s v="OK"/>
    <m/>
    <m/>
    <m/>
    <s v="OK"/>
    <s v="OK"/>
    <s v="120 Days"/>
    <m/>
    <d v="1900-01-02T12:00:00"/>
    <s v="Flex UG BB DG+ Grid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CBA_0051 (BAW557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51 (BAW5574) Application.xlsx"/>
    <m/>
  </r>
  <r>
    <n v="124"/>
    <s v="AYYN_0309"/>
    <s v="Apollo"/>
    <s v="Southern"/>
    <s v="YAW7787"/>
    <s v="OML"/>
    <s v="Colocation"/>
    <m/>
    <s v="Colocation"/>
    <m/>
    <x v="66"/>
    <m/>
    <n v="3"/>
    <m/>
    <s v="EPA"/>
    <m/>
    <m/>
    <x v="0"/>
    <m/>
    <s v="OK"/>
    <s v="23-May-18: Lease increase may raise while TI installtion.(No additional slab and pole )"/>
    <s v="OK"/>
    <m/>
    <s v="OK"/>
    <s v="At this is ok after TSS will confirm available height"/>
    <s v="Review"/>
    <m/>
    <m/>
    <s v="No"/>
    <s v="RT site need TSSR"/>
    <s v="Review"/>
    <m/>
    <m/>
    <m/>
    <s v="LiPO4"/>
    <s v="OK"/>
    <s v="Yes"/>
    <m/>
    <m/>
    <m/>
    <m/>
    <m/>
    <m/>
    <m/>
    <m/>
    <m/>
    <m/>
    <m/>
    <m/>
    <m/>
    <m/>
    <m/>
    <s v="Not  Calculated"/>
    <n v="0"/>
    <s v="No File"/>
    <s v="AYYN_0309 (YAW778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309 (YAW7787) Application.xlsx"/>
    <m/>
  </r>
  <r>
    <n v="125"/>
    <s v="ACAY_0142"/>
    <s v="Apollo"/>
    <s v="Southern"/>
    <s v="AYW5565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36KW 2400 BB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CAY_0142 (AYW556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142 (AYW5565) Application.xlsx"/>
    <m/>
  </r>
  <r>
    <n v="126"/>
    <s v="ACBA_0089"/>
    <s v="Apollo"/>
    <s v="Central"/>
    <s v="BAW5581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CBA_0089 (BAW558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89 (BAW5581) Application.xlsx"/>
    <m/>
  </r>
  <r>
    <n v="127"/>
    <s v="AYYN_0088"/>
    <s v="Apollo"/>
    <s v="Southern"/>
    <s v="YAW4651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OK"/>
    <m/>
    <m/>
    <s v="No"/>
    <s v="OK for small RF"/>
    <s v="OK"/>
    <s v="PE UG - Batt DG &amp; DCDB - K10 kit TBO"/>
    <m/>
    <d v="1900-01-01T00:00:00"/>
    <s v="PE equipment TBO (To Be Ordered)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YYN_0088 (YAW465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088 (YAW4651) Application.xlsx"/>
    <m/>
  </r>
  <r>
    <n v="128"/>
    <s v="ACAY_0123"/>
    <s v="Apollo"/>
    <s v="Southern"/>
    <s v="AYW5569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CAY_0123 (AYW556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123 (AYW5569) Application.xlsx"/>
    <m/>
  </r>
  <r>
    <n v="129"/>
    <s v="ACBA_0032"/>
    <s v="Apollo"/>
    <s v="Southern"/>
    <s v="BAW5234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DG &amp; BB UG required need to re-order - site on grid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CBA_0032 (BAW523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32 (BAW5234) Application.xlsx"/>
    <m/>
  </r>
  <r>
    <n v="130"/>
    <s v="ASMO_0162"/>
    <s v="Apollo"/>
    <s v="Southern"/>
    <s v="MOW6294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90 Days"/>
    <m/>
    <d v="1900-01-02T12:00:00"/>
    <s v="BB DG"/>
    <s v="OK"/>
    <s v="No"/>
    <m/>
    <m/>
    <m/>
    <m/>
    <m/>
    <m/>
    <m/>
    <m/>
    <m/>
    <d v="2018-12-19T09:05:46"/>
    <m/>
    <m/>
    <m/>
    <m/>
    <d v="2018-05-16T00:00:00"/>
    <s v="Not  Calculated"/>
    <n v="0"/>
    <s v="No File"/>
    <s v="ASMO_0162 (MOW629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62 (MOW6294) Application.xlsx"/>
    <m/>
  </r>
  <r>
    <n v="132"/>
    <s v="ASMO_0166"/>
    <s v="Apollo"/>
    <s v="Southern"/>
    <s v="MOW6237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DG UG required"/>
    <s v="OK"/>
    <s v="No"/>
    <m/>
    <m/>
    <m/>
    <m/>
    <m/>
    <m/>
    <m/>
    <m/>
    <m/>
    <d v="2018-12-19T09:05:47"/>
    <m/>
    <m/>
    <m/>
    <m/>
    <d v="2018-05-16T00:00:00"/>
    <s v="Not  Calculated"/>
    <n v="0"/>
    <s v="No File"/>
    <s v="ASMO_0166 (MOW623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66 (MOW6237) Application.xlsx"/>
    <m/>
  </r>
  <r>
    <n v="133"/>
    <s v="ASMO_0165"/>
    <s v="Apollo"/>
    <s v="Southern"/>
    <s v="MOW6176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s v="5m"/>
    <s v="Ok small RF (6m2 remaining) need strengthening"/>
    <s v="Review"/>
    <m/>
    <m/>
    <m/>
    <s v="DG &amp; BB UG "/>
    <s v="OK"/>
    <s v="No"/>
    <m/>
    <m/>
    <m/>
    <m/>
    <m/>
    <m/>
    <m/>
    <m/>
    <m/>
    <m/>
    <m/>
    <m/>
    <m/>
    <m/>
    <d v="2018-05-16T00:00:00"/>
    <s v="Not  Calculated"/>
    <n v="0"/>
    <s v="No File"/>
    <s v="ASMO_0165 (MOW617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65 (MOW6176) Application.xlsx"/>
    <m/>
  </r>
  <r>
    <n v="134"/>
    <s v="ASMO_0171"/>
    <s v="Apollo"/>
    <s v="Southern"/>
    <s v="MOW6290"/>
    <s v="OML"/>
    <s v="Colocation"/>
    <m/>
    <s v="Colocation"/>
    <m/>
    <x v="66"/>
    <m/>
    <n v="3"/>
    <m/>
    <s v="EPA"/>
    <m/>
    <m/>
    <x v="0"/>
    <m/>
    <s v="OK"/>
    <s v="23-May-18: Already 4 opertor are co-located on site, if go from structural Engg  &amp; Power &amp; Security we can go ahead with negotation."/>
    <s v="Review"/>
    <m/>
    <s v="OK"/>
    <s v="At this is ok after TSS will confirm available height"/>
    <s v="Review"/>
    <m/>
    <m/>
    <s v="No"/>
    <s v="EPA almost over design"/>
    <s v="Review"/>
    <m/>
    <m/>
    <m/>
    <s v="DCDB"/>
    <s v="OK"/>
    <s v="No"/>
    <s v="need to relocate DCDB pole"/>
    <m/>
    <m/>
    <m/>
    <m/>
    <m/>
    <m/>
    <m/>
    <m/>
    <m/>
    <m/>
    <m/>
    <m/>
    <m/>
    <m/>
    <s v="Not  Calculated"/>
    <n v="0"/>
    <s v="No File"/>
    <s v="ASMO_0171 (MOW629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71 (MOW6290) Application.xlsx"/>
    <m/>
  </r>
  <r>
    <n v="137"/>
    <s v="ACBA_0196"/>
    <s v="Apollo"/>
    <s v="Southern"/>
    <s v="BAW5585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s v="5m"/>
    <m/>
    <s v="OK"/>
    <m/>
    <m/>
    <m/>
    <s v="DG UG required"/>
    <s v="OK"/>
    <s v="No"/>
    <m/>
    <m/>
    <m/>
    <m/>
    <m/>
    <m/>
    <m/>
    <m/>
    <m/>
    <d v="2018-12-19T09:05:47"/>
    <m/>
    <m/>
    <m/>
    <m/>
    <d v="2018-05-16T00:00:00"/>
    <s v="Not  Calculated"/>
    <n v="0"/>
    <s v="No File"/>
    <s v="ACBA_0196 (BAW558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196 (BAW5585) Application.xlsx"/>
    <m/>
  </r>
  <r>
    <n v="138"/>
    <s v="ACBA_0038"/>
    <s v="Apollo"/>
    <s v="Southern"/>
    <s v="BAW5548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OK"/>
    <m/>
    <m/>
    <s v="No"/>
    <s v="for small RF"/>
    <s v="OK"/>
    <s v="PE UG - Batt DG &amp; DCDB"/>
    <m/>
    <d v="1900-01-01T00:00:00"/>
    <s v="PE equipment TBO (To Be Ordered)"/>
    <s v="OK"/>
    <s v="Yes"/>
    <m/>
    <m/>
    <m/>
    <m/>
    <m/>
    <m/>
    <m/>
    <m/>
    <m/>
    <d v="2018-12-19T09:05:47"/>
    <m/>
    <m/>
    <m/>
    <m/>
    <d v="2018-05-16T00:00:00"/>
    <s v="Not  Calculated"/>
    <n v="0"/>
    <s v="No File"/>
    <s v="ACBA_0038 (BAW554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38 (BAW5548) Application.xlsx"/>
    <m/>
  </r>
  <r>
    <n v="139"/>
    <s v="ACBA_0030"/>
    <s v="Apollo"/>
    <s v="Southern"/>
    <s v="BAW5260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RF Ok MW can get top height"/>
    <s v="OK"/>
    <m/>
    <m/>
    <m/>
    <s v="OK"/>
    <s v="OK"/>
    <s v="OK"/>
    <m/>
    <d v="1900-01-01T00:00:00"/>
    <s v="BB UG - DG can run only once grid long outage is confirmed"/>
    <s v="OK"/>
    <s v="No"/>
    <m/>
    <m/>
    <m/>
    <m/>
    <m/>
    <m/>
    <m/>
    <m/>
    <m/>
    <d v="2018-12-19T09:05:47"/>
    <m/>
    <m/>
    <m/>
    <m/>
    <d v="2018-05-16T00:00:00"/>
    <s v="Not  Calculated"/>
    <n v="0"/>
    <s v="No File"/>
    <s v="ACBA_0030 (BAW526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30 (BAW5260) Application.xlsx"/>
    <m/>
  </r>
  <r>
    <n v="141"/>
    <s v="ACBA_0028"/>
    <s v="Apollo"/>
    <s v="Southern"/>
    <s v="BAW5251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BC"/>
    <s v="OK"/>
    <m/>
    <m/>
    <m/>
    <s v="OK"/>
    <s v="OK"/>
    <s v="TBA"/>
    <m/>
    <d v="1900-01-01T00:00:00"/>
    <s v="PE UG"/>
    <s v="OK"/>
    <s v="No"/>
    <m/>
    <m/>
    <m/>
    <m/>
    <m/>
    <m/>
    <m/>
    <m/>
    <m/>
    <d v="2018-12-19T09:05:47"/>
    <m/>
    <m/>
    <m/>
    <m/>
    <d v="2018-05-16T00:00:00"/>
    <s v="Not  Calculated"/>
    <n v="0"/>
    <s v="No File"/>
    <s v="ACBA_0028 (BAW525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28 (BAW5251) Application.xlsx"/>
    <m/>
  </r>
  <r>
    <n v="143"/>
    <s v="ACBA_0033"/>
    <s v="Apollo"/>
    <s v="Southern"/>
    <s v="BAW5224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OK - BB UG - later - site on grid"/>
    <s v="OK"/>
    <s v="No"/>
    <m/>
    <m/>
    <m/>
    <m/>
    <m/>
    <m/>
    <m/>
    <m/>
    <m/>
    <d v="2018-12-19T09:05:47"/>
    <m/>
    <m/>
    <m/>
    <m/>
    <d v="2018-05-16T00:00:00"/>
    <s v="Not  Calculated"/>
    <n v="0"/>
    <s v="No File"/>
    <s v="ACBA_0033 (BAW522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033 (BAW5224) Application.xlsx"/>
    <m/>
  </r>
  <r>
    <n v="144"/>
    <s v="ACBA_0185"/>
    <s v="Apollo"/>
    <s v="Central"/>
    <s v="BAW5590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48"/>
    <m/>
    <m/>
    <m/>
    <m/>
    <d v="2018-05-16T00:00:00"/>
    <s v="Not  Calculated"/>
    <n v="0"/>
    <s v="No File"/>
    <s v="ACBA_0185 (BAW559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185 (BAW5590) Application.xlsx"/>
    <m/>
  </r>
  <r>
    <n v="145"/>
    <s v="ACAY_0022"/>
    <s v="Apollo"/>
    <s v="Southern"/>
    <s v="AYW5540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OK"/>
    <m/>
    <m/>
    <s v="No"/>
    <s v="OK for small RF"/>
    <s v="OK"/>
    <s v="PE UG - Batt DG &amp; DCDB - K10 kit from stock"/>
    <m/>
    <d v="1900-01-01T00:00:00"/>
    <s v="PE equipment TBO (To Be Ordered)"/>
    <s v="OK"/>
    <s v="No"/>
    <m/>
    <m/>
    <m/>
    <m/>
    <m/>
    <m/>
    <m/>
    <m/>
    <m/>
    <d v="2018-12-19T09:05:48"/>
    <m/>
    <m/>
    <m/>
    <m/>
    <d v="2018-05-16T00:00:00"/>
    <s v="Not  Calculated"/>
    <n v="0"/>
    <s v="No File"/>
    <s v="ACAY_0022 (AYW554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022 (AYW5540) Application.xlsx"/>
    <m/>
  </r>
  <r>
    <n v="147"/>
    <s v="ACAY_0017"/>
    <s v="Apollo"/>
    <s v="Southern"/>
    <s v="AYW5537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Monitor PE perfomance - rect cap increase TBC"/>
    <s v="OK"/>
    <s v="No"/>
    <m/>
    <m/>
    <m/>
    <m/>
    <m/>
    <m/>
    <m/>
    <m/>
    <m/>
    <d v="2018-12-19T09:05:48"/>
    <m/>
    <m/>
    <m/>
    <m/>
    <d v="2018-05-16T00:00:00"/>
    <s v="Not  Calculated"/>
    <n v="0"/>
    <s v="No File"/>
    <s v="ACAY_0017 (AYW553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017 (AYW5537) Application.xlsx"/>
    <m/>
  </r>
  <r>
    <n v="151"/>
    <s v="ANSG_0351"/>
    <s v="Apollo"/>
    <s v="Northern"/>
    <s v="SAW0721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BD"/>
    <s v="OK"/>
    <m/>
    <m/>
    <m/>
    <s v="OK"/>
    <s v="OK"/>
    <s v="TBA"/>
    <m/>
    <d v="1900-01-01T00:00:00"/>
    <s v="PE UG"/>
    <s v="OK"/>
    <s v="No"/>
    <m/>
    <m/>
    <m/>
    <m/>
    <m/>
    <m/>
    <m/>
    <m/>
    <m/>
    <d v="2018-12-19T09:05:48"/>
    <m/>
    <m/>
    <m/>
    <m/>
    <d v="2018-05-16T00:00:00"/>
    <s v="Not  Calculated"/>
    <n v="0"/>
    <s v="No File"/>
    <s v="ANSG_0351 (SAW072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51 (SAW0721) Application.xlsx"/>
    <m/>
  </r>
  <r>
    <n v="152"/>
    <s v="ANSG_0358"/>
    <s v="Apollo"/>
    <s v="Northern"/>
    <s v="SAW0716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TBA"/>
    <m/>
    <d v="1900-01-01T00:00:00"/>
    <s v="PE UG"/>
    <s v="OK"/>
    <s v="No"/>
    <m/>
    <m/>
    <m/>
    <m/>
    <m/>
    <m/>
    <m/>
    <m/>
    <m/>
    <d v="2018-12-19T09:05:48"/>
    <m/>
    <m/>
    <m/>
    <m/>
    <d v="2018-05-16T00:00:00"/>
    <s v="Not  Calculated"/>
    <n v="0"/>
    <s v="No File"/>
    <s v="ANSG_0358 (SAW071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58 (SAW0716) Application.xlsx"/>
    <m/>
  </r>
  <r>
    <n v="155"/>
    <s v="ANSG_0349"/>
    <s v="Apollo"/>
    <s v="Northern"/>
    <s v="SAW0714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TBA"/>
    <m/>
    <d v="1900-01-01T00:00:00"/>
    <s v="PE UG"/>
    <s v="OK"/>
    <s v="No"/>
    <m/>
    <m/>
    <m/>
    <m/>
    <m/>
    <m/>
    <m/>
    <m/>
    <m/>
    <d v="2018-12-19T09:05:48"/>
    <m/>
    <m/>
    <m/>
    <m/>
    <d v="2018-05-16T00:00:00"/>
    <s v="Not  Calculated"/>
    <n v="0"/>
    <s v="No File"/>
    <s v="ANSG_0349 (SAW071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49 (SAW0714) Application.xlsx"/>
    <m/>
  </r>
  <r>
    <n v="156"/>
    <s v="ANMD_0163"/>
    <s v="Apollo"/>
    <s v="Northern"/>
    <s v="MAW2983"/>
    <s v="OML"/>
    <s v="Colocation"/>
    <m/>
    <s v="Colocation"/>
    <m/>
    <x v="66"/>
    <m/>
    <n v="3"/>
    <m/>
    <s v="EPA"/>
    <m/>
    <m/>
    <x v="0"/>
    <s v="As per MDY team: can use existing 2 poles but yes, AT needed to do joint TSS with OML "/>
    <s v="OK"/>
    <s v="23-May-18: Lease increase may raise while TI installtion."/>
    <s v="OK"/>
    <m/>
    <s v="OK"/>
    <s v="At this is ok after TSS will confirm available height"/>
    <s v="Review"/>
    <m/>
    <m/>
    <s v="No"/>
    <s v="RT site need TSSR"/>
    <s v="OK"/>
    <s v="PE UG - Batt DG &amp; DCDB - K10 kit TBO"/>
    <m/>
    <d v="1900-01-01T00:00:00"/>
    <s v="PE equipment TBO (To Be Ordered)"/>
    <s v="OK"/>
    <s v="Yes"/>
    <s v="RT site "/>
    <m/>
    <m/>
    <m/>
    <m/>
    <m/>
    <m/>
    <m/>
    <m/>
    <d v="2018-12-19T09:05:48"/>
    <m/>
    <m/>
    <m/>
    <m/>
    <d v="2018-05-16T00:00:00"/>
    <s v="Not  Calculated"/>
    <n v="0"/>
    <s v="No File"/>
    <s v="ANMD_0163 (MAW298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163 (MAW2983) Application.xlsx"/>
    <m/>
  </r>
  <r>
    <n v="165"/>
    <s v="ANMD_0171"/>
    <s v="Apollo"/>
    <s v="Northern"/>
    <s v="MAW2992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PE UG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MD_0171 (MAW299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171 (MAW2992) Application.xlsx"/>
    <m/>
  </r>
  <r>
    <n v="168"/>
    <s v="ANMG_0052"/>
    <s v="Apollo"/>
    <s v="Central"/>
    <s v="MWW3498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CD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MG_0052 (MWW349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052 (MWW3498) Application.xlsx"/>
    <m/>
  </r>
  <r>
    <n v="169"/>
    <s v="ANMG_0006"/>
    <s v="Apollo"/>
    <s v="Central"/>
    <s v="MWW3499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MG_0006 (MWW349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006 (MWW3499) Application.xlsx"/>
    <m/>
  </r>
  <r>
    <n v="170"/>
    <s v="ANMG_0026"/>
    <s v="Apollo"/>
    <s v="Central"/>
    <s v="MWW3500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120 Days"/>
    <m/>
    <d v="1900-01-02T12:00:00"/>
    <s v="Flex UG BB DG+ Grid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MG_0026 (MWW350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026 (MWW3500) Application.xlsx"/>
    <m/>
  </r>
  <r>
    <n v="171"/>
    <s v="ANSG_0381"/>
    <s v="Apollo"/>
    <s v="Northern"/>
    <s v="SAW0731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PE UG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SG_0381 (SAW073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81 (SAW0731) Application.xlsx"/>
    <m/>
  </r>
  <r>
    <n v="172"/>
    <s v="ANMG_0167"/>
    <s v="Apollo"/>
    <s v="Central"/>
    <s v="MWW3502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36KW 2400 BB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MG_0167 (MWW350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167 (MWW3502) Application.xlsx"/>
    <m/>
  </r>
  <r>
    <n v="173"/>
    <s v="ANSG_0361"/>
    <s v="Apollo"/>
    <s v="Northern"/>
    <s v="SAW0719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CD"/>
    <s v="OK"/>
    <m/>
    <m/>
    <m/>
    <s v="OK"/>
    <s v="OK"/>
    <s v="OK"/>
    <m/>
    <d v="1900-01-01T00:00:00"/>
    <s v="PE UG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SG_0361 (SAW071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61 (SAW0719) Application.xlsx"/>
    <m/>
  </r>
  <r>
    <n v="174"/>
    <s v="ANMD_0118"/>
    <s v="Apollo"/>
    <s v="Northern"/>
    <s v="MAW2441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Review"/>
    <m/>
    <m/>
    <s v="No"/>
    <s v="RT site need TSSR"/>
    <s v="OK"/>
    <s v="PE UG - Batt &amp; DCDB - K10 kit TBO"/>
    <m/>
    <d v="1900-01-01T00:00:00"/>
    <s v="PE equipment TBO (To Be Ordered)"/>
    <s v="OK"/>
    <s v="Yes"/>
    <s v="RT site "/>
    <m/>
    <m/>
    <m/>
    <m/>
    <m/>
    <m/>
    <m/>
    <m/>
    <d v="2018-12-19T09:05:49"/>
    <m/>
    <m/>
    <m/>
    <m/>
    <d v="2018-05-16T00:00:00"/>
    <s v="Not  Calculated"/>
    <n v="0"/>
    <s v="No File"/>
    <s v="ANMD_0118 (MAW244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118 (MAW2441) Application.xlsx"/>
    <m/>
  </r>
  <r>
    <n v="177"/>
    <s v="ANMD_0266"/>
    <s v="Apollo"/>
    <s v="Northern"/>
    <s v="MAW2985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PE UG"/>
    <s v="OK"/>
    <s v="No"/>
    <m/>
    <m/>
    <m/>
    <m/>
    <m/>
    <m/>
    <m/>
    <m/>
    <m/>
    <d v="2018-12-19T09:05:49"/>
    <m/>
    <m/>
    <m/>
    <m/>
    <d v="2018-05-16T00:00:00"/>
    <s v="Not  Calculated"/>
    <n v="0"/>
    <s v="No File"/>
    <s v="ANMD_0266 (MAW298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266 (MAW2985) Application.xlsx"/>
    <m/>
  </r>
  <r>
    <n v="178"/>
    <s v="ANMD_0167"/>
    <s v="Apollo"/>
    <s v="Northern"/>
    <s v="MAW2984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BC"/>
    <s v="OK"/>
    <m/>
    <m/>
    <m/>
    <s v="OK"/>
    <s v="Review"/>
    <m/>
    <m/>
    <m/>
    <s v="TN HUB - Offgrid (REJECT) or 1800AH &amp; 30Kva DG PE UG"/>
    <s v="OK"/>
    <s v="No"/>
    <m/>
    <m/>
    <m/>
    <m/>
    <m/>
    <m/>
    <m/>
    <m/>
    <m/>
    <m/>
    <m/>
    <m/>
    <m/>
    <m/>
    <d v="2018-05-16T00:00:00"/>
    <s v="Not  Calculated"/>
    <n v="0"/>
    <s v="No File"/>
    <s v="ANMD_0167 (MAW298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167 (MAW2984) Application.xlsx"/>
    <m/>
  </r>
  <r>
    <n v="180"/>
    <s v="ANMG_0173"/>
    <s v="Apollo"/>
    <s v="Central"/>
    <s v="MWW3508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120 Days"/>
    <m/>
    <d v="1900-01-02T12:00:00"/>
    <s v="BB DG+ Grid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NMG_0173 (MWW350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173 (MWW3508) Application.xlsx"/>
    <m/>
  </r>
  <r>
    <n v="181"/>
    <s v="ANSH_0086"/>
    <s v="Apollo"/>
    <s v="Northern"/>
    <s v="SHW1908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OK"/>
    <m/>
    <d v="1900-01-01T00:00:00"/>
    <s v="PE UG - DG 8hr NS 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NSH_0086 (SHW190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H_0086 (SHW1908) Application.xlsx"/>
    <m/>
  </r>
  <r>
    <n v="182"/>
    <s v="ANSG_0379"/>
    <s v="Apollo"/>
    <s v="Northern"/>
    <s v="SAW0726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OK"/>
    <m/>
    <d v="1900-01-01T00:00:00"/>
    <s v="PE UG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NSG_0379 (SAW072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79 (SAW0726) Application.xlsx"/>
    <m/>
  </r>
  <r>
    <n v="184"/>
    <s v="ANSG_0347"/>
    <s v="Apollo"/>
    <s v="Northern"/>
    <s v="SAW0717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 ABC"/>
    <s v="OK"/>
    <m/>
    <m/>
    <m/>
    <s v="OK"/>
    <s v="OK"/>
    <s v="OK"/>
    <m/>
    <d v="1900-01-01T00:00:00"/>
    <s v="PE UG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NSG_0347 (SAW071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47 (SAW0717) Application.xlsx"/>
    <m/>
  </r>
  <r>
    <n v="191"/>
    <s v="ANMD_0073"/>
    <s v="Apollo"/>
    <s v="Northern"/>
    <s v="MAW2959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LegBCD"/>
    <s v="OK"/>
    <m/>
    <m/>
    <m/>
    <s v="OK"/>
    <s v="OK"/>
    <s v="OK"/>
    <m/>
    <d v="1900-01-01T00:00:00"/>
    <s v="PE UG 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NMD_0073 (MAW295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073 (MAW2959) Application.xlsx"/>
    <m/>
  </r>
  <r>
    <n v="193"/>
    <s v="ANMG_0017"/>
    <s v="Apollo"/>
    <s v="Central"/>
    <s v="MWW3484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NMG_0017 (MWW348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017 (MWW3484) Application.xlsx"/>
    <m/>
  </r>
  <r>
    <n v="194"/>
    <s v="ANNP_0276"/>
    <s v="Apollo"/>
    <s v="Central"/>
    <s v="Replacement_43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s v="5m"/>
    <s v="Ok, small RF (8m2 remaining) need strengthening"/>
    <s v="Review"/>
    <m/>
    <m/>
    <m/>
    <s v="PE UG"/>
    <s v="OK"/>
    <s v="No"/>
    <m/>
    <m/>
    <m/>
    <m/>
    <m/>
    <m/>
    <m/>
    <m/>
    <m/>
    <m/>
    <m/>
    <m/>
    <m/>
    <m/>
    <d v="2018-05-16T00:00:00"/>
    <s v="Not  Calculated"/>
    <n v="0"/>
    <s v="No File"/>
    <s v="ANNP_0276 (Replacement_4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NP_0276 (Replacement_43) Application.xlsx"/>
    <m/>
  </r>
  <r>
    <n v="195"/>
    <s v="ANNP_0203"/>
    <s v="Apollo"/>
    <s v="Central"/>
    <s v="Replacement_45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s v="5m"/>
    <s v="Ok, small RF (6m2 remaining) need strengthening"/>
    <s v="Review"/>
    <m/>
    <m/>
    <m/>
    <s v="OK - BB UG - Monitor PE - TN HUB"/>
    <s v="OK"/>
    <s v="Yes"/>
    <s v="Need to provide additional equipment slab"/>
    <m/>
    <m/>
    <m/>
    <m/>
    <m/>
    <m/>
    <m/>
    <m/>
    <m/>
    <m/>
    <m/>
    <m/>
    <m/>
    <d v="2018-05-16T00:00:00"/>
    <s v="Not  Calculated"/>
    <n v="0"/>
    <s v="No File"/>
    <s v="ANNP_0203 (Replacement_4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NP_0203 (Replacement_45) Application.xlsx"/>
    <m/>
  </r>
  <r>
    <n v="197"/>
    <s v="ASKH_0019"/>
    <s v="Apollo"/>
    <s v="Central"/>
    <s v="KYW6082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QA Report not updated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50"/>
    <m/>
    <m/>
    <m/>
    <m/>
    <d v="2018-05-16T00:00:00"/>
    <s v="Not  Calculated"/>
    <n v="0"/>
    <s v="No File"/>
    <s v="ASKH_0019 (KYW608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KH_0019 (KYW6082) Application.xlsx"/>
    <m/>
  </r>
  <r>
    <n v="198"/>
    <s v="ASTN_0045"/>
    <s v="Apollo"/>
    <s v="Southern"/>
    <s v="TAW6250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120 Days"/>
    <m/>
    <d v="1900-01-02T12:00:00"/>
    <s v="BB+ Grid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STN_0045 (TAW625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TN_0045 (TAW6250) Application.xlsx"/>
    <m/>
  </r>
  <r>
    <n v="199"/>
    <s v="ASTN_0035"/>
    <s v="Apollo"/>
    <s v="Southern"/>
    <s v="TAW6249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s v="OK"/>
    <s v="OK"/>
    <s v="OK"/>
    <s v="OK"/>
    <m/>
    <m/>
    <m/>
    <s v="OK"/>
    <s v="Review"/>
    <m/>
    <m/>
    <m/>
    <s v="36KW 2400 BB"/>
    <s v="OK"/>
    <s v="No"/>
    <m/>
    <m/>
    <m/>
    <m/>
    <m/>
    <m/>
    <s v="OK"/>
    <m/>
    <d v="2018-11-13T15:03:21"/>
    <m/>
    <d v="2018-11-13T16:19:19"/>
    <d v="2018-11-13T17:04:12"/>
    <d v="2018-11-13T16:30:56"/>
    <d v="2018-11-27T15:32:26"/>
    <d v="2018-11-27T15:32:26"/>
    <n v="195.64752812500228"/>
    <n v="0"/>
    <s v="No File"/>
    <s v="ASTN_0035 (TAW624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TN_0035 (TAW6249) Application.xlsx"/>
    <m/>
  </r>
  <r>
    <n v="200"/>
    <s v="ASMO_0295"/>
    <s v="Apollo"/>
    <s v="Southern"/>
    <s v="MOW6295"/>
    <s v="OML"/>
    <s v="Colocation"/>
    <m/>
    <s v="Colocation"/>
    <m/>
    <x v="66"/>
    <m/>
    <n v="3"/>
    <m/>
    <s v="EPA"/>
    <m/>
    <m/>
    <x v="0"/>
    <m/>
    <s v="OK"/>
    <s v="23-May-18: Lease increase may raise while TI installtion."/>
    <s v="OK"/>
    <m/>
    <s v="OK"/>
    <s v="At this is ok after TSS will confirm available height"/>
    <s v="OK"/>
    <m/>
    <m/>
    <s v="No"/>
    <s v="OK for small RF"/>
    <s v="Review"/>
    <m/>
    <m/>
    <m/>
    <s v="36KW 1800 BB"/>
    <s v="OK"/>
    <s v="No"/>
    <m/>
    <m/>
    <m/>
    <m/>
    <m/>
    <m/>
    <m/>
    <m/>
    <m/>
    <m/>
    <m/>
    <m/>
    <m/>
    <m/>
    <m/>
    <s v="Not  Calculated"/>
    <n v="0"/>
    <s v="No File"/>
    <s v="ASMO_0295 (MOW629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295 (MOW6295) Application.xlsx"/>
    <m/>
  </r>
  <r>
    <n v="202"/>
    <s v="ACBA_0245"/>
    <s v="Apollo"/>
    <s v="Central"/>
    <s v="BAW5555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CBA_0245 (BAW555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BA_0245 (BAW5555) Application.xlsx"/>
    <m/>
  </r>
  <r>
    <n v="204"/>
    <s v="ACAY_0171"/>
    <s v="Apollo"/>
    <s v="Southern"/>
    <s v="AYW5539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CAY_0171 (AYW553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CAY_0171 (AYW5539) Application.xlsx"/>
    <m/>
  </r>
  <r>
    <n v="205"/>
    <s v="ANMG_0183"/>
    <s v="Apollo"/>
    <s v="Central"/>
    <s v="MWW3494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NMG_0183 (MWW349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G_0183 (MWW3494) Application.xlsx"/>
    <m/>
  </r>
  <r>
    <n v="207"/>
    <s v="ANSG_0464"/>
    <s v="Apollo"/>
    <s v="Northern"/>
    <s v="SAW0732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BB DG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NSG_0464 (SAW073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464 (SAW0732) Application.xlsx"/>
    <m/>
  </r>
  <r>
    <n v="210"/>
    <s v="AYYN_0599"/>
    <s v="Apollo"/>
    <s v="Southern"/>
    <s v="YAW7859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DCDB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YYN_0599 (YAW785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99 (YAW7859) Application.xlsx"/>
    <m/>
  </r>
  <r>
    <n v="212"/>
    <s v="AYYN_0223"/>
    <s v="Apollo"/>
    <s v="Southern"/>
    <s v="YAW7853"/>
    <s v="OML"/>
    <s v="Colocation"/>
    <m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 for small RF"/>
    <s v="OK"/>
    <s v="OK"/>
    <m/>
    <d v="1900-01-01T00:00:00"/>
    <s v="BB UG 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YYN_0223 (YAW785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223 (YAW7853) Application.xlsx"/>
    <m/>
  </r>
  <r>
    <n v="213"/>
    <s v="AYYN_0206"/>
    <s v="Apollo"/>
    <s v="Southern"/>
    <s v="YAW7848"/>
    <s v="OML"/>
    <s v="OML Phase 2 Colo"/>
    <s v="On Air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90 Days"/>
    <m/>
    <d v="1900-01-02T12:00:00"/>
    <s v="Flex UG BB DG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YYN_0206 (YAW784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206 (YAW7848) Application.xlsx"/>
    <m/>
  </r>
  <r>
    <n v="215"/>
    <s v="AYYN_0144"/>
    <s v="Apollo"/>
    <s v="Southern"/>
    <s v="YAW7846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m/>
    <s v="OK"/>
    <s v="OK"/>
    <s v="120 Days"/>
    <m/>
    <d v="1900-01-02T12:00:00"/>
    <s v="BB DG+ Grid"/>
    <s v="OK"/>
    <s v="No"/>
    <m/>
    <m/>
    <m/>
    <m/>
    <m/>
    <m/>
    <m/>
    <m/>
    <m/>
    <d v="2018-12-19T09:05:51"/>
    <m/>
    <m/>
    <m/>
    <m/>
    <d v="2018-05-16T00:00:00"/>
    <s v="Not  Calculated"/>
    <n v="0"/>
    <s v="No File"/>
    <s v="AYYN_0144 (YAW784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144 (YAW7846) Application.xlsx"/>
    <m/>
  </r>
  <r>
    <n v="216"/>
    <s v="AYYN_0066"/>
    <s v="Apollo"/>
    <s v="Southern"/>
    <s v="YAW7843"/>
    <s v="OML"/>
    <s v="OML Phase 2 Colo"/>
    <s v="RFI"/>
    <s v="Colocation"/>
    <m/>
    <x v="66"/>
    <m/>
    <n v="3"/>
    <m/>
    <s v="EPA"/>
    <m/>
    <m/>
    <x v="0"/>
    <m/>
    <s v="OK"/>
    <s v="18-May-18: Good to go for OML, lease hike may raise while TI installation"/>
    <s v="OK"/>
    <m/>
    <s v="OK"/>
    <s v="OK"/>
    <s v="OK"/>
    <m/>
    <m/>
    <s v="5m"/>
    <m/>
    <s v="Review"/>
    <m/>
    <m/>
    <m/>
    <s v="36KW 2400 BB"/>
    <s v="OK"/>
    <s v="No"/>
    <m/>
    <m/>
    <m/>
    <m/>
    <m/>
    <m/>
    <m/>
    <m/>
    <m/>
    <m/>
    <m/>
    <m/>
    <m/>
    <m/>
    <m/>
    <s v="Not  Calculated"/>
    <n v="0"/>
    <s v="No File"/>
    <s v="AYYN_0066 (YAW784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066 (YAW7843) Application.xlsx"/>
    <m/>
  </r>
  <r>
    <n v="59"/>
    <s v="ASKA_0137"/>
    <s v="Apollo"/>
    <s v="Southern"/>
    <s v="KNW6140"/>
    <s v="OML"/>
    <s v="OML Phase 1 Colo"/>
    <s v="On Air"/>
    <s v="Colocation"/>
    <m/>
    <x v="67"/>
    <m/>
    <n v="3"/>
    <n v="6"/>
    <s v="EPA"/>
    <s v="12"/>
    <s v="17"/>
    <x v="0"/>
    <m/>
    <s v="OK"/>
    <s v="18-May-18: Good to go for OML, lease hike is been cleared"/>
    <s v="OK"/>
    <m/>
    <s v="OK"/>
    <m/>
    <s v="OK"/>
    <m/>
    <m/>
    <m/>
    <m/>
    <s v="OK"/>
    <s v="90 Days"/>
    <m/>
    <d v="1900-01-02T12:00:00"/>
    <s v="LiPO4"/>
    <s v="OK"/>
    <s v="Yes"/>
    <m/>
    <m/>
    <m/>
    <m/>
    <m/>
    <m/>
    <m/>
    <m/>
    <m/>
    <d v="2018-12-19T09:05:43"/>
    <m/>
    <m/>
    <m/>
    <m/>
    <d v="2018-05-14T00:00:00"/>
    <s v="Not  Calculated"/>
    <n v="0"/>
    <s v="No File"/>
    <s v="ASKA_0137 (KNW614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KA_0137 (KNW6140) Application.xlsx"/>
    <m/>
  </r>
  <r>
    <n v="55"/>
    <s v="ANMD_0080"/>
    <s v="Apollo"/>
    <s v="Northern"/>
    <s v="MDY0299"/>
    <s v="Mytel"/>
    <s v="Mytel Phase 1a Colo"/>
    <s v="On Air"/>
    <s v="Colocation"/>
    <m/>
    <x v="68"/>
    <m/>
    <n v="2"/>
    <n v="6"/>
    <s v="EPA"/>
    <s v="25"/>
    <s v="30"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d v="1900-01-01T00:00:00"/>
    <s v="DG &amp; BB upgrade required material in stock - to be re ordered"/>
    <s v="OK"/>
    <s v="No"/>
    <m/>
    <m/>
    <m/>
    <m/>
    <m/>
    <m/>
    <m/>
    <m/>
    <m/>
    <d v="2018-12-19T09:05:43"/>
    <m/>
    <m/>
    <m/>
    <m/>
    <d v="2018-05-04T00:00:00"/>
    <s v="Not  Calculated"/>
    <n v="0"/>
    <s v="No File"/>
    <s v="ANMD_0080 (MDY029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D_0080 (MDY0299) Application.xlsx"/>
    <m/>
  </r>
  <r>
    <n v="57"/>
    <s v="AYYN_0527"/>
    <s v="Apollo"/>
    <s v="Southern"/>
    <s v="YAW7098"/>
    <s v="OML"/>
    <s v="OML Phase 2 Colo"/>
    <s v="On Air"/>
    <s v="Colocation"/>
    <m/>
    <x v="68"/>
    <m/>
    <n v="3"/>
    <n v="6"/>
    <s v="EPA"/>
    <s v="12"/>
    <s v="17"/>
    <x v="0"/>
    <m/>
    <s v="OK"/>
    <s v="04-Apr-18: Okay for TI installation,  Lease hike request may raise while TI installation"/>
    <s v="OK"/>
    <m/>
    <s v="OK"/>
    <m/>
    <s v="OK"/>
    <m/>
    <m/>
    <m/>
    <s v="Need to add new pole, need to do building Analysis"/>
    <s v="OK"/>
    <s v="90 Days"/>
    <m/>
    <d v="1900-01-02T12:00:00"/>
    <s v="LiPO4"/>
    <s v="OK"/>
    <s v="No"/>
    <s v="need to provide new pole, equipment slab and cable tray"/>
    <m/>
    <m/>
    <m/>
    <m/>
    <m/>
    <m/>
    <m/>
    <m/>
    <d v="2018-12-19T09:05:43"/>
    <m/>
    <m/>
    <m/>
    <m/>
    <d v="2018-05-04T00:00:00"/>
    <s v="Not  Calculated"/>
    <n v="0"/>
    <s v="No File"/>
    <s v="AYYN_0527 (YAW709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527 (YAW7098) Application.xlsx"/>
    <m/>
  </r>
  <r>
    <n v="42"/>
    <s v="ACBA_0052"/>
    <s v="Apollo"/>
    <s v="Southern"/>
    <s v="BGO0947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s v="3-Leg free(ABC)"/>
    <s v="OK"/>
    <m/>
    <m/>
    <m/>
    <m/>
    <s v="OK"/>
    <s v="1 week "/>
    <m/>
    <d v="1900-01-01T00:00:00"/>
    <s v="Please confirm OML old request OK for MYTEL only"/>
    <s v="OK"/>
    <s v="No"/>
    <m/>
    <m/>
    <m/>
    <m/>
    <m/>
    <m/>
    <m/>
    <m/>
    <m/>
    <d v="2018-12-19T09:05:41"/>
    <m/>
    <m/>
    <m/>
    <m/>
    <d v="2018-04-12T00:00:00"/>
    <s v="Not  Calculated"/>
    <n v="0"/>
    <s v="No File"/>
    <s v="ACBA_0052 (BGO094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CBA_0052 (BGO0947) Application.xlsx"/>
    <m/>
  </r>
  <r>
    <n v="43"/>
    <s v="ACBA_0118"/>
    <s v="Apollo"/>
    <s v="Central"/>
    <s v="BGO0948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s v="3-Leg free(ABC), MW can get higher space"/>
    <s v="OK"/>
    <m/>
    <m/>
    <m/>
    <m/>
    <s v="OK"/>
    <s v="1 week "/>
    <m/>
    <d v="1900-01-01T00:00:00"/>
    <s v="Initially BB UG required PE sys UG later"/>
    <s v="OK"/>
    <s v="No"/>
    <m/>
    <m/>
    <m/>
    <m/>
    <m/>
    <m/>
    <m/>
    <m/>
    <m/>
    <d v="2018-12-19T09:05:41"/>
    <m/>
    <m/>
    <m/>
    <m/>
    <d v="2018-04-12T00:00:00"/>
    <s v="Not  Calculated"/>
    <n v="0"/>
    <s v="No File"/>
    <s v="ACBA_0118 (BGO094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CBA_0118 (BGO0948) Application.xlsx"/>
    <m/>
  </r>
  <r>
    <n v="44"/>
    <s v="ACBA_0075"/>
    <s v="Apollo"/>
    <s v="Central"/>
    <s v="BGO0949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m/>
    <s v="OK"/>
    <m/>
    <m/>
    <m/>
    <m/>
    <s v="OK"/>
    <s v="1 week "/>
    <m/>
    <d v="1900-01-01T00:00:00"/>
    <s v="Initially BB UG required PE sys UG later"/>
    <s v="OK"/>
    <s v="No"/>
    <m/>
    <m/>
    <m/>
    <m/>
    <m/>
    <m/>
    <m/>
    <m/>
    <m/>
    <d v="2018-12-19T09:05:41"/>
    <m/>
    <m/>
    <m/>
    <m/>
    <d v="2018-04-12T00:00:00"/>
    <s v="Not  Calculated"/>
    <n v="0"/>
    <s v="No File"/>
    <s v="ACBA_0075 (BGO094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CBA_0075 (BGO0949) Application.xlsx"/>
    <m/>
  </r>
  <r>
    <n v="45"/>
    <s v="ACBA_0073"/>
    <s v="Apollo"/>
    <s v="Central"/>
    <s v="BGO0950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m/>
    <s v="OK"/>
    <m/>
    <m/>
    <m/>
    <m/>
    <s v="OK"/>
    <s v="1 week "/>
    <m/>
    <d v="1900-01-01T00:00:00"/>
    <s v="Initially BB UG required PE sys UG later"/>
    <s v="OK"/>
    <s v="No"/>
    <m/>
    <m/>
    <m/>
    <m/>
    <m/>
    <m/>
    <m/>
    <m/>
    <m/>
    <d v="2018-12-19T09:05:41"/>
    <m/>
    <m/>
    <m/>
    <m/>
    <d v="2018-04-12T00:00:00"/>
    <s v="Not  Calculated"/>
    <n v="0"/>
    <s v="No File"/>
    <s v="ACBA_0073 (BGO095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CBA_0073 (BGO0950) Application.xlsx"/>
    <m/>
  </r>
  <r>
    <n v="46"/>
    <s v="ACBA_0067"/>
    <s v="Apollo"/>
    <s v="Central"/>
    <s v="BGO0965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m/>
    <s v="OK"/>
    <m/>
    <m/>
    <m/>
    <m/>
    <s v="OK"/>
    <s v="1 week "/>
    <m/>
    <d v="1900-01-01T00:00:00"/>
    <s v="Initially BB UG required PE sys UG later"/>
    <s v="OK"/>
    <s v="No"/>
    <m/>
    <m/>
    <m/>
    <m/>
    <m/>
    <m/>
    <m/>
    <m/>
    <m/>
    <d v="2018-12-19T09:05:42"/>
    <m/>
    <m/>
    <m/>
    <m/>
    <d v="2018-04-12T00:00:00"/>
    <s v="Not  Calculated"/>
    <n v="0"/>
    <s v="No File"/>
    <s v="ACBA_0067 (BGO096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CBA_0067 (BGO0965) Application.xlsx"/>
    <m/>
  </r>
  <r>
    <n v="47"/>
    <s v="ACBA_0124"/>
    <s v="Apollo"/>
    <s v="Central"/>
    <s v="BGO0970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m/>
    <s v="OK"/>
    <m/>
    <m/>
    <m/>
    <m/>
    <s v="OK"/>
    <s v="1 week "/>
    <m/>
    <d v="1900-01-01T00:00:00"/>
    <s v="Initially BB UG required PE sys UG later"/>
    <s v="OK"/>
    <s v="No"/>
    <m/>
    <m/>
    <m/>
    <m/>
    <m/>
    <m/>
    <m/>
    <m/>
    <m/>
    <d v="2018-12-19T09:05:42"/>
    <m/>
    <m/>
    <m/>
    <m/>
    <d v="2018-04-12T00:00:00"/>
    <s v="Not  Calculated"/>
    <n v="0"/>
    <s v="No File"/>
    <s v="ACBA_0124 (BGO097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CBA_0124 (BGO0970) Application.xlsx"/>
    <m/>
  </r>
  <r>
    <n v="48"/>
    <s v="ANNP_0243"/>
    <s v="Apollo"/>
    <s v="Central"/>
    <s v="NPW0263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m/>
    <s v="OK"/>
    <m/>
    <m/>
    <m/>
    <m/>
    <s v="OK"/>
    <s v="1 week "/>
    <m/>
    <d v="1900-01-01T00:00:00"/>
    <s v="DG &amp; BB UG required need to re-order"/>
    <s v="OK"/>
    <s v="No"/>
    <m/>
    <m/>
    <m/>
    <m/>
    <m/>
    <m/>
    <m/>
    <m/>
    <m/>
    <d v="2018-12-19T09:05:42"/>
    <m/>
    <m/>
    <m/>
    <m/>
    <d v="2018-04-12T00:00:00"/>
    <s v="Not  Calculated"/>
    <n v="0"/>
    <s v="No File"/>
    <s v="ANNP_0243 (NPW026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NP_0243 (NPW0263) Application.xlsx"/>
    <m/>
  </r>
  <r>
    <n v="49"/>
    <s v="ANNP_0241"/>
    <s v="Apollo"/>
    <s v="Central"/>
    <s v="NPW0264"/>
    <s v="Mytel"/>
    <s v="Mytel Phase 1a Colo"/>
    <s v="On Air"/>
    <s v="Colocation"/>
    <m/>
    <x v="69"/>
    <m/>
    <n v="2"/>
    <n v="6"/>
    <s v="EPA"/>
    <s v="55"/>
    <s v="60"/>
    <x v="0"/>
    <m/>
    <s v="OK"/>
    <s v="04-Apr-18: Okay for TI installation,  Lease hike request may raise while TI installation"/>
    <s v="OK"/>
    <m/>
    <s v="OK"/>
    <s v="3-Leg free(ACD)"/>
    <s v="OK"/>
    <m/>
    <m/>
    <m/>
    <s v="Review-EPA almost over desing need to check tower and strengthening if need"/>
    <s v="OK"/>
    <s v="1 week "/>
    <m/>
    <d v="1900-01-01T00:00:00"/>
    <s v="DG UG required"/>
    <s v="OK"/>
    <s v="Yes"/>
    <s v="Need to provide additional normal equipment slab with S2 type Platform"/>
    <m/>
    <m/>
    <m/>
    <m/>
    <m/>
    <m/>
    <m/>
    <m/>
    <d v="2018-12-19T09:05:42"/>
    <m/>
    <m/>
    <m/>
    <m/>
    <d v="2018-04-12T00:00:00"/>
    <s v="Not  Calculated"/>
    <n v="0"/>
    <s v="No File"/>
    <s v="ANNP_0241 (NPW026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NP_0241 (NPW0264) Application.xlsx"/>
    <m/>
  </r>
  <r>
    <n v="36"/>
    <s v="ANKC_0017"/>
    <s v="Apollo"/>
    <s v="Northern"/>
    <s v="KCN0349"/>
    <s v="Mytel"/>
    <s v="Mytel Phase 1a Colo"/>
    <s v="RFI"/>
    <s v="Colocation"/>
    <m/>
    <x v="70"/>
    <m/>
    <n v="2"/>
    <n v="6"/>
    <s v="EPA"/>
    <s v="45"/>
    <s v="50"/>
    <x v="0"/>
    <m/>
    <s v="OK"/>
    <s v="04-Apr-18: Okay for TI installation,  Lease hike request may raise while TI installation"/>
    <s v="OK"/>
    <m/>
    <s v="OK"/>
    <s v="Extension not required"/>
    <s v="OK"/>
    <m/>
    <m/>
    <m/>
    <m/>
    <s v="OK"/>
    <s v="FC WK19-20"/>
    <m/>
    <d v="1900-01-01T00:00:00"/>
    <s v="DG &amp; BB UG required need to re-order"/>
    <s v="OK"/>
    <s v="Yes"/>
    <s v="Normal Slab and need to extend"/>
    <m/>
    <m/>
    <m/>
    <m/>
    <m/>
    <m/>
    <m/>
    <m/>
    <d v="2018-12-19T09:05:40"/>
    <m/>
    <m/>
    <m/>
    <m/>
    <d v="2018-04-03T00:00:00"/>
    <s v="Not  Calculated"/>
    <n v="0"/>
    <s v="No File"/>
    <s v="ANKC_0017 (KCN034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KC_0017 (KCN0349) Application.xlsx"/>
    <m/>
  </r>
  <r>
    <n v="37"/>
    <s v="ANMD_0073"/>
    <s v="Apollo"/>
    <s v="Northern"/>
    <s v="MDY0002"/>
    <s v="Mytel"/>
    <s v="Mytel Phase 1a Colo"/>
    <s v="On Air"/>
    <s v="Colocation"/>
    <m/>
    <x v="70"/>
    <m/>
    <n v="2"/>
    <n v="6"/>
    <s v="EPA"/>
    <s v="45"/>
    <s v="50"/>
    <x v="0"/>
    <m/>
    <s v="OK"/>
    <s v="04-Apr-18: Okay for TI installation,  Lease hike request may raise while TI installation"/>
    <s v="OK"/>
    <m/>
    <s v="OK"/>
    <s v="Extension not required"/>
    <s v="OK"/>
    <m/>
    <m/>
    <m/>
    <m/>
    <s v="OK"/>
    <s v="FC WK19-20"/>
    <m/>
    <d v="1900-01-01T00:00:00"/>
    <s v="PE UG required. Need to re-order "/>
    <s v="OK"/>
    <s v="No"/>
    <m/>
    <m/>
    <m/>
    <m/>
    <m/>
    <m/>
    <m/>
    <m/>
    <m/>
    <d v="2018-12-19T09:05:40"/>
    <m/>
    <m/>
    <m/>
    <m/>
    <d v="2018-04-03T00:00:00"/>
    <s v="Not  Calculated"/>
    <n v="0"/>
    <s v="No File"/>
    <s v="ANMD_0073 (MDY000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D_0073 (MDY0002) Application.xlsx"/>
    <m/>
  </r>
  <r>
    <n v="40"/>
    <s v="ANMG_0187"/>
    <s v="Apollo"/>
    <s v="Central"/>
    <s v="MGY0444"/>
    <s v="Mytel"/>
    <s v="Mytel Phase 1a Colo"/>
    <s v="On Air"/>
    <s v="Colocation"/>
    <m/>
    <x v="70"/>
    <m/>
    <n v="2"/>
    <n v="6"/>
    <s v="EPA"/>
    <s v="20"/>
    <s v="25"/>
    <x v="0"/>
    <m/>
    <s v="OK"/>
    <s v="04-Apr-18: Okay for TI installation,  Lease hike request may raise while TI installation"/>
    <s v="OK"/>
    <m/>
    <s v="OK"/>
    <m/>
    <s v="OK"/>
    <m/>
    <m/>
    <m/>
    <m/>
    <s v="OK"/>
    <s v="FC WK19-20"/>
    <m/>
    <d v="1900-01-01T00:00:00"/>
    <s v="PE UG required. Need to re-order "/>
    <s v="OK"/>
    <s v="No"/>
    <m/>
    <m/>
    <m/>
    <m/>
    <m/>
    <m/>
    <m/>
    <m/>
    <m/>
    <d v="2018-12-19T09:05:41"/>
    <m/>
    <m/>
    <m/>
    <m/>
    <d v="2018-04-03T00:00:00"/>
    <s v="Not  Calculated"/>
    <n v="0"/>
    <s v="No File"/>
    <s v="ANMG_0187 (MGY044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G_0187 (MGY0444) Application.xlsx"/>
    <m/>
  </r>
  <r>
    <n v="35"/>
    <s v="AYYN_0135"/>
    <s v="Apollo"/>
    <s v="Southern"/>
    <s v="YGN02071"/>
    <s v="MPT"/>
    <s v="MPT  Phase 1a Colo"/>
    <s v="On Air"/>
    <s v="Colocation"/>
    <m/>
    <x v="71"/>
    <m/>
    <n v="1.3"/>
    <n v="5"/>
    <s v="EPA"/>
    <s v="22"/>
    <s v="27"/>
    <x v="0"/>
    <m/>
    <s v="OK"/>
    <s v="04-Apr-18: Okay for TI installation,  Lease hike request may raise while TI installation"/>
    <s v="OK"/>
    <m/>
    <s v="OK"/>
    <s v="22-27m"/>
    <s v="OK"/>
    <m/>
    <m/>
    <m/>
    <m/>
    <s v="OK"/>
    <s v="READY"/>
    <m/>
    <d v="1899-12-31T07:12:00"/>
    <s v="Ready for Mytel 08 Nov 17"/>
    <s v="OK"/>
    <s v="No"/>
    <m/>
    <m/>
    <m/>
    <m/>
    <m/>
    <m/>
    <m/>
    <m/>
    <m/>
    <d v="2018-12-19T09:05:39"/>
    <m/>
    <m/>
    <m/>
    <m/>
    <d v="2018-04-02T00:00:00"/>
    <s v="Not  Calculated"/>
    <n v="0"/>
    <s v="No File"/>
    <s v="AYYN_0135 (YGN0207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135 (YGN02071) Application.xlsx"/>
    <m/>
  </r>
  <r>
    <n v="34"/>
    <s v="ANNP_0252"/>
    <s v="Apollo"/>
    <s v="Central"/>
    <s v="NPW0260"/>
    <s v="Mytel"/>
    <s v="Mytel Phase 1a Colo"/>
    <s v="On Air"/>
    <s v="Colocation"/>
    <m/>
    <x v="72"/>
    <m/>
    <n v="2"/>
    <n v="6"/>
    <s v="EPA"/>
    <s v="30"/>
    <s v="35"/>
    <x v="0"/>
    <m/>
    <s v="OK"/>
    <s v="04-Apr-18: Okay for TI installation,  Lease hike request may raise while TI installation"/>
    <s v="OK"/>
    <m/>
    <s v="OK"/>
    <s v="Ok"/>
    <s v="OK"/>
    <m/>
    <m/>
    <m/>
    <m/>
    <s v="OK"/>
    <s v="FC WK19-20"/>
    <m/>
    <d v="1900-01-01T00:00:00"/>
    <s v="PE UG required. Need to re-order "/>
    <s v="OK"/>
    <s v="No"/>
    <m/>
    <m/>
    <m/>
    <m/>
    <m/>
    <m/>
    <m/>
    <m/>
    <m/>
    <d v="2018-12-19T09:05:39"/>
    <m/>
    <m/>
    <m/>
    <m/>
    <d v="2018-03-30T00:00:00"/>
    <s v="Not  Calculated"/>
    <n v="0"/>
    <s v="No File"/>
    <s v="ANNP_0252 (NPW026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NP_0252 (NPW0260) Application.xlsx"/>
    <m/>
  </r>
  <r>
    <n v="33"/>
    <s v="ANSG_0343"/>
    <s v="Apollo"/>
    <s v="Northern"/>
    <s v="SAW0697"/>
    <s v="OML"/>
    <s v="OML Phase 2 Colo"/>
    <s v="On Air"/>
    <s v="Colocation"/>
    <m/>
    <x v="73"/>
    <m/>
    <n v="3.5"/>
    <n v="5.5"/>
    <s v="EPA"/>
    <s v="27"/>
    <s v="32"/>
    <x v="0"/>
    <m/>
    <s v="OK"/>
    <s v="04-Apr-18: Okay for TI installation,  Lease hike request may raise while TI installation"/>
    <s v="OK"/>
    <s v="Already RFI. (Rent increase to be negotiated for operator)"/>
    <s v="OK"/>
    <m/>
    <s v="OK"/>
    <m/>
    <m/>
    <m/>
    <s v="OML need to put small RF 5.4m2"/>
    <s v="OK"/>
    <m/>
    <m/>
    <m/>
    <s v="Proceed. Order Eqpt &amp; U/G later - Swap &amp; Expand to 1200AH"/>
    <s v="OK"/>
    <s v="Yes"/>
    <s v="Normal Slab and need to extend"/>
    <m/>
    <m/>
    <m/>
    <m/>
    <m/>
    <m/>
    <m/>
    <m/>
    <d v="2018-12-19T09:05:39"/>
    <m/>
    <m/>
    <m/>
    <m/>
    <d v="2018-03-22T00:00:00"/>
    <s v="Not  Calculated"/>
    <n v="0"/>
    <s v="No File"/>
    <s v="ANSG_0343 (SAW069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43 (SAW0697) Application.xlsx"/>
    <m/>
  </r>
  <r>
    <n v="2"/>
    <s v="ANKC_0015"/>
    <s v="Apollo"/>
    <s v="Northern"/>
    <s v="KCN0160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23-27M"/>
    <s v="OK"/>
    <m/>
    <m/>
    <m/>
    <m/>
    <s v="OK"/>
    <m/>
    <m/>
    <m/>
    <s v="Proceed.  Order Eqpt &amp; U/G later - Batt UG 1200AH"/>
    <s v="OK"/>
    <s v="No"/>
    <s v="Need to provide new equipment slab"/>
    <m/>
    <m/>
    <m/>
    <m/>
    <m/>
    <m/>
    <m/>
    <m/>
    <d v="2018-12-19T09:05:35"/>
    <m/>
    <m/>
    <m/>
    <m/>
    <d v="2018-03-13T00:00:00"/>
    <s v="Not  Calculated"/>
    <n v="0"/>
    <s v="No File"/>
    <s v="ANKC_0015 (KCN016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KC_0015 (KCN0160) Application.xlsx"/>
    <m/>
  </r>
  <r>
    <n v="3"/>
    <s v="ANMD_0065"/>
    <s v="Apollo"/>
    <s v="Northern"/>
    <s v="MDY0723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47-50M"/>
    <s v="OK"/>
    <m/>
    <m/>
    <m/>
    <m/>
    <s v="OK"/>
    <m/>
    <m/>
    <m/>
    <s v="Proceed.  Order Eqpt &amp; U/G later - DG &amp; Batt 1200Ah"/>
    <s v="OK"/>
    <s v="No"/>
    <s v="Need to provide new equipment slab"/>
    <m/>
    <m/>
    <m/>
    <m/>
    <m/>
    <m/>
    <m/>
    <m/>
    <d v="2018-12-19T09:05:35"/>
    <m/>
    <m/>
    <m/>
    <m/>
    <d v="2018-03-13T00:00:00"/>
    <s v="Not  Calculated"/>
    <n v="0"/>
    <s v="No File"/>
    <s v="ANMD_0065 (MDY072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D_0065 (MDY0723) Application.xlsx"/>
    <m/>
  </r>
  <r>
    <n v="4"/>
    <s v="ANMD_0119"/>
    <s v="Apollo"/>
    <s v="Northern"/>
    <s v="MDY0093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17-21M"/>
    <s v="OK"/>
    <m/>
    <m/>
    <m/>
    <s v="Ok with temporay height. EPA over desing need to check and strengthening Tower,"/>
    <s v="OK"/>
    <m/>
    <m/>
    <m/>
    <s v="Proceed.  Order Eqpt &amp; U/G later - Flex24 &amp; Batt 1200Ah"/>
    <s v="OK"/>
    <s v="No"/>
    <s v="need to provide additional cable tray"/>
    <m/>
    <m/>
    <m/>
    <m/>
    <m/>
    <m/>
    <m/>
    <m/>
    <d v="2018-12-19T09:05:35"/>
    <m/>
    <m/>
    <m/>
    <m/>
    <d v="2018-03-13T00:00:00"/>
    <s v="Not  Calculated"/>
    <n v="0"/>
    <s v="No File"/>
    <s v="ANMD_0119 (MDY0093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D_0119 (MDY0093) Application.xlsx"/>
    <m/>
  </r>
  <r>
    <n v="6"/>
    <s v="ANMD_0174"/>
    <s v="Apollo"/>
    <s v="Northern"/>
    <s v="MDY0004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45-50M"/>
    <s v="OK"/>
    <m/>
    <m/>
    <m/>
    <m/>
    <s v="OK"/>
    <m/>
    <m/>
    <m/>
    <s v="Proceed.  Order Eqpt &amp; U/G later - Flex24 &amp; Batt 1200Ah"/>
    <s v="OK"/>
    <s v="No"/>
    <m/>
    <m/>
    <m/>
    <m/>
    <m/>
    <m/>
    <m/>
    <m/>
    <m/>
    <d v="2018-12-19T09:05:35"/>
    <m/>
    <m/>
    <m/>
    <m/>
    <d v="2018-03-13T00:00:00"/>
    <s v="Not  Calculated"/>
    <n v="0"/>
    <s v="No File"/>
    <s v="ANMD_0174 (MDY000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MD_0174 (MDY0004) Application.xlsx"/>
    <m/>
  </r>
  <r>
    <n v="7"/>
    <s v="ANSG_0344"/>
    <s v="Apollo"/>
    <s v="Northern"/>
    <s v="SGG0260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42-45"/>
    <s v="OK"/>
    <m/>
    <m/>
    <m/>
    <m/>
    <s v="OK"/>
    <m/>
    <m/>
    <m/>
    <s v="Proceed.  Order Eqpt &amp; U/G later - DG &amp; Batt UG 1200Ah"/>
    <s v="OK"/>
    <s v="No"/>
    <m/>
    <m/>
    <m/>
    <m/>
    <m/>
    <m/>
    <m/>
    <m/>
    <m/>
    <d v="2018-12-19T09:05:36"/>
    <m/>
    <m/>
    <m/>
    <m/>
    <d v="2018-03-13T00:00:00"/>
    <s v="Not  Calculated"/>
    <n v="0"/>
    <s v="No File"/>
    <s v="ANSG_0344 (SGG0260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SG_0344 (SGG0260) Application.xlsx"/>
    <m/>
  </r>
  <r>
    <n v="9"/>
    <s v="ANSH_0006"/>
    <s v="Apollo"/>
    <s v="Central"/>
    <s v="SHN0876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RF-25M-30M//MW-can get higher"/>
    <s v="OK"/>
    <m/>
    <m/>
    <m/>
    <m/>
    <s v="OK"/>
    <m/>
    <m/>
    <m/>
    <s v="Proceed. Swap existing 1200AH BB re order batteries for stock"/>
    <s v="OK"/>
    <s v="No"/>
    <m/>
    <m/>
    <m/>
    <m/>
    <m/>
    <m/>
    <m/>
    <m/>
    <m/>
    <d v="2018-12-19T09:05:36"/>
    <m/>
    <m/>
    <m/>
    <m/>
    <d v="2018-03-13T00:00:00"/>
    <s v="Not  Calculated"/>
    <n v="0"/>
    <s v="No File"/>
    <s v="ANSH_0006 (SHN087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NSH_0006 (SHN0876) Application.xlsx"/>
    <m/>
  </r>
  <r>
    <n v="10"/>
    <s v="ASKA_0150"/>
    <s v="Apollo"/>
    <s v="Southern"/>
    <s v="KYN0014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RF &amp; MW-48-53M"/>
    <s v="OK"/>
    <m/>
    <m/>
    <m/>
    <m/>
    <s v="OK"/>
    <m/>
    <m/>
    <m/>
    <s v="Proceed.  Order Eqpt &amp; U/G later "/>
    <s v="OK"/>
    <s v="No"/>
    <m/>
    <m/>
    <m/>
    <m/>
    <m/>
    <m/>
    <m/>
    <m/>
    <m/>
    <d v="2018-12-19T09:05:36"/>
    <m/>
    <m/>
    <m/>
    <m/>
    <d v="2018-03-13T00:00:00"/>
    <s v="Not  Calculated"/>
    <n v="0"/>
    <s v="No File"/>
    <s v="ASKA_0150 (KYN001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SKA_0150 (KYN0014) Application.xlsx"/>
    <m/>
  </r>
  <r>
    <n v="11"/>
    <s v="ASMO_0275"/>
    <s v="Apollo"/>
    <s v="Southern"/>
    <s v="MON0306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31-35"/>
    <s v="OK"/>
    <m/>
    <m/>
    <m/>
    <m/>
    <s v="OK"/>
    <m/>
    <m/>
    <m/>
    <s v="Proceed.  Order Eqpt &amp; U/G later  - BB U/G 1200AH &amp; Grid Con"/>
    <s v="OK"/>
    <s v="No"/>
    <m/>
    <m/>
    <m/>
    <m/>
    <m/>
    <m/>
    <m/>
    <m/>
    <m/>
    <d v="2018-12-19T09:05:36"/>
    <m/>
    <m/>
    <m/>
    <m/>
    <d v="2018-03-13T00:00:00"/>
    <s v="Not  Calculated"/>
    <n v="0"/>
    <s v="No File"/>
    <s v="ASMO_0275 (MON030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SMO_0275 (MON0306) Application.xlsx"/>
    <m/>
  </r>
  <r>
    <n v="13"/>
    <s v="AYYN_0121"/>
    <s v="Apollo"/>
    <s v="Southern"/>
    <s v="YGN1319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25-28//Under 16M"/>
    <s v="OK"/>
    <m/>
    <m/>
    <m/>
    <s v="Ok with temporay height. EPA over desing need to check and strengthening Tower,"/>
    <s v="OK"/>
    <m/>
    <m/>
    <m/>
    <s v="Proceed.  Order Eqpt &amp; U/G later - Flex24 &amp; Batt 1200Ah"/>
    <s v="OK"/>
    <s v="No"/>
    <m/>
    <m/>
    <m/>
    <m/>
    <m/>
    <m/>
    <m/>
    <m/>
    <m/>
    <d v="2018-12-19T09:05:37"/>
    <m/>
    <m/>
    <m/>
    <m/>
    <d v="2018-03-13T00:00:00"/>
    <s v="Not  Calculated"/>
    <n v="0"/>
    <s v="No File"/>
    <s v="AYYN_0121 (YGN131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121 (YGN1319) Application.xlsx"/>
    <m/>
  </r>
  <r>
    <n v="17"/>
    <s v="AYYN_0389"/>
    <s v="Apollo"/>
    <s v="Southern"/>
    <s v="YGN0167"/>
    <s v="Mytel"/>
    <s v="Colocation"/>
    <m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6m Pole + 22.2m (building ht)"/>
    <s v="OK"/>
    <m/>
    <m/>
    <m/>
    <s v="Need to build new pole at down floor"/>
    <s v="OK"/>
    <s v="No ETA"/>
    <m/>
    <m/>
    <s v="Awaiting VISION Lio4 option to arrive no ETA "/>
    <s v="OK"/>
    <m/>
    <s v="Yoyoyoyoyoo"/>
    <m/>
    <m/>
    <m/>
    <m/>
    <m/>
    <m/>
    <m/>
    <m/>
    <d v="2018-12-19T09:05:37"/>
    <m/>
    <m/>
    <m/>
    <m/>
    <d v="2018-03-13T00:00:00"/>
    <s v="Not  Calculated"/>
    <n v="0"/>
    <s v="No File"/>
    <s v="AYYN_0389 (YGN016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389 (YGN0167) Application.xlsx"/>
    <m/>
  </r>
  <r>
    <n v="18"/>
    <s v="AYYN_0396"/>
    <s v="Apollo"/>
    <s v="Southern"/>
    <s v="YGN0171"/>
    <s v="Mytel"/>
    <s v="Colocation"/>
    <m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6m Pole + 23.75m (Building ht)"/>
    <s v="OK"/>
    <m/>
    <m/>
    <m/>
    <s v="Need to build new slab"/>
    <s v="OK"/>
    <m/>
    <m/>
    <m/>
    <s v="Proceed.  Order Eqpt &amp; U/G later - Swap to GP PE"/>
    <s v="OK"/>
    <m/>
    <s v="Yoyoyoyoyoo"/>
    <m/>
    <m/>
    <m/>
    <m/>
    <m/>
    <m/>
    <m/>
    <m/>
    <d v="2018-12-19T09:05:37"/>
    <m/>
    <m/>
    <m/>
    <m/>
    <d v="2018-03-13T00:00:00"/>
    <s v="Not  Calculated"/>
    <n v="0"/>
    <s v="No File"/>
    <s v="AYYN_0396 (YGN017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396 (YGN0171) Application.xlsx"/>
    <m/>
  </r>
  <r>
    <n v="19"/>
    <s v="AYYN_0583"/>
    <s v="Apollo"/>
    <s v="Southern"/>
    <s v="YGN1201"/>
    <s v="Mytel"/>
    <s v="Mytel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s v="23-26.5"/>
    <s v="OK"/>
    <m/>
    <m/>
    <m/>
    <s v="Ok with temporay height. EPA over desing need to check and strengthening Tower,"/>
    <s v="OK"/>
    <m/>
    <m/>
    <m/>
    <s v="Proceed. Order Eqpt &amp; U/G later - 1200AH Swap.  30KVA DG"/>
    <s v="OK"/>
    <m/>
    <s v="Yoyoyoyoyoo"/>
    <m/>
    <m/>
    <m/>
    <m/>
    <m/>
    <m/>
    <m/>
    <m/>
    <d v="2018-12-19T09:05:37"/>
    <m/>
    <m/>
    <m/>
    <m/>
    <d v="2018-03-13T00:00:00"/>
    <s v="Not  Calculated"/>
    <n v="0"/>
    <s v="No File"/>
    <s v="AYYN_0583 (YGN1201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ytel\"/>
    <s v="D:\OneDrive - apollo-towers.com\Apollo Towers\00-Process &amp; Database\Documentation\Colo Applications\Colo App Mytel\AYYN_0583 (YGN1201) Application.xlsx"/>
    <m/>
  </r>
  <r>
    <n v="21"/>
    <s v="AYYN_0269"/>
    <s v="Apollo"/>
    <s v="Southern"/>
    <s v="YGNINSN052"/>
    <s v="Amara"/>
    <s v="Amara Phase 1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ACDB &amp; Smart meter installation planned for WK12"/>
    <s v="OK"/>
    <m/>
    <m/>
    <m/>
    <m/>
    <m/>
    <m/>
    <m/>
    <m/>
    <m/>
    <m/>
    <d v="2018-12-19T09:05:38"/>
    <m/>
    <m/>
    <m/>
    <m/>
    <d v="2018-03-13T00:00:00"/>
    <s v="Not  Calculated"/>
    <n v="0"/>
    <s v="No File"/>
    <s v="AYYN_0269 (YGNINSN052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Amara\"/>
    <s v="D:\OneDrive - apollo-towers.com\Apollo Towers\00-Process &amp; Database\Documentation\Colo Applications\Colo App Amara\AYYN_0269 (YGNINSN052) Application.xlsx"/>
    <m/>
  </r>
  <r>
    <n v="22"/>
    <s v="AYYN_0171"/>
    <s v="Apollo"/>
    <s v="Southern"/>
    <s v="YGN01927"/>
    <s v="MPT"/>
    <s v="MPT 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Proceed"/>
    <s v="OK"/>
    <s v="No"/>
    <m/>
    <m/>
    <m/>
    <m/>
    <m/>
    <m/>
    <m/>
    <m/>
    <m/>
    <d v="2018-12-19T09:05:38"/>
    <m/>
    <m/>
    <m/>
    <m/>
    <d v="2018-03-13T00:00:00"/>
    <s v="Not  Calculated"/>
    <n v="0"/>
    <s v="No File"/>
    <s v="AYYN_0171 (YGN01927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171 (YGN01927) Application.xlsx"/>
    <m/>
  </r>
  <r>
    <n v="23"/>
    <s v="ANSG_0355"/>
    <s v="Apollo"/>
    <s v="Northern"/>
    <s v="SGG01165"/>
    <s v="MPT"/>
    <s v="MPT 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BB to order"/>
    <s v="OK"/>
    <s v="No"/>
    <m/>
    <m/>
    <m/>
    <m/>
    <m/>
    <m/>
    <m/>
    <m/>
    <m/>
    <d v="2018-12-19T09:05:38"/>
    <m/>
    <m/>
    <m/>
    <m/>
    <d v="2018-03-13T00:00:00"/>
    <s v="Not  Calculated"/>
    <n v="0"/>
    <s v="No File"/>
    <s v="ANSG_0355 (SGG0116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NSG_0355 (SGG01165) Application.xlsx"/>
    <m/>
  </r>
  <r>
    <n v="24"/>
    <s v="AYYN_0099"/>
    <s v="Apollo"/>
    <s v="Southern"/>
    <s v="YGN02508"/>
    <s v="MPT"/>
    <s v="MPT 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24KW PE UG required "/>
    <s v="OK"/>
    <s v="No"/>
    <m/>
    <m/>
    <m/>
    <m/>
    <m/>
    <m/>
    <m/>
    <m/>
    <m/>
    <d v="2018-12-19T09:05:38"/>
    <m/>
    <m/>
    <m/>
    <m/>
    <d v="2018-03-13T00:00:00"/>
    <s v="Not  Calculated"/>
    <n v="0"/>
    <s v="No File"/>
    <s v="AYYN_0099 (YGN02508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099 (YGN02508) Application.xlsx"/>
    <m/>
  </r>
  <r>
    <n v="25"/>
    <s v="AYYN_0251"/>
    <s v="Apollo"/>
    <s v="Southern"/>
    <s v="YGN01769"/>
    <s v="MPT"/>
    <s v="MPT 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Proceed. Order Eqpt &amp; U/G later - EOL Swap 600AH -  20KVA DG"/>
    <s v="OK"/>
    <s v="No"/>
    <m/>
    <m/>
    <m/>
    <m/>
    <m/>
    <m/>
    <m/>
    <m/>
    <m/>
    <d v="2018-12-19T09:05:38"/>
    <m/>
    <m/>
    <m/>
    <m/>
    <d v="2018-03-13T00:00:00"/>
    <s v="Not  Calculated"/>
    <n v="0"/>
    <s v="No File"/>
    <s v="AYYN_0251 (YGN0176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251 (YGN01769) Application.xlsx"/>
    <m/>
  </r>
  <r>
    <n v="26"/>
    <s v="AYYN_0583"/>
    <s v="Apollo"/>
    <s v="Southern"/>
    <s v="YGN02364"/>
    <s v="MPT"/>
    <s v="MPT  Phase 1a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s v="Ok with easy Macro solution"/>
    <s v="OK"/>
    <m/>
    <m/>
    <m/>
    <s v="Proceed. Order Eqpt &amp; U/G later - 1200AH Swap.  30KVA DG"/>
    <s v="OK"/>
    <s v="No"/>
    <m/>
    <m/>
    <m/>
    <m/>
    <m/>
    <m/>
    <m/>
    <m/>
    <m/>
    <d v="2018-12-19T09:05:38"/>
    <m/>
    <m/>
    <m/>
    <m/>
    <d v="2018-03-13T00:00:00"/>
    <s v="Not  Calculated"/>
    <n v="0"/>
    <s v="No File"/>
    <s v="AYYN_0583 (YGN02364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MPT\"/>
    <s v="D:\OneDrive - apollo-towers.com\Apollo Towers\00-Process &amp; Database\Documentation\Colo Applications\Colo App MPT\AYYN_0583 (YGN02364) Application.xlsx"/>
    <m/>
  </r>
  <r>
    <n v="27"/>
    <s v="ANMD_0224"/>
    <s v="Apollo"/>
    <s v="Northern"/>
    <s v="MAW2259"/>
    <s v="OML"/>
    <s v="OML Phase 1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Ready 28 March"/>
    <s v="OK"/>
    <m/>
    <s v="Already RFI"/>
    <m/>
    <m/>
    <m/>
    <m/>
    <m/>
    <m/>
    <m/>
    <m/>
    <d v="2018-12-19T09:05:38"/>
    <m/>
    <m/>
    <m/>
    <m/>
    <d v="2018-03-13T00:00:00"/>
    <s v="Not  Calculated"/>
    <n v="0"/>
    <s v="No File"/>
    <s v="ANMD_0224 (MAW225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MD_0224 (MAW2259) Application.xlsx"/>
    <m/>
  </r>
  <r>
    <n v="28"/>
    <s v="ASMO_0163"/>
    <s v="Apollo"/>
    <s v="Southern"/>
    <s v="MOW6065"/>
    <s v="OML"/>
    <s v="OML Phase 1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m/>
    <s v="OK"/>
    <m/>
    <m/>
    <m/>
    <s v="PE UG required - 30 March "/>
    <s v="OK"/>
    <s v="No"/>
    <m/>
    <m/>
    <m/>
    <m/>
    <m/>
    <m/>
    <m/>
    <m/>
    <m/>
    <d v="2018-12-19T09:05:38"/>
    <m/>
    <m/>
    <m/>
    <m/>
    <d v="2018-03-13T00:00:00"/>
    <s v="Not  Calculated"/>
    <n v="0"/>
    <s v="No File"/>
    <s v="ASMO_0163 (MOW6065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SMO_0163 (MOW6065) Application.xlsx"/>
    <m/>
  </r>
  <r>
    <n v="30"/>
    <s v="AYYN_0611"/>
    <s v="Apollo"/>
    <s v="Southern"/>
    <s v="YAW4436"/>
    <s v="OML"/>
    <s v="Colocation"/>
    <m/>
    <s v="Colocation"/>
    <m/>
    <x v="74"/>
    <m/>
    <m/>
    <m/>
    <s v="EPA"/>
    <m/>
    <m/>
    <x v="0"/>
    <m/>
    <s v="OK"/>
    <s v="04-Apr-18: Okay for TI installation,  Lease hike request may raise while TI installation"/>
    <s v="Review"/>
    <s v="DG noise issue"/>
    <s v="OK"/>
    <m/>
    <s v="Review"/>
    <m/>
    <m/>
    <m/>
    <s v="Review-EPA over desing need to check tower"/>
    <s v="Review"/>
    <m/>
    <m/>
    <m/>
    <s v="BB DG+ Grid"/>
    <s v="OK"/>
    <s v="No"/>
    <m/>
    <m/>
    <m/>
    <m/>
    <m/>
    <m/>
    <m/>
    <m/>
    <m/>
    <m/>
    <m/>
    <m/>
    <m/>
    <m/>
    <m/>
    <s v="Not  Calculated"/>
    <n v="0"/>
    <s v="No File"/>
    <s v="AYYN_0611 (YAW4436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YYN_0611 (YAW4436) Application.xlsx"/>
    <m/>
  </r>
  <r>
    <n v="32"/>
    <s v="ANSG_0380"/>
    <s v="Apollo"/>
    <s v="Northern"/>
    <s v="SAW0729"/>
    <s v="OML"/>
    <s v="OML Phase 1 Colo"/>
    <s v="On Air"/>
    <s v="Colocation"/>
    <m/>
    <x v="74"/>
    <m/>
    <m/>
    <m/>
    <s v="EPA"/>
    <m/>
    <m/>
    <x v="0"/>
    <m/>
    <s v="OK"/>
    <s v="04-Apr-18: Okay for TI installation,  Lease hike request may raise while TI installation"/>
    <s v="OK"/>
    <m/>
    <s v="OK"/>
    <m/>
    <s v="OK"/>
    <m/>
    <m/>
    <m/>
    <s v="OML need to put small RF 5.4m2"/>
    <s v="OK"/>
    <m/>
    <m/>
    <m/>
    <s v="Add Lio4 mods"/>
    <s v="OK"/>
    <s v="No"/>
    <m/>
    <m/>
    <m/>
    <m/>
    <m/>
    <m/>
    <m/>
    <m/>
    <m/>
    <d v="2018-12-19T09:05:39"/>
    <m/>
    <m/>
    <m/>
    <m/>
    <d v="2018-03-13T00:00:00"/>
    <s v="Not  Calculated"/>
    <n v="0"/>
    <s v="No File"/>
    <s v="ANSG_0380 (SAW0729) Application.xlsx"/>
    <n v="50"/>
    <s v="D:\OneDrive - apollo-towers.com\Apollo Towers\00-"/>
    <s v="D:\OneDrive - apollo-towers.com\Apollo Towers\00-Process &amp; Database\Documentation\Colo Applications"/>
    <s v="D:\OneDrive - apollo-towers.com\Apollo Towers\00-Process &amp; Database\Documentation\Colo Applications\Colo App OML\"/>
    <s v="D:\OneDrive - apollo-towers.com\Apollo Towers\00-Process &amp; Database\Documentation\Colo Applications\Colo App OML\ANSG_0380 (SAW0729) Application.xlsx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7ADC1A-D575-4F66-A4A3-11E627991504}" name="PivotTable3" cacheId="4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5" firstHeaderRow="1" firstDataRow="1" firstDataCol="1"/>
  <pivotFields count="63">
    <pivotField numFmtId="304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nonAutoSortDefault="1">
      <items count="8">
        <item m="1" x="5"/>
        <item x="0"/>
        <item m="1" x="1"/>
        <item m="1" x="3"/>
        <item m="1" x="4"/>
        <item m="1" x="2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</pivotFields>
  <rowFields count="1">
    <field x="17"/>
  </rowFields>
  <rowItems count="2">
    <i>
      <x v="1"/>
    </i>
    <i t="grand">
      <x/>
    </i>
  </rowItems>
  <colItems count="1">
    <i/>
  </colItems>
  <dataFields count="1">
    <dataField name="Count of Site ID" fld="1" subtotal="count" baseField="0" baseItem="0"/>
  </dataFields>
  <formats count="2">
    <format dxfId="72">
      <pivotArea outline="0" collapsedLevelsAreSubtotals="1" fieldPosition="0"/>
    </format>
    <format dxfId="71">
      <pivotArea dataOnly="0" labelOnly="1" outline="0" axis="axisValues" fieldPosition="0"/>
    </format>
  </format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7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dateBetween" evalOrder="-1" id="21" name="Request Date">
      <autoFilter ref="A1">
        <filterColumn colId="0">
          <customFilters and="1">
            <customFilter operator="greaterThanOrEqual" val="43344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" xr16:uid="{62A6B21E-3379-42D4-BA47-4B96E84A3930}" autoFormatId="16" applyNumberFormats="0" applyBorderFormats="0" applyFontFormats="0" applyPatternFormats="0" applyAlignmentFormats="0" applyWidthHeightFormats="0">
  <queryTableRefresh nextId="182" unboundColumnsRight="10">
    <queryTableFields count="62">
      <queryTableField id="58" name="Request ID" tableColumnId="54"/>
      <queryTableField id="59" name="Site ID" tableColumnId="55"/>
      <queryTableField id="3" name="Legacy" tableColumnId="3"/>
      <queryTableField id="41" name="Region" tableColumnId="41"/>
      <queryTableField id="60" name="tenant id" tableColumnId="56"/>
      <queryTableField id="5" name="Operator" tableColumnId="5"/>
      <queryTableField id="137" name="Tenant Category" tableColumnId="1"/>
      <queryTableField id="138" name="Tenant Status" tableColumnId="2"/>
      <queryTableField id="139" name="Scope" tableColumnId="4"/>
      <queryTableField id="61" name="Colo Rev" tableColumnId="57"/>
      <queryTableField id="62" name="Request Date" tableColumnId="58"/>
      <queryTableField id="140" name="Average Power Requested" tableColumnId="6"/>
      <queryTableField id="141" name="Peak Power Requested" tableColumnId="7"/>
      <queryTableField id="63" name="Capacity Requested" tableColumnId="59"/>
      <queryTableField id="64" name="Capacity Model" tableColumnId="60"/>
      <queryTableField id="147" name="Lower Space Requested" tableColumnId="8"/>
      <queryTableField id="148" name="Upper Space Requested" tableColumnId="9"/>
      <queryTableField id="149" name="Prevalidation Status" tableColumnId="10"/>
      <queryTableField id="67" name="General Remark" tableColumnId="63"/>
      <queryTableField id="68" name="LandLord" tableColumnId="64"/>
      <queryTableField id="69" name="LandLord Remarks" tableColumnId="65"/>
      <queryTableField id="83" name="Community" tableColumnId="79"/>
      <queryTableField id="84" name="Community Remarks" tableColumnId="80"/>
      <queryTableField id="70" name="Tower Space" tableColumnId="66"/>
      <queryTableField id="71" name="Tower Space Remarks" tableColumnId="67"/>
      <queryTableField id="72" name="Structural" tableColumnId="68"/>
      <queryTableField id="175" name="Tower Strengthening" tableColumnId="22"/>
      <queryTableField id="176" name="Foundation Retrofit" tableColumnId="23"/>
      <queryTableField id="73" name="Tower Extension" tableColumnId="69"/>
      <queryTableField id="74" name="Structural Remarks" tableColumnId="70"/>
      <queryTableField id="78" name="Power" tableColumnId="74"/>
      <queryTableField id="81" name="Power Forecast" tableColumnId="77"/>
      <queryTableField id="79" name="Power Average" tableColumnId="75"/>
      <queryTableField id="80" name="Power Peak" tableColumnId="76"/>
      <queryTableField id="82" name="Power Remarks" tableColumnId="78"/>
      <queryTableField id="75" name="Ground Space" tableColumnId="71"/>
      <queryTableField id="76" name="Slab Extension Needed" tableColumnId="72"/>
      <queryTableField id="77" name="Ground Space Remarks" tableColumnId="73"/>
      <queryTableField id="85" name="RM Review" tableColumnId="81"/>
      <queryTableField id="86" name="RM Remarks" tableColumnId="82"/>
      <queryTableField id="88" name="PM Review" tableColumnId="84"/>
      <queryTableField id="87" name="PM Forecast" tableColumnId="83"/>
      <queryTableField id="89" name="PM Remarks" tableColumnId="85"/>
      <queryTableField id="127" name="AM Review" tableColumnId="89"/>
      <queryTableField id="128" name="AM Remarks" tableColumnId="90"/>
      <queryTableField id="129" name="Tower Space Time" tableColumnId="91"/>
      <queryTableField id="130" name="Power Time" tableColumnId="92"/>
      <queryTableField id="131" name="Structural Time" tableColumnId="93"/>
      <queryTableField id="132" name="CW Time" tableColumnId="94"/>
      <queryTableField id="133" name="LandLord Time" tableColumnId="95"/>
      <queryTableField id="134" name="Community Time" tableColumnId="96"/>
      <queryTableField id="170" name="Close Date" tableColumnId="20"/>
      <queryTableField id="160" dataBound="0" tableColumnId="11"/>
      <queryTableField id="169" dataBound="0" tableColumnId="21"/>
      <queryTableField id="161" dataBound="0" tableColumnId="12"/>
      <queryTableField id="162" dataBound="0" tableColumnId="13"/>
      <queryTableField id="163" dataBound="0" tableColumnId="14"/>
      <queryTableField id="164" dataBound="0" tableColumnId="15"/>
      <queryTableField id="165" dataBound="0" tableColumnId="16"/>
      <queryTableField id="166" dataBound="0" tableColumnId="17"/>
      <queryTableField id="167" dataBound="0" tableColumnId="18"/>
      <queryTableField id="168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194A30-2FF4-4103-808A-851E2E23C22F}" name="_05preva_view43" displayName="_05preva_view43" ref="A15:BJ418" tableType="queryTable" totalsRowShown="0" headerRowDxfId="77" dataDxfId="75" headerRowBorderDxfId="76" tableBorderDxfId="74" totalsRowBorderDxfId="73">
  <autoFilter ref="A15:BJ418" xr:uid="{70CBA71C-3365-4A47-B443-03D3AAF30D7E}"/>
  <tableColumns count="62">
    <tableColumn id="54" xr3:uid="{62A2B9C1-3922-4BED-A409-972861C6BF2D}" uniqueName="54" name="Request ID" queryTableFieldId="58" dataDxfId="61"/>
    <tableColumn id="55" xr3:uid="{B8B9E131-829C-41EA-80B9-7824C28B0069}" uniqueName="55" name="Site ID" queryTableFieldId="59" dataDxfId="60"/>
    <tableColumn id="3" xr3:uid="{22B8728B-0A35-402A-8D5F-0DA0665ADA3D}" uniqueName="3" name="Legacy" queryTableFieldId="3" dataDxfId="59"/>
    <tableColumn id="41" xr3:uid="{543424FC-C036-4C46-B765-F9DE2FAF4527}" uniqueName="41" name="Region" queryTableFieldId="41" dataDxfId="58"/>
    <tableColumn id="56" xr3:uid="{6641A20C-AA99-4156-82C8-B5457C0E6398}" uniqueName="56" name="tenant id" queryTableFieldId="60" dataDxfId="57"/>
    <tableColumn id="5" xr3:uid="{BA91B3B5-96E2-4352-B7F6-C233BD4E40D6}" uniqueName="5" name="Operator" queryTableFieldId="5" dataDxfId="56"/>
    <tableColumn id="1" xr3:uid="{C104C8DD-45A0-40E3-B550-5E0ABD926F9F}" uniqueName="1" name="Tenant Category" queryTableFieldId="137" dataDxfId="55"/>
    <tableColumn id="2" xr3:uid="{B5D38774-272D-4DC4-82FF-815C954E666A}" uniqueName="2" name="Tenant Status" queryTableFieldId="138" dataDxfId="54"/>
    <tableColumn id="4" xr3:uid="{4361FAA3-DB30-47DB-AB01-15514B15AEA7}" uniqueName="4" name="Scope" queryTableFieldId="139" dataDxfId="53"/>
    <tableColumn id="57" xr3:uid="{52E3523B-9B03-4AE3-8B89-7EAA7AB2DEC1}" uniqueName="57" name="Colo Rev" queryTableFieldId="61" dataDxfId="52"/>
    <tableColumn id="58" xr3:uid="{5EF073EE-125D-4B3B-8C05-EC0014906759}" uniqueName="58" name="Request Date" queryTableFieldId="62" dataDxfId="51"/>
    <tableColumn id="6" xr3:uid="{6DA0110C-FA68-4920-92E6-EF809DF55DAC}" uniqueName="6" name="Average Power Requested" queryTableFieldId="140" dataDxfId="50"/>
    <tableColumn id="7" xr3:uid="{D64778D4-26C2-4676-BF0F-25DF82985C27}" uniqueName="7" name="Peak Power Requested" queryTableFieldId="141" dataDxfId="49"/>
    <tableColumn id="59" xr3:uid="{CD47B2EB-57FE-4890-8264-6955E009862B}" uniqueName="59" name="Capacity Requested" queryTableFieldId="63" dataDxfId="48"/>
    <tableColumn id="60" xr3:uid="{174B9820-CFBE-45DF-AB85-412C68BEC4B6}" uniqueName="60" name="Capacity Model" queryTableFieldId="64" dataDxfId="47"/>
    <tableColumn id="8" xr3:uid="{32259D7F-4F2D-460E-BE53-ED542E2BD206}" uniqueName="8" name="Lower Space Requested" queryTableFieldId="147" dataDxfId="46"/>
    <tableColumn id="9" xr3:uid="{3B2A378A-CAD1-4E74-A585-4CCB5E1197CE}" uniqueName="9" name="Upper Space Requested" queryTableFieldId="148" dataDxfId="45"/>
    <tableColumn id="10" xr3:uid="{49875419-6610-47D2-BD2C-DC26ABFEFF86}" uniqueName="10" name="Prevalidation Status" queryTableFieldId="149" dataDxfId="44"/>
    <tableColumn id="63" xr3:uid="{2D396A95-525A-4D40-99DB-EBC76DEA746B}" uniqueName="63" name="General Remark" queryTableFieldId="67" dataDxfId="43"/>
    <tableColumn id="64" xr3:uid="{AAE77C60-1D40-41D7-AA06-BF433F0D4075}" uniqueName="64" name="LandLord" queryTableFieldId="68" dataDxfId="42"/>
    <tableColumn id="65" xr3:uid="{D0C3DD2C-49B4-47D5-BC20-C9B0FA8455E2}" uniqueName="65" name="LandLord Remarks" queryTableFieldId="69" dataDxfId="41"/>
    <tableColumn id="79" xr3:uid="{2D518667-8BD0-4724-B1AA-DDF10052875A}" uniqueName="79" name="Community" queryTableFieldId="83" dataDxfId="40"/>
    <tableColumn id="80" xr3:uid="{8468CD52-49AB-4F07-9663-B60ED03608B3}" uniqueName="80" name="Community Remarks" queryTableFieldId="84" dataDxfId="39"/>
    <tableColumn id="66" xr3:uid="{D9DDBBEA-8ABA-4EE4-9867-36DCEE1D7462}" uniqueName="66" name="Tower Space" queryTableFieldId="70" dataDxfId="38"/>
    <tableColumn id="67" xr3:uid="{83F25E90-AAAE-4188-B9A6-13B931E3A3A9}" uniqueName="67" name="Tower Space Remarks" queryTableFieldId="71" dataDxfId="37"/>
    <tableColumn id="68" xr3:uid="{713DF634-7898-4688-9D77-8B3820C1618B}" uniqueName="68" name="Structural" queryTableFieldId="72" dataDxfId="36"/>
    <tableColumn id="22" xr3:uid="{45E9DAE5-4B95-4A85-B4BB-9D51B6C82862}" uniqueName="22" name="Tower Strengthening" queryTableFieldId="175" dataDxfId="35"/>
    <tableColumn id="23" xr3:uid="{418DEC3F-B998-461E-8BDF-35C94E5AFAA5}" uniqueName="23" name="Foundation Retrofit" queryTableFieldId="176" dataDxfId="34"/>
    <tableColumn id="69" xr3:uid="{1279078D-CD15-413E-B3CC-7AE7E90B0D56}" uniqueName="69" name="Tower Extension" queryTableFieldId="73" dataDxfId="33"/>
    <tableColumn id="70" xr3:uid="{BF5D19F5-D86B-4917-B6E4-00C6CE9D78F8}" uniqueName="70" name="Structural Remarks" queryTableFieldId="74" dataDxfId="32"/>
    <tableColumn id="74" xr3:uid="{B2FF5A31-C436-4E31-83C8-9AA09C3F30CF}" uniqueName="74" name="Power" queryTableFieldId="78" dataDxfId="31"/>
    <tableColumn id="77" xr3:uid="{7AC621D4-9EEA-4A1B-9583-DB876F889E62}" uniqueName="77" name="Power Forecast" queryTableFieldId="81" dataDxfId="30"/>
    <tableColumn id="75" xr3:uid="{9F2B8D84-212A-43E8-8DD2-EADBC8DA8780}" uniqueName="75" name="Power Average" queryTableFieldId="79" dataDxfId="29"/>
    <tableColumn id="76" xr3:uid="{07616BA6-EBD9-4471-A4E1-5ECFC56091FC}" uniqueName="76" name="Power Peak" queryTableFieldId="80" dataDxfId="28"/>
    <tableColumn id="78" xr3:uid="{A2F27213-63A5-4BDA-90BE-22C91C01EBCD}" uniqueName="78" name="Power Remarks" queryTableFieldId="82" dataDxfId="27"/>
    <tableColumn id="71" xr3:uid="{8A0B0B90-D80A-4F31-9D97-1D651E3948DF}" uniqueName="71" name="Ground Space" queryTableFieldId="75" dataDxfId="26"/>
    <tableColumn id="72" xr3:uid="{A8F5875F-0374-4CB5-A1BC-51382D045BA4}" uniqueName="72" name="Slab Extension Needed" queryTableFieldId="76" dataDxfId="25"/>
    <tableColumn id="73" xr3:uid="{7A0DEBF3-7286-44A3-BCA0-1DDE26426A79}" uniqueName="73" name="Ground Space Remarks" queryTableFieldId="77" dataDxfId="24"/>
    <tableColumn id="81" xr3:uid="{02C9A0BD-8025-46AA-9B10-CC816554F0D3}" uniqueName="81" name="RM Review" queryTableFieldId="85" dataDxfId="23"/>
    <tableColumn id="82" xr3:uid="{B0BFF7AA-76C2-4518-8225-D1726DF09FD8}" uniqueName="82" name="RM Remarks" queryTableFieldId="86" dataDxfId="22"/>
    <tableColumn id="84" xr3:uid="{58553CD6-9678-420B-8F6E-CB6E2AD53164}" uniqueName="84" name="PM Review" queryTableFieldId="88" dataDxfId="21"/>
    <tableColumn id="83" xr3:uid="{D883C152-46E5-4A07-B9A1-E886E5669501}" uniqueName="83" name="PM Forecast" queryTableFieldId="87" dataDxfId="20"/>
    <tableColumn id="85" xr3:uid="{9FD987B7-5A39-41E9-85EC-CA48E83ACAF8}" uniqueName="85" name="PM Remarks" queryTableFieldId="89" dataDxfId="19"/>
    <tableColumn id="89" xr3:uid="{54E40D0D-45AA-4D13-9E1F-274AC026DF20}" uniqueName="89" name="AM Review" queryTableFieldId="127" dataDxfId="18"/>
    <tableColumn id="90" xr3:uid="{EDF9B05A-449E-46B3-AF6A-E48478A264C6}" uniqueName="90" name="AM Remarks" queryTableFieldId="128" dataDxfId="17"/>
    <tableColumn id="91" xr3:uid="{452B98D4-79E6-4F6A-9B8D-31E4EB0795A1}" uniqueName="91" name="Tower Space Time" queryTableFieldId="129" dataDxfId="16"/>
    <tableColumn id="92" xr3:uid="{D12E1EFD-CB79-46D2-88BC-CA2F4EB3DEFB}" uniqueName="92" name="Power Time" queryTableFieldId="130" dataDxfId="15"/>
    <tableColumn id="93" xr3:uid="{3ECB135B-2850-495F-9149-40556F8B1164}" uniqueName="93" name="Structural Time" queryTableFieldId="131" dataDxfId="14"/>
    <tableColumn id="94" xr3:uid="{722C167F-1834-44FD-8063-E92C6375D25B}" uniqueName="94" name="CW Time" queryTableFieldId="132" dataDxfId="13"/>
    <tableColumn id="95" xr3:uid="{01408E78-E8EF-4C2D-AEB1-D26B09D77847}" uniqueName="95" name="LandLord Time" queryTableFieldId="133" dataDxfId="12"/>
    <tableColumn id="96" xr3:uid="{C548978D-1120-44BE-9DD1-35AFC72843C6}" uniqueName="96" name="Community Time" queryTableFieldId="134" dataDxfId="11"/>
    <tableColumn id="20" xr3:uid="{8B66D146-649D-44FF-84DA-291690033276}" uniqueName="20" name="Close Date" queryTableFieldId="170" dataDxfId="10"/>
    <tableColumn id="11" xr3:uid="{1B145FC2-2CC3-4B5C-8544-6B6674F11278}" uniqueName="11" name="Prevalidation Leadtime" queryTableFieldId="160" dataDxfId="9">
      <calculatedColumnFormula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calculatedColumnFormula>
    </tableColumn>
    <tableColumn id="21" xr3:uid="{45D8CFC6-6E16-4843-AAE7-29F69506CF25}" uniqueName="21" name="Crossover" queryTableFieldId="169" dataDxfId="8">
      <calculatedColumnFormula>COUNTIFS(_05preva_view43[Site ID],_05preva_view43[[#This Row],[Site ID]],_05preva_view43[Prevalidation Status],"Under Prevalidation")</calculatedColumnFormula>
    </tableColumn>
    <tableColumn id="12" xr3:uid="{99853FA3-4503-45C9-8BF5-E0F1C6AF8B39}" uniqueName="12" name="Colo Application" queryTableFieldId="161" dataDxfId="7" dataCellStyle="Hyperlink">
      <calculatedColumnFormula>HYPERLINK(CheckPath(_05preva_view43[[#This Row],[File Path]],_05preva_view43[[#This Row],[File Path]],_05preva_view43[[#This Row],[Folder Path3]]),CheckPath(_05preva_view43[[#This Row],[File Path]],"Open File","No File"))</calculatedColumnFormula>
    </tableColumn>
    <tableColumn id="13" xr3:uid="{5F164BD8-57B0-4F3F-8703-6450633C10CC}" uniqueName="13" name="File Name" queryTableFieldId="162" dataDxfId="6">
      <calculatedColumnFormula>CONCATENATE(_05preva_view43[[#This Row],[Site ID]]," (",_05preva_view43[[#This Row],[tenant id]],") Application",IF(_05preva_view43[[#This Row],[Colo Rev]]&gt;0," Rev "&amp;_05preva_view43[[#This Row],[Colo Rev]],""),".xlsx")</calculatedColumnFormula>
    </tableColumn>
    <tableColumn id="14" xr3:uid="{364E0454-9E3E-44D7-A8C5-7F23F9C634C1}" uniqueName="14" name="Find Process &amp; Database" queryTableFieldId="163" dataDxfId="5">
      <calculatedColumnFormula>FIND("Process &amp; Database\",CELL("filename",$A$1))</calculatedColumnFormula>
    </tableColumn>
    <tableColumn id="15" xr3:uid="{F565D522-84F9-4977-86FF-25BD94E74030}" uniqueName="15" name="Folder Path1" queryTableFieldId="164" dataDxfId="4">
      <calculatedColumnFormula>LEFT(CELL("filename",A1),_05preva_view43[[#This Row],[Find Process &amp; Database]]-1)</calculatedColumnFormula>
    </tableColumn>
    <tableColumn id="16" xr3:uid="{6F3D65C8-422A-448B-96CB-D42CFAFEDCA3}" uniqueName="16" name="Folder Path2" queryTableFieldId="165" dataDxfId="3">
      <calculatedColumnFormula>_05preva_view43[Folder Path1]&amp;"Process &amp; Database\Documentation\Colo Applications"</calculatedColumnFormula>
    </tableColumn>
    <tableColumn id="17" xr3:uid="{AB897926-5ABE-4114-AB76-A575C3B326CB}" uniqueName="17" name="Folder Path3" queryTableFieldId="166" dataDxfId="2">
      <calculatedColumnFormula>_05preva_view43[Folder Path2]&amp;"\Colo App "&amp;_05preva_view43[[#This Row],[Operator]]&amp;"\"</calculatedColumnFormula>
    </tableColumn>
    <tableColumn id="18" xr3:uid="{53516091-646C-4EB3-8B33-DF067DA72DE1}" uniqueName="18" name="File Path" queryTableFieldId="167" dataDxfId="1">
      <calculatedColumnFormula>_05preva_view43[[#This Row],[Folder Path3]]&amp;_05preva_view43[[#This Row],[File Name]]</calculatedColumnFormula>
    </tableColumn>
    <tableColumn id="19" xr3:uid="{DA1B9A28-E32F-49C9-B32D-3129CB72644A}" uniqueName="19" name="Count Validated" queryTableFieldId="16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D3BD-A6A7-48A0-83A7-7B884A0F6C83}">
  <sheetPr codeName="Sheet2">
    <tabColor theme="8" tint="0.39997558519241921"/>
    <pageSetUpPr fitToPage="1"/>
  </sheetPr>
  <dimension ref="A1:XFC57"/>
  <sheetViews>
    <sheetView showGridLines="0" tabSelected="1" zoomScale="90" zoomScaleNormal="90" workbookViewId="0">
      <selection activeCell="D6" sqref="D6:D7"/>
    </sheetView>
  </sheetViews>
  <sheetFormatPr defaultColWidth="0" defaultRowHeight="14.5" customHeight="1"/>
  <cols>
    <col min="1" max="1" width="9.1796875" style="126" customWidth="1"/>
    <col min="2" max="2" width="19.7265625" style="126" customWidth="1"/>
    <col min="3" max="15" width="9.1796875" style="126" customWidth="1"/>
    <col min="16" max="16" width="23.7265625" style="135" hidden="1" customWidth="1"/>
    <col min="17" max="18" width="13.81640625" style="135" hidden="1" customWidth="1"/>
    <col min="19" max="19" width="9.1796875" style="126" customWidth="1"/>
    <col min="20" max="16384" width="9.1796875" style="126" hidden="1"/>
  </cols>
  <sheetData>
    <row r="1" spans="2:18" ht="35" customHeight="1">
      <c r="P1" s="136"/>
      <c r="Q1" s="136"/>
      <c r="R1" s="136"/>
    </row>
    <row r="2" spans="2:18" ht="26">
      <c r="B2" s="279" t="s">
        <v>1798</v>
      </c>
      <c r="C2" s="279"/>
      <c r="D2" s="279"/>
      <c r="E2" s="279"/>
      <c r="F2" s="279"/>
      <c r="G2" s="279"/>
      <c r="H2" s="279"/>
      <c r="I2" s="279"/>
      <c r="J2" s="279"/>
      <c r="K2" s="279"/>
      <c r="L2" s="279"/>
      <c r="M2" s="279"/>
      <c r="N2" s="279"/>
      <c r="P2" s="136"/>
      <c r="Q2" s="136"/>
      <c r="R2" s="136"/>
    </row>
    <row r="3" spans="2:18" ht="29" customHeight="1">
      <c r="P3" s="138" t="s">
        <v>1797</v>
      </c>
      <c r="Q3" s="139" t="s">
        <v>1800</v>
      </c>
      <c r="R3" s="140" t="s">
        <v>1801</v>
      </c>
    </row>
    <row r="4" spans="2:18" ht="14.5" customHeight="1">
      <c r="P4" s="141" t="s">
        <v>39</v>
      </c>
      <c r="Q4" s="142">
        <f>MATCH(P4,Validation!$15:$15,0)</f>
        <v>2</v>
      </c>
      <c r="R4" s="143" t="str">
        <f>VLOOKUP($D$6,_05preva_view43[],'Handover Notice'!Q4,FALSE)</f>
        <v>1-01-11002-003</v>
      </c>
    </row>
    <row r="5" spans="2:18" ht="14.5" customHeight="1">
      <c r="D5" s="134"/>
      <c r="E5" s="134"/>
      <c r="P5" s="141" t="s">
        <v>36</v>
      </c>
      <c r="Q5" s="142">
        <f>MATCH(P5,Validation!$15:$15,0)</f>
        <v>3</v>
      </c>
      <c r="R5" s="143" t="str">
        <f>VLOOKUP($D$6,_05preva_view43[],'Handover Notice'!Q5,FALSE)</f>
        <v>Pan Asia</v>
      </c>
    </row>
    <row r="6" spans="2:18" ht="14.5" customHeight="1">
      <c r="B6" s="285" t="s">
        <v>8</v>
      </c>
      <c r="C6" s="280" t="s">
        <v>1799</v>
      </c>
      <c r="D6" s="282">
        <v>3607</v>
      </c>
      <c r="E6" s="155"/>
      <c r="I6" s="134"/>
      <c r="M6" s="243" t="s">
        <v>1788</v>
      </c>
      <c r="N6" s="243"/>
      <c r="P6" s="141" t="s">
        <v>101</v>
      </c>
      <c r="Q6" s="142">
        <f>MATCH(P6,Validation!$15:$15,0)</f>
        <v>4</v>
      </c>
      <c r="R6" s="143" t="str">
        <f>VLOOKUP($D$6,_05preva_view43[],'Handover Notice'!Q6,FALSE)</f>
        <v>Southern</v>
      </c>
    </row>
    <row r="7" spans="2:18" ht="18.5">
      <c r="B7" s="286"/>
      <c r="C7" s="281"/>
      <c r="D7" s="283"/>
      <c r="E7" s="155"/>
      <c r="I7" s="134"/>
      <c r="M7" s="238">
        <f ca="1">TODAY()</f>
        <v>43493</v>
      </c>
      <c r="N7" s="238"/>
      <c r="P7" s="141" t="s">
        <v>102</v>
      </c>
      <c r="Q7" s="142">
        <f>MATCH(P7,Validation!$15:$15,0)</f>
        <v>5</v>
      </c>
      <c r="R7" s="143" t="str">
        <f>VLOOKUP($D$6,_05preva_view43[],'Handover Notice'!Q7,FALSE)</f>
        <v>MON00623</v>
      </c>
    </row>
    <row r="8" spans="2:18" ht="18.5">
      <c r="B8" s="51"/>
      <c r="C8" s="214"/>
      <c r="D8" s="215"/>
      <c r="E8" s="216"/>
      <c r="G8" s="211"/>
      <c r="H8" s="211"/>
      <c r="J8" s="211"/>
      <c r="K8" s="211"/>
      <c r="P8" s="141" t="s">
        <v>0</v>
      </c>
      <c r="Q8" s="142">
        <f>MATCH(P8,Validation!$15:$15,0)</f>
        <v>6</v>
      </c>
      <c r="R8" s="143" t="str">
        <f>VLOOKUP($D$6,_05preva_view43[],'Handover Notice'!Q8,FALSE)</f>
        <v>MPT</v>
      </c>
    </row>
    <row r="9" spans="2:18">
      <c r="B9" s="223" t="s">
        <v>39</v>
      </c>
      <c r="C9" s="232" t="s">
        <v>36</v>
      </c>
      <c r="D9" s="233"/>
      <c r="E9" s="234" t="s">
        <v>101</v>
      </c>
      <c r="F9" s="235"/>
      <c r="G9" s="228" t="s">
        <v>78</v>
      </c>
      <c r="H9" s="229"/>
      <c r="P9" s="141" t="s">
        <v>77</v>
      </c>
      <c r="Q9" s="142">
        <f>MATCH(P9,Validation!$15:$15,0)</f>
        <v>7</v>
      </c>
      <c r="R9" s="143" t="str">
        <f>VLOOKUP($D$6,_05preva_view43[],'Handover Notice'!Q9,FALSE)</f>
        <v>New Colocation</v>
      </c>
    </row>
    <row r="10" spans="2:18">
      <c r="B10" s="224" t="str">
        <f>VLOOKUP($D$6,_05preva_view43[],'Handover Notice'!Q4,FALSE)</f>
        <v>1-01-11002-003</v>
      </c>
      <c r="C10" s="230" t="str">
        <f>VLOOKUP($D$6,_05preva_view43[],'Handover Notice'!Q5,FALSE)</f>
        <v>Pan Asia</v>
      </c>
      <c r="D10" s="231"/>
      <c r="E10" s="236" t="str">
        <f>R6</f>
        <v>Southern</v>
      </c>
      <c r="F10" s="237"/>
      <c r="G10" s="236" t="str">
        <f>R10</f>
        <v>Active</v>
      </c>
      <c r="H10" s="237"/>
      <c r="P10" s="141" t="s">
        <v>78</v>
      </c>
      <c r="Q10" s="142">
        <f>MATCH(P10,Validation!$15:$15,0)</f>
        <v>8</v>
      </c>
      <c r="R10" s="143" t="str">
        <f>VLOOKUP($D$6,_05preva_view43[],'Handover Notice'!Q10,FALSE)</f>
        <v>Active</v>
      </c>
    </row>
    <row r="11" spans="2:18">
      <c r="B11" s="209"/>
      <c r="I11" s="209"/>
      <c r="J11" s="209"/>
      <c r="K11" s="137"/>
      <c r="L11" s="133"/>
      <c r="M11" s="210"/>
      <c r="N11" s="133"/>
      <c r="P11" s="141" t="s">
        <v>99</v>
      </c>
      <c r="Q11" s="142">
        <f>MATCH(P11,Validation!$15:$15,0)</f>
        <v>9</v>
      </c>
      <c r="R11" s="143" t="str">
        <f>VLOOKUP($D$6,_05preva_view43[],'Handover Notice'!Q11,FALSE)</f>
        <v>TS</v>
      </c>
    </row>
    <row r="12" spans="2:18">
      <c r="B12" s="225" t="s">
        <v>0</v>
      </c>
      <c r="C12" s="228" t="s">
        <v>1790</v>
      </c>
      <c r="D12" s="229"/>
      <c r="E12" s="228" t="s">
        <v>77</v>
      </c>
      <c r="F12" s="229"/>
      <c r="M12" s="133"/>
      <c r="N12" s="133"/>
      <c r="P12" s="141" t="s">
        <v>79</v>
      </c>
      <c r="Q12" s="142">
        <f>MATCH(P12,Validation!$15:$15,0)</f>
        <v>10</v>
      </c>
      <c r="R12" s="143" t="str">
        <f>VLOOKUP($D$6,_05preva_view43[],'Handover Notice'!Q12,FALSE)</f>
        <v>0</v>
      </c>
    </row>
    <row r="13" spans="2:18">
      <c r="B13" s="226" t="str">
        <f>R8</f>
        <v>MPT</v>
      </c>
      <c r="C13" s="241" t="str">
        <f>R7</f>
        <v>MON00623</v>
      </c>
      <c r="D13" s="242"/>
      <c r="E13" s="230" t="str">
        <f>R9</f>
        <v>New Colocation</v>
      </c>
      <c r="F13" s="231"/>
      <c r="M13" s="137"/>
      <c r="N13" s="133"/>
      <c r="P13" s="141" t="s">
        <v>3</v>
      </c>
      <c r="Q13" s="142">
        <f>MATCH(P13,Validation!$15:$15,0)</f>
        <v>11</v>
      </c>
      <c r="R13" s="143">
        <f>VLOOKUP($D$6,_05preva_view43[],'Handover Notice'!Q13,FALSE)</f>
        <v>43480</v>
      </c>
    </row>
    <row r="14" spans="2:18">
      <c r="B14" s="212"/>
      <c r="C14" s="212"/>
      <c r="D14" s="212"/>
      <c r="E14" s="213"/>
      <c r="F14" s="213"/>
      <c r="M14" s="137"/>
      <c r="N14" s="133"/>
      <c r="O14" s="134"/>
      <c r="P14" s="141" t="s">
        <v>92</v>
      </c>
      <c r="Q14" s="142">
        <f>MATCH(P14,Validation!$15:$15,0)</f>
        <v>12</v>
      </c>
      <c r="R14" s="143">
        <f>VLOOKUP($D$6,_05preva_view43[],'Handover Notice'!Q14,FALSE)</f>
        <v>0.72</v>
      </c>
    </row>
    <row r="15" spans="2:18">
      <c r="B15" s="212"/>
      <c r="D15" s="212"/>
      <c r="E15" s="212"/>
      <c r="G15" s="213"/>
      <c r="H15" s="213"/>
      <c r="M15" s="137"/>
      <c r="N15" s="133"/>
      <c r="P15" s="141"/>
      <c r="Q15" s="142"/>
      <c r="R15" s="143"/>
    </row>
    <row r="16" spans="2:18" ht="18.5">
      <c r="B16" s="202" t="s">
        <v>1789</v>
      </c>
      <c r="C16" s="185"/>
      <c r="D16" s="185"/>
      <c r="E16" s="186"/>
      <c r="F16" s="186"/>
      <c r="G16" s="187"/>
      <c r="H16" s="187"/>
      <c r="I16" s="188"/>
      <c r="J16" s="186"/>
      <c r="K16" s="187"/>
      <c r="L16" s="187"/>
      <c r="M16" s="189"/>
      <c r="N16" s="190"/>
      <c r="P16" s="141" t="s">
        <v>93</v>
      </c>
      <c r="Q16" s="142">
        <f>MATCH(P16,Validation!$15:$15,0)</f>
        <v>13</v>
      </c>
      <c r="R16" s="143">
        <f>VLOOKUP($D$6,_05preva_view43[],'Handover Notice'!Q16,FALSE)</f>
        <v>0.9</v>
      </c>
    </row>
    <row r="17" spans="1:16383">
      <c r="B17" s="217" t="s">
        <v>1795</v>
      </c>
      <c r="C17" s="239" t="s">
        <v>1792</v>
      </c>
      <c r="D17" s="239"/>
      <c r="E17" s="239" t="s">
        <v>49</v>
      </c>
      <c r="F17" s="239"/>
      <c r="G17" s="239" t="s">
        <v>1793</v>
      </c>
      <c r="H17" s="239"/>
      <c r="I17" s="239" t="s">
        <v>1796</v>
      </c>
      <c r="J17" s="239"/>
      <c r="K17" s="284" t="s">
        <v>99</v>
      </c>
      <c r="L17" s="247"/>
      <c r="M17" s="246" t="s">
        <v>1791</v>
      </c>
      <c r="N17" s="247"/>
      <c r="P17" s="141" t="s">
        <v>49</v>
      </c>
      <c r="Q17" s="142">
        <f>MATCH(P17,Validation!$15:$15,0)</f>
        <v>14</v>
      </c>
      <c r="R17" s="143">
        <f>VLOOKUP($D$6,_05preva_view43[],'Handover Notice'!Q17,FALSE)</f>
        <v>2.2509999999999999</v>
      </c>
    </row>
    <row r="18" spans="1:16383">
      <c r="B18" s="218">
        <f>_xlfn.NUMBERVALUE(R19)</f>
        <v>37</v>
      </c>
      <c r="C18" s="240">
        <f>_xlfn.NUMBERVALUE(R20)</f>
        <v>42</v>
      </c>
      <c r="D18" s="240"/>
      <c r="E18" s="222">
        <f>R17</f>
        <v>2.2509999999999999</v>
      </c>
      <c r="F18" s="220" t="str">
        <f>R18</f>
        <v>SQM</v>
      </c>
      <c r="G18" s="222">
        <f>R14</f>
        <v>0.72</v>
      </c>
      <c r="H18" s="220" t="s">
        <v>1794</v>
      </c>
      <c r="I18" s="221">
        <f>R16</f>
        <v>0.9</v>
      </c>
      <c r="J18" s="219" t="s">
        <v>1794</v>
      </c>
      <c r="K18" s="244" t="str">
        <f>R11</f>
        <v>TS</v>
      </c>
      <c r="L18" s="245"/>
      <c r="M18" s="248" t="str">
        <f>R12</f>
        <v>0</v>
      </c>
      <c r="N18" s="245"/>
      <c r="P18" s="141" t="s">
        <v>50</v>
      </c>
      <c r="Q18" s="142">
        <f>MATCH(P18,Validation!$15:$15,0)</f>
        <v>15</v>
      </c>
      <c r="R18" s="143" t="str">
        <f>VLOOKUP($D$6,_05preva_view43[],'Handover Notice'!Q18,FALSE)</f>
        <v>SQM</v>
      </c>
    </row>
    <row r="19" spans="1:16383">
      <c r="B19" s="163"/>
      <c r="C19" s="134"/>
      <c r="D19" s="134"/>
      <c r="G19" s="134"/>
      <c r="H19" s="134"/>
      <c r="I19" s="134"/>
      <c r="J19" s="134"/>
      <c r="K19" s="132"/>
      <c r="L19" s="134"/>
      <c r="M19" s="134"/>
      <c r="N19" s="156"/>
      <c r="P19" s="141" t="s">
        <v>30</v>
      </c>
      <c r="Q19" s="142">
        <f>MATCH(P19,Validation!$15:$15,0)</f>
        <v>16</v>
      </c>
      <c r="R19" s="143" t="str">
        <f>VLOOKUP($D$6,_05preva_view43[],'Handover Notice'!Q19,FALSE)</f>
        <v>37</v>
      </c>
    </row>
    <row r="20" spans="1:16383">
      <c r="K20" s="132"/>
      <c r="L20" s="132"/>
      <c r="M20" s="132"/>
      <c r="N20" s="132"/>
      <c r="P20" s="141" t="s">
        <v>31</v>
      </c>
      <c r="Q20" s="142">
        <f>MATCH(P20,Validation!$15:$15,0)</f>
        <v>17</v>
      </c>
      <c r="R20" s="143" t="str">
        <f>VLOOKUP($D$6,_05preva_view43[],'Handover Notice'!Q20,FALSE)</f>
        <v>42</v>
      </c>
    </row>
    <row r="21" spans="1:16383" ht="21" customHeight="1">
      <c r="B21" s="208" t="s">
        <v>1802</v>
      </c>
      <c r="C21" s="157"/>
      <c r="D21" s="157"/>
      <c r="E21" s="151"/>
      <c r="F21" s="151"/>
      <c r="G21" s="158"/>
      <c r="H21" s="158"/>
      <c r="I21" s="152"/>
      <c r="J21" s="151"/>
      <c r="K21" s="158"/>
      <c r="L21" s="158"/>
      <c r="M21" s="153"/>
      <c r="N21" s="154"/>
      <c r="P21" s="144" t="s">
        <v>53</v>
      </c>
      <c r="Q21" s="145">
        <f>MATCH(P21,Validation!$15:$15,0)</f>
        <v>20</v>
      </c>
      <c r="R21" s="146" t="str">
        <f>VLOOKUP($D$6,_05preva_view43[],'Handover Notice'!Q21,FALSE)</f>
        <v>Not Required</v>
      </c>
    </row>
    <row r="22" spans="1:16383" s="127" customFormat="1">
      <c r="A22" s="126"/>
      <c r="B22" s="261" t="str">
        <f>R23</f>
        <v>OK</v>
      </c>
      <c r="C22" s="276" t="str">
        <f>IF(R24&gt;0,R24,"")</f>
        <v/>
      </c>
      <c r="D22" s="270"/>
      <c r="E22" s="270"/>
      <c r="F22" s="270"/>
      <c r="G22" s="270"/>
      <c r="H22" s="270"/>
      <c r="I22" s="270"/>
      <c r="J22" s="270"/>
      <c r="K22" s="270"/>
      <c r="L22" s="270"/>
      <c r="M22" s="270"/>
      <c r="N22" s="271"/>
      <c r="O22" s="126"/>
      <c r="P22" s="144" t="s">
        <v>54</v>
      </c>
      <c r="Q22" s="145">
        <f>MATCH(P22,Validation!$15:$15,0)</f>
        <v>21</v>
      </c>
      <c r="R22" s="146">
        <f>VLOOKUP($D$6,_05preva_view43[],'Handover Notice'!Q22,FALSE)</f>
        <v>0</v>
      </c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26"/>
      <c r="BM22" s="126"/>
      <c r="BN22" s="126"/>
      <c r="BO22" s="126"/>
      <c r="BP22" s="126"/>
      <c r="BQ22" s="126"/>
      <c r="BR22" s="126"/>
      <c r="BS22" s="126"/>
      <c r="BT22" s="126"/>
      <c r="BU22" s="126"/>
      <c r="BV22" s="126"/>
      <c r="BW22" s="126"/>
      <c r="BX22" s="126"/>
      <c r="BY22" s="126"/>
      <c r="BZ22" s="126"/>
      <c r="CA22" s="126"/>
      <c r="CB22" s="126"/>
      <c r="CC22" s="126"/>
      <c r="CD22" s="126"/>
      <c r="CE22" s="126"/>
      <c r="CF22" s="126"/>
      <c r="CG22" s="126"/>
      <c r="CH22" s="126"/>
      <c r="CI22" s="126"/>
      <c r="CJ22" s="126"/>
      <c r="CK22" s="126"/>
      <c r="CL22" s="126"/>
      <c r="CM22" s="126"/>
      <c r="CN22" s="126"/>
      <c r="CO22" s="126"/>
      <c r="CP22" s="126"/>
      <c r="CQ22" s="126"/>
      <c r="CR22" s="126"/>
      <c r="CS22" s="126"/>
      <c r="CT22" s="126"/>
      <c r="CU22" s="126"/>
      <c r="CV22" s="126"/>
      <c r="CW22" s="126"/>
      <c r="CX22" s="126"/>
      <c r="CY22" s="126"/>
      <c r="CZ22" s="126"/>
      <c r="DA22" s="126"/>
      <c r="DB22" s="126"/>
      <c r="DC22" s="126"/>
      <c r="DD22" s="126"/>
      <c r="DE22" s="126"/>
      <c r="DF22" s="126"/>
      <c r="DG22" s="126"/>
      <c r="DH22" s="126"/>
      <c r="DI22" s="126"/>
      <c r="DJ22" s="126"/>
      <c r="DK22" s="126"/>
      <c r="DL22" s="126"/>
      <c r="DM22" s="126"/>
      <c r="DN22" s="126"/>
      <c r="DO22" s="126"/>
      <c r="DP22" s="126"/>
      <c r="DQ22" s="126"/>
      <c r="DR22" s="126"/>
      <c r="DS22" s="126"/>
      <c r="DT22" s="126"/>
      <c r="DU22" s="126"/>
      <c r="DV22" s="126"/>
      <c r="DW22" s="126"/>
      <c r="DX22" s="126"/>
      <c r="DY22" s="126"/>
      <c r="DZ22" s="126"/>
      <c r="EA22" s="126"/>
      <c r="EB22" s="126"/>
      <c r="EC22" s="126"/>
      <c r="ED22" s="126"/>
      <c r="EE22" s="126"/>
      <c r="EF22" s="126"/>
      <c r="EG22" s="126"/>
      <c r="EH22" s="126"/>
      <c r="EI22" s="126"/>
      <c r="EJ22" s="126"/>
      <c r="EK22" s="126"/>
      <c r="EL22" s="126"/>
      <c r="EM22" s="126"/>
      <c r="EN22" s="126"/>
      <c r="EO22" s="126"/>
      <c r="EP22" s="126"/>
      <c r="EQ22" s="126"/>
      <c r="ER22" s="126"/>
      <c r="ES22" s="126"/>
      <c r="ET22" s="126"/>
      <c r="EU22" s="126"/>
      <c r="EV22" s="126"/>
      <c r="EW22" s="126"/>
      <c r="EX22" s="126"/>
      <c r="EY22" s="126"/>
      <c r="EZ22" s="126"/>
      <c r="FA22" s="126"/>
      <c r="FB22" s="126"/>
      <c r="FC22" s="126"/>
      <c r="FD22" s="126"/>
      <c r="FE22" s="126"/>
      <c r="FF22" s="126"/>
      <c r="FG22" s="126"/>
      <c r="FH22" s="126"/>
      <c r="FI22" s="126"/>
      <c r="FJ22" s="126"/>
      <c r="FK22" s="126"/>
      <c r="FL22" s="126"/>
      <c r="FM22" s="126"/>
      <c r="FN22" s="126"/>
      <c r="FO22" s="126"/>
      <c r="FP22" s="126"/>
      <c r="FQ22" s="126"/>
      <c r="FR22" s="126"/>
      <c r="FS22" s="126"/>
      <c r="FT22" s="126"/>
      <c r="FU22" s="126"/>
      <c r="FV22" s="126"/>
      <c r="FW22" s="126"/>
      <c r="FX22" s="126"/>
      <c r="FY22" s="126"/>
      <c r="FZ22" s="126"/>
      <c r="GA22" s="126"/>
      <c r="GB22" s="126"/>
      <c r="GC22" s="126"/>
      <c r="GD22" s="126"/>
      <c r="GE22" s="126"/>
      <c r="GF22" s="126"/>
      <c r="GG22" s="126"/>
      <c r="GH22" s="126"/>
      <c r="GI22" s="126"/>
      <c r="GJ22" s="126"/>
      <c r="GK22" s="126"/>
      <c r="GL22" s="126"/>
      <c r="GM22" s="126"/>
      <c r="GN22" s="126"/>
      <c r="GO22" s="126"/>
      <c r="GP22" s="126"/>
      <c r="GQ22" s="126"/>
      <c r="GR22" s="126"/>
      <c r="GS22" s="126"/>
      <c r="GT22" s="126"/>
      <c r="GU22" s="126"/>
      <c r="GV22" s="126"/>
      <c r="GW22" s="126"/>
      <c r="GX22" s="126"/>
      <c r="GY22" s="126"/>
      <c r="GZ22" s="126"/>
      <c r="HA22" s="126"/>
      <c r="HB22" s="126"/>
      <c r="HC22" s="126"/>
      <c r="HD22" s="126"/>
      <c r="HE22" s="126"/>
      <c r="HF22" s="126"/>
      <c r="HG22" s="126"/>
      <c r="HH22" s="126"/>
      <c r="HI22" s="126"/>
      <c r="HJ22" s="126"/>
      <c r="HK22" s="126"/>
      <c r="HL22" s="126"/>
      <c r="HM22" s="126"/>
      <c r="HN22" s="126"/>
      <c r="HO22" s="126"/>
      <c r="HP22" s="126"/>
      <c r="HQ22" s="126"/>
      <c r="HR22" s="126"/>
      <c r="HS22" s="126"/>
      <c r="HT22" s="126"/>
      <c r="HU22" s="126"/>
      <c r="HV22" s="126"/>
      <c r="HW22" s="126"/>
      <c r="HX22" s="126"/>
      <c r="HY22" s="126"/>
      <c r="HZ22" s="126"/>
      <c r="IA22" s="126"/>
      <c r="IB22" s="126"/>
      <c r="IC22" s="126"/>
      <c r="ID22" s="126"/>
      <c r="IE22" s="126"/>
      <c r="IF22" s="126"/>
      <c r="IG22" s="126"/>
      <c r="IH22" s="126"/>
      <c r="II22" s="126"/>
      <c r="IJ22" s="126"/>
      <c r="IK22" s="126"/>
      <c r="IL22" s="126"/>
      <c r="IM22" s="126"/>
      <c r="IN22" s="126"/>
      <c r="IO22" s="126"/>
      <c r="IP22" s="126"/>
      <c r="IQ22" s="126"/>
      <c r="IR22" s="126"/>
      <c r="IS22" s="126"/>
      <c r="IT22" s="126"/>
      <c r="IU22" s="126"/>
      <c r="IV22" s="126"/>
      <c r="IW22" s="126"/>
      <c r="IX22" s="126"/>
      <c r="IY22" s="126"/>
      <c r="IZ22" s="126"/>
      <c r="JA22" s="126"/>
      <c r="JB22" s="126"/>
      <c r="JC22" s="126"/>
      <c r="JD22" s="126"/>
      <c r="JE22" s="126"/>
      <c r="JF22" s="126"/>
      <c r="JG22" s="126"/>
      <c r="JH22" s="126"/>
      <c r="JI22" s="126"/>
      <c r="JJ22" s="126"/>
      <c r="JK22" s="126"/>
      <c r="JL22" s="126"/>
      <c r="JM22" s="126"/>
      <c r="JN22" s="126"/>
      <c r="JO22" s="126"/>
      <c r="JP22" s="126"/>
      <c r="JQ22" s="126"/>
      <c r="JR22" s="126"/>
      <c r="JS22" s="126"/>
      <c r="JT22" s="126"/>
      <c r="JU22" s="126"/>
      <c r="JV22" s="126"/>
      <c r="JW22" s="126"/>
      <c r="JX22" s="126"/>
      <c r="JY22" s="126"/>
      <c r="JZ22" s="126"/>
      <c r="KA22" s="126"/>
      <c r="KB22" s="126"/>
      <c r="KC22" s="126"/>
      <c r="KD22" s="126"/>
      <c r="KE22" s="126"/>
      <c r="KF22" s="126"/>
      <c r="KG22" s="126"/>
      <c r="KH22" s="126"/>
      <c r="KI22" s="126"/>
      <c r="KJ22" s="126"/>
      <c r="KK22" s="126"/>
      <c r="KL22" s="126"/>
      <c r="KM22" s="126"/>
      <c r="KN22" s="126"/>
      <c r="KO22" s="126"/>
      <c r="KP22" s="126"/>
      <c r="KQ22" s="126"/>
      <c r="KR22" s="126"/>
      <c r="KS22" s="126"/>
      <c r="KT22" s="126"/>
      <c r="KU22" s="126"/>
      <c r="KV22" s="126"/>
      <c r="KW22" s="126"/>
      <c r="KX22" s="126"/>
      <c r="KY22" s="126"/>
      <c r="KZ22" s="126"/>
      <c r="LA22" s="126"/>
      <c r="LB22" s="126"/>
      <c r="LC22" s="126"/>
      <c r="LD22" s="126"/>
      <c r="LE22" s="126"/>
      <c r="LF22" s="126"/>
      <c r="LG22" s="126"/>
      <c r="LH22" s="126"/>
      <c r="LI22" s="126"/>
      <c r="LJ22" s="126"/>
      <c r="LK22" s="126"/>
      <c r="LL22" s="126"/>
      <c r="LM22" s="126"/>
      <c r="LN22" s="126"/>
      <c r="LO22" s="126"/>
      <c r="LP22" s="126"/>
      <c r="LQ22" s="126"/>
      <c r="LR22" s="126"/>
      <c r="LS22" s="126"/>
      <c r="LT22" s="126"/>
      <c r="LU22" s="126"/>
      <c r="LV22" s="126"/>
      <c r="LW22" s="126"/>
      <c r="LX22" s="126"/>
      <c r="LY22" s="126"/>
      <c r="LZ22" s="126"/>
      <c r="MA22" s="126"/>
      <c r="MB22" s="126"/>
      <c r="MC22" s="126"/>
      <c r="MD22" s="126"/>
      <c r="ME22" s="126"/>
      <c r="MF22" s="126"/>
      <c r="MG22" s="126"/>
      <c r="MH22" s="126"/>
      <c r="MI22" s="126"/>
      <c r="MJ22" s="126"/>
      <c r="MK22" s="126"/>
      <c r="ML22" s="126"/>
      <c r="MM22" s="126"/>
      <c r="MN22" s="126"/>
      <c r="MO22" s="126"/>
      <c r="MP22" s="126"/>
      <c r="MQ22" s="126"/>
      <c r="MR22" s="126"/>
      <c r="MS22" s="126"/>
      <c r="MT22" s="126"/>
      <c r="MU22" s="126"/>
      <c r="MV22" s="126"/>
      <c r="MW22" s="126"/>
      <c r="MX22" s="126"/>
      <c r="MY22" s="126"/>
      <c r="MZ22" s="126"/>
      <c r="NA22" s="126"/>
      <c r="NB22" s="126"/>
      <c r="NC22" s="126"/>
      <c r="ND22" s="126"/>
      <c r="NE22" s="126"/>
      <c r="NF22" s="126"/>
      <c r="NG22" s="126"/>
      <c r="NH22" s="126"/>
      <c r="NI22" s="126"/>
      <c r="NJ22" s="126"/>
      <c r="NK22" s="126"/>
      <c r="NL22" s="126"/>
      <c r="NM22" s="126"/>
      <c r="NN22" s="126"/>
      <c r="NO22" s="126"/>
      <c r="NP22" s="126"/>
      <c r="NQ22" s="126"/>
      <c r="NR22" s="126"/>
      <c r="NS22" s="126"/>
      <c r="NT22" s="126"/>
      <c r="NU22" s="126"/>
      <c r="NV22" s="126"/>
      <c r="NW22" s="126"/>
      <c r="NX22" s="126"/>
      <c r="NY22" s="126"/>
      <c r="NZ22" s="126"/>
      <c r="OA22" s="126"/>
      <c r="OB22" s="126"/>
      <c r="OC22" s="126"/>
      <c r="OD22" s="126"/>
      <c r="OE22" s="126"/>
      <c r="OF22" s="126"/>
      <c r="OG22" s="126"/>
      <c r="OH22" s="126"/>
      <c r="OI22" s="126"/>
      <c r="OJ22" s="126"/>
      <c r="OK22" s="126"/>
      <c r="OL22" s="126"/>
      <c r="OM22" s="126"/>
      <c r="ON22" s="126"/>
      <c r="OO22" s="126"/>
      <c r="OP22" s="126"/>
      <c r="OQ22" s="126"/>
      <c r="OR22" s="126"/>
      <c r="OS22" s="126"/>
      <c r="OT22" s="126"/>
      <c r="OU22" s="126"/>
      <c r="OV22" s="126"/>
      <c r="OW22" s="126"/>
      <c r="OX22" s="126"/>
      <c r="OY22" s="126"/>
      <c r="OZ22" s="126"/>
      <c r="PA22" s="126"/>
      <c r="PB22" s="126"/>
      <c r="PC22" s="126"/>
      <c r="PD22" s="126"/>
      <c r="PE22" s="126"/>
      <c r="PF22" s="126"/>
      <c r="PG22" s="126"/>
      <c r="PH22" s="126"/>
      <c r="PI22" s="126"/>
      <c r="PJ22" s="126"/>
      <c r="PK22" s="126"/>
      <c r="PL22" s="126"/>
      <c r="PM22" s="126"/>
      <c r="PN22" s="126"/>
      <c r="PO22" s="126"/>
      <c r="PP22" s="126"/>
      <c r="PQ22" s="126"/>
      <c r="PR22" s="126"/>
      <c r="PS22" s="126"/>
      <c r="PT22" s="126"/>
      <c r="PU22" s="126"/>
      <c r="PV22" s="126"/>
      <c r="PW22" s="126"/>
      <c r="PX22" s="126"/>
      <c r="PY22" s="126"/>
      <c r="PZ22" s="126"/>
      <c r="QA22" s="126"/>
      <c r="QB22" s="126"/>
      <c r="QC22" s="126"/>
      <c r="QD22" s="126"/>
      <c r="QE22" s="126"/>
      <c r="QF22" s="126"/>
      <c r="QG22" s="126"/>
      <c r="QH22" s="126"/>
      <c r="QI22" s="126"/>
      <c r="QJ22" s="126"/>
      <c r="QK22" s="126"/>
      <c r="QL22" s="126"/>
      <c r="QM22" s="126"/>
      <c r="QN22" s="126"/>
      <c r="QO22" s="126"/>
      <c r="QP22" s="126"/>
      <c r="QQ22" s="126"/>
      <c r="QR22" s="126"/>
      <c r="QS22" s="126"/>
      <c r="QT22" s="126"/>
      <c r="QU22" s="126"/>
      <c r="QV22" s="126"/>
      <c r="QW22" s="126"/>
      <c r="QX22" s="126"/>
      <c r="QY22" s="126"/>
      <c r="QZ22" s="126"/>
      <c r="RA22" s="126"/>
      <c r="RB22" s="126"/>
      <c r="RC22" s="126"/>
      <c r="RD22" s="126"/>
      <c r="RE22" s="126"/>
      <c r="RF22" s="126"/>
      <c r="RG22" s="126"/>
      <c r="RH22" s="126"/>
      <c r="RI22" s="126"/>
      <c r="RJ22" s="126"/>
      <c r="RK22" s="126"/>
      <c r="RL22" s="126"/>
      <c r="RM22" s="126"/>
      <c r="RN22" s="126"/>
      <c r="RO22" s="126"/>
      <c r="RP22" s="126"/>
      <c r="RQ22" s="126"/>
      <c r="RR22" s="126"/>
      <c r="RS22" s="126"/>
      <c r="RT22" s="126"/>
      <c r="RU22" s="126"/>
      <c r="RV22" s="126"/>
      <c r="RW22" s="126"/>
      <c r="RX22" s="126"/>
      <c r="RY22" s="126"/>
      <c r="RZ22" s="126"/>
      <c r="SA22" s="126"/>
      <c r="SB22" s="126"/>
      <c r="SC22" s="126"/>
      <c r="SD22" s="126"/>
      <c r="SE22" s="126"/>
      <c r="SF22" s="126"/>
      <c r="SG22" s="126"/>
      <c r="SH22" s="126"/>
      <c r="SI22" s="126"/>
      <c r="SJ22" s="126"/>
      <c r="SK22" s="126"/>
      <c r="SL22" s="126"/>
      <c r="SM22" s="126"/>
      <c r="SN22" s="126"/>
      <c r="SO22" s="126"/>
      <c r="SP22" s="126"/>
      <c r="SQ22" s="126"/>
      <c r="SR22" s="126"/>
      <c r="SS22" s="126"/>
      <c r="ST22" s="126"/>
      <c r="SU22" s="126"/>
      <c r="SV22" s="126"/>
      <c r="SW22" s="126"/>
      <c r="SX22" s="126"/>
      <c r="SY22" s="126"/>
      <c r="SZ22" s="126"/>
      <c r="TA22" s="126"/>
      <c r="TB22" s="126"/>
      <c r="TC22" s="126"/>
      <c r="TD22" s="126"/>
      <c r="TE22" s="126"/>
      <c r="TF22" s="126"/>
      <c r="TG22" s="126"/>
      <c r="TH22" s="126"/>
      <c r="TI22" s="126"/>
      <c r="TJ22" s="126"/>
      <c r="TK22" s="126"/>
      <c r="TL22" s="126"/>
      <c r="TM22" s="126"/>
      <c r="TN22" s="126"/>
      <c r="TO22" s="126"/>
      <c r="TP22" s="126"/>
      <c r="TQ22" s="126"/>
      <c r="TR22" s="126"/>
      <c r="TS22" s="126"/>
      <c r="TT22" s="126"/>
      <c r="TU22" s="126"/>
      <c r="TV22" s="126"/>
      <c r="TW22" s="126"/>
      <c r="TX22" s="126"/>
      <c r="TY22" s="126"/>
      <c r="TZ22" s="126"/>
      <c r="UA22" s="126"/>
      <c r="UB22" s="126"/>
      <c r="UC22" s="126"/>
      <c r="UD22" s="126"/>
      <c r="UE22" s="126"/>
      <c r="UF22" s="126"/>
      <c r="UG22" s="126"/>
      <c r="UH22" s="126"/>
      <c r="UI22" s="126"/>
      <c r="UJ22" s="126"/>
      <c r="UK22" s="126"/>
      <c r="UL22" s="126"/>
      <c r="UM22" s="126"/>
      <c r="UN22" s="126"/>
      <c r="UO22" s="126"/>
      <c r="UP22" s="126"/>
      <c r="UQ22" s="126"/>
      <c r="UR22" s="126"/>
      <c r="US22" s="126"/>
      <c r="UT22" s="126"/>
      <c r="UU22" s="126"/>
      <c r="UV22" s="126"/>
      <c r="UW22" s="126"/>
      <c r="UX22" s="126"/>
      <c r="UY22" s="126"/>
      <c r="UZ22" s="126"/>
      <c r="VA22" s="126"/>
      <c r="VB22" s="126"/>
      <c r="VC22" s="126"/>
      <c r="VD22" s="126"/>
      <c r="VE22" s="126"/>
      <c r="VF22" s="126"/>
      <c r="VG22" s="126"/>
      <c r="VH22" s="126"/>
      <c r="VI22" s="126"/>
      <c r="VJ22" s="126"/>
      <c r="VK22" s="126"/>
      <c r="VL22" s="126"/>
      <c r="VM22" s="126"/>
      <c r="VN22" s="126"/>
      <c r="VO22" s="126"/>
      <c r="VP22" s="126"/>
      <c r="VQ22" s="126"/>
      <c r="VR22" s="126"/>
      <c r="VS22" s="126"/>
      <c r="VT22" s="126"/>
      <c r="VU22" s="126"/>
      <c r="VV22" s="126"/>
      <c r="VW22" s="126"/>
      <c r="VX22" s="126"/>
      <c r="VY22" s="126"/>
      <c r="VZ22" s="126"/>
      <c r="WA22" s="126"/>
      <c r="WB22" s="126"/>
      <c r="WC22" s="126"/>
      <c r="WD22" s="126"/>
      <c r="WE22" s="126"/>
      <c r="WF22" s="126"/>
      <c r="WG22" s="126"/>
      <c r="WH22" s="126"/>
      <c r="WI22" s="126"/>
      <c r="WJ22" s="126"/>
      <c r="WK22" s="126"/>
      <c r="WL22" s="126"/>
      <c r="WM22" s="126"/>
      <c r="WN22" s="126"/>
      <c r="WO22" s="126"/>
      <c r="WP22" s="126"/>
      <c r="WQ22" s="126"/>
      <c r="WR22" s="126"/>
      <c r="WS22" s="126"/>
      <c r="WT22" s="126"/>
      <c r="WU22" s="126"/>
      <c r="WV22" s="126"/>
      <c r="WW22" s="126"/>
      <c r="WX22" s="126"/>
      <c r="WY22" s="126"/>
      <c r="WZ22" s="126"/>
      <c r="XA22" s="126"/>
      <c r="XB22" s="126"/>
      <c r="XC22" s="126"/>
      <c r="XD22" s="126"/>
      <c r="XE22" s="126"/>
      <c r="XF22" s="126"/>
      <c r="XG22" s="126"/>
      <c r="XH22" s="126"/>
      <c r="XI22" s="126"/>
      <c r="XJ22" s="126"/>
      <c r="XK22" s="126"/>
      <c r="XL22" s="126"/>
      <c r="XM22" s="126"/>
      <c r="XN22" s="126"/>
      <c r="XO22" s="126"/>
      <c r="XP22" s="126"/>
      <c r="XQ22" s="126"/>
      <c r="XR22" s="126"/>
      <c r="XS22" s="126"/>
      <c r="XT22" s="126"/>
      <c r="XU22" s="126"/>
      <c r="XV22" s="126"/>
      <c r="XW22" s="126"/>
      <c r="XX22" s="126"/>
      <c r="XY22" s="126"/>
      <c r="XZ22" s="126"/>
      <c r="YA22" s="126"/>
      <c r="YB22" s="126"/>
      <c r="YC22" s="126"/>
      <c r="YD22" s="126"/>
      <c r="YE22" s="126"/>
      <c r="YF22" s="126"/>
      <c r="YG22" s="126"/>
      <c r="YH22" s="126"/>
      <c r="YI22" s="126"/>
      <c r="YJ22" s="126"/>
      <c r="YK22" s="126"/>
      <c r="YL22" s="126"/>
      <c r="YM22" s="126"/>
      <c r="YN22" s="126"/>
      <c r="YO22" s="126"/>
      <c r="YP22" s="126"/>
      <c r="YQ22" s="126"/>
      <c r="YR22" s="126"/>
      <c r="YS22" s="126"/>
      <c r="YT22" s="126"/>
      <c r="YU22" s="126"/>
      <c r="YV22" s="126"/>
      <c r="YW22" s="126"/>
      <c r="YX22" s="126"/>
      <c r="YY22" s="126"/>
      <c r="YZ22" s="126"/>
      <c r="ZA22" s="126"/>
      <c r="ZB22" s="126"/>
      <c r="ZC22" s="126"/>
      <c r="ZD22" s="126"/>
      <c r="ZE22" s="126"/>
      <c r="ZF22" s="126"/>
      <c r="ZG22" s="126"/>
      <c r="ZH22" s="126"/>
      <c r="ZI22" s="126"/>
      <c r="ZJ22" s="126"/>
      <c r="ZK22" s="126"/>
      <c r="ZL22" s="126"/>
      <c r="ZM22" s="126"/>
      <c r="ZN22" s="126"/>
      <c r="ZO22" s="126"/>
      <c r="ZP22" s="126"/>
      <c r="ZQ22" s="126"/>
      <c r="ZR22" s="126"/>
      <c r="ZS22" s="126"/>
      <c r="ZT22" s="126"/>
      <c r="ZU22" s="126"/>
      <c r="ZV22" s="126"/>
      <c r="ZW22" s="126"/>
      <c r="ZX22" s="126"/>
      <c r="ZY22" s="126"/>
      <c r="ZZ22" s="126"/>
      <c r="AAA22" s="126"/>
      <c r="AAB22" s="126"/>
      <c r="AAC22" s="126"/>
      <c r="AAD22" s="126"/>
      <c r="AAE22" s="126"/>
      <c r="AAF22" s="126"/>
      <c r="AAG22" s="126"/>
      <c r="AAH22" s="126"/>
      <c r="AAI22" s="126"/>
      <c r="AAJ22" s="126"/>
      <c r="AAK22" s="126"/>
      <c r="AAL22" s="126"/>
      <c r="AAM22" s="126"/>
      <c r="AAN22" s="126"/>
      <c r="AAO22" s="126"/>
      <c r="AAP22" s="126"/>
      <c r="AAQ22" s="126"/>
      <c r="AAR22" s="126"/>
      <c r="AAS22" s="126"/>
      <c r="AAT22" s="126"/>
      <c r="AAU22" s="126"/>
      <c r="AAV22" s="126"/>
      <c r="AAW22" s="126"/>
      <c r="AAX22" s="126"/>
      <c r="AAY22" s="126"/>
      <c r="AAZ22" s="126"/>
      <c r="ABA22" s="126"/>
      <c r="ABB22" s="126"/>
      <c r="ABC22" s="126"/>
      <c r="ABD22" s="126"/>
      <c r="ABE22" s="126"/>
      <c r="ABF22" s="126"/>
      <c r="ABG22" s="126"/>
      <c r="ABH22" s="126"/>
      <c r="ABI22" s="126"/>
      <c r="ABJ22" s="126"/>
      <c r="ABK22" s="126"/>
      <c r="ABL22" s="126"/>
      <c r="ABM22" s="126"/>
      <c r="ABN22" s="126"/>
      <c r="ABO22" s="126"/>
      <c r="ABP22" s="126"/>
      <c r="ABQ22" s="126"/>
      <c r="ABR22" s="126"/>
      <c r="ABS22" s="126"/>
      <c r="ABT22" s="126"/>
      <c r="ABU22" s="126"/>
      <c r="ABV22" s="126"/>
      <c r="ABW22" s="126"/>
      <c r="ABX22" s="126"/>
      <c r="ABY22" s="126"/>
      <c r="ABZ22" s="126"/>
      <c r="ACA22" s="126"/>
      <c r="ACB22" s="126"/>
      <c r="ACC22" s="126"/>
      <c r="ACD22" s="126"/>
      <c r="ACE22" s="126"/>
      <c r="ACF22" s="126"/>
      <c r="ACG22" s="126"/>
      <c r="ACH22" s="126"/>
      <c r="ACI22" s="126"/>
      <c r="ACJ22" s="126"/>
      <c r="ACK22" s="126"/>
      <c r="ACL22" s="126"/>
      <c r="ACM22" s="126"/>
      <c r="ACN22" s="126"/>
      <c r="ACO22" s="126"/>
      <c r="ACP22" s="126"/>
      <c r="ACQ22" s="126"/>
      <c r="ACR22" s="126"/>
      <c r="ACS22" s="126"/>
      <c r="ACT22" s="126"/>
      <c r="ACU22" s="126"/>
      <c r="ACV22" s="126"/>
      <c r="ACW22" s="126"/>
      <c r="ACX22" s="126"/>
      <c r="ACY22" s="126"/>
      <c r="ACZ22" s="126"/>
      <c r="ADA22" s="126"/>
      <c r="ADB22" s="126"/>
      <c r="ADC22" s="126"/>
      <c r="ADD22" s="126"/>
      <c r="ADE22" s="126"/>
      <c r="ADF22" s="126"/>
      <c r="ADG22" s="126"/>
      <c r="ADH22" s="126"/>
      <c r="ADI22" s="126"/>
      <c r="ADJ22" s="126"/>
      <c r="ADK22" s="126"/>
      <c r="ADL22" s="126"/>
      <c r="ADM22" s="126"/>
      <c r="ADN22" s="126"/>
      <c r="ADO22" s="126"/>
      <c r="ADP22" s="126"/>
      <c r="ADQ22" s="126"/>
      <c r="ADR22" s="126"/>
      <c r="ADS22" s="126"/>
      <c r="ADT22" s="126"/>
      <c r="ADU22" s="126"/>
      <c r="ADV22" s="126"/>
      <c r="ADW22" s="126"/>
      <c r="ADX22" s="126"/>
      <c r="ADY22" s="126"/>
      <c r="ADZ22" s="126"/>
      <c r="AEA22" s="126"/>
      <c r="AEB22" s="126"/>
      <c r="AEC22" s="126"/>
      <c r="AED22" s="126"/>
      <c r="AEE22" s="126"/>
      <c r="AEF22" s="126"/>
      <c r="AEG22" s="126"/>
      <c r="AEH22" s="126"/>
      <c r="AEI22" s="126"/>
      <c r="AEJ22" s="126"/>
      <c r="AEK22" s="126"/>
      <c r="AEL22" s="126"/>
      <c r="AEM22" s="126"/>
      <c r="AEN22" s="126"/>
      <c r="AEO22" s="126"/>
      <c r="AEP22" s="126"/>
      <c r="AEQ22" s="126"/>
      <c r="AER22" s="126"/>
      <c r="AES22" s="126"/>
      <c r="AET22" s="126"/>
      <c r="AEU22" s="126"/>
      <c r="AEV22" s="126"/>
      <c r="AEW22" s="126"/>
      <c r="AEX22" s="126"/>
      <c r="AEY22" s="126"/>
      <c r="AEZ22" s="126"/>
      <c r="AFA22" s="126"/>
      <c r="AFB22" s="126"/>
      <c r="AFC22" s="126"/>
      <c r="AFD22" s="126"/>
      <c r="AFE22" s="126"/>
      <c r="AFF22" s="126"/>
      <c r="AFG22" s="126"/>
      <c r="AFH22" s="126"/>
      <c r="AFI22" s="126"/>
      <c r="AFJ22" s="126"/>
      <c r="AFK22" s="126"/>
      <c r="AFL22" s="126"/>
      <c r="AFM22" s="126"/>
      <c r="AFN22" s="126"/>
      <c r="AFO22" s="126"/>
      <c r="AFP22" s="126"/>
      <c r="AFQ22" s="126"/>
      <c r="AFR22" s="126"/>
      <c r="AFS22" s="126"/>
      <c r="AFT22" s="126"/>
      <c r="AFU22" s="126"/>
      <c r="AFV22" s="126"/>
      <c r="AFW22" s="126"/>
      <c r="AFX22" s="126"/>
      <c r="AFY22" s="126"/>
      <c r="AFZ22" s="126"/>
      <c r="AGA22" s="126"/>
      <c r="AGB22" s="126"/>
      <c r="AGC22" s="126"/>
      <c r="AGD22" s="126"/>
      <c r="AGE22" s="126"/>
      <c r="AGF22" s="126"/>
      <c r="AGG22" s="126"/>
      <c r="AGH22" s="126"/>
      <c r="AGI22" s="126"/>
      <c r="AGJ22" s="126"/>
      <c r="AGK22" s="126"/>
      <c r="AGL22" s="126"/>
      <c r="AGM22" s="126"/>
      <c r="AGN22" s="126"/>
      <c r="AGO22" s="126"/>
      <c r="AGP22" s="126"/>
      <c r="AGQ22" s="126"/>
      <c r="AGR22" s="126"/>
      <c r="AGS22" s="126"/>
      <c r="AGT22" s="126"/>
      <c r="AGU22" s="126"/>
      <c r="AGV22" s="126"/>
      <c r="AGW22" s="126"/>
      <c r="AGX22" s="126"/>
      <c r="AGY22" s="126"/>
      <c r="AGZ22" s="126"/>
      <c r="AHA22" s="126"/>
      <c r="AHB22" s="126"/>
      <c r="AHC22" s="126"/>
      <c r="AHD22" s="126"/>
      <c r="AHE22" s="126"/>
      <c r="AHF22" s="126"/>
      <c r="AHG22" s="126"/>
      <c r="AHH22" s="126"/>
      <c r="AHI22" s="126"/>
      <c r="AHJ22" s="126"/>
      <c r="AHK22" s="126"/>
      <c r="AHL22" s="126"/>
      <c r="AHM22" s="126"/>
      <c r="AHN22" s="126"/>
      <c r="AHO22" s="126"/>
      <c r="AHP22" s="126"/>
      <c r="AHQ22" s="126"/>
      <c r="AHR22" s="126"/>
      <c r="AHS22" s="126"/>
      <c r="AHT22" s="126"/>
      <c r="AHU22" s="126"/>
      <c r="AHV22" s="126"/>
      <c r="AHW22" s="126"/>
      <c r="AHX22" s="126"/>
      <c r="AHY22" s="126"/>
      <c r="AHZ22" s="126"/>
      <c r="AIA22" s="126"/>
      <c r="AIB22" s="126"/>
      <c r="AIC22" s="126"/>
      <c r="AID22" s="126"/>
      <c r="AIE22" s="126"/>
      <c r="AIF22" s="126"/>
      <c r="AIG22" s="126"/>
      <c r="AIH22" s="126"/>
      <c r="AII22" s="126"/>
      <c r="AIJ22" s="126"/>
      <c r="AIK22" s="126"/>
      <c r="AIL22" s="126"/>
      <c r="AIM22" s="126"/>
      <c r="AIN22" s="126"/>
      <c r="AIO22" s="126"/>
      <c r="AIP22" s="126"/>
      <c r="AIQ22" s="126"/>
      <c r="AIR22" s="126"/>
      <c r="AIS22" s="126"/>
      <c r="AIT22" s="126"/>
      <c r="AIU22" s="126"/>
      <c r="AIV22" s="126"/>
      <c r="AIW22" s="126"/>
      <c r="AIX22" s="126"/>
      <c r="AIY22" s="126"/>
      <c r="AIZ22" s="126"/>
      <c r="AJA22" s="126"/>
      <c r="AJB22" s="126"/>
      <c r="AJC22" s="126"/>
      <c r="AJD22" s="126"/>
      <c r="AJE22" s="126"/>
      <c r="AJF22" s="126"/>
      <c r="AJG22" s="126"/>
      <c r="AJH22" s="126"/>
      <c r="AJI22" s="126"/>
      <c r="AJJ22" s="126"/>
      <c r="AJK22" s="126"/>
      <c r="AJL22" s="126"/>
      <c r="AJM22" s="126"/>
      <c r="AJN22" s="126"/>
      <c r="AJO22" s="126"/>
      <c r="AJP22" s="126"/>
      <c r="AJQ22" s="126"/>
      <c r="AJR22" s="126"/>
      <c r="AJS22" s="126"/>
      <c r="AJT22" s="126"/>
      <c r="AJU22" s="126"/>
      <c r="AJV22" s="126"/>
      <c r="AJW22" s="126"/>
      <c r="AJX22" s="126"/>
      <c r="AJY22" s="126"/>
      <c r="AJZ22" s="126"/>
      <c r="AKA22" s="126"/>
      <c r="AKB22" s="126"/>
      <c r="AKC22" s="126"/>
      <c r="AKD22" s="126"/>
      <c r="AKE22" s="126"/>
      <c r="AKF22" s="126"/>
      <c r="AKG22" s="126"/>
      <c r="AKH22" s="126"/>
      <c r="AKI22" s="126"/>
      <c r="AKJ22" s="126"/>
      <c r="AKK22" s="126"/>
      <c r="AKL22" s="126"/>
      <c r="AKM22" s="126"/>
      <c r="AKN22" s="126"/>
      <c r="AKO22" s="126"/>
      <c r="AKP22" s="126"/>
      <c r="AKQ22" s="126"/>
      <c r="AKR22" s="126"/>
      <c r="AKS22" s="126"/>
      <c r="AKT22" s="126"/>
      <c r="AKU22" s="126"/>
      <c r="AKV22" s="126"/>
      <c r="AKW22" s="126"/>
      <c r="AKX22" s="126"/>
      <c r="AKY22" s="126"/>
      <c r="AKZ22" s="126"/>
      <c r="ALA22" s="126"/>
      <c r="ALB22" s="126"/>
      <c r="ALC22" s="126"/>
      <c r="ALD22" s="126"/>
      <c r="ALE22" s="126"/>
      <c r="ALF22" s="126"/>
      <c r="ALG22" s="126"/>
      <c r="ALH22" s="126"/>
      <c r="ALI22" s="126"/>
      <c r="ALJ22" s="126"/>
      <c r="ALK22" s="126"/>
      <c r="ALL22" s="126"/>
      <c r="ALM22" s="126"/>
      <c r="ALN22" s="126"/>
      <c r="ALO22" s="126"/>
      <c r="ALP22" s="126"/>
      <c r="ALQ22" s="126"/>
      <c r="ALR22" s="126"/>
      <c r="ALS22" s="126"/>
      <c r="ALT22" s="126"/>
      <c r="ALU22" s="126"/>
      <c r="ALV22" s="126"/>
      <c r="ALW22" s="126"/>
      <c r="ALX22" s="126"/>
      <c r="ALY22" s="126"/>
      <c r="ALZ22" s="126"/>
      <c r="AMA22" s="126"/>
      <c r="AMB22" s="126"/>
      <c r="AMC22" s="126"/>
      <c r="AMD22" s="126"/>
      <c r="AME22" s="126"/>
      <c r="AMF22" s="126"/>
      <c r="AMG22" s="126"/>
      <c r="AMH22" s="126"/>
      <c r="AMI22" s="126"/>
      <c r="AMJ22" s="126"/>
      <c r="AMK22" s="126"/>
      <c r="AML22" s="126"/>
      <c r="AMM22" s="126"/>
      <c r="AMN22" s="126"/>
      <c r="AMO22" s="126"/>
      <c r="AMP22" s="126"/>
      <c r="AMQ22" s="126"/>
      <c r="AMR22" s="126"/>
      <c r="AMS22" s="126"/>
      <c r="AMT22" s="126"/>
      <c r="AMU22" s="126"/>
      <c r="AMV22" s="126"/>
      <c r="AMW22" s="126"/>
      <c r="AMX22" s="126"/>
      <c r="AMY22" s="126"/>
      <c r="AMZ22" s="126"/>
      <c r="ANA22" s="126"/>
      <c r="ANB22" s="126"/>
      <c r="ANC22" s="126"/>
      <c r="AND22" s="126"/>
      <c r="ANE22" s="126"/>
      <c r="ANF22" s="126"/>
      <c r="ANG22" s="126"/>
      <c r="ANH22" s="126"/>
      <c r="ANI22" s="126"/>
      <c r="ANJ22" s="126"/>
      <c r="ANK22" s="126"/>
      <c r="ANL22" s="126"/>
      <c r="ANM22" s="126"/>
      <c r="ANN22" s="126"/>
      <c r="ANO22" s="126"/>
      <c r="ANP22" s="126"/>
      <c r="ANQ22" s="126"/>
      <c r="ANR22" s="126"/>
      <c r="ANS22" s="126"/>
      <c r="ANT22" s="126"/>
      <c r="ANU22" s="126"/>
      <c r="ANV22" s="126"/>
      <c r="ANW22" s="126"/>
      <c r="ANX22" s="126"/>
      <c r="ANY22" s="126"/>
      <c r="ANZ22" s="126"/>
      <c r="AOA22" s="126"/>
      <c r="AOB22" s="126"/>
      <c r="AOC22" s="126"/>
      <c r="AOD22" s="126"/>
      <c r="AOE22" s="126"/>
      <c r="AOF22" s="126"/>
      <c r="AOG22" s="126"/>
      <c r="AOH22" s="126"/>
      <c r="AOI22" s="126"/>
      <c r="AOJ22" s="126"/>
      <c r="AOK22" s="126"/>
      <c r="AOL22" s="126"/>
      <c r="AOM22" s="126"/>
      <c r="AON22" s="126"/>
      <c r="AOO22" s="126"/>
      <c r="AOP22" s="126"/>
      <c r="AOQ22" s="126"/>
      <c r="AOR22" s="126"/>
      <c r="AOS22" s="126"/>
      <c r="AOT22" s="126"/>
      <c r="AOU22" s="126"/>
      <c r="AOV22" s="126"/>
      <c r="AOW22" s="126"/>
      <c r="AOX22" s="126"/>
      <c r="AOY22" s="126"/>
      <c r="AOZ22" s="126"/>
      <c r="APA22" s="126"/>
      <c r="APB22" s="126"/>
      <c r="APC22" s="126"/>
      <c r="APD22" s="126"/>
      <c r="APE22" s="126"/>
      <c r="APF22" s="126"/>
      <c r="APG22" s="126"/>
      <c r="APH22" s="126"/>
      <c r="API22" s="126"/>
      <c r="APJ22" s="126"/>
      <c r="APK22" s="126"/>
      <c r="APL22" s="126"/>
      <c r="APM22" s="126"/>
      <c r="APN22" s="126"/>
      <c r="APO22" s="126"/>
      <c r="APP22" s="126"/>
      <c r="APQ22" s="126"/>
      <c r="APR22" s="126"/>
      <c r="APS22" s="126"/>
      <c r="APT22" s="126"/>
      <c r="APU22" s="126"/>
      <c r="APV22" s="126"/>
      <c r="APW22" s="126"/>
      <c r="APX22" s="126"/>
      <c r="APY22" s="126"/>
      <c r="APZ22" s="126"/>
      <c r="AQA22" s="126"/>
      <c r="AQB22" s="126"/>
      <c r="AQC22" s="126"/>
      <c r="AQD22" s="126"/>
      <c r="AQE22" s="126"/>
      <c r="AQF22" s="126"/>
      <c r="AQG22" s="126"/>
      <c r="AQH22" s="126"/>
      <c r="AQI22" s="126"/>
      <c r="AQJ22" s="126"/>
      <c r="AQK22" s="126"/>
      <c r="AQL22" s="126"/>
      <c r="AQM22" s="126"/>
      <c r="AQN22" s="126"/>
      <c r="AQO22" s="126"/>
      <c r="AQP22" s="126"/>
      <c r="AQQ22" s="126"/>
      <c r="AQR22" s="126"/>
      <c r="AQS22" s="126"/>
      <c r="AQT22" s="126"/>
      <c r="AQU22" s="126"/>
      <c r="AQV22" s="126"/>
      <c r="AQW22" s="126"/>
      <c r="AQX22" s="126"/>
      <c r="AQY22" s="126"/>
      <c r="AQZ22" s="126"/>
      <c r="ARA22" s="126"/>
      <c r="ARB22" s="126"/>
      <c r="ARC22" s="126"/>
      <c r="ARD22" s="126"/>
      <c r="ARE22" s="126"/>
      <c r="ARF22" s="126"/>
      <c r="ARG22" s="126"/>
      <c r="ARH22" s="126"/>
      <c r="ARI22" s="126"/>
      <c r="ARJ22" s="126"/>
      <c r="ARK22" s="126"/>
      <c r="ARL22" s="126"/>
      <c r="ARM22" s="126"/>
      <c r="ARN22" s="126"/>
      <c r="ARO22" s="126"/>
      <c r="ARP22" s="126"/>
      <c r="ARQ22" s="126"/>
      <c r="ARR22" s="126"/>
      <c r="ARS22" s="126"/>
      <c r="ART22" s="126"/>
      <c r="ARU22" s="126"/>
      <c r="ARV22" s="126"/>
      <c r="ARW22" s="126"/>
      <c r="ARX22" s="126"/>
      <c r="ARY22" s="126"/>
      <c r="ARZ22" s="126"/>
      <c r="ASA22" s="126"/>
      <c r="ASB22" s="126"/>
      <c r="ASC22" s="126"/>
      <c r="ASD22" s="126"/>
      <c r="ASE22" s="126"/>
      <c r="ASF22" s="126"/>
      <c r="ASG22" s="126"/>
      <c r="ASH22" s="126"/>
      <c r="ASI22" s="126"/>
      <c r="ASJ22" s="126"/>
      <c r="ASK22" s="126"/>
      <c r="ASL22" s="126"/>
      <c r="ASM22" s="126"/>
      <c r="ASN22" s="126"/>
      <c r="ASO22" s="126"/>
      <c r="ASP22" s="126"/>
      <c r="ASQ22" s="126"/>
      <c r="ASR22" s="126"/>
      <c r="ASS22" s="126"/>
      <c r="AST22" s="126"/>
      <c r="ASU22" s="126"/>
      <c r="ASV22" s="126"/>
      <c r="ASW22" s="126"/>
      <c r="ASX22" s="126"/>
      <c r="ASY22" s="126"/>
      <c r="ASZ22" s="126"/>
      <c r="ATA22" s="126"/>
      <c r="ATB22" s="126"/>
      <c r="ATC22" s="126"/>
      <c r="ATD22" s="126"/>
      <c r="ATE22" s="126"/>
      <c r="ATF22" s="126"/>
      <c r="ATG22" s="126"/>
      <c r="ATH22" s="126"/>
      <c r="ATI22" s="126"/>
      <c r="ATJ22" s="126"/>
      <c r="ATK22" s="126"/>
      <c r="ATL22" s="126"/>
      <c r="ATM22" s="126"/>
      <c r="ATN22" s="126"/>
      <c r="ATO22" s="126"/>
      <c r="ATP22" s="126"/>
      <c r="ATQ22" s="126"/>
      <c r="ATR22" s="126"/>
      <c r="ATS22" s="126"/>
      <c r="ATT22" s="126"/>
      <c r="ATU22" s="126"/>
      <c r="ATV22" s="126"/>
      <c r="ATW22" s="126"/>
      <c r="ATX22" s="126"/>
      <c r="ATY22" s="126"/>
      <c r="ATZ22" s="126"/>
      <c r="AUA22" s="126"/>
      <c r="AUB22" s="126"/>
      <c r="AUC22" s="126"/>
      <c r="AUD22" s="126"/>
      <c r="AUE22" s="126"/>
      <c r="AUF22" s="126"/>
      <c r="AUG22" s="126"/>
      <c r="AUH22" s="126"/>
      <c r="AUI22" s="126"/>
      <c r="AUJ22" s="126"/>
      <c r="AUK22" s="126"/>
      <c r="AUL22" s="126"/>
      <c r="AUM22" s="126"/>
      <c r="AUN22" s="126"/>
      <c r="AUO22" s="126"/>
      <c r="AUP22" s="126"/>
      <c r="AUQ22" s="126"/>
      <c r="AUR22" s="126"/>
      <c r="AUS22" s="126"/>
      <c r="AUT22" s="126"/>
      <c r="AUU22" s="126"/>
      <c r="AUV22" s="126"/>
      <c r="AUW22" s="126"/>
      <c r="AUX22" s="126"/>
      <c r="AUY22" s="126"/>
      <c r="AUZ22" s="126"/>
      <c r="AVA22" s="126"/>
      <c r="AVB22" s="126"/>
      <c r="AVC22" s="126"/>
      <c r="AVD22" s="126"/>
      <c r="AVE22" s="126"/>
      <c r="AVF22" s="126"/>
      <c r="AVG22" s="126"/>
      <c r="AVH22" s="126"/>
      <c r="AVI22" s="126"/>
      <c r="AVJ22" s="126"/>
      <c r="AVK22" s="126"/>
      <c r="AVL22" s="126"/>
      <c r="AVM22" s="126"/>
      <c r="AVN22" s="126"/>
      <c r="AVO22" s="126"/>
      <c r="AVP22" s="126"/>
      <c r="AVQ22" s="126"/>
      <c r="AVR22" s="126"/>
      <c r="AVS22" s="126"/>
      <c r="AVT22" s="126"/>
      <c r="AVU22" s="126"/>
      <c r="AVV22" s="126"/>
      <c r="AVW22" s="126"/>
      <c r="AVX22" s="126"/>
      <c r="AVY22" s="126"/>
      <c r="AVZ22" s="126"/>
      <c r="AWA22" s="126"/>
      <c r="AWB22" s="126"/>
      <c r="AWC22" s="126"/>
      <c r="AWD22" s="126"/>
      <c r="AWE22" s="126"/>
      <c r="AWF22" s="126"/>
      <c r="AWG22" s="126"/>
      <c r="AWH22" s="126"/>
      <c r="AWI22" s="126"/>
      <c r="AWJ22" s="126"/>
      <c r="AWK22" s="126"/>
      <c r="AWL22" s="126"/>
      <c r="AWM22" s="126"/>
      <c r="AWN22" s="126"/>
      <c r="AWO22" s="126"/>
      <c r="AWP22" s="126"/>
      <c r="AWQ22" s="126"/>
      <c r="AWR22" s="126"/>
      <c r="AWS22" s="126"/>
      <c r="AWT22" s="126"/>
      <c r="AWU22" s="126"/>
      <c r="AWV22" s="126"/>
      <c r="AWW22" s="126"/>
      <c r="AWX22" s="126"/>
      <c r="AWY22" s="126"/>
      <c r="AWZ22" s="126"/>
      <c r="AXA22" s="126"/>
      <c r="AXB22" s="126"/>
      <c r="AXC22" s="126"/>
      <c r="AXD22" s="126"/>
      <c r="AXE22" s="126"/>
      <c r="AXF22" s="126"/>
      <c r="AXG22" s="126"/>
      <c r="AXH22" s="126"/>
      <c r="AXI22" s="126"/>
      <c r="AXJ22" s="126"/>
      <c r="AXK22" s="126"/>
      <c r="AXL22" s="126"/>
      <c r="AXM22" s="126"/>
      <c r="AXN22" s="126"/>
      <c r="AXO22" s="126"/>
      <c r="AXP22" s="126"/>
      <c r="AXQ22" s="126"/>
      <c r="AXR22" s="126"/>
      <c r="AXS22" s="126"/>
      <c r="AXT22" s="126"/>
      <c r="AXU22" s="126"/>
      <c r="AXV22" s="126"/>
      <c r="AXW22" s="126"/>
      <c r="AXX22" s="126"/>
      <c r="AXY22" s="126"/>
      <c r="AXZ22" s="126"/>
      <c r="AYA22" s="126"/>
      <c r="AYB22" s="126"/>
      <c r="AYC22" s="126"/>
      <c r="AYD22" s="126"/>
      <c r="AYE22" s="126"/>
      <c r="AYF22" s="126"/>
      <c r="AYG22" s="126"/>
      <c r="AYH22" s="126"/>
      <c r="AYI22" s="126"/>
      <c r="AYJ22" s="126"/>
      <c r="AYK22" s="126"/>
      <c r="AYL22" s="126"/>
      <c r="AYM22" s="126"/>
      <c r="AYN22" s="126"/>
      <c r="AYO22" s="126"/>
      <c r="AYP22" s="126"/>
      <c r="AYQ22" s="126"/>
      <c r="AYR22" s="126"/>
      <c r="AYS22" s="126"/>
      <c r="AYT22" s="126"/>
      <c r="AYU22" s="126"/>
      <c r="AYV22" s="126"/>
      <c r="AYW22" s="126"/>
      <c r="AYX22" s="126"/>
      <c r="AYY22" s="126"/>
      <c r="AYZ22" s="126"/>
      <c r="AZA22" s="126"/>
      <c r="AZB22" s="126"/>
      <c r="AZC22" s="126"/>
      <c r="AZD22" s="126"/>
      <c r="AZE22" s="126"/>
      <c r="AZF22" s="126"/>
      <c r="AZG22" s="126"/>
      <c r="AZH22" s="126"/>
      <c r="AZI22" s="126"/>
      <c r="AZJ22" s="126"/>
      <c r="AZK22" s="126"/>
      <c r="AZL22" s="126"/>
      <c r="AZM22" s="126"/>
      <c r="AZN22" s="126"/>
      <c r="AZO22" s="126"/>
      <c r="AZP22" s="126"/>
      <c r="AZQ22" s="126"/>
      <c r="AZR22" s="126"/>
      <c r="AZS22" s="126"/>
      <c r="AZT22" s="126"/>
      <c r="AZU22" s="126"/>
      <c r="AZV22" s="126"/>
      <c r="AZW22" s="126"/>
      <c r="AZX22" s="126"/>
      <c r="AZY22" s="126"/>
      <c r="AZZ22" s="126"/>
      <c r="BAA22" s="126"/>
      <c r="BAB22" s="126"/>
      <c r="BAC22" s="126"/>
      <c r="BAD22" s="126"/>
      <c r="BAE22" s="126"/>
      <c r="BAF22" s="126"/>
      <c r="BAG22" s="126"/>
      <c r="BAH22" s="126"/>
      <c r="BAI22" s="126"/>
      <c r="BAJ22" s="126"/>
      <c r="BAK22" s="126"/>
      <c r="BAL22" s="126"/>
      <c r="BAM22" s="126"/>
      <c r="BAN22" s="126"/>
      <c r="BAO22" s="126"/>
      <c r="BAP22" s="126"/>
      <c r="BAQ22" s="126"/>
      <c r="BAR22" s="126"/>
      <c r="BAS22" s="126"/>
      <c r="BAT22" s="126"/>
      <c r="BAU22" s="126"/>
      <c r="BAV22" s="126"/>
      <c r="BAW22" s="126"/>
      <c r="BAX22" s="126"/>
      <c r="BAY22" s="126"/>
      <c r="BAZ22" s="126"/>
      <c r="BBA22" s="126"/>
      <c r="BBB22" s="126"/>
      <c r="BBC22" s="126"/>
      <c r="BBD22" s="126"/>
      <c r="BBE22" s="126"/>
      <c r="BBF22" s="126"/>
      <c r="BBG22" s="126"/>
      <c r="BBH22" s="126"/>
      <c r="BBI22" s="126"/>
      <c r="BBJ22" s="126"/>
      <c r="BBK22" s="126"/>
      <c r="BBL22" s="126"/>
      <c r="BBM22" s="126"/>
      <c r="BBN22" s="126"/>
      <c r="BBO22" s="126"/>
      <c r="BBP22" s="126"/>
      <c r="BBQ22" s="126"/>
      <c r="BBR22" s="126"/>
      <c r="BBS22" s="126"/>
      <c r="BBT22" s="126"/>
      <c r="BBU22" s="126"/>
      <c r="BBV22" s="126"/>
      <c r="BBW22" s="126"/>
      <c r="BBX22" s="126"/>
      <c r="BBY22" s="126"/>
      <c r="BBZ22" s="126"/>
      <c r="BCA22" s="126"/>
      <c r="BCB22" s="126"/>
      <c r="BCC22" s="126"/>
      <c r="BCD22" s="126"/>
      <c r="BCE22" s="126"/>
      <c r="BCF22" s="126"/>
      <c r="BCG22" s="126"/>
      <c r="BCH22" s="126"/>
      <c r="BCI22" s="126"/>
      <c r="BCJ22" s="126"/>
      <c r="BCK22" s="126"/>
      <c r="BCL22" s="126"/>
      <c r="BCM22" s="126"/>
      <c r="BCN22" s="126"/>
      <c r="BCO22" s="126"/>
      <c r="BCP22" s="126"/>
      <c r="BCQ22" s="126"/>
      <c r="BCR22" s="126"/>
      <c r="BCS22" s="126"/>
      <c r="BCT22" s="126"/>
      <c r="BCU22" s="126"/>
      <c r="BCV22" s="126"/>
      <c r="BCW22" s="126"/>
      <c r="BCX22" s="126"/>
      <c r="BCY22" s="126"/>
      <c r="BCZ22" s="126"/>
      <c r="BDA22" s="126"/>
      <c r="BDB22" s="126"/>
      <c r="BDC22" s="126"/>
      <c r="BDD22" s="126"/>
      <c r="BDE22" s="126"/>
      <c r="BDF22" s="126"/>
      <c r="BDG22" s="126"/>
      <c r="BDH22" s="126"/>
      <c r="BDI22" s="126"/>
      <c r="BDJ22" s="126"/>
      <c r="BDK22" s="126"/>
      <c r="BDL22" s="126"/>
      <c r="BDM22" s="126"/>
      <c r="BDN22" s="126"/>
      <c r="BDO22" s="126"/>
      <c r="BDP22" s="126"/>
      <c r="BDQ22" s="126"/>
      <c r="BDR22" s="126"/>
      <c r="BDS22" s="126"/>
      <c r="BDT22" s="126"/>
      <c r="BDU22" s="126"/>
      <c r="BDV22" s="126"/>
      <c r="BDW22" s="126"/>
      <c r="BDX22" s="126"/>
      <c r="BDY22" s="126"/>
      <c r="BDZ22" s="126"/>
      <c r="BEA22" s="126"/>
      <c r="BEB22" s="126"/>
      <c r="BEC22" s="126"/>
      <c r="BED22" s="126"/>
      <c r="BEE22" s="126"/>
      <c r="BEF22" s="126"/>
      <c r="BEG22" s="126"/>
      <c r="BEH22" s="126"/>
      <c r="BEI22" s="126"/>
      <c r="BEJ22" s="126"/>
      <c r="BEK22" s="126"/>
      <c r="BEL22" s="126"/>
      <c r="BEM22" s="126"/>
      <c r="BEN22" s="126"/>
      <c r="BEO22" s="126"/>
      <c r="BEP22" s="126"/>
      <c r="BEQ22" s="126"/>
      <c r="BER22" s="126"/>
      <c r="BES22" s="126"/>
      <c r="BET22" s="126"/>
      <c r="BEU22" s="126"/>
      <c r="BEV22" s="126"/>
      <c r="BEW22" s="126"/>
      <c r="BEX22" s="126"/>
      <c r="BEY22" s="126"/>
      <c r="BEZ22" s="126"/>
      <c r="BFA22" s="126"/>
      <c r="BFB22" s="126"/>
      <c r="BFC22" s="126"/>
      <c r="BFD22" s="126"/>
      <c r="BFE22" s="126"/>
      <c r="BFF22" s="126"/>
      <c r="BFG22" s="126"/>
      <c r="BFH22" s="126"/>
      <c r="BFI22" s="126"/>
      <c r="BFJ22" s="126"/>
      <c r="BFK22" s="126"/>
      <c r="BFL22" s="126"/>
      <c r="BFM22" s="126"/>
      <c r="BFN22" s="126"/>
      <c r="BFO22" s="126"/>
      <c r="BFP22" s="126"/>
      <c r="BFQ22" s="126"/>
      <c r="BFR22" s="126"/>
      <c r="BFS22" s="126"/>
      <c r="BFT22" s="126"/>
      <c r="BFU22" s="126"/>
      <c r="BFV22" s="126"/>
      <c r="BFW22" s="126"/>
      <c r="BFX22" s="126"/>
      <c r="BFY22" s="126"/>
      <c r="BFZ22" s="126"/>
      <c r="BGA22" s="126"/>
      <c r="BGB22" s="126"/>
      <c r="BGC22" s="126"/>
      <c r="BGD22" s="126"/>
      <c r="BGE22" s="126"/>
      <c r="BGF22" s="126"/>
      <c r="BGG22" s="126"/>
      <c r="BGH22" s="126"/>
      <c r="BGI22" s="126"/>
      <c r="BGJ22" s="126"/>
      <c r="BGK22" s="126"/>
      <c r="BGL22" s="126"/>
      <c r="BGM22" s="126"/>
      <c r="BGN22" s="126"/>
      <c r="BGO22" s="126"/>
      <c r="BGP22" s="126"/>
      <c r="BGQ22" s="126"/>
      <c r="BGR22" s="126"/>
      <c r="BGS22" s="126"/>
      <c r="BGT22" s="126"/>
      <c r="BGU22" s="126"/>
      <c r="BGV22" s="126"/>
      <c r="BGW22" s="126"/>
      <c r="BGX22" s="126"/>
      <c r="BGY22" s="126"/>
      <c r="BGZ22" s="126"/>
      <c r="BHA22" s="126"/>
      <c r="BHB22" s="126"/>
      <c r="BHC22" s="126"/>
      <c r="BHD22" s="126"/>
      <c r="BHE22" s="126"/>
      <c r="BHF22" s="126"/>
      <c r="BHG22" s="126"/>
      <c r="BHH22" s="126"/>
      <c r="BHI22" s="126"/>
      <c r="BHJ22" s="126"/>
      <c r="BHK22" s="126"/>
      <c r="BHL22" s="126"/>
      <c r="BHM22" s="126"/>
      <c r="BHN22" s="126"/>
      <c r="BHO22" s="126"/>
      <c r="BHP22" s="126"/>
      <c r="BHQ22" s="126"/>
      <c r="BHR22" s="126"/>
      <c r="BHS22" s="126"/>
      <c r="BHT22" s="126"/>
      <c r="BHU22" s="126"/>
      <c r="BHV22" s="126"/>
      <c r="BHW22" s="126"/>
      <c r="BHX22" s="126"/>
      <c r="BHY22" s="126"/>
      <c r="BHZ22" s="126"/>
      <c r="BIA22" s="126"/>
      <c r="BIB22" s="126"/>
      <c r="BIC22" s="126"/>
      <c r="BID22" s="126"/>
      <c r="BIE22" s="126"/>
      <c r="BIF22" s="126"/>
      <c r="BIG22" s="126"/>
      <c r="BIH22" s="126"/>
      <c r="BII22" s="126"/>
      <c r="BIJ22" s="126"/>
      <c r="BIK22" s="126"/>
      <c r="BIL22" s="126"/>
      <c r="BIM22" s="126"/>
      <c r="BIN22" s="126"/>
      <c r="BIO22" s="126"/>
      <c r="BIP22" s="126"/>
      <c r="BIQ22" s="126"/>
      <c r="BIR22" s="126"/>
      <c r="BIS22" s="126"/>
      <c r="BIT22" s="126"/>
      <c r="BIU22" s="126"/>
      <c r="BIV22" s="126"/>
      <c r="BIW22" s="126"/>
      <c r="BIX22" s="126"/>
      <c r="BIY22" s="126"/>
      <c r="BIZ22" s="126"/>
      <c r="BJA22" s="126"/>
      <c r="BJB22" s="126"/>
      <c r="BJC22" s="126"/>
      <c r="BJD22" s="126"/>
      <c r="BJE22" s="126"/>
      <c r="BJF22" s="126"/>
      <c r="BJG22" s="126"/>
      <c r="BJH22" s="126"/>
      <c r="BJI22" s="126"/>
      <c r="BJJ22" s="126"/>
      <c r="BJK22" s="126"/>
      <c r="BJL22" s="126"/>
      <c r="BJM22" s="126"/>
      <c r="BJN22" s="126"/>
      <c r="BJO22" s="126"/>
      <c r="BJP22" s="126"/>
      <c r="BJQ22" s="126"/>
      <c r="BJR22" s="126"/>
      <c r="BJS22" s="126"/>
      <c r="BJT22" s="126"/>
      <c r="BJU22" s="126"/>
      <c r="BJV22" s="126"/>
      <c r="BJW22" s="126"/>
      <c r="BJX22" s="126"/>
      <c r="BJY22" s="126"/>
      <c r="BJZ22" s="126"/>
      <c r="BKA22" s="126"/>
      <c r="BKB22" s="126"/>
      <c r="BKC22" s="126"/>
      <c r="BKD22" s="126"/>
      <c r="BKE22" s="126"/>
      <c r="BKF22" s="126"/>
      <c r="BKG22" s="126"/>
      <c r="BKH22" s="126"/>
      <c r="BKI22" s="126"/>
      <c r="BKJ22" s="126"/>
      <c r="BKK22" s="126"/>
      <c r="BKL22" s="126"/>
      <c r="BKM22" s="126"/>
      <c r="BKN22" s="126"/>
      <c r="BKO22" s="126"/>
      <c r="BKP22" s="126"/>
      <c r="BKQ22" s="126"/>
      <c r="BKR22" s="126"/>
      <c r="BKS22" s="126"/>
      <c r="BKT22" s="126"/>
      <c r="BKU22" s="126"/>
      <c r="BKV22" s="126"/>
      <c r="BKW22" s="126"/>
      <c r="BKX22" s="126"/>
      <c r="BKY22" s="126"/>
      <c r="BKZ22" s="126"/>
      <c r="BLA22" s="126"/>
      <c r="BLB22" s="126"/>
      <c r="BLC22" s="126"/>
      <c r="BLD22" s="126"/>
      <c r="BLE22" s="126"/>
      <c r="BLF22" s="126"/>
      <c r="BLG22" s="126"/>
      <c r="BLH22" s="126"/>
      <c r="BLI22" s="126"/>
      <c r="BLJ22" s="126"/>
      <c r="BLK22" s="126"/>
      <c r="BLL22" s="126"/>
      <c r="BLM22" s="126"/>
      <c r="BLN22" s="126"/>
      <c r="BLO22" s="126"/>
      <c r="BLP22" s="126"/>
      <c r="BLQ22" s="126"/>
      <c r="BLR22" s="126"/>
      <c r="BLS22" s="126"/>
      <c r="BLT22" s="126"/>
      <c r="BLU22" s="126"/>
      <c r="BLV22" s="126"/>
      <c r="BLW22" s="126"/>
      <c r="BLX22" s="126"/>
      <c r="BLY22" s="126"/>
      <c r="BLZ22" s="126"/>
      <c r="BMA22" s="126"/>
      <c r="BMB22" s="126"/>
      <c r="BMC22" s="126"/>
      <c r="BMD22" s="126"/>
      <c r="BME22" s="126"/>
      <c r="BMF22" s="126"/>
      <c r="BMG22" s="126"/>
      <c r="BMH22" s="126"/>
      <c r="BMI22" s="126"/>
      <c r="BMJ22" s="126"/>
      <c r="BMK22" s="126"/>
      <c r="BML22" s="126"/>
      <c r="BMM22" s="126"/>
      <c r="BMN22" s="126"/>
      <c r="BMO22" s="126"/>
      <c r="BMP22" s="126"/>
      <c r="BMQ22" s="126"/>
      <c r="BMR22" s="126"/>
      <c r="BMS22" s="126"/>
      <c r="BMT22" s="126"/>
      <c r="BMU22" s="126"/>
      <c r="BMV22" s="126"/>
      <c r="BMW22" s="126"/>
      <c r="BMX22" s="126"/>
      <c r="BMY22" s="126"/>
      <c r="BMZ22" s="126"/>
      <c r="BNA22" s="126"/>
      <c r="BNB22" s="126"/>
      <c r="BNC22" s="126"/>
      <c r="BND22" s="126"/>
      <c r="BNE22" s="126"/>
      <c r="BNF22" s="126"/>
      <c r="BNG22" s="126"/>
      <c r="BNH22" s="126"/>
      <c r="BNI22" s="126"/>
      <c r="BNJ22" s="126"/>
      <c r="BNK22" s="126"/>
      <c r="BNL22" s="126"/>
      <c r="BNM22" s="126"/>
      <c r="BNN22" s="126"/>
      <c r="BNO22" s="126"/>
      <c r="BNP22" s="126"/>
      <c r="BNQ22" s="126"/>
      <c r="BNR22" s="126"/>
      <c r="BNS22" s="126"/>
      <c r="BNT22" s="126"/>
      <c r="BNU22" s="126"/>
      <c r="BNV22" s="126"/>
      <c r="BNW22" s="126"/>
      <c r="BNX22" s="126"/>
      <c r="BNY22" s="126"/>
      <c r="BNZ22" s="126"/>
      <c r="BOA22" s="126"/>
      <c r="BOB22" s="126"/>
      <c r="BOC22" s="126"/>
      <c r="BOD22" s="126"/>
      <c r="BOE22" s="126"/>
      <c r="BOF22" s="126"/>
      <c r="BOG22" s="126"/>
      <c r="BOH22" s="126"/>
      <c r="BOI22" s="126"/>
      <c r="BOJ22" s="126"/>
      <c r="BOK22" s="126"/>
      <c r="BOL22" s="126"/>
      <c r="BOM22" s="126"/>
      <c r="BON22" s="126"/>
      <c r="BOO22" s="126"/>
      <c r="BOP22" s="126"/>
      <c r="BOQ22" s="126"/>
      <c r="BOR22" s="126"/>
      <c r="BOS22" s="126"/>
      <c r="BOT22" s="126"/>
      <c r="BOU22" s="126"/>
      <c r="BOV22" s="126"/>
      <c r="BOW22" s="126"/>
      <c r="BOX22" s="126"/>
      <c r="BOY22" s="126"/>
      <c r="BOZ22" s="126"/>
      <c r="BPA22" s="126"/>
      <c r="BPB22" s="126"/>
      <c r="BPC22" s="126"/>
      <c r="BPD22" s="126"/>
      <c r="BPE22" s="126"/>
      <c r="BPF22" s="126"/>
      <c r="BPG22" s="126"/>
      <c r="BPH22" s="126"/>
      <c r="BPI22" s="126"/>
      <c r="BPJ22" s="126"/>
      <c r="BPK22" s="126"/>
      <c r="BPL22" s="126"/>
      <c r="BPM22" s="126"/>
      <c r="BPN22" s="126"/>
      <c r="BPO22" s="126"/>
      <c r="BPP22" s="126"/>
      <c r="BPQ22" s="126"/>
      <c r="BPR22" s="126"/>
      <c r="BPS22" s="126"/>
      <c r="BPT22" s="126"/>
      <c r="BPU22" s="126"/>
      <c r="BPV22" s="126"/>
      <c r="BPW22" s="126"/>
      <c r="BPX22" s="126"/>
      <c r="BPY22" s="126"/>
      <c r="BPZ22" s="126"/>
      <c r="BQA22" s="126"/>
      <c r="BQB22" s="126"/>
      <c r="BQC22" s="126"/>
      <c r="BQD22" s="126"/>
      <c r="BQE22" s="126"/>
      <c r="BQF22" s="126"/>
      <c r="BQG22" s="126"/>
      <c r="BQH22" s="126"/>
      <c r="BQI22" s="126"/>
      <c r="BQJ22" s="126"/>
      <c r="BQK22" s="126"/>
      <c r="BQL22" s="126"/>
      <c r="BQM22" s="126"/>
      <c r="BQN22" s="126"/>
      <c r="BQO22" s="126"/>
      <c r="BQP22" s="126"/>
      <c r="BQQ22" s="126"/>
      <c r="BQR22" s="126"/>
      <c r="BQS22" s="126"/>
      <c r="BQT22" s="126"/>
      <c r="BQU22" s="126"/>
      <c r="BQV22" s="126"/>
      <c r="BQW22" s="126"/>
      <c r="BQX22" s="126"/>
      <c r="BQY22" s="126"/>
      <c r="BQZ22" s="126"/>
      <c r="BRA22" s="126"/>
      <c r="BRB22" s="126"/>
      <c r="BRC22" s="126"/>
      <c r="BRD22" s="126"/>
      <c r="BRE22" s="126"/>
      <c r="BRF22" s="126"/>
      <c r="BRG22" s="126"/>
      <c r="BRH22" s="126"/>
      <c r="BRI22" s="126"/>
      <c r="BRJ22" s="126"/>
      <c r="BRK22" s="126"/>
      <c r="BRL22" s="126"/>
      <c r="BRM22" s="126"/>
      <c r="BRN22" s="126"/>
      <c r="BRO22" s="126"/>
      <c r="BRP22" s="126"/>
      <c r="BRQ22" s="126"/>
      <c r="BRR22" s="126"/>
      <c r="BRS22" s="126"/>
      <c r="BRT22" s="126"/>
      <c r="BRU22" s="126"/>
      <c r="BRV22" s="126"/>
      <c r="BRW22" s="126"/>
      <c r="BRX22" s="126"/>
      <c r="BRY22" s="126"/>
      <c r="BRZ22" s="126"/>
      <c r="BSA22" s="126"/>
      <c r="BSB22" s="126"/>
      <c r="BSC22" s="126"/>
      <c r="BSD22" s="126"/>
      <c r="BSE22" s="126"/>
      <c r="BSF22" s="126"/>
      <c r="BSG22" s="126"/>
      <c r="BSH22" s="126"/>
      <c r="BSI22" s="126"/>
      <c r="BSJ22" s="126"/>
      <c r="BSK22" s="126"/>
      <c r="BSL22" s="126"/>
      <c r="BSM22" s="126"/>
      <c r="BSN22" s="126"/>
      <c r="BSO22" s="126"/>
      <c r="BSP22" s="126"/>
      <c r="BSQ22" s="126"/>
      <c r="BSR22" s="126"/>
      <c r="BSS22" s="126"/>
      <c r="BST22" s="126"/>
      <c r="BSU22" s="126"/>
      <c r="BSV22" s="126"/>
      <c r="BSW22" s="126"/>
      <c r="BSX22" s="126"/>
      <c r="BSY22" s="126"/>
      <c r="BSZ22" s="126"/>
      <c r="BTA22" s="126"/>
      <c r="BTB22" s="126"/>
      <c r="BTC22" s="126"/>
      <c r="BTD22" s="126"/>
      <c r="BTE22" s="126"/>
      <c r="BTF22" s="126"/>
      <c r="BTG22" s="126"/>
      <c r="BTH22" s="126"/>
      <c r="BTI22" s="126"/>
      <c r="BTJ22" s="126"/>
      <c r="BTK22" s="126"/>
      <c r="BTL22" s="126"/>
      <c r="BTM22" s="126"/>
      <c r="BTN22" s="126"/>
      <c r="BTO22" s="126"/>
      <c r="BTP22" s="126"/>
      <c r="BTQ22" s="126"/>
      <c r="BTR22" s="126"/>
      <c r="BTS22" s="126"/>
      <c r="BTT22" s="126"/>
      <c r="BTU22" s="126"/>
      <c r="BTV22" s="126"/>
      <c r="BTW22" s="126"/>
      <c r="BTX22" s="126"/>
      <c r="BTY22" s="126"/>
      <c r="BTZ22" s="126"/>
      <c r="BUA22" s="126"/>
      <c r="BUB22" s="126"/>
      <c r="BUC22" s="126"/>
      <c r="BUD22" s="126"/>
      <c r="BUE22" s="126"/>
      <c r="BUF22" s="126"/>
      <c r="BUG22" s="126"/>
      <c r="BUH22" s="126"/>
      <c r="BUI22" s="126"/>
      <c r="BUJ22" s="126"/>
      <c r="BUK22" s="126"/>
      <c r="BUL22" s="126"/>
      <c r="BUM22" s="126"/>
      <c r="BUN22" s="126"/>
      <c r="BUO22" s="126"/>
      <c r="BUP22" s="126"/>
      <c r="BUQ22" s="126"/>
      <c r="BUR22" s="126"/>
      <c r="BUS22" s="126"/>
      <c r="BUT22" s="126"/>
      <c r="BUU22" s="126"/>
      <c r="BUV22" s="126"/>
      <c r="BUW22" s="126"/>
      <c r="BUX22" s="126"/>
      <c r="BUY22" s="126"/>
      <c r="BUZ22" s="126"/>
      <c r="BVA22" s="126"/>
      <c r="BVB22" s="126"/>
      <c r="BVC22" s="126"/>
      <c r="BVD22" s="126"/>
      <c r="BVE22" s="126"/>
      <c r="BVF22" s="126"/>
      <c r="BVG22" s="126"/>
      <c r="BVH22" s="126"/>
      <c r="BVI22" s="126"/>
      <c r="BVJ22" s="126"/>
      <c r="BVK22" s="126"/>
      <c r="BVL22" s="126"/>
      <c r="BVM22" s="126"/>
      <c r="BVN22" s="126"/>
      <c r="BVO22" s="126"/>
      <c r="BVP22" s="126"/>
      <c r="BVQ22" s="126"/>
      <c r="BVR22" s="126"/>
      <c r="BVS22" s="126"/>
      <c r="BVT22" s="126"/>
      <c r="BVU22" s="126"/>
      <c r="BVV22" s="126"/>
      <c r="BVW22" s="126"/>
      <c r="BVX22" s="126"/>
      <c r="BVY22" s="126"/>
      <c r="BVZ22" s="126"/>
      <c r="BWA22" s="126"/>
      <c r="BWB22" s="126"/>
      <c r="BWC22" s="126"/>
      <c r="BWD22" s="126"/>
      <c r="BWE22" s="126"/>
      <c r="BWF22" s="126"/>
      <c r="BWG22" s="126"/>
      <c r="BWH22" s="126"/>
      <c r="BWI22" s="126"/>
      <c r="BWJ22" s="126"/>
      <c r="BWK22" s="126"/>
      <c r="BWL22" s="126"/>
      <c r="BWM22" s="126"/>
      <c r="BWN22" s="126"/>
      <c r="BWO22" s="126"/>
      <c r="BWP22" s="126"/>
      <c r="BWQ22" s="126"/>
      <c r="BWR22" s="126"/>
      <c r="BWS22" s="126"/>
      <c r="BWT22" s="126"/>
      <c r="BWU22" s="126"/>
      <c r="BWV22" s="126"/>
      <c r="BWW22" s="126"/>
      <c r="BWX22" s="126"/>
      <c r="BWY22" s="126"/>
      <c r="BWZ22" s="126"/>
      <c r="BXA22" s="126"/>
      <c r="BXB22" s="126"/>
      <c r="BXC22" s="126"/>
      <c r="BXD22" s="126"/>
      <c r="BXE22" s="126"/>
      <c r="BXF22" s="126"/>
      <c r="BXG22" s="126"/>
      <c r="BXH22" s="126"/>
      <c r="BXI22" s="126"/>
      <c r="BXJ22" s="126"/>
      <c r="BXK22" s="126"/>
      <c r="BXL22" s="126"/>
      <c r="BXM22" s="126"/>
      <c r="BXN22" s="126"/>
      <c r="BXO22" s="126"/>
      <c r="BXP22" s="126"/>
      <c r="BXQ22" s="126"/>
      <c r="BXR22" s="126"/>
      <c r="BXS22" s="126"/>
      <c r="BXT22" s="126"/>
      <c r="BXU22" s="126"/>
      <c r="BXV22" s="126"/>
      <c r="BXW22" s="126"/>
      <c r="BXX22" s="126"/>
      <c r="BXY22" s="126"/>
      <c r="BXZ22" s="126"/>
      <c r="BYA22" s="126"/>
      <c r="BYB22" s="126"/>
      <c r="BYC22" s="126"/>
      <c r="BYD22" s="126"/>
      <c r="BYE22" s="126"/>
      <c r="BYF22" s="126"/>
      <c r="BYG22" s="126"/>
      <c r="BYH22" s="126"/>
      <c r="BYI22" s="126"/>
      <c r="BYJ22" s="126"/>
      <c r="BYK22" s="126"/>
      <c r="BYL22" s="126"/>
      <c r="BYM22" s="126"/>
      <c r="BYN22" s="126"/>
      <c r="BYO22" s="126"/>
      <c r="BYP22" s="126"/>
      <c r="BYQ22" s="126"/>
      <c r="BYR22" s="126"/>
      <c r="BYS22" s="126"/>
      <c r="BYT22" s="126"/>
      <c r="BYU22" s="126"/>
      <c r="BYV22" s="126"/>
      <c r="BYW22" s="126"/>
      <c r="BYX22" s="126"/>
      <c r="BYY22" s="126"/>
      <c r="BYZ22" s="126"/>
      <c r="BZA22" s="126"/>
      <c r="BZB22" s="126"/>
      <c r="BZC22" s="126"/>
      <c r="BZD22" s="126"/>
      <c r="BZE22" s="126"/>
      <c r="BZF22" s="126"/>
      <c r="BZG22" s="126"/>
      <c r="BZH22" s="126"/>
      <c r="BZI22" s="126"/>
      <c r="BZJ22" s="126"/>
      <c r="BZK22" s="126"/>
      <c r="BZL22" s="126"/>
      <c r="BZM22" s="126"/>
      <c r="BZN22" s="126"/>
      <c r="BZO22" s="126"/>
      <c r="BZP22" s="126"/>
      <c r="BZQ22" s="126"/>
      <c r="BZR22" s="126"/>
      <c r="BZS22" s="126"/>
      <c r="BZT22" s="126"/>
      <c r="BZU22" s="126"/>
      <c r="BZV22" s="126"/>
      <c r="BZW22" s="126"/>
      <c r="BZX22" s="126"/>
      <c r="BZY22" s="126"/>
      <c r="BZZ22" s="126"/>
      <c r="CAA22" s="126"/>
      <c r="CAB22" s="126"/>
      <c r="CAC22" s="126"/>
      <c r="CAD22" s="126"/>
      <c r="CAE22" s="126"/>
      <c r="CAF22" s="126"/>
      <c r="CAG22" s="126"/>
      <c r="CAH22" s="126"/>
      <c r="CAI22" s="126"/>
      <c r="CAJ22" s="126"/>
      <c r="CAK22" s="126"/>
      <c r="CAL22" s="126"/>
      <c r="CAM22" s="126"/>
      <c r="CAN22" s="126"/>
      <c r="CAO22" s="126"/>
      <c r="CAP22" s="126"/>
      <c r="CAQ22" s="126"/>
      <c r="CAR22" s="126"/>
      <c r="CAS22" s="126"/>
      <c r="CAT22" s="126"/>
      <c r="CAU22" s="126"/>
      <c r="CAV22" s="126"/>
      <c r="CAW22" s="126"/>
      <c r="CAX22" s="126"/>
      <c r="CAY22" s="126"/>
      <c r="CAZ22" s="126"/>
      <c r="CBA22" s="126"/>
      <c r="CBB22" s="126"/>
      <c r="CBC22" s="126"/>
      <c r="CBD22" s="126"/>
      <c r="CBE22" s="126"/>
      <c r="CBF22" s="126"/>
      <c r="CBG22" s="126"/>
      <c r="CBH22" s="126"/>
      <c r="CBI22" s="126"/>
      <c r="CBJ22" s="126"/>
      <c r="CBK22" s="126"/>
      <c r="CBL22" s="126"/>
      <c r="CBM22" s="126"/>
      <c r="CBN22" s="126"/>
      <c r="CBO22" s="126"/>
      <c r="CBP22" s="126"/>
      <c r="CBQ22" s="126"/>
      <c r="CBR22" s="126"/>
      <c r="CBS22" s="126"/>
      <c r="CBT22" s="126"/>
      <c r="CBU22" s="126"/>
      <c r="CBV22" s="126"/>
      <c r="CBW22" s="126"/>
      <c r="CBX22" s="126"/>
      <c r="CBY22" s="126"/>
      <c r="CBZ22" s="126"/>
      <c r="CCA22" s="126"/>
      <c r="CCB22" s="126"/>
      <c r="CCC22" s="126"/>
      <c r="CCD22" s="126"/>
      <c r="CCE22" s="126"/>
      <c r="CCF22" s="126"/>
      <c r="CCG22" s="126"/>
      <c r="CCH22" s="126"/>
      <c r="CCI22" s="126"/>
      <c r="CCJ22" s="126"/>
      <c r="CCK22" s="126"/>
      <c r="CCL22" s="126"/>
      <c r="CCM22" s="126"/>
      <c r="CCN22" s="126"/>
      <c r="CCO22" s="126"/>
      <c r="CCP22" s="126"/>
      <c r="CCQ22" s="126"/>
      <c r="CCR22" s="126"/>
      <c r="CCS22" s="126"/>
      <c r="CCT22" s="126"/>
      <c r="CCU22" s="126"/>
      <c r="CCV22" s="126"/>
      <c r="CCW22" s="126"/>
      <c r="CCX22" s="126"/>
      <c r="CCY22" s="126"/>
      <c r="CCZ22" s="126"/>
      <c r="CDA22" s="126"/>
      <c r="CDB22" s="126"/>
      <c r="CDC22" s="126"/>
      <c r="CDD22" s="126"/>
      <c r="CDE22" s="126"/>
      <c r="CDF22" s="126"/>
      <c r="CDG22" s="126"/>
      <c r="CDH22" s="126"/>
      <c r="CDI22" s="126"/>
      <c r="CDJ22" s="126"/>
      <c r="CDK22" s="126"/>
      <c r="CDL22" s="126"/>
      <c r="CDM22" s="126"/>
      <c r="CDN22" s="126"/>
      <c r="CDO22" s="126"/>
      <c r="CDP22" s="126"/>
      <c r="CDQ22" s="126"/>
      <c r="CDR22" s="126"/>
      <c r="CDS22" s="126"/>
      <c r="CDT22" s="126"/>
      <c r="CDU22" s="126"/>
      <c r="CDV22" s="126"/>
      <c r="CDW22" s="126"/>
      <c r="CDX22" s="126"/>
      <c r="CDY22" s="126"/>
      <c r="CDZ22" s="126"/>
      <c r="CEA22" s="126"/>
      <c r="CEB22" s="126"/>
      <c r="CEC22" s="126"/>
      <c r="CED22" s="126"/>
      <c r="CEE22" s="126"/>
      <c r="CEF22" s="126"/>
      <c r="CEG22" s="126"/>
      <c r="CEH22" s="126"/>
      <c r="CEI22" s="126"/>
      <c r="CEJ22" s="126"/>
      <c r="CEK22" s="126"/>
      <c r="CEL22" s="126"/>
      <c r="CEM22" s="126"/>
      <c r="CEN22" s="126"/>
      <c r="CEO22" s="126"/>
      <c r="CEP22" s="126"/>
      <c r="CEQ22" s="126"/>
      <c r="CER22" s="126"/>
      <c r="CES22" s="126"/>
      <c r="CET22" s="126"/>
      <c r="CEU22" s="126"/>
      <c r="CEV22" s="126"/>
      <c r="CEW22" s="126"/>
      <c r="CEX22" s="126"/>
      <c r="CEY22" s="126"/>
      <c r="CEZ22" s="126"/>
      <c r="CFA22" s="126"/>
      <c r="CFB22" s="126"/>
      <c r="CFC22" s="126"/>
      <c r="CFD22" s="126"/>
      <c r="CFE22" s="126"/>
      <c r="CFF22" s="126"/>
      <c r="CFG22" s="126"/>
      <c r="CFH22" s="126"/>
      <c r="CFI22" s="126"/>
      <c r="CFJ22" s="126"/>
      <c r="CFK22" s="126"/>
      <c r="CFL22" s="126"/>
      <c r="CFM22" s="126"/>
      <c r="CFN22" s="126"/>
      <c r="CFO22" s="126"/>
      <c r="CFP22" s="126"/>
      <c r="CFQ22" s="126"/>
      <c r="CFR22" s="126"/>
      <c r="CFS22" s="126"/>
      <c r="CFT22" s="126"/>
      <c r="CFU22" s="126"/>
      <c r="CFV22" s="126"/>
      <c r="CFW22" s="126"/>
      <c r="CFX22" s="126"/>
      <c r="CFY22" s="126"/>
      <c r="CFZ22" s="126"/>
      <c r="CGA22" s="126"/>
      <c r="CGB22" s="126"/>
      <c r="CGC22" s="126"/>
      <c r="CGD22" s="126"/>
      <c r="CGE22" s="126"/>
      <c r="CGF22" s="126"/>
      <c r="CGG22" s="126"/>
      <c r="CGH22" s="126"/>
      <c r="CGI22" s="126"/>
      <c r="CGJ22" s="126"/>
      <c r="CGK22" s="126"/>
      <c r="CGL22" s="126"/>
      <c r="CGM22" s="126"/>
      <c r="CGN22" s="126"/>
      <c r="CGO22" s="126"/>
      <c r="CGP22" s="126"/>
      <c r="CGQ22" s="126"/>
      <c r="CGR22" s="126"/>
      <c r="CGS22" s="126"/>
      <c r="CGT22" s="126"/>
      <c r="CGU22" s="126"/>
      <c r="CGV22" s="126"/>
      <c r="CGW22" s="126"/>
      <c r="CGX22" s="126"/>
      <c r="CGY22" s="126"/>
      <c r="CGZ22" s="126"/>
      <c r="CHA22" s="126"/>
      <c r="CHB22" s="126"/>
      <c r="CHC22" s="126"/>
      <c r="CHD22" s="126"/>
      <c r="CHE22" s="126"/>
      <c r="CHF22" s="126"/>
      <c r="CHG22" s="126"/>
      <c r="CHH22" s="126"/>
      <c r="CHI22" s="126"/>
      <c r="CHJ22" s="126"/>
      <c r="CHK22" s="126"/>
      <c r="CHL22" s="126"/>
      <c r="CHM22" s="126"/>
      <c r="CHN22" s="126"/>
      <c r="CHO22" s="126"/>
      <c r="CHP22" s="126"/>
      <c r="CHQ22" s="126"/>
      <c r="CHR22" s="126"/>
      <c r="CHS22" s="126"/>
      <c r="CHT22" s="126"/>
      <c r="CHU22" s="126"/>
      <c r="CHV22" s="126"/>
      <c r="CHW22" s="126"/>
      <c r="CHX22" s="126"/>
      <c r="CHY22" s="126"/>
      <c r="CHZ22" s="126"/>
      <c r="CIA22" s="126"/>
      <c r="CIB22" s="126"/>
      <c r="CIC22" s="126"/>
      <c r="CID22" s="126"/>
      <c r="CIE22" s="126"/>
      <c r="CIF22" s="126"/>
      <c r="CIG22" s="126"/>
      <c r="CIH22" s="126"/>
      <c r="CII22" s="126"/>
      <c r="CIJ22" s="126"/>
      <c r="CIK22" s="126"/>
      <c r="CIL22" s="126"/>
      <c r="CIM22" s="126"/>
      <c r="CIN22" s="126"/>
      <c r="CIO22" s="126"/>
      <c r="CIP22" s="126"/>
      <c r="CIQ22" s="126"/>
      <c r="CIR22" s="126"/>
      <c r="CIS22" s="126"/>
      <c r="CIT22" s="126"/>
      <c r="CIU22" s="126"/>
      <c r="CIV22" s="126"/>
      <c r="CIW22" s="126"/>
      <c r="CIX22" s="126"/>
      <c r="CIY22" s="126"/>
      <c r="CIZ22" s="126"/>
      <c r="CJA22" s="126"/>
      <c r="CJB22" s="126"/>
      <c r="CJC22" s="126"/>
      <c r="CJD22" s="126"/>
      <c r="CJE22" s="126"/>
      <c r="CJF22" s="126"/>
      <c r="CJG22" s="126"/>
      <c r="CJH22" s="126"/>
      <c r="CJI22" s="126"/>
      <c r="CJJ22" s="126"/>
      <c r="CJK22" s="126"/>
      <c r="CJL22" s="126"/>
      <c r="CJM22" s="126"/>
      <c r="CJN22" s="126"/>
      <c r="CJO22" s="126"/>
      <c r="CJP22" s="126"/>
      <c r="CJQ22" s="126"/>
      <c r="CJR22" s="126"/>
      <c r="CJS22" s="126"/>
      <c r="CJT22" s="126"/>
      <c r="CJU22" s="126"/>
      <c r="CJV22" s="126"/>
      <c r="CJW22" s="126"/>
      <c r="CJX22" s="126"/>
      <c r="CJY22" s="126"/>
      <c r="CJZ22" s="126"/>
      <c r="CKA22" s="126"/>
      <c r="CKB22" s="126"/>
      <c r="CKC22" s="126"/>
      <c r="CKD22" s="126"/>
      <c r="CKE22" s="126"/>
      <c r="CKF22" s="126"/>
      <c r="CKG22" s="126"/>
      <c r="CKH22" s="126"/>
      <c r="CKI22" s="126"/>
      <c r="CKJ22" s="126"/>
      <c r="CKK22" s="126"/>
      <c r="CKL22" s="126"/>
      <c r="CKM22" s="126"/>
      <c r="CKN22" s="126"/>
      <c r="CKO22" s="126"/>
      <c r="CKP22" s="126"/>
      <c r="CKQ22" s="126"/>
      <c r="CKR22" s="126"/>
      <c r="CKS22" s="126"/>
      <c r="CKT22" s="126"/>
      <c r="CKU22" s="126"/>
      <c r="CKV22" s="126"/>
      <c r="CKW22" s="126"/>
      <c r="CKX22" s="126"/>
      <c r="CKY22" s="126"/>
      <c r="CKZ22" s="126"/>
      <c r="CLA22" s="126"/>
      <c r="CLB22" s="126"/>
      <c r="CLC22" s="126"/>
      <c r="CLD22" s="126"/>
      <c r="CLE22" s="126"/>
      <c r="CLF22" s="126"/>
      <c r="CLG22" s="126"/>
      <c r="CLH22" s="126"/>
      <c r="CLI22" s="126"/>
      <c r="CLJ22" s="126"/>
      <c r="CLK22" s="126"/>
      <c r="CLL22" s="126"/>
      <c r="CLM22" s="126"/>
      <c r="CLN22" s="126"/>
      <c r="CLO22" s="126"/>
      <c r="CLP22" s="126"/>
      <c r="CLQ22" s="126"/>
      <c r="CLR22" s="126"/>
      <c r="CLS22" s="126"/>
      <c r="CLT22" s="126"/>
      <c r="CLU22" s="126"/>
      <c r="CLV22" s="126"/>
      <c r="CLW22" s="126"/>
      <c r="CLX22" s="126"/>
      <c r="CLY22" s="126"/>
      <c r="CLZ22" s="126"/>
      <c r="CMA22" s="126"/>
      <c r="CMB22" s="126"/>
      <c r="CMC22" s="126"/>
      <c r="CMD22" s="126"/>
      <c r="CME22" s="126"/>
      <c r="CMF22" s="126"/>
      <c r="CMG22" s="126"/>
      <c r="CMH22" s="126"/>
      <c r="CMI22" s="126"/>
      <c r="CMJ22" s="126"/>
      <c r="CMK22" s="126"/>
      <c r="CML22" s="126"/>
      <c r="CMM22" s="126"/>
      <c r="CMN22" s="126"/>
      <c r="CMO22" s="126"/>
      <c r="CMP22" s="126"/>
      <c r="CMQ22" s="126"/>
      <c r="CMR22" s="126"/>
      <c r="CMS22" s="126"/>
      <c r="CMT22" s="126"/>
      <c r="CMU22" s="126"/>
      <c r="CMV22" s="126"/>
      <c r="CMW22" s="126"/>
      <c r="CMX22" s="126"/>
      <c r="CMY22" s="126"/>
      <c r="CMZ22" s="126"/>
      <c r="CNA22" s="126"/>
      <c r="CNB22" s="126"/>
      <c r="CNC22" s="126"/>
      <c r="CND22" s="126"/>
      <c r="CNE22" s="126"/>
      <c r="CNF22" s="126"/>
      <c r="CNG22" s="126"/>
      <c r="CNH22" s="126"/>
      <c r="CNI22" s="126"/>
      <c r="CNJ22" s="126"/>
      <c r="CNK22" s="126"/>
      <c r="CNL22" s="126"/>
      <c r="CNM22" s="126"/>
      <c r="CNN22" s="126"/>
      <c r="CNO22" s="126"/>
      <c r="CNP22" s="126"/>
      <c r="CNQ22" s="126"/>
      <c r="CNR22" s="126"/>
      <c r="CNS22" s="126"/>
      <c r="CNT22" s="126"/>
      <c r="CNU22" s="126"/>
      <c r="CNV22" s="126"/>
      <c r="CNW22" s="126"/>
      <c r="CNX22" s="126"/>
      <c r="CNY22" s="126"/>
      <c r="CNZ22" s="126"/>
      <c r="COA22" s="126"/>
      <c r="COB22" s="126"/>
      <c r="COC22" s="126"/>
      <c r="COD22" s="126"/>
      <c r="COE22" s="126"/>
      <c r="COF22" s="126"/>
      <c r="COG22" s="126"/>
      <c r="COH22" s="126"/>
      <c r="COI22" s="126"/>
      <c r="COJ22" s="126"/>
      <c r="COK22" s="126"/>
      <c r="COL22" s="126"/>
      <c r="COM22" s="126"/>
      <c r="CON22" s="126"/>
      <c r="COO22" s="126"/>
      <c r="COP22" s="126"/>
      <c r="COQ22" s="126"/>
      <c r="COR22" s="126"/>
      <c r="COS22" s="126"/>
      <c r="COT22" s="126"/>
      <c r="COU22" s="126"/>
      <c r="COV22" s="126"/>
      <c r="COW22" s="126"/>
      <c r="COX22" s="126"/>
      <c r="COY22" s="126"/>
      <c r="COZ22" s="126"/>
      <c r="CPA22" s="126"/>
      <c r="CPB22" s="126"/>
      <c r="CPC22" s="126"/>
      <c r="CPD22" s="126"/>
      <c r="CPE22" s="126"/>
      <c r="CPF22" s="126"/>
      <c r="CPG22" s="126"/>
      <c r="CPH22" s="126"/>
      <c r="CPI22" s="126"/>
      <c r="CPJ22" s="126"/>
      <c r="CPK22" s="126"/>
      <c r="CPL22" s="126"/>
      <c r="CPM22" s="126"/>
      <c r="CPN22" s="126"/>
      <c r="CPO22" s="126"/>
      <c r="CPP22" s="126"/>
      <c r="CPQ22" s="126"/>
      <c r="CPR22" s="126"/>
      <c r="CPS22" s="126"/>
      <c r="CPT22" s="126"/>
      <c r="CPU22" s="126"/>
      <c r="CPV22" s="126"/>
      <c r="CPW22" s="126"/>
      <c r="CPX22" s="126"/>
      <c r="CPY22" s="126"/>
      <c r="CPZ22" s="126"/>
      <c r="CQA22" s="126"/>
      <c r="CQB22" s="126"/>
      <c r="CQC22" s="126"/>
      <c r="CQD22" s="126"/>
      <c r="CQE22" s="126"/>
      <c r="CQF22" s="126"/>
      <c r="CQG22" s="126"/>
      <c r="CQH22" s="126"/>
      <c r="CQI22" s="126"/>
      <c r="CQJ22" s="126"/>
      <c r="CQK22" s="126"/>
      <c r="CQL22" s="126"/>
      <c r="CQM22" s="126"/>
      <c r="CQN22" s="126"/>
      <c r="CQO22" s="126"/>
      <c r="CQP22" s="126"/>
      <c r="CQQ22" s="126"/>
      <c r="CQR22" s="126"/>
      <c r="CQS22" s="126"/>
      <c r="CQT22" s="126"/>
      <c r="CQU22" s="126"/>
      <c r="CQV22" s="126"/>
      <c r="CQW22" s="126"/>
      <c r="CQX22" s="126"/>
      <c r="CQY22" s="126"/>
      <c r="CQZ22" s="126"/>
      <c r="CRA22" s="126"/>
      <c r="CRB22" s="126"/>
      <c r="CRC22" s="126"/>
      <c r="CRD22" s="126"/>
      <c r="CRE22" s="126"/>
      <c r="CRF22" s="126"/>
      <c r="CRG22" s="126"/>
      <c r="CRH22" s="126"/>
      <c r="CRI22" s="126"/>
      <c r="CRJ22" s="126"/>
      <c r="CRK22" s="126"/>
      <c r="CRL22" s="126"/>
      <c r="CRM22" s="126"/>
      <c r="CRN22" s="126"/>
      <c r="CRO22" s="126"/>
      <c r="CRP22" s="126"/>
      <c r="CRQ22" s="126"/>
      <c r="CRR22" s="126"/>
      <c r="CRS22" s="126"/>
      <c r="CRT22" s="126"/>
      <c r="CRU22" s="126"/>
      <c r="CRV22" s="126"/>
      <c r="CRW22" s="126"/>
      <c r="CRX22" s="126"/>
      <c r="CRY22" s="126"/>
      <c r="CRZ22" s="126"/>
      <c r="CSA22" s="126"/>
      <c r="CSB22" s="126"/>
      <c r="CSC22" s="126"/>
      <c r="CSD22" s="126"/>
      <c r="CSE22" s="126"/>
      <c r="CSF22" s="126"/>
      <c r="CSG22" s="126"/>
      <c r="CSH22" s="126"/>
      <c r="CSI22" s="126"/>
      <c r="CSJ22" s="126"/>
      <c r="CSK22" s="126"/>
      <c r="CSL22" s="126"/>
      <c r="CSM22" s="126"/>
      <c r="CSN22" s="126"/>
      <c r="CSO22" s="126"/>
      <c r="CSP22" s="126"/>
      <c r="CSQ22" s="126"/>
      <c r="CSR22" s="126"/>
      <c r="CSS22" s="126"/>
      <c r="CST22" s="126"/>
      <c r="CSU22" s="126"/>
      <c r="CSV22" s="126"/>
      <c r="CSW22" s="126"/>
      <c r="CSX22" s="126"/>
      <c r="CSY22" s="126"/>
      <c r="CSZ22" s="126"/>
      <c r="CTA22" s="126"/>
      <c r="CTB22" s="126"/>
      <c r="CTC22" s="126"/>
      <c r="CTD22" s="126"/>
      <c r="CTE22" s="126"/>
      <c r="CTF22" s="126"/>
      <c r="CTG22" s="126"/>
      <c r="CTH22" s="126"/>
      <c r="CTI22" s="126"/>
      <c r="CTJ22" s="126"/>
      <c r="CTK22" s="126"/>
      <c r="CTL22" s="126"/>
      <c r="CTM22" s="126"/>
      <c r="CTN22" s="126"/>
      <c r="CTO22" s="126"/>
      <c r="CTP22" s="126"/>
      <c r="CTQ22" s="126"/>
      <c r="CTR22" s="126"/>
      <c r="CTS22" s="126"/>
      <c r="CTT22" s="126"/>
      <c r="CTU22" s="126"/>
      <c r="CTV22" s="126"/>
      <c r="CTW22" s="126"/>
      <c r="CTX22" s="126"/>
      <c r="CTY22" s="126"/>
      <c r="CTZ22" s="126"/>
      <c r="CUA22" s="126"/>
      <c r="CUB22" s="126"/>
      <c r="CUC22" s="126"/>
      <c r="CUD22" s="126"/>
      <c r="CUE22" s="126"/>
      <c r="CUF22" s="126"/>
      <c r="CUG22" s="126"/>
      <c r="CUH22" s="126"/>
      <c r="CUI22" s="126"/>
      <c r="CUJ22" s="126"/>
      <c r="CUK22" s="126"/>
      <c r="CUL22" s="126"/>
      <c r="CUM22" s="126"/>
      <c r="CUN22" s="126"/>
      <c r="CUO22" s="126"/>
      <c r="CUP22" s="126"/>
      <c r="CUQ22" s="126"/>
      <c r="CUR22" s="126"/>
      <c r="CUS22" s="126"/>
      <c r="CUT22" s="126"/>
      <c r="CUU22" s="126"/>
      <c r="CUV22" s="126"/>
      <c r="CUW22" s="126"/>
      <c r="CUX22" s="126"/>
      <c r="CUY22" s="126"/>
      <c r="CUZ22" s="126"/>
      <c r="CVA22" s="126"/>
      <c r="CVB22" s="126"/>
      <c r="CVC22" s="126"/>
      <c r="CVD22" s="126"/>
      <c r="CVE22" s="126"/>
      <c r="CVF22" s="126"/>
      <c r="CVG22" s="126"/>
      <c r="CVH22" s="126"/>
      <c r="CVI22" s="126"/>
      <c r="CVJ22" s="126"/>
      <c r="CVK22" s="126"/>
      <c r="CVL22" s="126"/>
      <c r="CVM22" s="126"/>
      <c r="CVN22" s="126"/>
      <c r="CVO22" s="126"/>
      <c r="CVP22" s="126"/>
      <c r="CVQ22" s="126"/>
      <c r="CVR22" s="126"/>
      <c r="CVS22" s="126"/>
      <c r="CVT22" s="126"/>
      <c r="CVU22" s="126"/>
      <c r="CVV22" s="126"/>
      <c r="CVW22" s="126"/>
      <c r="CVX22" s="126"/>
      <c r="CVY22" s="126"/>
      <c r="CVZ22" s="126"/>
      <c r="CWA22" s="126"/>
      <c r="CWB22" s="126"/>
      <c r="CWC22" s="126"/>
      <c r="CWD22" s="126"/>
      <c r="CWE22" s="126"/>
      <c r="CWF22" s="126"/>
      <c r="CWG22" s="126"/>
      <c r="CWH22" s="126"/>
      <c r="CWI22" s="126"/>
      <c r="CWJ22" s="126"/>
      <c r="CWK22" s="126"/>
      <c r="CWL22" s="126"/>
      <c r="CWM22" s="126"/>
      <c r="CWN22" s="126"/>
      <c r="CWO22" s="126"/>
      <c r="CWP22" s="126"/>
      <c r="CWQ22" s="126"/>
      <c r="CWR22" s="126"/>
      <c r="CWS22" s="126"/>
      <c r="CWT22" s="126"/>
      <c r="CWU22" s="126"/>
      <c r="CWV22" s="126"/>
      <c r="CWW22" s="126"/>
      <c r="CWX22" s="126"/>
      <c r="CWY22" s="126"/>
      <c r="CWZ22" s="126"/>
      <c r="CXA22" s="126"/>
      <c r="CXB22" s="126"/>
      <c r="CXC22" s="126"/>
      <c r="CXD22" s="126"/>
      <c r="CXE22" s="126"/>
      <c r="CXF22" s="126"/>
      <c r="CXG22" s="126"/>
      <c r="CXH22" s="126"/>
      <c r="CXI22" s="126"/>
      <c r="CXJ22" s="126"/>
      <c r="CXK22" s="126"/>
      <c r="CXL22" s="126"/>
      <c r="CXM22" s="126"/>
      <c r="CXN22" s="126"/>
      <c r="CXO22" s="126"/>
      <c r="CXP22" s="126"/>
      <c r="CXQ22" s="126"/>
      <c r="CXR22" s="126"/>
      <c r="CXS22" s="126"/>
      <c r="CXT22" s="126"/>
      <c r="CXU22" s="126"/>
      <c r="CXV22" s="126"/>
      <c r="CXW22" s="126"/>
      <c r="CXX22" s="126"/>
      <c r="CXY22" s="126"/>
      <c r="CXZ22" s="126"/>
      <c r="CYA22" s="126"/>
      <c r="CYB22" s="126"/>
      <c r="CYC22" s="126"/>
      <c r="CYD22" s="126"/>
      <c r="CYE22" s="126"/>
      <c r="CYF22" s="126"/>
      <c r="CYG22" s="126"/>
      <c r="CYH22" s="126"/>
      <c r="CYI22" s="126"/>
      <c r="CYJ22" s="126"/>
      <c r="CYK22" s="126"/>
      <c r="CYL22" s="126"/>
      <c r="CYM22" s="126"/>
      <c r="CYN22" s="126"/>
      <c r="CYO22" s="126"/>
      <c r="CYP22" s="126"/>
      <c r="CYQ22" s="126"/>
      <c r="CYR22" s="126"/>
      <c r="CYS22" s="126"/>
      <c r="CYT22" s="126"/>
      <c r="CYU22" s="126"/>
      <c r="CYV22" s="126"/>
      <c r="CYW22" s="126"/>
      <c r="CYX22" s="126"/>
      <c r="CYY22" s="126"/>
      <c r="CYZ22" s="126"/>
      <c r="CZA22" s="126"/>
      <c r="CZB22" s="126"/>
      <c r="CZC22" s="126"/>
      <c r="CZD22" s="126"/>
      <c r="CZE22" s="126"/>
      <c r="CZF22" s="126"/>
      <c r="CZG22" s="126"/>
      <c r="CZH22" s="126"/>
      <c r="CZI22" s="126"/>
      <c r="CZJ22" s="126"/>
      <c r="CZK22" s="126"/>
      <c r="CZL22" s="126"/>
      <c r="CZM22" s="126"/>
      <c r="CZN22" s="126"/>
      <c r="CZO22" s="126"/>
      <c r="CZP22" s="126"/>
      <c r="CZQ22" s="126"/>
      <c r="CZR22" s="126"/>
      <c r="CZS22" s="126"/>
      <c r="CZT22" s="126"/>
      <c r="CZU22" s="126"/>
      <c r="CZV22" s="126"/>
      <c r="CZW22" s="126"/>
      <c r="CZX22" s="126"/>
      <c r="CZY22" s="126"/>
      <c r="CZZ22" s="126"/>
      <c r="DAA22" s="126"/>
      <c r="DAB22" s="126"/>
      <c r="DAC22" s="126"/>
      <c r="DAD22" s="126"/>
      <c r="DAE22" s="126"/>
      <c r="DAF22" s="126"/>
      <c r="DAG22" s="126"/>
      <c r="DAH22" s="126"/>
      <c r="DAI22" s="126"/>
      <c r="DAJ22" s="126"/>
      <c r="DAK22" s="126"/>
      <c r="DAL22" s="126"/>
      <c r="DAM22" s="126"/>
      <c r="DAN22" s="126"/>
      <c r="DAO22" s="126"/>
      <c r="DAP22" s="126"/>
      <c r="DAQ22" s="126"/>
      <c r="DAR22" s="126"/>
      <c r="DAS22" s="126"/>
      <c r="DAT22" s="126"/>
      <c r="DAU22" s="126"/>
      <c r="DAV22" s="126"/>
      <c r="DAW22" s="126"/>
      <c r="DAX22" s="126"/>
      <c r="DAY22" s="126"/>
      <c r="DAZ22" s="126"/>
      <c r="DBA22" s="126"/>
      <c r="DBB22" s="126"/>
      <c r="DBC22" s="126"/>
      <c r="DBD22" s="126"/>
      <c r="DBE22" s="126"/>
      <c r="DBF22" s="126"/>
      <c r="DBG22" s="126"/>
      <c r="DBH22" s="126"/>
      <c r="DBI22" s="126"/>
      <c r="DBJ22" s="126"/>
      <c r="DBK22" s="126"/>
      <c r="DBL22" s="126"/>
      <c r="DBM22" s="126"/>
      <c r="DBN22" s="126"/>
      <c r="DBO22" s="126"/>
      <c r="DBP22" s="126"/>
      <c r="DBQ22" s="126"/>
      <c r="DBR22" s="126"/>
      <c r="DBS22" s="126"/>
      <c r="DBT22" s="126"/>
      <c r="DBU22" s="126"/>
      <c r="DBV22" s="126"/>
      <c r="DBW22" s="126"/>
      <c r="DBX22" s="126"/>
      <c r="DBY22" s="126"/>
      <c r="DBZ22" s="126"/>
      <c r="DCA22" s="126"/>
      <c r="DCB22" s="126"/>
      <c r="DCC22" s="126"/>
      <c r="DCD22" s="126"/>
      <c r="DCE22" s="126"/>
      <c r="DCF22" s="126"/>
      <c r="DCG22" s="126"/>
      <c r="DCH22" s="126"/>
      <c r="DCI22" s="126"/>
      <c r="DCJ22" s="126"/>
      <c r="DCK22" s="126"/>
      <c r="DCL22" s="126"/>
      <c r="DCM22" s="126"/>
      <c r="DCN22" s="126"/>
      <c r="DCO22" s="126"/>
      <c r="DCP22" s="126"/>
      <c r="DCQ22" s="126"/>
      <c r="DCR22" s="126"/>
      <c r="DCS22" s="126"/>
      <c r="DCT22" s="126"/>
      <c r="DCU22" s="126"/>
      <c r="DCV22" s="126"/>
      <c r="DCW22" s="126"/>
      <c r="DCX22" s="126"/>
      <c r="DCY22" s="126"/>
      <c r="DCZ22" s="126"/>
      <c r="DDA22" s="126"/>
      <c r="DDB22" s="126"/>
      <c r="DDC22" s="126"/>
      <c r="DDD22" s="126"/>
      <c r="DDE22" s="126"/>
      <c r="DDF22" s="126"/>
      <c r="DDG22" s="126"/>
      <c r="DDH22" s="126"/>
      <c r="DDI22" s="126"/>
      <c r="DDJ22" s="126"/>
      <c r="DDK22" s="126"/>
      <c r="DDL22" s="126"/>
      <c r="DDM22" s="126"/>
      <c r="DDN22" s="126"/>
      <c r="DDO22" s="126"/>
      <c r="DDP22" s="126"/>
      <c r="DDQ22" s="126"/>
      <c r="DDR22" s="126"/>
      <c r="DDS22" s="126"/>
      <c r="DDT22" s="126"/>
      <c r="DDU22" s="126"/>
      <c r="DDV22" s="126"/>
      <c r="DDW22" s="126"/>
      <c r="DDX22" s="126"/>
      <c r="DDY22" s="126"/>
      <c r="DDZ22" s="126"/>
      <c r="DEA22" s="126"/>
      <c r="DEB22" s="126"/>
      <c r="DEC22" s="126"/>
      <c r="DED22" s="126"/>
      <c r="DEE22" s="126"/>
      <c r="DEF22" s="126"/>
      <c r="DEG22" s="126"/>
      <c r="DEH22" s="126"/>
      <c r="DEI22" s="126"/>
      <c r="DEJ22" s="126"/>
      <c r="DEK22" s="126"/>
      <c r="DEL22" s="126"/>
      <c r="DEM22" s="126"/>
      <c r="DEN22" s="126"/>
      <c r="DEO22" s="126"/>
      <c r="DEP22" s="126"/>
      <c r="DEQ22" s="126"/>
      <c r="DER22" s="126"/>
      <c r="DES22" s="126"/>
      <c r="DET22" s="126"/>
      <c r="DEU22" s="126"/>
      <c r="DEV22" s="126"/>
      <c r="DEW22" s="126"/>
      <c r="DEX22" s="126"/>
      <c r="DEY22" s="126"/>
      <c r="DEZ22" s="126"/>
      <c r="DFA22" s="126"/>
      <c r="DFB22" s="126"/>
      <c r="DFC22" s="126"/>
      <c r="DFD22" s="126"/>
      <c r="DFE22" s="126"/>
      <c r="DFF22" s="126"/>
      <c r="DFG22" s="126"/>
      <c r="DFH22" s="126"/>
      <c r="DFI22" s="126"/>
      <c r="DFJ22" s="126"/>
      <c r="DFK22" s="126"/>
      <c r="DFL22" s="126"/>
      <c r="DFM22" s="126"/>
      <c r="DFN22" s="126"/>
      <c r="DFO22" s="126"/>
      <c r="DFP22" s="126"/>
      <c r="DFQ22" s="126"/>
      <c r="DFR22" s="126"/>
      <c r="DFS22" s="126"/>
      <c r="DFT22" s="126"/>
      <c r="DFU22" s="126"/>
      <c r="DFV22" s="126"/>
      <c r="DFW22" s="126"/>
      <c r="DFX22" s="126"/>
      <c r="DFY22" s="126"/>
      <c r="DFZ22" s="126"/>
      <c r="DGA22" s="126"/>
      <c r="DGB22" s="126"/>
      <c r="DGC22" s="126"/>
      <c r="DGD22" s="126"/>
      <c r="DGE22" s="126"/>
      <c r="DGF22" s="126"/>
      <c r="DGG22" s="126"/>
      <c r="DGH22" s="126"/>
      <c r="DGI22" s="126"/>
      <c r="DGJ22" s="126"/>
      <c r="DGK22" s="126"/>
      <c r="DGL22" s="126"/>
      <c r="DGM22" s="126"/>
      <c r="DGN22" s="126"/>
      <c r="DGO22" s="126"/>
      <c r="DGP22" s="126"/>
      <c r="DGQ22" s="126"/>
      <c r="DGR22" s="126"/>
      <c r="DGS22" s="126"/>
      <c r="DGT22" s="126"/>
      <c r="DGU22" s="126"/>
      <c r="DGV22" s="126"/>
      <c r="DGW22" s="126"/>
      <c r="DGX22" s="126"/>
      <c r="DGY22" s="126"/>
      <c r="DGZ22" s="126"/>
      <c r="DHA22" s="126"/>
      <c r="DHB22" s="126"/>
      <c r="DHC22" s="126"/>
      <c r="DHD22" s="126"/>
      <c r="DHE22" s="126"/>
      <c r="DHF22" s="126"/>
      <c r="DHG22" s="126"/>
      <c r="DHH22" s="126"/>
      <c r="DHI22" s="126"/>
      <c r="DHJ22" s="126"/>
      <c r="DHK22" s="126"/>
      <c r="DHL22" s="126"/>
      <c r="DHM22" s="126"/>
      <c r="DHN22" s="126"/>
      <c r="DHO22" s="126"/>
      <c r="DHP22" s="126"/>
      <c r="DHQ22" s="126"/>
      <c r="DHR22" s="126"/>
      <c r="DHS22" s="126"/>
      <c r="DHT22" s="126"/>
      <c r="DHU22" s="126"/>
      <c r="DHV22" s="126"/>
      <c r="DHW22" s="126"/>
      <c r="DHX22" s="126"/>
      <c r="DHY22" s="126"/>
      <c r="DHZ22" s="126"/>
      <c r="DIA22" s="126"/>
      <c r="DIB22" s="126"/>
      <c r="DIC22" s="126"/>
      <c r="DID22" s="126"/>
      <c r="DIE22" s="126"/>
      <c r="DIF22" s="126"/>
      <c r="DIG22" s="126"/>
      <c r="DIH22" s="126"/>
      <c r="DII22" s="126"/>
      <c r="DIJ22" s="126"/>
      <c r="DIK22" s="126"/>
      <c r="DIL22" s="126"/>
      <c r="DIM22" s="126"/>
      <c r="DIN22" s="126"/>
      <c r="DIO22" s="126"/>
      <c r="DIP22" s="126"/>
      <c r="DIQ22" s="126"/>
      <c r="DIR22" s="126"/>
      <c r="DIS22" s="126"/>
      <c r="DIT22" s="126"/>
      <c r="DIU22" s="126"/>
      <c r="DIV22" s="126"/>
      <c r="DIW22" s="126"/>
      <c r="DIX22" s="126"/>
      <c r="DIY22" s="126"/>
      <c r="DIZ22" s="126"/>
      <c r="DJA22" s="126"/>
      <c r="DJB22" s="126"/>
      <c r="DJC22" s="126"/>
      <c r="DJD22" s="126"/>
      <c r="DJE22" s="126"/>
      <c r="DJF22" s="126"/>
      <c r="DJG22" s="126"/>
      <c r="DJH22" s="126"/>
      <c r="DJI22" s="126"/>
      <c r="DJJ22" s="126"/>
      <c r="DJK22" s="126"/>
      <c r="DJL22" s="126"/>
      <c r="DJM22" s="126"/>
      <c r="DJN22" s="126"/>
      <c r="DJO22" s="126"/>
      <c r="DJP22" s="126"/>
      <c r="DJQ22" s="126"/>
      <c r="DJR22" s="126"/>
      <c r="DJS22" s="126"/>
      <c r="DJT22" s="126"/>
      <c r="DJU22" s="126"/>
      <c r="DJV22" s="126"/>
      <c r="DJW22" s="126"/>
      <c r="DJX22" s="126"/>
      <c r="DJY22" s="126"/>
      <c r="DJZ22" s="126"/>
      <c r="DKA22" s="126"/>
      <c r="DKB22" s="126"/>
      <c r="DKC22" s="126"/>
      <c r="DKD22" s="126"/>
      <c r="DKE22" s="126"/>
      <c r="DKF22" s="126"/>
      <c r="DKG22" s="126"/>
      <c r="DKH22" s="126"/>
      <c r="DKI22" s="126"/>
      <c r="DKJ22" s="126"/>
      <c r="DKK22" s="126"/>
      <c r="DKL22" s="126"/>
      <c r="DKM22" s="126"/>
      <c r="DKN22" s="126"/>
      <c r="DKO22" s="126"/>
      <c r="DKP22" s="126"/>
      <c r="DKQ22" s="126"/>
      <c r="DKR22" s="126"/>
      <c r="DKS22" s="126"/>
      <c r="DKT22" s="126"/>
      <c r="DKU22" s="126"/>
      <c r="DKV22" s="126"/>
      <c r="DKW22" s="126"/>
      <c r="DKX22" s="126"/>
      <c r="DKY22" s="126"/>
      <c r="DKZ22" s="126"/>
      <c r="DLA22" s="126"/>
      <c r="DLB22" s="126"/>
      <c r="DLC22" s="126"/>
      <c r="DLD22" s="126"/>
      <c r="DLE22" s="126"/>
      <c r="DLF22" s="126"/>
      <c r="DLG22" s="126"/>
      <c r="DLH22" s="126"/>
      <c r="DLI22" s="126"/>
      <c r="DLJ22" s="126"/>
      <c r="DLK22" s="126"/>
      <c r="DLL22" s="126"/>
      <c r="DLM22" s="126"/>
      <c r="DLN22" s="126"/>
      <c r="DLO22" s="126"/>
      <c r="DLP22" s="126"/>
      <c r="DLQ22" s="126"/>
      <c r="DLR22" s="126"/>
      <c r="DLS22" s="126"/>
      <c r="DLT22" s="126"/>
      <c r="DLU22" s="126"/>
      <c r="DLV22" s="126"/>
      <c r="DLW22" s="126"/>
      <c r="DLX22" s="126"/>
      <c r="DLY22" s="126"/>
      <c r="DLZ22" s="126"/>
      <c r="DMA22" s="126"/>
      <c r="DMB22" s="126"/>
      <c r="DMC22" s="126"/>
      <c r="DMD22" s="126"/>
      <c r="DME22" s="126"/>
      <c r="DMF22" s="126"/>
      <c r="DMG22" s="126"/>
      <c r="DMH22" s="126"/>
      <c r="DMI22" s="126"/>
      <c r="DMJ22" s="126"/>
      <c r="DMK22" s="126"/>
      <c r="DML22" s="126"/>
      <c r="DMM22" s="126"/>
      <c r="DMN22" s="126"/>
      <c r="DMO22" s="126"/>
      <c r="DMP22" s="126"/>
      <c r="DMQ22" s="126"/>
      <c r="DMR22" s="126"/>
      <c r="DMS22" s="126"/>
      <c r="DMT22" s="126"/>
      <c r="DMU22" s="126"/>
      <c r="DMV22" s="126"/>
      <c r="DMW22" s="126"/>
      <c r="DMX22" s="126"/>
      <c r="DMY22" s="126"/>
      <c r="DMZ22" s="126"/>
      <c r="DNA22" s="126"/>
      <c r="DNB22" s="126"/>
      <c r="DNC22" s="126"/>
      <c r="DND22" s="126"/>
      <c r="DNE22" s="126"/>
      <c r="DNF22" s="126"/>
      <c r="DNG22" s="126"/>
      <c r="DNH22" s="126"/>
      <c r="DNI22" s="126"/>
      <c r="DNJ22" s="126"/>
      <c r="DNK22" s="126"/>
      <c r="DNL22" s="126"/>
      <c r="DNM22" s="126"/>
      <c r="DNN22" s="126"/>
      <c r="DNO22" s="126"/>
      <c r="DNP22" s="126"/>
      <c r="DNQ22" s="126"/>
      <c r="DNR22" s="126"/>
      <c r="DNS22" s="126"/>
      <c r="DNT22" s="126"/>
      <c r="DNU22" s="126"/>
      <c r="DNV22" s="126"/>
      <c r="DNW22" s="126"/>
      <c r="DNX22" s="126"/>
      <c r="DNY22" s="126"/>
      <c r="DNZ22" s="126"/>
      <c r="DOA22" s="126"/>
      <c r="DOB22" s="126"/>
      <c r="DOC22" s="126"/>
      <c r="DOD22" s="126"/>
      <c r="DOE22" s="126"/>
      <c r="DOF22" s="126"/>
      <c r="DOG22" s="126"/>
      <c r="DOH22" s="126"/>
      <c r="DOI22" s="126"/>
      <c r="DOJ22" s="126"/>
      <c r="DOK22" s="126"/>
      <c r="DOL22" s="126"/>
      <c r="DOM22" s="126"/>
      <c r="DON22" s="126"/>
      <c r="DOO22" s="126"/>
      <c r="DOP22" s="126"/>
      <c r="DOQ22" s="126"/>
      <c r="DOR22" s="126"/>
      <c r="DOS22" s="126"/>
      <c r="DOT22" s="126"/>
      <c r="DOU22" s="126"/>
      <c r="DOV22" s="126"/>
      <c r="DOW22" s="126"/>
      <c r="DOX22" s="126"/>
      <c r="DOY22" s="126"/>
      <c r="DOZ22" s="126"/>
      <c r="DPA22" s="126"/>
      <c r="DPB22" s="126"/>
      <c r="DPC22" s="126"/>
      <c r="DPD22" s="126"/>
      <c r="DPE22" s="126"/>
      <c r="DPF22" s="126"/>
      <c r="DPG22" s="126"/>
      <c r="DPH22" s="126"/>
      <c r="DPI22" s="126"/>
      <c r="DPJ22" s="126"/>
      <c r="DPK22" s="126"/>
      <c r="DPL22" s="126"/>
      <c r="DPM22" s="126"/>
      <c r="DPN22" s="126"/>
      <c r="DPO22" s="126"/>
      <c r="DPP22" s="126"/>
      <c r="DPQ22" s="126"/>
      <c r="DPR22" s="126"/>
      <c r="DPS22" s="126"/>
      <c r="DPT22" s="126"/>
      <c r="DPU22" s="126"/>
      <c r="DPV22" s="126"/>
      <c r="DPW22" s="126"/>
      <c r="DPX22" s="126"/>
      <c r="DPY22" s="126"/>
      <c r="DPZ22" s="126"/>
      <c r="DQA22" s="126"/>
      <c r="DQB22" s="126"/>
      <c r="DQC22" s="126"/>
      <c r="DQD22" s="126"/>
      <c r="DQE22" s="126"/>
      <c r="DQF22" s="126"/>
      <c r="DQG22" s="126"/>
      <c r="DQH22" s="126"/>
      <c r="DQI22" s="126"/>
      <c r="DQJ22" s="126"/>
      <c r="DQK22" s="126"/>
      <c r="DQL22" s="126"/>
      <c r="DQM22" s="126"/>
      <c r="DQN22" s="126"/>
      <c r="DQO22" s="126"/>
      <c r="DQP22" s="126"/>
      <c r="DQQ22" s="126"/>
      <c r="DQR22" s="126"/>
      <c r="DQS22" s="126"/>
      <c r="DQT22" s="126"/>
      <c r="DQU22" s="126"/>
      <c r="DQV22" s="126"/>
      <c r="DQW22" s="126"/>
      <c r="DQX22" s="126"/>
      <c r="DQY22" s="126"/>
      <c r="DQZ22" s="126"/>
      <c r="DRA22" s="126"/>
      <c r="DRB22" s="126"/>
      <c r="DRC22" s="126"/>
      <c r="DRD22" s="126"/>
      <c r="DRE22" s="126"/>
      <c r="DRF22" s="126"/>
      <c r="DRG22" s="126"/>
      <c r="DRH22" s="126"/>
      <c r="DRI22" s="126"/>
      <c r="DRJ22" s="126"/>
      <c r="DRK22" s="126"/>
      <c r="DRL22" s="126"/>
      <c r="DRM22" s="126"/>
      <c r="DRN22" s="126"/>
      <c r="DRO22" s="126"/>
      <c r="DRP22" s="126"/>
      <c r="DRQ22" s="126"/>
      <c r="DRR22" s="126"/>
      <c r="DRS22" s="126"/>
      <c r="DRT22" s="126"/>
      <c r="DRU22" s="126"/>
      <c r="DRV22" s="126"/>
      <c r="DRW22" s="126"/>
      <c r="DRX22" s="126"/>
      <c r="DRY22" s="126"/>
      <c r="DRZ22" s="126"/>
      <c r="DSA22" s="126"/>
      <c r="DSB22" s="126"/>
      <c r="DSC22" s="126"/>
      <c r="DSD22" s="126"/>
      <c r="DSE22" s="126"/>
      <c r="DSF22" s="126"/>
      <c r="DSG22" s="126"/>
      <c r="DSH22" s="126"/>
      <c r="DSI22" s="126"/>
      <c r="DSJ22" s="126"/>
      <c r="DSK22" s="126"/>
      <c r="DSL22" s="126"/>
      <c r="DSM22" s="126"/>
      <c r="DSN22" s="126"/>
      <c r="DSO22" s="126"/>
      <c r="DSP22" s="126"/>
      <c r="DSQ22" s="126"/>
      <c r="DSR22" s="126"/>
      <c r="DSS22" s="126"/>
      <c r="DST22" s="126"/>
      <c r="DSU22" s="126"/>
      <c r="DSV22" s="126"/>
      <c r="DSW22" s="126"/>
      <c r="DSX22" s="126"/>
      <c r="DSY22" s="126"/>
      <c r="DSZ22" s="126"/>
      <c r="DTA22" s="126"/>
      <c r="DTB22" s="126"/>
      <c r="DTC22" s="126"/>
      <c r="DTD22" s="126"/>
      <c r="DTE22" s="126"/>
      <c r="DTF22" s="126"/>
      <c r="DTG22" s="126"/>
      <c r="DTH22" s="126"/>
      <c r="DTI22" s="126"/>
      <c r="DTJ22" s="126"/>
      <c r="DTK22" s="126"/>
      <c r="DTL22" s="126"/>
      <c r="DTM22" s="126"/>
      <c r="DTN22" s="126"/>
      <c r="DTO22" s="126"/>
      <c r="DTP22" s="126"/>
      <c r="DTQ22" s="126"/>
      <c r="DTR22" s="126"/>
      <c r="DTS22" s="126"/>
      <c r="DTT22" s="126"/>
      <c r="DTU22" s="126"/>
      <c r="DTV22" s="126"/>
      <c r="DTW22" s="126"/>
      <c r="DTX22" s="126"/>
      <c r="DTY22" s="126"/>
      <c r="DTZ22" s="126"/>
      <c r="DUA22" s="126"/>
      <c r="DUB22" s="126"/>
      <c r="DUC22" s="126"/>
      <c r="DUD22" s="126"/>
      <c r="DUE22" s="126"/>
      <c r="DUF22" s="126"/>
      <c r="DUG22" s="126"/>
      <c r="DUH22" s="126"/>
      <c r="DUI22" s="126"/>
      <c r="DUJ22" s="126"/>
      <c r="DUK22" s="126"/>
      <c r="DUL22" s="126"/>
      <c r="DUM22" s="126"/>
      <c r="DUN22" s="126"/>
      <c r="DUO22" s="126"/>
      <c r="DUP22" s="126"/>
      <c r="DUQ22" s="126"/>
      <c r="DUR22" s="126"/>
      <c r="DUS22" s="126"/>
      <c r="DUT22" s="126"/>
      <c r="DUU22" s="126"/>
      <c r="DUV22" s="126"/>
      <c r="DUW22" s="126"/>
      <c r="DUX22" s="126"/>
      <c r="DUY22" s="126"/>
      <c r="DUZ22" s="126"/>
      <c r="DVA22" s="126"/>
      <c r="DVB22" s="126"/>
      <c r="DVC22" s="126"/>
      <c r="DVD22" s="126"/>
      <c r="DVE22" s="126"/>
      <c r="DVF22" s="126"/>
      <c r="DVG22" s="126"/>
      <c r="DVH22" s="126"/>
      <c r="DVI22" s="126"/>
      <c r="DVJ22" s="126"/>
      <c r="DVK22" s="126"/>
      <c r="DVL22" s="126"/>
      <c r="DVM22" s="126"/>
      <c r="DVN22" s="126"/>
      <c r="DVO22" s="126"/>
      <c r="DVP22" s="126"/>
      <c r="DVQ22" s="126"/>
      <c r="DVR22" s="126"/>
      <c r="DVS22" s="126"/>
      <c r="DVT22" s="126"/>
      <c r="DVU22" s="126"/>
      <c r="DVV22" s="126"/>
      <c r="DVW22" s="126"/>
      <c r="DVX22" s="126"/>
      <c r="DVY22" s="126"/>
      <c r="DVZ22" s="126"/>
      <c r="DWA22" s="126"/>
      <c r="DWB22" s="126"/>
      <c r="DWC22" s="126"/>
      <c r="DWD22" s="126"/>
      <c r="DWE22" s="126"/>
      <c r="DWF22" s="126"/>
      <c r="DWG22" s="126"/>
      <c r="DWH22" s="126"/>
      <c r="DWI22" s="126"/>
      <c r="DWJ22" s="126"/>
      <c r="DWK22" s="126"/>
      <c r="DWL22" s="126"/>
      <c r="DWM22" s="126"/>
      <c r="DWN22" s="126"/>
      <c r="DWO22" s="126"/>
      <c r="DWP22" s="126"/>
      <c r="DWQ22" s="126"/>
      <c r="DWR22" s="126"/>
      <c r="DWS22" s="126"/>
      <c r="DWT22" s="126"/>
      <c r="DWU22" s="126"/>
      <c r="DWV22" s="126"/>
      <c r="DWW22" s="126"/>
      <c r="DWX22" s="126"/>
      <c r="DWY22" s="126"/>
      <c r="DWZ22" s="126"/>
      <c r="DXA22" s="126"/>
      <c r="DXB22" s="126"/>
      <c r="DXC22" s="126"/>
      <c r="DXD22" s="126"/>
      <c r="DXE22" s="126"/>
      <c r="DXF22" s="126"/>
      <c r="DXG22" s="126"/>
      <c r="DXH22" s="126"/>
      <c r="DXI22" s="126"/>
      <c r="DXJ22" s="126"/>
      <c r="DXK22" s="126"/>
      <c r="DXL22" s="126"/>
      <c r="DXM22" s="126"/>
      <c r="DXN22" s="126"/>
      <c r="DXO22" s="126"/>
      <c r="DXP22" s="126"/>
      <c r="DXQ22" s="126"/>
      <c r="DXR22" s="126"/>
      <c r="DXS22" s="126"/>
      <c r="DXT22" s="126"/>
      <c r="DXU22" s="126"/>
      <c r="DXV22" s="126"/>
      <c r="DXW22" s="126"/>
      <c r="DXX22" s="126"/>
      <c r="DXY22" s="126"/>
      <c r="DXZ22" s="126"/>
      <c r="DYA22" s="126"/>
      <c r="DYB22" s="126"/>
      <c r="DYC22" s="126"/>
      <c r="DYD22" s="126"/>
      <c r="DYE22" s="126"/>
      <c r="DYF22" s="126"/>
      <c r="DYG22" s="126"/>
      <c r="DYH22" s="126"/>
      <c r="DYI22" s="126"/>
      <c r="DYJ22" s="126"/>
      <c r="DYK22" s="126"/>
      <c r="DYL22" s="126"/>
      <c r="DYM22" s="126"/>
      <c r="DYN22" s="126"/>
      <c r="DYO22" s="126"/>
      <c r="DYP22" s="126"/>
      <c r="DYQ22" s="126"/>
      <c r="DYR22" s="126"/>
      <c r="DYS22" s="126"/>
      <c r="DYT22" s="126"/>
      <c r="DYU22" s="126"/>
      <c r="DYV22" s="126"/>
      <c r="DYW22" s="126"/>
      <c r="DYX22" s="126"/>
      <c r="DYY22" s="126"/>
      <c r="DYZ22" s="126"/>
      <c r="DZA22" s="126"/>
      <c r="DZB22" s="126"/>
      <c r="DZC22" s="126"/>
      <c r="DZD22" s="126"/>
      <c r="DZE22" s="126"/>
      <c r="DZF22" s="126"/>
      <c r="DZG22" s="126"/>
      <c r="DZH22" s="126"/>
      <c r="DZI22" s="126"/>
      <c r="DZJ22" s="126"/>
      <c r="DZK22" s="126"/>
      <c r="DZL22" s="126"/>
      <c r="DZM22" s="126"/>
      <c r="DZN22" s="126"/>
      <c r="DZO22" s="126"/>
      <c r="DZP22" s="126"/>
      <c r="DZQ22" s="126"/>
      <c r="DZR22" s="126"/>
      <c r="DZS22" s="126"/>
      <c r="DZT22" s="126"/>
      <c r="DZU22" s="126"/>
      <c r="DZV22" s="126"/>
      <c r="DZW22" s="126"/>
      <c r="DZX22" s="126"/>
      <c r="DZY22" s="126"/>
      <c r="DZZ22" s="126"/>
      <c r="EAA22" s="126"/>
      <c r="EAB22" s="126"/>
      <c r="EAC22" s="126"/>
      <c r="EAD22" s="126"/>
      <c r="EAE22" s="126"/>
      <c r="EAF22" s="126"/>
      <c r="EAG22" s="126"/>
      <c r="EAH22" s="126"/>
      <c r="EAI22" s="126"/>
      <c r="EAJ22" s="126"/>
      <c r="EAK22" s="126"/>
      <c r="EAL22" s="126"/>
      <c r="EAM22" s="126"/>
      <c r="EAN22" s="126"/>
      <c r="EAO22" s="126"/>
      <c r="EAP22" s="126"/>
      <c r="EAQ22" s="126"/>
      <c r="EAR22" s="126"/>
      <c r="EAS22" s="126"/>
      <c r="EAT22" s="126"/>
      <c r="EAU22" s="126"/>
      <c r="EAV22" s="126"/>
      <c r="EAW22" s="126"/>
      <c r="EAX22" s="126"/>
      <c r="EAY22" s="126"/>
      <c r="EAZ22" s="126"/>
      <c r="EBA22" s="126"/>
      <c r="EBB22" s="126"/>
      <c r="EBC22" s="126"/>
      <c r="EBD22" s="126"/>
      <c r="EBE22" s="126"/>
      <c r="EBF22" s="126"/>
      <c r="EBG22" s="126"/>
      <c r="EBH22" s="126"/>
      <c r="EBI22" s="126"/>
      <c r="EBJ22" s="126"/>
      <c r="EBK22" s="126"/>
      <c r="EBL22" s="126"/>
      <c r="EBM22" s="126"/>
      <c r="EBN22" s="126"/>
      <c r="EBO22" s="126"/>
      <c r="EBP22" s="126"/>
      <c r="EBQ22" s="126"/>
      <c r="EBR22" s="126"/>
      <c r="EBS22" s="126"/>
      <c r="EBT22" s="126"/>
      <c r="EBU22" s="126"/>
      <c r="EBV22" s="126"/>
      <c r="EBW22" s="126"/>
      <c r="EBX22" s="126"/>
      <c r="EBY22" s="126"/>
      <c r="EBZ22" s="126"/>
      <c r="ECA22" s="126"/>
      <c r="ECB22" s="126"/>
      <c r="ECC22" s="126"/>
      <c r="ECD22" s="126"/>
      <c r="ECE22" s="126"/>
      <c r="ECF22" s="126"/>
      <c r="ECG22" s="126"/>
      <c r="ECH22" s="126"/>
      <c r="ECI22" s="126"/>
      <c r="ECJ22" s="126"/>
      <c r="ECK22" s="126"/>
      <c r="ECL22" s="126"/>
      <c r="ECM22" s="126"/>
      <c r="ECN22" s="126"/>
      <c r="ECO22" s="126"/>
      <c r="ECP22" s="126"/>
      <c r="ECQ22" s="126"/>
      <c r="ECR22" s="126"/>
      <c r="ECS22" s="126"/>
      <c r="ECT22" s="126"/>
      <c r="ECU22" s="126"/>
      <c r="ECV22" s="126"/>
      <c r="ECW22" s="126"/>
      <c r="ECX22" s="126"/>
      <c r="ECY22" s="126"/>
      <c r="ECZ22" s="126"/>
      <c r="EDA22" s="126"/>
      <c r="EDB22" s="126"/>
      <c r="EDC22" s="126"/>
      <c r="EDD22" s="126"/>
      <c r="EDE22" s="126"/>
      <c r="EDF22" s="126"/>
      <c r="EDG22" s="126"/>
      <c r="EDH22" s="126"/>
      <c r="EDI22" s="126"/>
      <c r="EDJ22" s="126"/>
      <c r="EDK22" s="126"/>
      <c r="EDL22" s="126"/>
      <c r="EDM22" s="126"/>
      <c r="EDN22" s="126"/>
      <c r="EDO22" s="126"/>
      <c r="EDP22" s="126"/>
      <c r="EDQ22" s="126"/>
      <c r="EDR22" s="126"/>
      <c r="EDS22" s="126"/>
      <c r="EDT22" s="126"/>
      <c r="EDU22" s="126"/>
      <c r="EDV22" s="126"/>
      <c r="EDW22" s="126"/>
      <c r="EDX22" s="126"/>
      <c r="EDY22" s="126"/>
      <c r="EDZ22" s="126"/>
      <c r="EEA22" s="126"/>
      <c r="EEB22" s="126"/>
      <c r="EEC22" s="126"/>
      <c r="EED22" s="126"/>
      <c r="EEE22" s="126"/>
      <c r="EEF22" s="126"/>
      <c r="EEG22" s="126"/>
      <c r="EEH22" s="126"/>
      <c r="EEI22" s="126"/>
      <c r="EEJ22" s="126"/>
      <c r="EEK22" s="126"/>
      <c r="EEL22" s="126"/>
      <c r="EEM22" s="126"/>
      <c r="EEN22" s="126"/>
      <c r="EEO22" s="126"/>
      <c r="EEP22" s="126"/>
      <c r="EEQ22" s="126"/>
      <c r="EER22" s="126"/>
      <c r="EES22" s="126"/>
      <c r="EET22" s="126"/>
      <c r="EEU22" s="126"/>
      <c r="EEV22" s="126"/>
      <c r="EEW22" s="126"/>
      <c r="EEX22" s="126"/>
      <c r="EEY22" s="126"/>
      <c r="EEZ22" s="126"/>
      <c r="EFA22" s="126"/>
      <c r="EFB22" s="126"/>
      <c r="EFC22" s="126"/>
      <c r="EFD22" s="126"/>
      <c r="EFE22" s="126"/>
      <c r="EFF22" s="126"/>
      <c r="EFG22" s="126"/>
      <c r="EFH22" s="126"/>
      <c r="EFI22" s="126"/>
      <c r="EFJ22" s="126"/>
      <c r="EFK22" s="126"/>
      <c r="EFL22" s="126"/>
      <c r="EFM22" s="126"/>
      <c r="EFN22" s="126"/>
      <c r="EFO22" s="126"/>
      <c r="EFP22" s="126"/>
      <c r="EFQ22" s="126"/>
      <c r="EFR22" s="126"/>
      <c r="EFS22" s="126"/>
      <c r="EFT22" s="126"/>
      <c r="EFU22" s="126"/>
      <c r="EFV22" s="126"/>
      <c r="EFW22" s="126"/>
      <c r="EFX22" s="126"/>
      <c r="EFY22" s="126"/>
      <c r="EFZ22" s="126"/>
      <c r="EGA22" s="126"/>
      <c r="EGB22" s="126"/>
      <c r="EGC22" s="126"/>
      <c r="EGD22" s="126"/>
      <c r="EGE22" s="126"/>
      <c r="EGF22" s="126"/>
      <c r="EGG22" s="126"/>
      <c r="EGH22" s="126"/>
      <c r="EGI22" s="126"/>
      <c r="EGJ22" s="126"/>
      <c r="EGK22" s="126"/>
      <c r="EGL22" s="126"/>
      <c r="EGM22" s="126"/>
      <c r="EGN22" s="126"/>
      <c r="EGO22" s="126"/>
      <c r="EGP22" s="126"/>
      <c r="EGQ22" s="126"/>
      <c r="EGR22" s="126"/>
      <c r="EGS22" s="126"/>
      <c r="EGT22" s="126"/>
      <c r="EGU22" s="126"/>
      <c r="EGV22" s="126"/>
      <c r="EGW22" s="126"/>
      <c r="EGX22" s="126"/>
      <c r="EGY22" s="126"/>
      <c r="EGZ22" s="126"/>
      <c r="EHA22" s="126"/>
      <c r="EHB22" s="126"/>
      <c r="EHC22" s="126"/>
      <c r="EHD22" s="126"/>
      <c r="EHE22" s="126"/>
      <c r="EHF22" s="126"/>
      <c r="EHG22" s="126"/>
      <c r="EHH22" s="126"/>
      <c r="EHI22" s="126"/>
      <c r="EHJ22" s="126"/>
      <c r="EHK22" s="126"/>
      <c r="EHL22" s="126"/>
      <c r="EHM22" s="126"/>
      <c r="EHN22" s="126"/>
      <c r="EHO22" s="126"/>
      <c r="EHP22" s="126"/>
      <c r="EHQ22" s="126"/>
      <c r="EHR22" s="126"/>
      <c r="EHS22" s="126"/>
      <c r="EHT22" s="126"/>
      <c r="EHU22" s="126"/>
      <c r="EHV22" s="126"/>
      <c r="EHW22" s="126"/>
      <c r="EHX22" s="126"/>
      <c r="EHY22" s="126"/>
      <c r="EHZ22" s="126"/>
      <c r="EIA22" s="126"/>
      <c r="EIB22" s="126"/>
      <c r="EIC22" s="126"/>
      <c r="EID22" s="126"/>
      <c r="EIE22" s="126"/>
      <c r="EIF22" s="126"/>
      <c r="EIG22" s="126"/>
      <c r="EIH22" s="126"/>
      <c r="EII22" s="126"/>
      <c r="EIJ22" s="126"/>
      <c r="EIK22" s="126"/>
      <c r="EIL22" s="126"/>
      <c r="EIM22" s="126"/>
      <c r="EIN22" s="126"/>
      <c r="EIO22" s="126"/>
      <c r="EIP22" s="126"/>
      <c r="EIQ22" s="126"/>
      <c r="EIR22" s="126"/>
      <c r="EIS22" s="126"/>
      <c r="EIT22" s="126"/>
      <c r="EIU22" s="126"/>
      <c r="EIV22" s="126"/>
      <c r="EIW22" s="126"/>
      <c r="EIX22" s="126"/>
      <c r="EIY22" s="126"/>
      <c r="EIZ22" s="126"/>
      <c r="EJA22" s="126"/>
      <c r="EJB22" s="126"/>
      <c r="EJC22" s="126"/>
      <c r="EJD22" s="126"/>
      <c r="EJE22" s="126"/>
      <c r="EJF22" s="126"/>
      <c r="EJG22" s="126"/>
      <c r="EJH22" s="126"/>
      <c r="EJI22" s="126"/>
      <c r="EJJ22" s="126"/>
      <c r="EJK22" s="126"/>
      <c r="EJL22" s="126"/>
      <c r="EJM22" s="126"/>
      <c r="EJN22" s="126"/>
      <c r="EJO22" s="126"/>
      <c r="EJP22" s="126"/>
      <c r="EJQ22" s="126"/>
      <c r="EJR22" s="126"/>
      <c r="EJS22" s="126"/>
      <c r="EJT22" s="126"/>
      <c r="EJU22" s="126"/>
      <c r="EJV22" s="126"/>
      <c r="EJW22" s="126"/>
      <c r="EJX22" s="126"/>
      <c r="EJY22" s="126"/>
      <c r="EJZ22" s="126"/>
      <c r="EKA22" s="126"/>
      <c r="EKB22" s="126"/>
      <c r="EKC22" s="126"/>
      <c r="EKD22" s="126"/>
      <c r="EKE22" s="126"/>
      <c r="EKF22" s="126"/>
      <c r="EKG22" s="126"/>
      <c r="EKH22" s="126"/>
      <c r="EKI22" s="126"/>
      <c r="EKJ22" s="126"/>
      <c r="EKK22" s="126"/>
      <c r="EKL22" s="126"/>
      <c r="EKM22" s="126"/>
      <c r="EKN22" s="126"/>
      <c r="EKO22" s="126"/>
      <c r="EKP22" s="126"/>
      <c r="EKQ22" s="126"/>
      <c r="EKR22" s="126"/>
      <c r="EKS22" s="126"/>
      <c r="EKT22" s="126"/>
      <c r="EKU22" s="126"/>
      <c r="EKV22" s="126"/>
      <c r="EKW22" s="126"/>
      <c r="EKX22" s="126"/>
      <c r="EKY22" s="126"/>
      <c r="EKZ22" s="126"/>
      <c r="ELA22" s="126"/>
      <c r="ELB22" s="126"/>
      <c r="ELC22" s="126"/>
      <c r="ELD22" s="126"/>
      <c r="ELE22" s="126"/>
      <c r="ELF22" s="126"/>
      <c r="ELG22" s="126"/>
      <c r="ELH22" s="126"/>
      <c r="ELI22" s="126"/>
      <c r="ELJ22" s="126"/>
      <c r="ELK22" s="126"/>
      <c r="ELL22" s="126"/>
      <c r="ELM22" s="126"/>
      <c r="ELN22" s="126"/>
      <c r="ELO22" s="126"/>
      <c r="ELP22" s="126"/>
      <c r="ELQ22" s="126"/>
      <c r="ELR22" s="126"/>
      <c r="ELS22" s="126"/>
      <c r="ELT22" s="126"/>
      <c r="ELU22" s="126"/>
      <c r="ELV22" s="126"/>
      <c r="ELW22" s="126"/>
      <c r="ELX22" s="126"/>
      <c r="ELY22" s="126"/>
      <c r="ELZ22" s="126"/>
      <c r="EMA22" s="126"/>
      <c r="EMB22" s="126"/>
      <c r="EMC22" s="126"/>
      <c r="EMD22" s="126"/>
      <c r="EME22" s="126"/>
      <c r="EMF22" s="126"/>
      <c r="EMG22" s="126"/>
      <c r="EMH22" s="126"/>
      <c r="EMI22" s="126"/>
      <c r="EMJ22" s="126"/>
      <c r="EMK22" s="126"/>
      <c r="EML22" s="126"/>
      <c r="EMM22" s="126"/>
      <c r="EMN22" s="126"/>
      <c r="EMO22" s="126"/>
      <c r="EMP22" s="126"/>
      <c r="EMQ22" s="126"/>
      <c r="EMR22" s="126"/>
      <c r="EMS22" s="126"/>
      <c r="EMT22" s="126"/>
      <c r="EMU22" s="126"/>
      <c r="EMV22" s="126"/>
      <c r="EMW22" s="126"/>
      <c r="EMX22" s="126"/>
      <c r="EMY22" s="126"/>
      <c r="EMZ22" s="126"/>
      <c r="ENA22" s="126"/>
      <c r="ENB22" s="126"/>
      <c r="ENC22" s="126"/>
      <c r="END22" s="126"/>
      <c r="ENE22" s="126"/>
      <c r="ENF22" s="126"/>
      <c r="ENG22" s="126"/>
      <c r="ENH22" s="126"/>
      <c r="ENI22" s="126"/>
      <c r="ENJ22" s="126"/>
      <c r="ENK22" s="126"/>
      <c r="ENL22" s="126"/>
      <c r="ENM22" s="126"/>
      <c r="ENN22" s="126"/>
      <c r="ENO22" s="126"/>
      <c r="ENP22" s="126"/>
      <c r="ENQ22" s="126"/>
      <c r="ENR22" s="126"/>
      <c r="ENS22" s="126"/>
      <c r="ENT22" s="126"/>
      <c r="ENU22" s="126"/>
      <c r="ENV22" s="126"/>
      <c r="ENW22" s="126"/>
      <c r="ENX22" s="126"/>
      <c r="ENY22" s="126"/>
      <c r="ENZ22" s="126"/>
      <c r="EOA22" s="126"/>
      <c r="EOB22" s="126"/>
      <c r="EOC22" s="126"/>
      <c r="EOD22" s="126"/>
      <c r="EOE22" s="126"/>
      <c r="EOF22" s="126"/>
      <c r="EOG22" s="126"/>
      <c r="EOH22" s="126"/>
      <c r="EOI22" s="126"/>
      <c r="EOJ22" s="126"/>
      <c r="EOK22" s="126"/>
      <c r="EOL22" s="126"/>
      <c r="EOM22" s="126"/>
      <c r="EON22" s="126"/>
      <c r="EOO22" s="126"/>
      <c r="EOP22" s="126"/>
      <c r="EOQ22" s="126"/>
      <c r="EOR22" s="126"/>
      <c r="EOS22" s="126"/>
      <c r="EOT22" s="126"/>
      <c r="EOU22" s="126"/>
      <c r="EOV22" s="126"/>
      <c r="EOW22" s="126"/>
      <c r="EOX22" s="126"/>
      <c r="EOY22" s="126"/>
      <c r="EOZ22" s="126"/>
      <c r="EPA22" s="126"/>
      <c r="EPB22" s="126"/>
      <c r="EPC22" s="126"/>
      <c r="EPD22" s="126"/>
      <c r="EPE22" s="126"/>
      <c r="EPF22" s="126"/>
      <c r="EPG22" s="126"/>
      <c r="EPH22" s="126"/>
      <c r="EPI22" s="126"/>
      <c r="EPJ22" s="126"/>
      <c r="EPK22" s="126"/>
      <c r="EPL22" s="126"/>
      <c r="EPM22" s="126"/>
      <c r="EPN22" s="126"/>
      <c r="EPO22" s="126"/>
      <c r="EPP22" s="126"/>
      <c r="EPQ22" s="126"/>
      <c r="EPR22" s="126"/>
      <c r="EPS22" s="126"/>
      <c r="EPT22" s="126"/>
      <c r="EPU22" s="126"/>
      <c r="EPV22" s="126"/>
      <c r="EPW22" s="126"/>
      <c r="EPX22" s="126"/>
      <c r="EPY22" s="126"/>
      <c r="EPZ22" s="126"/>
      <c r="EQA22" s="126"/>
      <c r="EQB22" s="126"/>
      <c r="EQC22" s="126"/>
      <c r="EQD22" s="126"/>
      <c r="EQE22" s="126"/>
      <c r="EQF22" s="126"/>
      <c r="EQG22" s="126"/>
      <c r="EQH22" s="126"/>
      <c r="EQI22" s="126"/>
      <c r="EQJ22" s="126"/>
      <c r="EQK22" s="126"/>
      <c r="EQL22" s="126"/>
      <c r="EQM22" s="126"/>
      <c r="EQN22" s="126"/>
      <c r="EQO22" s="126"/>
      <c r="EQP22" s="126"/>
      <c r="EQQ22" s="126"/>
      <c r="EQR22" s="126"/>
      <c r="EQS22" s="126"/>
      <c r="EQT22" s="126"/>
      <c r="EQU22" s="126"/>
      <c r="EQV22" s="126"/>
      <c r="EQW22" s="126"/>
      <c r="EQX22" s="126"/>
      <c r="EQY22" s="126"/>
      <c r="EQZ22" s="126"/>
      <c r="ERA22" s="126"/>
      <c r="ERB22" s="126"/>
      <c r="ERC22" s="126"/>
      <c r="ERD22" s="126"/>
      <c r="ERE22" s="126"/>
      <c r="ERF22" s="126"/>
      <c r="ERG22" s="126"/>
      <c r="ERH22" s="126"/>
      <c r="ERI22" s="126"/>
      <c r="ERJ22" s="126"/>
      <c r="ERK22" s="126"/>
      <c r="ERL22" s="126"/>
      <c r="ERM22" s="126"/>
      <c r="ERN22" s="126"/>
      <c r="ERO22" s="126"/>
      <c r="ERP22" s="126"/>
      <c r="ERQ22" s="126"/>
      <c r="ERR22" s="126"/>
      <c r="ERS22" s="126"/>
      <c r="ERT22" s="126"/>
      <c r="ERU22" s="126"/>
      <c r="ERV22" s="126"/>
      <c r="ERW22" s="126"/>
      <c r="ERX22" s="126"/>
      <c r="ERY22" s="126"/>
      <c r="ERZ22" s="126"/>
      <c r="ESA22" s="126"/>
      <c r="ESB22" s="126"/>
      <c r="ESC22" s="126"/>
      <c r="ESD22" s="126"/>
      <c r="ESE22" s="126"/>
      <c r="ESF22" s="126"/>
      <c r="ESG22" s="126"/>
      <c r="ESH22" s="126"/>
      <c r="ESI22" s="126"/>
      <c r="ESJ22" s="126"/>
      <c r="ESK22" s="126"/>
      <c r="ESL22" s="126"/>
      <c r="ESM22" s="126"/>
      <c r="ESN22" s="126"/>
      <c r="ESO22" s="126"/>
      <c r="ESP22" s="126"/>
      <c r="ESQ22" s="126"/>
      <c r="ESR22" s="126"/>
      <c r="ESS22" s="126"/>
      <c r="EST22" s="126"/>
      <c r="ESU22" s="126"/>
      <c r="ESV22" s="126"/>
      <c r="ESW22" s="126"/>
      <c r="ESX22" s="126"/>
      <c r="ESY22" s="126"/>
      <c r="ESZ22" s="126"/>
      <c r="ETA22" s="126"/>
      <c r="ETB22" s="126"/>
      <c r="ETC22" s="126"/>
      <c r="ETD22" s="126"/>
      <c r="ETE22" s="126"/>
      <c r="ETF22" s="126"/>
      <c r="ETG22" s="126"/>
      <c r="ETH22" s="126"/>
      <c r="ETI22" s="126"/>
      <c r="ETJ22" s="126"/>
      <c r="ETK22" s="126"/>
      <c r="ETL22" s="126"/>
      <c r="ETM22" s="126"/>
      <c r="ETN22" s="126"/>
      <c r="ETO22" s="126"/>
      <c r="ETP22" s="126"/>
      <c r="ETQ22" s="126"/>
      <c r="ETR22" s="126"/>
      <c r="ETS22" s="126"/>
      <c r="ETT22" s="126"/>
      <c r="ETU22" s="126"/>
      <c r="ETV22" s="126"/>
      <c r="ETW22" s="126"/>
      <c r="ETX22" s="126"/>
      <c r="ETY22" s="126"/>
      <c r="ETZ22" s="126"/>
      <c r="EUA22" s="126"/>
      <c r="EUB22" s="126"/>
      <c r="EUC22" s="126"/>
      <c r="EUD22" s="126"/>
      <c r="EUE22" s="126"/>
      <c r="EUF22" s="126"/>
      <c r="EUG22" s="126"/>
      <c r="EUH22" s="126"/>
      <c r="EUI22" s="126"/>
      <c r="EUJ22" s="126"/>
      <c r="EUK22" s="126"/>
      <c r="EUL22" s="126"/>
      <c r="EUM22" s="126"/>
      <c r="EUN22" s="126"/>
      <c r="EUO22" s="126"/>
      <c r="EUP22" s="126"/>
      <c r="EUQ22" s="126"/>
      <c r="EUR22" s="126"/>
      <c r="EUS22" s="126"/>
      <c r="EUT22" s="126"/>
      <c r="EUU22" s="126"/>
      <c r="EUV22" s="126"/>
      <c r="EUW22" s="126"/>
      <c r="EUX22" s="126"/>
      <c r="EUY22" s="126"/>
      <c r="EUZ22" s="126"/>
      <c r="EVA22" s="126"/>
      <c r="EVB22" s="126"/>
      <c r="EVC22" s="126"/>
      <c r="EVD22" s="126"/>
      <c r="EVE22" s="126"/>
      <c r="EVF22" s="126"/>
      <c r="EVG22" s="126"/>
      <c r="EVH22" s="126"/>
      <c r="EVI22" s="126"/>
      <c r="EVJ22" s="126"/>
      <c r="EVK22" s="126"/>
      <c r="EVL22" s="126"/>
      <c r="EVM22" s="126"/>
      <c r="EVN22" s="126"/>
      <c r="EVO22" s="126"/>
      <c r="EVP22" s="126"/>
      <c r="EVQ22" s="126"/>
      <c r="EVR22" s="126"/>
      <c r="EVS22" s="126"/>
      <c r="EVT22" s="126"/>
      <c r="EVU22" s="126"/>
      <c r="EVV22" s="126"/>
      <c r="EVW22" s="126"/>
      <c r="EVX22" s="126"/>
      <c r="EVY22" s="126"/>
      <c r="EVZ22" s="126"/>
      <c r="EWA22" s="126"/>
      <c r="EWB22" s="126"/>
      <c r="EWC22" s="126"/>
      <c r="EWD22" s="126"/>
      <c r="EWE22" s="126"/>
      <c r="EWF22" s="126"/>
      <c r="EWG22" s="126"/>
      <c r="EWH22" s="126"/>
      <c r="EWI22" s="126"/>
      <c r="EWJ22" s="126"/>
      <c r="EWK22" s="126"/>
      <c r="EWL22" s="126"/>
      <c r="EWM22" s="126"/>
      <c r="EWN22" s="126"/>
      <c r="EWO22" s="126"/>
      <c r="EWP22" s="126"/>
      <c r="EWQ22" s="126"/>
      <c r="EWR22" s="126"/>
      <c r="EWS22" s="126"/>
      <c r="EWT22" s="126"/>
      <c r="EWU22" s="126"/>
      <c r="EWV22" s="126"/>
      <c r="EWW22" s="126"/>
      <c r="EWX22" s="126"/>
      <c r="EWY22" s="126"/>
      <c r="EWZ22" s="126"/>
      <c r="EXA22" s="126"/>
      <c r="EXB22" s="126"/>
      <c r="EXC22" s="126"/>
      <c r="EXD22" s="126"/>
      <c r="EXE22" s="126"/>
      <c r="EXF22" s="126"/>
      <c r="EXG22" s="126"/>
      <c r="EXH22" s="126"/>
      <c r="EXI22" s="126"/>
      <c r="EXJ22" s="126"/>
      <c r="EXK22" s="126"/>
      <c r="EXL22" s="126"/>
      <c r="EXM22" s="126"/>
      <c r="EXN22" s="126"/>
      <c r="EXO22" s="126"/>
      <c r="EXP22" s="126"/>
      <c r="EXQ22" s="126"/>
      <c r="EXR22" s="126"/>
      <c r="EXS22" s="126"/>
      <c r="EXT22" s="126"/>
      <c r="EXU22" s="126"/>
      <c r="EXV22" s="126"/>
      <c r="EXW22" s="126"/>
      <c r="EXX22" s="126"/>
      <c r="EXY22" s="126"/>
      <c r="EXZ22" s="126"/>
      <c r="EYA22" s="126"/>
      <c r="EYB22" s="126"/>
      <c r="EYC22" s="126"/>
      <c r="EYD22" s="126"/>
      <c r="EYE22" s="126"/>
      <c r="EYF22" s="126"/>
      <c r="EYG22" s="126"/>
      <c r="EYH22" s="126"/>
      <c r="EYI22" s="126"/>
      <c r="EYJ22" s="126"/>
      <c r="EYK22" s="126"/>
      <c r="EYL22" s="126"/>
      <c r="EYM22" s="126"/>
      <c r="EYN22" s="126"/>
      <c r="EYO22" s="126"/>
      <c r="EYP22" s="126"/>
      <c r="EYQ22" s="126"/>
      <c r="EYR22" s="126"/>
      <c r="EYS22" s="126"/>
      <c r="EYT22" s="126"/>
      <c r="EYU22" s="126"/>
      <c r="EYV22" s="126"/>
      <c r="EYW22" s="126"/>
      <c r="EYX22" s="126"/>
      <c r="EYY22" s="126"/>
      <c r="EYZ22" s="126"/>
      <c r="EZA22" s="126"/>
      <c r="EZB22" s="126"/>
      <c r="EZC22" s="126"/>
      <c r="EZD22" s="126"/>
      <c r="EZE22" s="126"/>
      <c r="EZF22" s="126"/>
      <c r="EZG22" s="126"/>
      <c r="EZH22" s="126"/>
      <c r="EZI22" s="126"/>
      <c r="EZJ22" s="126"/>
      <c r="EZK22" s="126"/>
      <c r="EZL22" s="126"/>
      <c r="EZM22" s="126"/>
      <c r="EZN22" s="126"/>
      <c r="EZO22" s="126"/>
      <c r="EZP22" s="126"/>
      <c r="EZQ22" s="126"/>
      <c r="EZR22" s="126"/>
      <c r="EZS22" s="126"/>
      <c r="EZT22" s="126"/>
      <c r="EZU22" s="126"/>
      <c r="EZV22" s="126"/>
      <c r="EZW22" s="126"/>
      <c r="EZX22" s="126"/>
      <c r="EZY22" s="126"/>
      <c r="EZZ22" s="126"/>
      <c r="FAA22" s="126"/>
      <c r="FAB22" s="126"/>
      <c r="FAC22" s="126"/>
      <c r="FAD22" s="126"/>
      <c r="FAE22" s="126"/>
      <c r="FAF22" s="126"/>
      <c r="FAG22" s="126"/>
      <c r="FAH22" s="126"/>
      <c r="FAI22" s="126"/>
      <c r="FAJ22" s="126"/>
      <c r="FAK22" s="126"/>
      <c r="FAL22" s="126"/>
      <c r="FAM22" s="126"/>
      <c r="FAN22" s="126"/>
      <c r="FAO22" s="126"/>
      <c r="FAP22" s="126"/>
      <c r="FAQ22" s="126"/>
      <c r="FAR22" s="126"/>
      <c r="FAS22" s="126"/>
      <c r="FAT22" s="126"/>
      <c r="FAU22" s="126"/>
      <c r="FAV22" s="126"/>
      <c r="FAW22" s="126"/>
      <c r="FAX22" s="126"/>
      <c r="FAY22" s="126"/>
      <c r="FAZ22" s="126"/>
      <c r="FBA22" s="126"/>
      <c r="FBB22" s="126"/>
      <c r="FBC22" s="126"/>
      <c r="FBD22" s="126"/>
      <c r="FBE22" s="126"/>
      <c r="FBF22" s="126"/>
      <c r="FBG22" s="126"/>
      <c r="FBH22" s="126"/>
      <c r="FBI22" s="126"/>
      <c r="FBJ22" s="126"/>
      <c r="FBK22" s="126"/>
      <c r="FBL22" s="126"/>
      <c r="FBM22" s="126"/>
      <c r="FBN22" s="126"/>
      <c r="FBO22" s="126"/>
      <c r="FBP22" s="126"/>
      <c r="FBQ22" s="126"/>
      <c r="FBR22" s="126"/>
      <c r="FBS22" s="126"/>
      <c r="FBT22" s="126"/>
      <c r="FBU22" s="126"/>
      <c r="FBV22" s="126"/>
      <c r="FBW22" s="126"/>
      <c r="FBX22" s="126"/>
      <c r="FBY22" s="126"/>
      <c r="FBZ22" s="126"/>
      <c r="FCA22" s="126"/>
      <c r="FCB22" s="126"/>
      <c r="FCC22" s="126"/>
      <c r="FCD22" s="126"/>
      <c r="FCE22" s="126"/>
      <c r="FCF22" s="126"/>
      <c r="FCG22" s="126"/>
      <c r="FCH22" s="126"/>
      <c r="FCI22" s="126"/>
      <c r="FCJ22" s="126"/>
      <c r="FCK22" s="126"/>
      <c r="FCL22" s="126"/>
      <c r="FCM22" s="126"/>
      <c r="FCN22" s="126"/>
      <c r="FCO22" s="126"/>
      <c r="FCP22" s="126"/>
      <c r="FCQ22" s="126"/>
      <c r="FCR22" s="126"/>
      <c r="FCS22" s="126"/>
      <c r="FCT22" s="126"/>
      <c r="FCU22" s="126"/>
      <c r="FCV22" s="126"/>
      <c r="FCW22" s="126"/>
      <c r="FCX22" s="126"/>
      <c r="FCY22" s="126"/>
      <c r="FCZ22" s="126"/>
      <c r="FDA22" s="126"/>
      <c r="FDB22" s="126"/>
      <c r="FDC22" s="126"/>
      <c r="FDD22" s="126"/>
      <c r="FDE22" s="126"/>
      <c r="FDF22" s="126"/>
      <c r="FDG22" s="126"/>
      <c r="FDH22" s="126"/>
      <c r="FDI22" s="126"/>
      <c r="FDJ22" s="126"/>
      <c r="FDK22" s="126"/>
      <c r="FDL22" s="126"/>
      <c r="FDM22" s="126"/>
      <c r="FDN22" s="126"/>
      <c r="FDO22" s="126"/>
      <c r="FDP22" s="126"/>
      <c r="FDQ22" s="126"/>
      <c r="FDR22" s="126"/>
      <c r="FDS22" s="126"/>
      <c r="FDT22" s="126"/>
      <c r="FDU22" s="126"/>
      <c r="FDV22" s="126"/>
      <c r="FDW22" s="126"/>
      <c r="FDX22" s="126"/>
      <c r="FDY22" s="126"/>
      <c r="FDZ22" s="126"/>
      <c r="FEA22" s="126"/>
      <c r="FEB22" s="126"/>
      <c r="FEC22" s="126"/>
      <c r="FED22" s="126"/>
      <c r="FEE22" s="126"/>
      <c r="FEF22" s="126"/>
      <c r="FEG22" s="126"/>
      <c r="FEH22" s="126"/>
      <c r="FEI22" s="126"/>
      <c r="FEJ22" s="126"/>
      <c r="FEK22" s="126"/>
      <c r="FEL22" s="126"/>
      <c r="FEM22" s="126"/>
      <c r="FEN22" s="126"/>
      <c r="FEO22" s="126"/>
      <c r="FEP22" s="126"/>
      <c r="FEQ22" s="126"/>
      <c r="FER22" s="126"/>
      <c r="FES22" s="126"/>
      <c r="FET22" s="126"/>
      <c r="FEU22" s="126"/>
      <c r="FEV22" s="126"/>
      <c r="FEW22" s="126"/>
      <c r="FEX22" s="126"/>
      <c r="FEY22" s="126"/>
      <c r="FEZ22" s="126"/>
      <c r="FFA22" s="126"/>
      <c r="FFB22" s="126"/>
      <c r="FFC22" s="126"/>
      <c r="FFD22" s="126"/>
      <c r="FFE22" s="126"/>
      <c r="FFF22" s="126"/>
      <c r="FFG22" s="126"/>
      <c r="FFH22" s="126"/>
      <c r="FFI22" s="126"/>
      <c r="FFJ22" s="126"/>
      <c r="FFK22" s="126"/>
      <c r="FFL22" s="126"/>
      <c r="FFM22" s="126"/>
      <c r="FFN22" s="126"/>
      <c r="FFO22" s="126"/>
      <c r="FFP22" s="126"/>
      <c r="FFQ22" s="126"/>
      <c r="FFR22" s="126"/>
      <c r="FFS22" s="126"/>
      <c r="FFT22" s="126"/>
      <c r="FFU22" s="126"/>
      <c r="FFV22" s="126"/>
      <c r="FFW22" s="126"/>
      <c r="FFX22" s="126"/>
      <c r="FFY22" s="126"/>
      <c r="FFZ22" s="126"/>
      <c r="FGA22" s="126"/>
      <c r="FGB22" s="126"/>
      <c r="FGC22" s="126"/>
      <c r="FGD22" s="126"/>
      <c r="FGE22" s="126"/>
      <c r="FGF22" s="126"/>
      <c r="FGG22" s="126"/>
      <c r="FGH22" s="126"/>
      <c r="FGI22" s="126"/>
      <c r="FGJ22" s="126"/>
      <c r="FGK22" s="126"/>
      <c r="FGL22" s="126"/>
      <c r="FGM22" s="126"/>
      <c r="FGN22" s="126"/>
      <c r="FGO22" s="126"/>
      <c r="FGP22" s="126"/>
      <c r="FGQ22" s="126"/>
      <c r="FGR22" s="126"/>
      <c r="FGS22" s="126"/>
      <c r="FGT22" s="126"/>
      <c r="FGU22" s="126"/>
      <c r="FGV22" s="126"/>
      <c r="FGW22" s="126"/>
      <c r="FGX22" s="126"/>
      <c r="FGY22" s="126"/>
      <c r="FGZ22" s="126"/>
      <c r="FHA22" s="126"/>
      <c r="FHB22" s="126"/>
      <c r="FHC22" s="126"/>
      <c r="FHD22" s="126"/>
      <c r="FHE22" s="126"/>
      <c r="FHF22" s="126"/>
      <c r="FHG22" s="126"/>
      <c r="FHH22" s="126"/>
      <c r="FHI22" s="126"/>
      <c r="FHJ22" s="126"/>
      <c r="FHK22" s="126"/>
      <c r="FHL22" s="126"/>
      <c r="FHM22" s="126"/>
      <c r="FHN22" s="126"/>
      <c r="FHO22" s="126"/>
      <c r="FHP22" s="126"/>
      <c r="FHQ22" s="126"/>
      <c r="FHR22" s="126"/>
      <c r="FHS22" s="126"/>
      <c r="FHT22" s="126"/>
      <c r="FHU22" s="126"/>
      <c r="FHV22" s="126"/>
      <c r="FHW22" s="126"/>
      <c r="FHX22" s="126"/>
      <c r="FHY22" s="126"/>
      <c r="FHZ22" s="126"/>
      <c r="FIA22" s="126"/>
      <c r="FIB22" s="126"/>
      <c r="FIC22" s="126"/>
      <c r="FID22" s="126"/>
      <c r="FIE22" s="126"/>
      <c r="FIF22" s="126"/>
      <c r="FIG22" s="126"/>
      <c r="FIH22" s="126"/>
      <c r="FII22" s="126"/>
      <c r="FIJ22" s="126"/>
      <c r="FIK22" s="126"/>
      <c r="FIL22" s="126"/>
      <c r="FIM22" s="126"/>
      <c r="FIN22" s="126"/>
      <c r="FIO22" s="126"/>
      <c r="FIP22" s="126"/>
      <c r="FIQ22" s="126"/>
      <c r="FIR22" s="126"/>
      <c r="FIS22" s="126"/>
      <c r="FIT22" s="126"/>
      <c r="FIU22" s="126"/>
      <c r="FIV22" s="126"/>
      <c r="FIW22" s="126"/>
      <c r="FIX22" s="126"/>
      <c r="FIY22" s="126"/>
      <c r="FIZ22" s="126"/>
      <c r="FJA22" s="126"/>
      <c r="FJB22" s="126"/>
      <c r="FJC22" s="126"/>
      <c r="FJD22" s="126"/>
      <c r="FJE22" s="126"/>
      <c r="FJF22" s="126"/>
      <c r="FJG22" s="126"/>
      <c r="FJH22" s="126"/>
      <c r="FJI22" s="126"/>
      <c r="FJJ22" s="126"/>
      <c r="FJK22" s="126"/>
      <c r="FJL22" s="126"/>
      <c r="FJM22" s="126"/>
      <c r="FJN22" s="126"/>
      <c r="FJO22" s="126"/>
      <c r="FJP22" s="126"/>
      <c r="FJQ22" s="126"/>
      <c r="FJR22" s="126"/>
      <c r="FJS22" s="126"/>
      <c r="FJT22" s="126"/>
      <c r="FJU22" s="126"/>
      <c r="FJV22" s="126"/>
      <c r="FJW22" s="126"/>
      <c r="FJX22" s="126"/>
      <c r="FJY22" s="126"/>
      <c r="FJZ22" s="126"/>
      <c r="FKA22" s="126"/>
      <c r="FKB22" s="126"/>
      <c r="FKC22" s="126"/>
      <c r="FKD22" s="126"/>
      <c r="FKE22" s="126"/>
      <c r="FKF22" s="126"/>
      <c r="FKG22" s="126"/>
      <c r="FKH22" s="126"/>
      <c r="FKI22" s="126"/>
      <c r="FKJ22" s="126"/>
      <c r="FKK22" s="126"/>
      <c r="FKL22" s="126"/>
      <c r="FKM22" s="126"/>
      <c r="FKN22" s="126"/>
      <c r="FKO22" s="126"/>
      <c r="FKP22" s="126"/>
      <c r="FKQ22" s="126"/>
      <c r="FKR22" s="126"/>
      <c r="FKS22" s="126"/>
      <c r="FKT22" s="126"/>
      <c r="FKU22" s="126"/>
      <c r="FKV22" s="126"/>
      <c r="FKW22" s="126"/>
      <c r="FKX22" s="126"/>
      <c r="FKY22" s="126"/>
      <c r="FKZ22" s="126"/>
      <c r="FLA22" s="126"/>
      <c r="FLB22" s="126"/>
      <c r="FLC22" s="126"/>
      <c r="FLD22" s="126"/>
      <c r="FLE22" s="126"/>
      <c r="FLF22" s="126"/>
      <c r="FLG22" s="126"/>
      <c r="FLH22" s="126"/>
      <c r="FLI22" s="126"/>
      <c r="FLJ22" s="126"/>
      <c r="FLK22" s="126"/>
      <c r="FLL22" s="126"/>
      <c r="FLM22" s="126"/>
      <c r="FLN22" s="126"/>
      <c r="FLO22" s="126"/>
      <c r="FLP22" s="126"/>
      <c r="FLQ22" s="126"/>
      <c r="FLR22" s="126"/>
      <c r="FLS22" s="126"/>
      <c r="FLT22" s="126"/>
      <c r="FLU22" s="126"/>
      <c r="FLV22" s="126"/>
      <c r="FLW22" s="126"/>
      <c r="FLX22" s="126"/>
      <c r="FLY22" s="126"/>
      <c r="FLZ22" s="126"/>
      <c r="FMA22" s="126"/>
      <c r="FMB22" s="126"/>
      <c r="FMC22" s="126"/>
      <c r="FMD22" s="126"/>
      <c r="FME22" s="126"/>
      <c r="FMF22" s="126"/>
      <c r="FMG22" s="126"/>
      <c r="FMH22" s="126"/>
      <c r="FMI22" s="126"/>
      <c r="FMJ22" s="126"/>
      <c r="FMK22" s="126"/>
      <c r="FML22" s="126"/>
      <c r="FMM22" s="126"/>
      <c r="FMN22" s="126"/>
      <c r="FMO22" s="126"/>
      <c r="FMP22" s="126"/>
      <c r="FMQ22" s="126"/>
      <c r="FMR22" s="126"/>
      <c r="FMS22" s="126"/>
      <c r="FMT22" s="126"/>
      <c r="FMU22" s="126"/>
      <c r="FMV22" s="126"/>
      <c r="FMW22" s="126"/>
      <c r="FMX22" s="126"/>
      <c r="FMY22" s="126"/>
      <c r="FMZ22" s="126"/>
      <c r="FNA22" s="126"/>
      <c r="FNB22" s="126"/>
      <c r="FNC22" s="126"/>
      <c r="FND22" s="126"/>
      <c r="FNE22" s="126"/>
      <c r="FNF22" s="126"/>
      <c r="FNG22" s="126"/>
      <c r="FNH22" s="126"/>
      <c r="FNI22" s="126"/>
      <c r="FNJ22" s="126"/>
      <c r="FNK22" s="126"/>
      <c r="FNL22" s="126"/>
      <c r="FNM22" s="126"/>
      <c r="FNN22" s="126"/>
      <c r="FNO22" s="126"/>
      <c r="FNP22" s="126"/>
      <c r="FNQ22" s="126"/>
      <c r="FNR22" s="126"/>
      <c r="FNS22" s="126"/>
      <c r="FNT22" s="126"/>
      <c r="FNU22" s="126"/>
      <c r="FNV22" s="126"/>
      <c r="FNW22" s="126"/>
      <c r="FNX22" s="126"/>
      <c r="FNY22" s="126"/>
      <c r="FNZ22" s="126"/>
      <c r="FOA22" s="126"/>
      <c r="FOB22" s="126"/>
      <c r="FOC22" s="126"/>
      <c r="FOD22" s="126"/>
      <c r="FOE22" s="126"/>
      <c r="FOF22" s="126"/>
      <c r="FOG22" s="126"/>
      <c r="FOH22" s="126"/>
      <c r="FOI22" s="126"/>
      <c r="FOJ22" s="126"/>
      <c r="FOK22" s="126"/>
      <c r="FOL22" s="126"/>
      <c r="FOM22" s="126"/>
      <c r="FON22" s="126"/>
      <c r="FOO22" s="126"/>
      <c r="FOP22" s="126"/>
      <c r="FOQ22" s="126"/>
      <c r="FOR22" s="126"/>
      <c r="FOS22" s="126"/>
      <c r="FOT22" s="126"/>
      <c r="FOU22" s="126"/>
      <c r="FOV22" s="126"/>
      <c r="FOW22" s="126"/>
      <c r="FOX22" s="126"/>
      <c r="FOY22" s="126"/>
      <c r="FOZ22" s="126"/>
      <c r="FPA22" s="126"/>
      <c r="FPB22" s="126"/>
      <c r="FPC22" s="126"/>
      <c r="FPD22" s="126"/>
      <c r="FPE22" s="126"/>
      <c r="FPF22" s="126"/>
      <c r="FPG22" s="126"/>
      <c r="FPH22" s="126"/>
      <c r="FPI22" s="126"/>
      <c r="FPJ22" s="126"/>
      <c r="FPK22" s="126"/>
      <c r="FPL22" s="126"/>
      <c r="FPM22" s="126"/>
      <c r="FPN22" s="126"/>
      <c r="FPO22" s="126"/>
      <c r="FPP22" s="126"/>
      <c r="FPQ22" s="126"/>
      <c r="FPR22" s="126"/>
      <c r="FPS22" s="126"/>
      <c r="FPT22" s="126"/>
      <c r="FPU22" s="126"/>
      <c r="FPV22" s="126"/>
      <c r="FPW22" s="126"/>
      <c r="FPX22" s="126"/>
      <c r="FPY22" s="126"/>
      <c r="FPZ22" s="126"/>
      <c r="FQA22" s="126"/>
      <c r="FQB22" s="126"/>
      <c r="FQC22" s="126"/>
      <c r="FQD22" s="126"/>
      <c r="FQE22" s="126"/>
      <c r="FQF22" s="126"/>
      <c r="FQG22" s="126"/>
      <c r="FQH22" s="126"/>
      <c r="FQI22" s="126"/>
      <c r="FQJ22" s="126"/>
      <c r="FQK22" s="126"/>
      <c r="FQL22" s="126"/>
      <c r="FQM22" s="126"/>
      <c r="FQN22" s="126"/>
      <c r="FQO22" s="126"/>
      <c r="FQP22" s="126"/>
      <c r="FQQ22" s="126"/>
      <c r="FQR22" s="126"/>
      <c r="FQS22" s="126"/>
      <c r="FQT22" s="126"/>
      <c r="FQU22" s="126"/>
      <c r="FQV22" s="126"/>
      <c r="FQW22" s="126"/>
      <c r="FQX22" s="126"/>
      <c r="FQY22" s="126"/>
      <c r="FQZ22" s="126"/>
      <c r="FRA22" s="126"/>
      <c r="FRB22" s="126"/>
      <c r="FRC22" s="126"/>
      <c r="FRD22" s="126"/>
      <c r="FRE22" s="126"/>
      <c r="FRF22" s="126"/>
      <c r="FRG22" s="126"/>
      <c r="FRH22" s="126"/>
      <c r="FRI22" s="126"/>
      <c r="FRJ22" s="126"/>
      <c r="FRK22" s="126"/>
      <c r="FRL22" s="126"/>
      <c r="FRM22" s="126"/>
      <c r="FRN22" s="126"/>
      <c r="FRO22" s="126"/>
      <c r="FRP22" s="126"/>
      <c r="FRQ22" s="126"/>
      <c r="FRR22" s="126"/>
      <c r="FRS22" s="126"/>
      <c r="FRT22" s="126"/>
      <c r="FRU22" s="126"/>
      <c r="FRV22" s="126"/>
      <c r="FRW22" s="126"/>
      <c r="FRX22" s="126"/>
      <c r="FRY22" s="126"/>
      <c r="FRZ22" s="126"/>
      <c r="FSA22" s="126"/>
      <c r="FSB22" s="126"/>
      <c r="FSC22" s="126"/>
      <c r="FSD22" s="126"/>
      <c r="FSE22" s="126"/>
      <c r="FSF22" s="126"/>
      <c r="FSG22" s="126"/>
      <c r="FSH22" s="126"/>
      <c r="FSI22" s="126"/>
      <c r="FSJ22" s="126"/>
      <c r="FSK22" s="126"/>
      <c r="FSL22" s="126"/>
      <c r="FSM22" s="126"/>
      <c r="FSN22" s="126"/>
      <c r="FSO22" s="126"/>
      <c r="FSP22" s="126"/>
      <c r="FSQ22" s="126"/>
      <c r="FSR22" s="126"/>
      <c r="FSS22" s="126"/>
      <c r="FST22" s="126"/>
      <c r="FSU22" s="126"/>
      <c r="FSV22" s="126"/>
      <c r="FSW22" s="126"/>
      <c r="FSX22" s="126"/>
      <c r="FSY22" s="126"/>
      <c r="FSZ22" s="126"/>
      <c r="FTA22" s="126"/>
      <c r="FTB22" s="126"/>
      <c r="FTC22" s="126"/>
      <c r="FTD22" s="126"/>
      <c r="FTE22" s="126"/>
      <c r="FTF22" s="126"/>
      <c r="FTG22" s="126"/>
      <c r="FTH22" s="126"/>
      <c r="FTI22" s="126"/>
      <c r="FTJ22" s="126"/>
      <c r="FTK22" s="126"/>
      <c r="FTL22" s="126"/>
      <c r="FTM22" s="126"/>
      <c r="FTN22" s="126"/>
      <c r="FTO22" s="126"/>
      <c r="FTP22" s="126"/>
      <c r="FTQ22" s="126"/>
      <c r="FTR22" s="126"/>
      <c r="FTS22" s="126"/>
      <c r="FTT22" s="126"/>
      <c r="FTU22" s="126"/>
      <c r="FTV22" s="126"/>
      <c r="FTW22" s="126"/>
      <c r="FTX22" s="126"/>
      <c r="FTY22" s="126"/>
      <c r="FTZ22" s="126"/>
      <c r="FUA22" s="126"/>
      <c r="FUB22" s="126"/>
      <c r="FUC22" s="126"/>
      <c r="FUD22" s="126"/>
      <c r="FUE22" s="126"/>
      <c r="FUF22" s="126"/>
      <c r="FUG22" s="126"/>
      <c r="FUH22" s="126"/>
      <c r="FUI22" s="126"/>
      <c r="FUJ22" s="126"/>
      <c r="FUK22" s="126"/>
      <c r="FUL22" s="126"/>
      <c r="FUM22" s="126"/>
      <c r="FUN22" s="126"/>
      <c r="FUO22" s="126"/>
      <c r="FUP22" s="126"/>
      <c r="FUQ22" s="126"/>
      <c r="FUR22" s="126"/>
      <c r="FUS22" s="126"/>
      <c r="FUT22" s="126"/>
      <c r="FUU22" s="126"/>
      <c r="FUV22" s="126"/>
      <c r="FUW22" s="126"/>
      <c r="FUX22" s="126"/>
      <c r="FUY22" s="126"/>
      <c r="FUZ22" s="126"/>
      <c r="FVA22" s="126"/>
      <c r="FVB22" s="126"/>
      <c r="FVC22" s="126"/>
      <c r="FVD22" s="126"/>
      <c r="FVE22" s="126"/>
      <c r="FVF22" s="126"/>
      <c r="FVG22" s="126"/>
      <c r="FVH22" s="126"/>
      <c r="FVI22" s="126"/>
      <c r="FVJ22" s="126"/>
      <c r="FVK22" s="126"/>
      <c r="FVL22" s="126"/>
      <c r="FVM22" s="126"/>
      <c r="FVN22" s="126"/>
      <c r="FVO22" s="126"/>
      <c r="FVP22" s="126"/>
      <c r="FVQ22" s="126"/>
      <c r="FVR22" s="126"/>
      <c r="FVS22" s="126"/>
      <c r="FVT22" s="126"/>
      <c r="FVU22" s="126"/>
      <c r="FVV22" s="126"/>
      <c r="FVW22" s="126"/>
      <c r="FVX22" s="126"/>
      <c r="FVY22" s="126"/>
      <c r="FVZ22" s="126"/>
      <c r="FWA22" s="126"/>
      <c r="FWB22" s="126"/>
      <c r="FWC22" s="126"/>
      <c r="FWD22" s="126"/>
      <c r="FWE22" s="126"/>
      <c r="FWF22" s="126"/>
      <c r="FWG22" s="126"/>
      <c r="FWH22" s="126"/>
      <c r="FWI22" s="126"/>
      <c r="FWJ22" s="126"/>
      <c r="FWK22" s="126"/>
      <c r="FWL22" s="126"/>
      <c r="FWM22" s="126"/>
      <c r="FWN22" s="126"/>
      <c r="FWO22" s="126"/>
      <c r="FWP22" s="126"/>
      <c r="FWQ22" s="126"/>
      <c r="FWR22" s="126"/>
      <c r="FWS22" s="126"/>
      <c r="FWT22" s="126"/>
      <c r="FWU22" s="126"/>
      <c r="FWV22" s="126"/>
      <c r="FWW22" s="126"/>
      <c r="FWX22" s="126"/>
      <c r="FWY22" s="126"/>
      <c r="FWZ22" s="126"/>
      <c r="FXA22" s="126"/>
      <c r="FXB22" s="126"/>
      <c r="FXC22" s="126"/>
      <c r="FXD22" s="126"/>
      <c r="FXE22" s="126"/>
      <c r="FXF22" s="126"/>
      <c r="FXG22" s="126"/>
      <c r="FXH22" s="126"/>
      <c r="FXI22" s="126"/>
      <c r="FXJ22" s="126"/>
      <c r="FXK22" s="126"/>
      <c r="FXL22" s="126"/>
      <c r="FXM22" s="126"/>
      <c r="FXN22" s="126"/>
      <c r="FXO22" s="126"/>
      <c r="FXP22" s="126"/>
      <c r="FXQ22" s="126"/>
      <c r="FXR22" s="126"/>
      <c r="FXS22" s="126"/>
      <c r="FXT22" s="126"/>
      <c r="FXU22" s="126"/>
      <c r="FXV22" s="126"/>
      <c r="FXW22" s="126"/>
      <c r="FXX22" s="126"/>
      <c r="FXY22" s="126"/>
      <c r="FXZ22" s="126"/>
      <c r="FYA22" s="126"/>
      <c r="FYB22" s="126"/>
      <c r="FYC22" s="126"/>
      <c r="FYD22" s="126"/>
      <c r="FYE22" s="126"/>
      <c r="FYF22" s="126"/>
      <c r="FYG22" s="126"/>
      <c r="FYH22" s="126"/>
      <c r="FYI22" s="126"/>
      <c r="FYJ22" s="126"/>
      <c r="FYK22" s="126"/>
      <c r="FYL22" s="126"/>
      <c r="FYM22" s="126"/>
      <c r="FYN22" s="126"/>
      <c r="FYO22" s="126"/>
      <c r="FYP22" s="126"/>
      <c r="FYQ22" s="126"/>
      <c r="FYR22" s="126"/>
      <c r="FYS22" s="126"/>
      <c r="FYT22" s="126"/>
      <c r="FYU22" s="126"/>
      <c r="FYV22" s="126"/>
      <c r="FYW22" s="126"/>
      <c r="FYX22" s="126"/>
      <c r="FYY22" s="126"/>
      <c r="FYZ22" s="126"/>
      <c r="FZA22" s="126"/>
      <c r="FZB22" s="126"/>
      <c r="FZC22" s="126"/>
      <c r="FZD22" s="126"/>
      <c r="FZE22" s="126"/>
      <c r="FZF22" s="126"/>
      <c r="FZG22" s="126"/>
      <c r="FZH22" s="126"/>
      <c r="FZI22" s="126"/>
      <c r="FZJ22" s="126"/>
      <c r="FZK22" s="126"/>
      <c r="FZL22" s="126"/>
      <c r="FZM22" s="126"/>
      <c r="FZN22" s="126"/>
      <c r="FZO22" s="126"/>
      <c r="FZP22" s="126"/>
      <c r="FZQ22" s="126"/>
      <c r="FZR22" s="126"/>
      <c r="FZS22" s="126"/>
      <c r="FZT22" s="126"/>
      <c r="FZU22" s="126"/>
      <c r="FZV22" s="126"/>
      <c r="FZW22" s="126"/>
      <c r="FZX22" s="126"/>
      <c r="FZY22" s="126"/>
      <c r="FZZ22" s="126"/>
      <c r="GAA22" s="126"/>
      <c r="GAB22" s="126"/>
      <c r="GAC22" s="126"/>
      <c r="GAD22" s="126"/>
      <c r="GAE22" s="126"/>
      <c r="GAF22" s="126"/>
      <c r="GAG22" s="126"/>
      <c r="GAH22" s="126"/>
      <c r="GAI22" s="126"/>
      <c r="GAJ22" s="126"/>
      <c r="GAK22" s="126"/>
      <c r="GAL22" s="126"/>
      <c r="GAM22" s="126"/>
      <c r="GAN22" s="126"/>
      <c r="GAO22" s="126"/>
      <c r="GAP22" s="126"/>
      <c r="GAQ22" s="126"/>
      <c r="GAR22" s="126"/>
      <c r="GAS22" s="126"/>
      <c r="GAT22" s="126"/>
      <c r="GAU22" s="126"/>
      <c r="GAV22" s="126"/>
      <c r="GAW22" s="126"/>
      <c r="GAX22" s="126"/>
      <c r="GAY22" s="126"/>
      <c r="GAZ22" s="126"/>
      <c r="GBA22" s="126"/>
      <c r="GBB22" s="126"/>
      <c r="GBC22" s="126"/>
      <c r="GBD22" s="126"/>
      <c r="GBE22" s="126"/>
      <c r="GBF22" s="126"/>
      <c r="GBG22" s="126"/>
      <c r="GBH22" s="126"/>
      <c r="GBI22" s="126"/>
      <c r="GBJ22" s="126"/>
      <c r="GBK22" s="126"/>
      <c r="GBL22" s="126"/>
      <c r="GBM22" s="126"/>
      <c r="GBN22" s="126"/>
      <c r="GBO22" s="126"/>
      <c r="GBP22" s="126"/>
      <c r="GBQ22" s="126"/>
      <c r="GBR22" s="126"/>
      <c r="GBS22" s="126"/>
      <c r="GBT22" s="126"/>
      <c r="GBU22" s="126"/>
      <c r="GBV22" s="126"/>
      <c r="GBW22" s="126"/>
      <c r="GBX22" s="126"/>
      <c r="GBY22" s="126"/>
      <c r="GBZ22" s="126"/>
      <c r="GCA22" s="126"/>
      <c r="GCB22" s="126"/>
      <c r="GCC22" s="126"/>
      <c r="GCD22" s="126"/>
      <c r="GCE22" s="126"/>
      <c r="GCF22" s="126"/>
      <c r="GCG22" s="126"/>
      <c r="GCH22" s="126"/>
      <c r="GCI22" s="126"/>
      <c r="GCJ22" s="126"/>
      <c r="GCK22" s="126"/>
      <c r="GCL22" s="126"/>
      <c r="GCM22" s="126"/>
      <c r="GCN22" s="126"/>
      <c r="GCO22" s="126"/>
      <c r="GCP22" s="126"/>
      <c r="GCQ22" s="126"/>
      <c r="GCR22" s="126"/>
      <c r="GCS22" s="126"/>
      <c r="GCT22" s="126"/>
      <c r="GCU22" s="126"/>
      <c r="GCV22" s="126"/>
      <c r="GCW22" s="126"/>
      <c r="GCX22" s="126"/>
      <c r="GCY22" s="126"/>
      <c r="GCZ22" s="126"/>
      <c r="GDA22" s="126"/>
      <c r="GDB22" s="126"/>
      <c r="GDC22" s="126"/>
      <c r="GDD22" s="126"/>
      <c r="GDE22" s="126"/>
      <c r="GDF22" s="126"/>
      <c r="GDG22" s="126"/>
      <c r="GDH22" s="126"/>
      <c r="GDI22" s="126"/>
      <c r="GDJ22" s="126"/>
      <c r="GDK22" s="126"/>
      <c r="GDL22" s="126"/>
      <c r="GDM22" s="126"/>
      <c r="GDN22" s="126"/>
      <c r="GDO22" s="126"/>
      <c r="GDP22" s="126"/>
      <c r="GDQ22" s="126"/>
      <c r="GDR22" s="126"/>
      <c r="GDS22" s="126"/>
      <c r="GDT22" s="126"/>
      <c r="GDU22" s="126"/>
      <c r="GDV22" s="126"/>
      <c r="GDW22" s="126"/>
      <c r="GDX22" s="126"/>
      <c r="GDY22" s="126"/>
      <c r="GDZ22" s="126"/>
      <c r="GEA22" s="126"/>
      <c r="GEB22" s="126"/>
      <c r="GEC22" s="126"/>
      <c r="GED22" s="126"/>
      <c r="GEE22" s="126"/>
      <c r="GEF22" s="126"/>
      <c r="GEG22" s="126"/>
      <c r="GEH22" s="126"/>
      <c r="GEI22" s="126"/>
      <c r="GEJ22" s="126"/>
      <c r="GEK22" s="126"/>
      <c r="GEL22" s="126"/>
      <c r="GEM22" s="126"/>
      <c r="GEN22" s="126"/>
      <c r="GEO22" s="126"/>
      <c r="GEP22" s="126"/>
      <c r="GEQ22" s="126"/>
      <c r="GER22" s="126"/>
      <c r="GES22" s="126"/>
      <c r="GET22" s="126"/>
      <c r="GEU22" s="126"/>
      <c r="GEV22" s="126"/>
      <c r="GEW22" s="126"/>
      <c r="GEX22" s="126"/>
      <c r="GEY22" s="126"/>
      <c r="GEZ22" s="126"/>
      <c r="GFA22" s="126"/>
      <c r="GFB22" s="126"/>
      <c r="GFC22" s="126"/>
      <c r="GFD22" s="126"/>
      <c r="GFE22" s="126"/>
      <c r="GFF22" s="126"/>
      <c r="GFG22" s="126"/>
      <c r="GFH22" s="126"/>
      <c r="GFI22" s="126"/>
      <c r="GFJ22" s="126"/>
      <c r="GFK22" s="126"/>
      <c r="GFL22" s="126"/>
      <c r="GFM22" s="126"/>
      <c r="GFN22" s="126"/>
      <c r="GFO22" s="126"/>
      <c r="GFP22" s="126"/>
      <c r="GFQ22" s="126"/>
      <c r="GFR22" s="126"/>
      <c r="GFS22" s="126"/>
      <c r="GFT22" s="126"/>
      <c r="GFU22" s="126"/>
      <c r="GFV22" s="126"/>
      <c r="GFW22" s="126"/>
      <c r="GFX22" s="126"/>
      <c r="GFY22" s="126"/>
      <c r="GFZ22" s="126"/>
      <c r="GGA22" s="126"/>
      <c r="GGB22" s="126"/>
      <c r="GGC22" s="126"/>
      <c r="GGD22" s="126"/>
      <c r="GGE22" s="126"/>
      <c r="GGF22" s="126"/>
      <c r="GGG22" s="126"/>
      <c r="GGH22" s="126"/>
      <c r="GGI22" s="126"/>
      <c r="GGJ22" s="126"/>
      <c r="GGK22" s="126"/>
      <c r="GGL22" s="126"/>
      <c r="GGM22" s="126"/>
      <c r="GGN22" s="126"/>
      <c r="GGO22" s="126"/>
      <c r="GGP22" s="126"/>
      <c r="GGQ22" s="126"/>
      <c r="GGR22" s="126"/>
      <c r="GGS22" s="126"/>
      <c r="GGT22" s="126"/>
      <c r="GGU22" s="126"/>
      <c r="GGV22" s="126"/>
      <c r="GGW22" s="126"/>
      <c r="GGX22" s="126"/>
      <c r="GGY22" s="126"/>
      <c r="GGZ22" s="126"/>
      <c r="GHA22" s="126"/>
      <c r="GHB22" s="126"/>
      <c r="GHC22" s="126"/>
      <c r="GHD22" s="126"/>
      <c r="GHE22" s="126"/>
      <c r="GHF22" s="126"/>
      <c r="GHG22" s="126"/>
      <c r="GHH22" s="126"/>
      <c r="GHI22" s="126"/>
      <c r="GHJ22" s="126"/>
      <c r="GHK22" s="126"/>
      <c r="GHL22" s="126"/>
      <c r="GHM22" s="126"/>
      <c r="GHN22" s="126"/>
      <c r="GHO22" s="126"/>
      <c r="GHP22" s="126"/>
      <c r="GHQ22" s="126"/>
      <c r="GHR22" s="126"/>
      <c r="GHS22" s="126"/>
      <c r="GHT22" s="126"/>
      <c r="GHU22" s="126"/>
      <c r="GHV22" s="126"/>
      <c r="GHW22" s="126"/>
      <c r="GHX22" s="126"/>
      <c r="GHY22" s="126"/>
      <c r="GHZ22" s="126"/>
      <c r="GIA22" s="126"/>
      <c r="GIB22" s="126"/>
      <c r="GIC22" s="126"/>
      <c r="GID22" s="126"/>
      <c r="GIE22" s="126"/>
      <c r="GIF22" s="126"/>
      <c r="GIG22" s="126"/>
      <c r="GIH22" s="126"/>
      <c r="GII22" s="126"/>
      <c r="GIJ22" s="126"/>
      <c r="GIK22" s="126"/>
      <c r="GIL22" s="126"/>
      <c r="GIM22" s="126"/>
      <c r="GIN22" s="126"/>
      <c r="GIO22" s="126"/>
      <c r="GIP22" s="126"/>
      <c r="GIQ22" s="126"/>
      <c r="GIR22" s="126"/>
      <c r="GIS22" s="126"/>
      <c r="GIT22" s="126"/>
      <c r="GIU22" s="126"/>
      <c r="GIV22" s="126"/>
      <c r="GIW22" s="126"/>
      <c r="GIX22" s="126"/>
      <c r="GIY22" s="126"/>
      <c r="GIZ22" s="126"/>
      <c r="GJA22" s="126"/>
      <c r="GJB22" s="126"/>
      <c r="GJC22" s="126"/>
      <c r="GJD22" s="126"/>
      <c r="GJE22" s="126"/>
      <c r="GJF22" s="126"/>
      <c r="GJG22" s="126"/>
      <c r="GJH22" s="126"/>
      <c r="GJI22" s="126"/>
      <c r="GJJ22" s="126"/>
      <c r="GJK22" s="126"/>
      <c r="GJL22" s="126"/>
      <c r="GJM22" s="126"/>
      <c r="GJN22" s="126"/>
      <c r="GJO22" s="126"/>
      <c r="GJP22" s="126"/>
      <c r="GJQ22" s="126"/>
      <c r="GJR22" s="126"/>
      <c r="GJS22" s="126"/>
      <c r="GJT22" s="126"/>
      <c r="GJU22" s="126"/>
      <c r="GJV22" s="126"/>
      <c r="GJW22" s="126"/>
      <c r="GJX22" s="126"/>
      <c r="GJY22" s="126"/>
      <c r="GJZ22" s="126"/>
      <c r="GKA22" s="126"/>
      <c r="GKB22" s="126"/>
      <c r="GKC22" s="126"/>
      <c r="GKD22" s="126"/>
      <c r="GKE22" s="126"/>
      <c r="GKF22" s="126"/>
      <c r="GKG22" s="126"/>
      <c r="GKH22" s="126"/>
      <c r="GKI22" s="126"/>
      <c r="GKJ22" s="126"/>
      <c r="GKK22" s="126"/>
      <c r="GKL22" s="126"/>
      <c r="GKM22" s="126"/>
      <c r="GKN22" s="126"/>
      <c r="GKO22" s="126"/>
      <c r="GKP22" s="126"/>
      <c r="GKQ22" s="126"/>
      <c r="GKR22" s="126"/>
      <c r="GKS22" s="126"/>
      <c r="GKT22" s="126"/>
      <c r="GKU22" s="126"/>
      <c r="GKV22" s="126"/>
      <c r="GKW22" s="126"/>
      <c r="GKX22" s="126"/>
      <c r="GKY22" s="126"/>
      <c r="GKZ22" s="126"/>
      <c r="GLA22" s="126"/>
      <c r="GLB22" s="126"/>
      <c r="GLC22" s="126"/>
      <c r="GLD22" s="126"/>
      <c r="GLE22" s="126"/>
      <c r="GLF22" s="126"/>
      <c r="GLG22" s="126"/>
      <c r="GLH22" s="126"/>
      <c r="GLI22" s="126"/>
      <c r="GLJ22" s="126"/>
      <c r="GLK22" s="126"/>
      <c r="GLL22" s="126"/>
      <c r="GLM22" s="126"/>
      <c r="GLN22" s="126"/>
      <c r="GLO22" s="126"/>
      <c r="GLP22" s="126"/>
      <c r="GLQ22" s="126"/>
      <c r="GLR22" s="126"/>
      <c r="GLS22" s="126"/>
      <c r="GLT22" s="126"/>
      <c r="GLU22" s="126"/>
      <c r="GLV22" s="126"/>
      <c r="GLW22" s="126"/>
      <c r="GLX22" s="126"/>
      <c r="GLY22" s="126"/>
      <c r="GLZ22" s="126"/>
      <c r="GMA22" s="126"/>
      <c r="GMB22" s="126"/>
      <c r="GMC22" s="126"/>
      <c r="GMD22" s="126"/>
      <c r="GME22" s="126"/>
      <c r="GMF22" s="126"/>
      <c r="GMG22" s="126"/>
      <c r="GMH22" s="126"/>
      <c r="GMI22" s="126"/>
      <c r="GMJ22" s="126"/>
      <c r="GMK22" s="126"/>
      <c r="GML22" s="126"/>
      <c r="GMM22" s="126"/>
      <c r="GMN22" s="126"/>
      <c r="GMO22" s="126"/>
      <c r="GMP22" s="126"/>
      <c r="GMQ22" s="126"/>
      <c r="GMR22" s="126"/>
      <c r="GMS22" s="126"/>
      <c r="GMT22" s="126"/>
      <c r="GMU22" s="126"/>
      <c r="GMV22" s="126"/>
      <c r="GMW22" s="126"/>
      <c r="GMX22" s="126"/>
      <c r="GMY22" s="126"/>
      <c r="GMZ22" s="126"/>
      <c r="GNA22" s="126"/>
      <c r="GNB22" s="126"/>
      <c r="GNC22" s="126"/>
      <c r="GND22" s="126"/>
      <c r="GNE22" s="126"/>
      <c r="GNF22" s="126"/>
      <c r="GNG22" s="126"/>
      <c r="GNH22" s="126"/>
      <c r="GNI22" s="126"/>
      <c r="GNJ22" s="126"/>
      <c r="GNK22" s="126"/>
      <c r="GNL22" s="126"/>
      <c r="GNM22" s="126"/>
      <c r="GNN22" s="126"/>
      <c r="GNO22" s="126"/>
      <c r="GNP22" s="126"/>
      <c r="GNQ22" s="126"/>
      <c r="GNR22" s="126"/>
      <c r="GNS22" s="126"/>
      <c r="GNT22" s="126"/>
      <c r="GNU22" s="126"/>
      <c r="GNV22" s="126"/>
      <c r="GNW22" s="126"/>
      <c r="GNX22" s="126"/>
      <c r="GNY22" s="126"/>
      <c r="GNZ22" s="126"/>
      <c r="GOA22" s="126"/>
      <c r="GOB22" s="126"/>
      <c r="GOC22" s="126"/>
      <c r="GOD22" s="126"/>
      <c r="GOE22" s="126"/>
      <c r="GOF22" s="126"/>
      <c r="GOG22" s="126"/>
      <c r="GOH22" s="126"/>
      <c r="GOI22" s="126"/>
      <c r="GOJ22" s="126"/>
      <c r="GOK22" s="126"/>
      <c r="GOL22" s="126"/>
      <c r="GOM22" s="126"/>
      <c r="GON22" s="126"/>
      <c r="GOO22" s="126"/>
      <c r="GOP22" s="126"/>
      <c r="GOQ22" s="126"/>
      <c r="GOR22" s="126"/>
      <c r="GOS22" s="126"/>
      <c r="GOT22" s="126"/>
      <c r="GOU22" s="126"/>
      <c r="GOV22" s="126"/>
      <c r="GOW22" s="126"/>
      <c r="GOX22" s="126"/>
      <c r="GOY22" s="126"/>
      <c r="GOZ22" s="126"/>
      <c r="GPA22" s="126"/>
      <c r="GPB22" s="126"/>
      <c r="GPC22" s="126"/>
      <c r="GPD22" s="126"/>
      <c r="GPE22" s="126"/>
      <c r="GPF22" s="126"/>
      <c r="GPG22" s="126"/>
      <c r="GPH22" s="126"/>
      <c r="GPI22" s="126"/>
      <c r="GPJ22" s="126"/>
      <c r="GPK22" s="126"/>
      <c r="GPL22" s="126"/>
      <c r="GPM22" s="126"/>
      <c r="GPN22" s="126"/>
      <c r="GPO22" s="126"/>
      <c r="GPP22" s="126"/>
      <c r="GPQ22" s="126"/>
      <c r="GPR22" s="126"/>
      <c r="GPS22" s="126"/>
      <c r="GPT22" s="126"/>
      <c r="GPU22" s="126"/>
      <c r="GPV22" s="126"/>
      <c r="GPW22" s="126"/>
      <c r="GPX22" s="126"/>
      <c r="GPY22" s="126"/>
      <c r="GPZ22" s="126"/>
      <c r="GQA22" s="126"/>
      <c r="GQB22" s="126"/>
      <c r="GQC22" s="126"/>
      <c r="GQD22" s="126"/>
      <c r="GQE22" s="126"/>
      <c r="GQF22" s="126"/>
      <c r="GQG22" s="126"/>
      <c r="GQH22" s="126"/>
      <c r="GQI22" s="126"/>
      <c r="GQJ22" s="126"/>
      <c r="GQK22" s="126"/>
      <c r="GQL22" s="126"/>
      <c r="GQM22" s="126"/>
      <c r="GQN22" s="126"/>
      <c r="GQO22" s="126"/>
      <c r="GQP22" s="126"/>
      <c r="GQQ22" s="126"/>
      <c r="GQR22" s="126"/>
      <c r="GQS22" s="126"/>
      <c r="GQT22" s="126"/>
      <c r="GQU22" s="126"/>
      <c r="GQV22" s="126"/>
      <c r="GQW22" s="126"/>
      <c r="GQX22" s="126"/>
      <c r="GQY22" s="126"/>
      <c r="GQZ22" s="126"/>
      <c r="GRA22" s="126"/>
      <c r="GRB22" s="126"/>
      <c r="GRC22" s="126"/>
      <c r="GRD22" s="126"/>
      <c r="GRE22" s="126"/>
      <c r="GRF22" s="126"/>
      <c r="GRG22" s="126"/>
      <c r="GRH22" s="126"/>
      <c r="GRI22" s="126"/>
      <c r="GRJ22" s="126"/>
      <c r="GRK22" s="126"/>
      <c r="GRL22" s="126"/>
      <c r="GRM22" s="126"/>
      <c r="GRN22" s="126"/>
      <c r="GRO22" s="126"/>
      <c r="GRP22" s="126"/>
      <c r="GRQ22" s="126"/>
      <c r="GRR22" s="126"/>
      <c r="GRS22" s="126"/>
      <c r="GRT22" s="126"/>
      <c r="GRU22" s="126"/>
      <c r="GRV22" s="126"/>
      <c r="GRW22" s="126"/>
      <c r="GRX22" s="126"/>
      <c r="GRY22" s="126"/>
      <c r="GRZ22" s="126"/>
      <c r="GSA22" s="126"/>
      <c r="GSB22" s="126"/>
      <c r="GSC22" s="126"/>
      <c r="GSD22" s="126"/>
      <c r="GSE22" s="126"/>
      <c r="GSF22" s="126"/>
      <c r="GSG22" s="126"/>
      <c r="GSH22" s="126"/>
      <c r="GSI22" s="126"/>
      <c r="GSJ22" s="126"/>
      <c r="GSK22" s="126"/>
      <c r="GSL22" s="126"/>
      <c r="GSM22" s="126"/>
      <c r="GSN22" s="126"/>
      <c r="GSO22" s="126"/>
      <c r="GSP22" s="126"/>
      <c r="GSQ22" s="126"/>
      <c r="GSR22" s="126"/>
      <c r="GSS22" s="126"/>
      <c r="GST22" s="126"/>
      <c r="GSU22" s="126"/>
      <c r="GSV22" s="126"/>
      <c r="GSW22" s="126"/>
      <c r="GSX22" s="126"/>
      <c r="GSY22" s="126"/>
      <c r="GSZ22" s="126"/>
      <c r="GTA22" s="126"/>
      <c r="GTB22" s="126"/>
      <c r="GTC22" s="126"/>
      <c r="GTD22" s="126"/>
      <c r="GTE22" s="126"/>
      <c r="GTF22" s="126"/>
      <c r="GTG22" s="126"/>
      <c r="GTH22" s="126"/>
      <c r="GTI22" s="126"/>
      <c r="GTJ22" s="126"/>
      <c r="GTK22" s="126"/>
      <c r="GTL22" s="126"/>
      <c r="GTM22" s="126"/>
      <c r="GTN22" s="126"/>
      <c r="GTO22" s="126"/>
      <c r="GTP22" s="126"/>
      <c r="GTQ22" s="126"/>
      <c r="GTR22" s="126"/>
      <c r="GTS22" s="126"/>
      <c r="GTT22" s="126"/>
      <c r="GTU22" s="126"/>
      <c r="GTV22" s="126"/>
      <c r="GTW22" s="126"/>
      <c r="GTX22" s="126"/>
      <c r="GTY22" s="126"/>
      <c r="GTZ22" s="126"/>
      <c r="GUA22" s="126"/>
      <c r="GUB22" s="126"/>
      <c r="GUC22" s="126"/>
      <c r="GUD22" s="126"/>
      <c r="GUE22" s="126"/>
      <c r="GUF22" s="126"/>
      <c r="GUG22" s="126"/>
      <c r="GUH22" s="126"/>
      <c r="GUI22" s="126"/>
      <c r="GUJ22" s="126"/>
      <c r="GUK22" s="126"/>
      <c r="GUL22" s="126"/>
      <c r="GUM22" s="126"/>
      <c r="GUN22" s="126"/>
      <c r="GUO22" s="126"/>
      <c r="GUP22" s="126"/>
      <c r="GUQ22" s="126"/>
      <c r="GUR22" s="126"/>
      <c r="GUS22" s="126"/>
      <c r="GUT22" s="126"/>
      <c r="GUU22" s="126"/>
      <c r="GUV22" s="126"/>
      <c r="GUW22" s="126"/>
      <c r="GUX22" s="126"/>
      <c r="GUY22" s="126"/>
      <c r="GUZ22" s="126"/>
      <c r="GVA22" s="126"/>
      <c r="GVB22" s="126"/>
      <c r="GVC22" s="126"/>
      <c r="GVD22" s="126"/>
      <c r="GVE22" s="126"/>
      <c r="GVF22" s="126"/>
      <c r="GVG22" s="126"/>
      <c r="GVH22" s="126"/>
      <c r="GVI22" s="126"/>
      <c r="GVJ22" s="126"/>
      <c r="GVK22" s="126"/>
      <c r="GVL22" s="126"/>
      <c r="GVM22" s="126"/>
      <c r="GVN22" s="126"/>
      <c r="GVO22" s="126"/>
      <c r="GVP22" s="126"/>
      <c r="GVQ22" s="126"/>
      <c r="GVR22" s="126"/>
      <c r="GVS22" s="126"/>
      <c r="GVT22" s="126"/>
      <c r="GVU22" s="126"/>
      <c r="GVV22" s="126"/>
      <c r="GVW22" s="126"/>
      <c r="GVX22" s="126"/>
      <c r="GVY22" s="126"/>
      <c r="GVZ22" s="126"/>
      <c r="GWA22" s="126"/>
      <c r="GWB22" s="126"/>
      <c r="GWC22" s="126"/>
      <c r="GWD22" s="126"/>
      <c r="GWE22" s="126"/>
      <c r="GWF22" s="126"/>
      <c r="GWG22" s="126"/>
      <c r="GWH22" s="126"/>
      <c r="GWI22" s="126"/>
      <c r="GWJ22" s="126"/>
      <c r="GWK22" s="126"/>
      <c r="GWL22" s="126"/>
      <c r="GWM22" s="126"/>
      <c r="GWN22" s="126"/>
      <c r="GWO22" s="126"/>
      <c r="GWP22" s="126"/>
      <c r="GWQ22" s="126"/>
      <c r="GWR22" s="126"/>
      <c r="GWS22" s="126"/>
      <c r="GWT22" s="126"/>
      <c r="GWU22" s="126"/>
      <c r="GWV22" s="126"/>
      <c r="GWW22" s="126"/>
      <c r="GWX22" s="126"/>
      <c r="GWY22" s="126"/>
      <c r="GWZ22" s="126"/>
      <c r="GXA22" s="126"/>
      <c r="GXB22" s="126"/>
      <c r="GXC22" s="126"/>
      <c r="GXD22" s="126"/>
      <c r="GXE22" s="126"/>
      <c r="GXF22" s="126"/>
      <c r="GXG22" s="126"/>
      <c r="GXH22" s="126"/>
      <c r="GXI22" s="126"/>
      <c r="GXJ22" s="126"/>
      <c r="GXK22" s="126"/>
      <c r="GXL22" s="126"/>
      <c r="GXM22" s="126"/>
      <c r="GXN22" s="126"/>
      <c r="GXO22" s="126"/>
      <c r="GXP22" s="126"/>
      <c r="GXQ22" s="126"/>
      <c r="GXR22" s="126"/>
      <c r="GXS22" s="126"/>
      <c r="GXT22" s="126"/>
      <c r="GXU22" s="126"/>
      <c r="GXV22" s="126"/>
      <c r="GXW22" s="126"/>
      <c r="GXX22" s="126"/>
      <c r="GXY22" s="126"/>
      <c r="GXZ22" s="126"/>
      <c r="GYA22" s="126"/>
      <c r="GYB22" s="126"/>
      <c r="GYC22" s="126"/>
      <c r="GYD22" s="126"/>
      <c r="GYE22" s="126"/>
      <c r="GYF22" s="126"/>
      <c r="GYG22" s="126"/>
      <c r="GYH22" s="126"/>
      <c r="GYI22" s="126"/>
      <c r="GYJ22" s="126"/>
      <c r="GYK22" s="126"/>
      <c r="GYL22" s="126"/>
      <c r="GYM22" s="126"/>
      <c r="GYN22" s="126"/>
      <c r="GYO22" s="126"/>
      <c r="GYP22" s="126"/>
      <c r="GYQ22" s="126"/>
      <c r="GYR22" s="126"/>
      <c r="GYS22" s="126"/>
      <c r="GYT22" s="126"/>
      <c r="GYU22" s="126"/>
      <c r="GYV22" s="126"/>
      <c r="GYW22" s="126"/>
      <c r="GYX22" s="126"/>
      <c r="GYY22" s="126"/>
      <c r="GYZ22" s="126"/>
      <c r="GZA22" s="126"/>
      <c r="GZB22" s="126"/>
      <c r="GZC22" s="126"/>
      <c r="GZD22" s="126"/>
      <c r="GZE22" s="126"/>
      <c r="GZF22" s="126"/>
      <c r="GZG22" s="126"/>
      <c r="GZH22" s="126"/>
      <c r="GZI22" s="126"/>
      <c r="GZJ22" s="126"/>
      <c r="GZK22" s="126"/>
      <c r="GZL22" s="126"/>
      <c r="GZM22" s="126"/>
      <c r="GZN22" s="126"/>
      <c r="GZO22" s="126"/>
      <c r="GZP22" s="126"/>
      <c r="GZQ22" s="126"/>
      <c r="GZR22" s="126"/>
      <c r="GZS22" s="126"/>
      <c r="GZT22" s="126"/>
      <c r="GZU22" s="126"/>
      <c r="GZV22" s="126"/>
      <c r="GZW22" s="126"/>
      <c r="GZX22" s="126"/>
      <c r="GZY22" s="126"/>
      <c r="GZZ22" s="126"/>
      <c r="HAA22" s="126"/>
      <c r="HAB22" s="126"/>
      <c r="HAC22" s="126"/>
      <c r="HAD22" s="126"/>
      <c r="HAE22" s="126"/>
      <c r="HAF22" s="126"/>
      <c r="HAG22" s="126"/>
      <c r="HAH22" s="126"/>
      <c r="HAI22" s="126"/>
      <c r="HAJ22" s="126"/>
      <c r="HAK22" s="126"/>
      <c r="HAL22" s="126"/>
      <c r="HAM22" s="126"/>
      <c r="HAN22" s="126"/>
      <c r="HAO22" s="126"/>
      <c r="HAP22" s="126"/>
      <c r="HAQ22" s="126"/>
      <c r="HAR22" s="126"/>
      <c r="HAS22" s="126"/>
      <c r="HAT22" s="126"/>
      <c r="HAU22" s="126"/>
      <c r="HAV22" s="126"/>
      <c r="HAW22" s="126"/>
      <c r="HAX22" s="126"/>
      <c r="HAY22" s="126"/>
      <c r="HAZ22" s="126"/>
      <c r="HBA22" s="126"/>
      <c r="HBB22" s="126"/>
      <c r="HBC22" s="126"/>
      <c r="HBD22" s="126"/>
      <c r="HBE22" s="126"/>
      <c r="HBF22" s="126"/>
      <c r="HBG22" s="126"/>
      <c r="HBH22" s="126"/>
      <c r="HBI22" s="126"/>
      <c r="HBJ22" s="126"/>
      <c r="HBK22" s="126"/>
      <c r="HBL22" s="126"/>
      <c r="HBM22" s="126"/>
      <c r="HBN22" s="126"/>
      <c r="HBO22" s="126"/>
      <c r="HBP22" s="126"/>
      <c r="HBQ22" s="126"/>
      <c r="HBR22" s="126"/>
      <c r="HBS22" s="126"/>
      <c r="HBT22" s="126"/>
      <c r="HBU22" s="126"/>
      <c r="HBV22" s="126"/>
      <c r="HBW22" s="126"/>
      <c r="HBX22" s="126"/>
      <c r="HBY22" s="126"/>
      <c r="HBZ22" s="126"/>
      <c r="HCA22" s="126"/>
      <c r="HCB22" s="126"/>
      <c r="HCC22" s="126"/>
      <c r="HCD22" s="126"/>
      <c r="HCE22" s="126"/>
      <c r="HCF22" s="126"/>
      <c r="HCG22" s="126"/>
      <c r="HCH22" s="126"/>
      <c r="HCI22" s="126"/>
      <c r="HCJ22" s="126"/>
      <c r="HCK22" s="126"/>
      <c r="HCL22" s="126"/>
      <c r="HCM22" s="126"/>
      <c r="HCN22" s="126"/>
      <c r="HCO22" s="126"/>
      <c r="HCP22" s="126"/>
      <c r="HCQ22" s="126"/>
      <c r="HCR22" s="126"/>
      <c r="HCS22" s="126"/>
      <c r="HCT22" s="126"/>
      <c r="HCU22" s="126"/>
      <c r="HCV22" s="126"/>
      <c r="HCW22" s="126"/>
      <c r="HCX22" s="126"/>
      <c r="HCY22" s="126"/>
      <c r="HCZ22" s="126"/>
      <c r="HDA22" s="126"/>
      <c r="HDB22" s="126"/>
      <c r="HDC22" s="126"/>
      <c r="HDD22" s="126"/>
      <c r="HDE22" s="126"/>
      <c r="HDF22" s="126"/>
      <c r="HDG22" s="126"/>
      <c r="HDH22" s="126"/>
      <c r="HDI22" s="126"/>
      <c r="HDJ22" s="126"/>
      <c r="HDK22" s="126"/>
      <c r="HDL22" s="126"/>
      <c r="HDM22" s="126"/>
      <c r="HDN22" s="126"/>
      <c r="HDO22" s="126"/>
      <c r="HDP22" s="126"/>
      <c r="HDQ22" s="126"/>
      <c r="HDR22" s="126"/>
      <c r="HDS22" s="126"/>
      <c r="HDT22" s="126"/>
      <c r="HDU22" s="126"/>
      <c r="HDV22" s="126"/>
      <c r="HDW22" s="126"/>
      <c r="HDX22" s="126"/>
      <c r="HDY22" s="126"/>
      <c r="HDZ22" s="126"/>
      <c r="HEA22" s="126"/>
      <c r="HEB22" s="126"/>
      <c r="HEC22" s="126"/>
      <c r="HED22" s="126"/>
      <c r="HEE22" s="126"/>
      <c r="HEF22" s="126"/>
      <c r="HEG22" s="126"/>
      <c r="HEH22" s="126"/>
      <c r="HEI22" s="126"/>
      <c r="HEJ22" s="126"/>
      <c r="HEK22" s="126"/>
      <c r="HEL22" s="126"/>
      <c r="HEM22" s="126"/>
      <c r="HEN22" s="126"/>
      <c r="HEO22" s="126"/>
      <c r="HEP22" s="126"/>
      <c r="HEQ22" s="126"/>
      <c r="HER22" s="126"/>
      <c r="HES22" s="126"/>
      <c r="HET22" s="126"/>
      <c r="HEU22" s="126"/>
      <c r="HEV22" s="126"/>
      <c r="HEW22" s="126"/>
      <c r="HEX22" s="126"/>
      <c r="HEY22" s="126"/>
      <c r="HEZ22" s="126"/>
      <c r="HFA22" s="126"/>
      <c r="HFB22" s="126"/>
      <c r="HFC22" s="126"/>
      <c r="HFD22" s="126"/>
      <c r="HFE22" s="126"/>
      <c r="HFF22" s="126"/>
      <c r="HFG22" s="126"/>
      <c r="HFH22" s="126"/>
      <c r="HFI22" s="126"/>
      <c r="HFJ22" s="126"/>
      <c r="HFK22" s="126"/>
      <c r="HFL22" s="126"/>
      <c r="HFM22" s="126"/>
      <c r="HFN22" s="126"/>
      <c r="HFO22" s="126"/>
      <c r="HFP22" s="126"/>
      <c r="HFQ22" s="126"/>
      <c r="HFR22" s="126"/>
      <c r="HFS22" s="126"/>
      <c r="HFT22" s="126"/>
      <c r="HFU22" s="126"/>
      <c r="HFV22" s="126"/>
      <c r="HFW22" s="126"/>
      <c r="HFX22" s="126"/>
      <c r="HFY22" s="126"/>
      <c r="HFZ22" s="126"/>
      <c r="HGA22" s="126"/>
      <c r="HGB22" s="126"/>
      <c r="HGC22" s="126"/>
      <c r="HGD22" s="126"/>
      <c r="HGE22" s="126"/>
      <c r="HGF22" s="126"/>
      <c r="HGG22" s="126"/>
      <c r="HGH22" s="126"/>
      <c r="HGI22" s="126"/>
      <c r="HGJ22" s="126"/>
      <c r="HGK22" s="126"/>
      <c r="HGL22" s="126"/>
      <c r="HGM22" s="126"/>
      <c r="HGN22" s="126"/>
      <c r="HGO22" s="126"/>
      <c r="HGP22" s="126"/>
      <c r="HGQ22" s="126"/>
      <c r="HGR22" s="126"/>
      <c r="HGS22" s="126"/>
      <c r="HGT22" s="126"/>
      <c r="HGU22" s="126"/>
      <c r="HGV22" s="126"/>
      <c r="HGW22" s="126"/>
      <c r="HGX22" s="126"/>
      <c r="HGY22" s="126"/>
      <c r="HGZ22" s="126"/>
      <c r="HHA22" s="126"/>
      <c r="HHB22" s="126"/>
      <c r="HHC22" s="126"/>
      <c r="HHD22" s="126"/>
      <c r="HHE22" s="126"/>
      <c r="HHF22" s="126"/>
      <c r="HHG22" s="126"/>
      <c r="HHH22" s="126"/>
      <c r="HHI22" s="126"/>
      <c r="HHJ22" s="126"/>
      <c r="HHK22" s="126"/>
      <c r="HHL22" s="126"/>
      <c r="HHM22" s="126"/>
      <c r="HHN22" s="126"/>
      <c r="HHO22" s="126"/>
      <c r="HHP22" s="126"/>
      <c r="HHQ22" s="126"/>
      <c r="HHR22" s="126"/>
      <c r="HHS22" s="126"/>
      <c r="HHT22" s="126"/>
      <c r="HHU22" s="126"/>
      <c r="HHV22" s="126"/>
      <c r="HHW22" s="126"/>
      <c r="HHX22" s="126"/>
      <c r="HHY22" s="126"/>
      <c r="HHZ22" s="126"/>
      <c r="HIA22" s="126"/>
      <c r="HIB22" s="126"/>
      <c r="HIC22" s="126"/>
      <c r="HID22" s="126"/>
      <c r="HIE22" s="126"/>
      <c r="HIF22" s="126"/>
      <c r="HIG22" s="126"/>
      <c r="HIH22" s="126"/>
      <c r="HII22" s="126"/>
      <c r="HIJ22" s="126"/>
      <c r="HIK22" s="126"/>
      <c r="HIL22" s="126"/>
      <c r="HIM22" s="126"/>
      <c r="HIN22" s="126"/>
      <c r="HIO22" s="126"/>
      <c r="HIP22" s="126"/>
      <c r="HIQ22" s="126"/>
      <c r="HIR22" s="126"/>
      <c r="HIS22" s="126"/>
      <c r="HIT22" s="126"/>
      <c r="HIU22" s="126"/>
      <c r="HIV22" s="126"/>
      <c r="HIW22" s="126"/>
      <c r="HIX22" s="126"/>
      <c r="HIY22" s="126"/>
      <c r="HIZ22" s="126"/>
      <c r="HJA22" s="126"/>
      <c r="HJB22" s="126"/>
      <c r="HJC22" s="126"/>
      <c r="HJD22" s="126"/>
      <c r="HJE22" s="126"/>
      <c r="HJF22" s="126"/>
      <c r="HJG22" s="126"/>
      <c r="HJH22" s="126"/>
      <c r="HJI22" s="126"/>
      <c r="HJJ22" s="126"/>
      <c r="HJK22" s="126"/>
      <c r="HJL22" s="126"/>
      <c r="HJM22" s="126"/>
      <c r="HJN22" s="126"/>
      <c r="HJO22" s="126"/>
      <c r="HJP22" s="126"/>
      <c r="HJQ22" s="126"/>
      <c r="HJR22" s="126"/>
      <c r="HJS22" s="126"/>
      <c r="HJT22" s="126"/>
      <c r="HJU22" s="126"/>
      <c r="HJV22" s="126"/>
      <c r="HJW22" s="126"/>
      <c r="HJX22" s="126"/>
      <c r="HJY22" s="126"/>
      <c r="HJZ22" s="126"/>
      <c r="HKA22" s="126"/>
      <c r="HKB22" s="126"/>
      <c r="HKC22" s="126"/>
      <c r="HKD22" s="126"/>
      <c r="HKE22" s="126"/>
      <c r="HKF22" s="126"/>
      <c r="HKG22" s="126"/>
      <c r="HKH22" s="126"/>
      <c r="HKI22" s="126"/>
      <c r="HKJ22" s="126"/>
      <c r="HKK22" s="126"/>
      <c r="HKL22" s="126"/>
      <c r="HKM22" s="126"/>
      <c r="HKN22" s="126"/>
      <c r="HKO22" s="126"/>
      <c r="HKP22" s="126"/>
      <c r="HKQ22" s="126"/>
      <c r="HKR22" s="126"/>
      <c r="HKS22" s="126"/>
      <c r="HKT22" s="126"/>
      <c r="HKU22" s="126"/>
      <c r="HKV22" s="126"/>
      <c r="HKW22" s="126"/>
      <c r="HKX22" s="126"/>
      <c r="HKY22" s="126"/>
      <c r="HKZ22" s="126"/>
      <c r="HLA22" s="126"/>
      <c r="HLB22" s="126"/>
      <c r="HLC22" s="126"/>
      <c r="HLD22" s="126"/>
      <c r="HLE22" s="126"/>
      <c r="HLF22" s="126"/>
      <c r="HLG22" s="126"/>
      <c r="HLH22" s="126"/>
      <c r="HLI22" s="126"/>
      <c r="HLJ22" s="126"/>
      <c r="HLK22" s="126"/>
      <c r="HLL22" s="126"/>
      <c r="HLM22" s="126"/>
      <c r="HLN22" s="126"/>
      <c r="HLO22" s="126"/>
      <c r="HLP22" s="126"/>
      <c r="HLQ22" s="126"/>
      <c r="HLR22" s="126"/>
      <c r="HLS22" s="126"/>
      <c r="HLT22" s="126"/>
      <c r="HLU22" s="126"/>
      <c r="HLV22" s="126"/>
      <c r="HLW22" s="126"/>
      <c r="HLX22" s="126"/>
      <c r="HLY22" s="126"/>
      <c r="HLZ22" s="126"/>
      <c r="HMA22" s="126"/>
      <c r="HMB22" s="126"/>
      <c r="HMC22" s="126"/>
      <c r="HMD22" s="126"/>
      <c r="HME22" s="126"/>
      <c r="HMF22" s="126"/>
      <c r="HMG22" s="126"/>
      <c r="HMH22" s="126"/>
      <c r="HMI22" s="126"/>
      <c r="HMJ22" s="126"/>
      <c r="HMK22" s="126"/>
      <c r="HML22" s="126"/>
      <c r="HMM22" s="126"/>
      <c r="HMN22" s="126"/>
      <c r="HMO22" s="126"/>
      <c r="HMP22" s="126"/>
      <c r="HMQ22" s="126"/>
      <c r="HMR22" s="126"/>
      <c r="HMS22" s="126"/>
      <c r="HMT22" s="126"/>
      <c r="HMU22" s="126"/>
      <c r="HMV22" s="126"/>
      <c r="HMW22" s="126"/>
      <c r="HMX22" s="126"/>
      <c r="HMY22" s="126"/>
      <c r="HMZ22" s="126"/>
      <c r="HNA22" s="126"/>
      <c r="HNB22" s="126"/>
      <c r="HNC22" s="126"/>
      <c r="HND22" s="126"/>
      <c r="HNE22" s="126"/>
      <c r="HNF22" s="126"/>
      <c r="HNG22" s="126"/>
      <c r="HNH22" s="126"/>
      <c r="HNI22" s="126"/>
      <c r="HNJ22" s="126"/>
      <c r="HNK22" s="126"/>
      <c r="HNL22" s="126"/>
      <c r="HNM22" s="126"/>
      <c r="HNN22" s="126"/>
      <c r="HNO22" s="126"/>
      <c r="HNP22" s="126"/>
      <c r="HNQ22" s="126"/>
      <c r="HNR22" s="126"/>
      <c r="HNS22" s="126"/>
      <c r="HNT22" s="126"/>
      <c r="HNU22" s="126"/>
      <c r="HNV22" s="126"/>
      <c r="HNW22" s="126"/>
      <c r="HNX22" s="126"/>
      <c r="HNY22" s="126"/>
      <c r="HNZ22" s="126"/>
      <c r="HOA22" s="126"/>
      <c r="HOB22" s="126"/>
      <c r="HOC22" s="126"/>
      <c r="HOD22" s="126"/>
      <c r="HOE22" s="126"/>
      <c r="HOF22" s="126"/>
      <c r="HOG22" s="126"/>
      <c r="HOH22" s="126"/>
      <c r="HOI22" s="126"/>
      <c r="HOJ22" s="126"/>
      <c r="HOK22" s="126"/>
      <c r="HOL22" s="126"/>
      <c r="HOM22" s="126"/>
      <c r="HON22" s="126"/>
      <c r="HOO22" s="126"/>
      <c r="HOP22" s="126"/>
      <c r="HOQ22" s="126"/>
      <c r="HOR22" s="126"/>
      <c r="HOS22" s="126"/>
      <c r="HOT22" s="126"/>
      <c r="HOU22" s="126"/>
      <c r="HOV22" s="126"/>
      <c r="HOW22" s="126"/>
      <c r="HOX22" s="126"/>
      <c r="HOY22" s="126"/>
      <c r="HOZ22" s="126"/>
      <c r="HPA22" s="126"/>
      <c r="HPB22" s="126"/>
      <c r="HPC22" s="126"/>
      <c r="HPD22" s="126"/>
      <c r="HPE22" s="126"/>
      <c r="HPF22" s="126"/>
      <c r="HPG22" s="126"/>
      <c r="HPH22" s="126"/>
      <c r="HPI22" s="126"/>
      <c r="HPJ22" s="126"/>
      <c r="HPK22" s="126"/>
      <c r="HPL22" s="126"/>
      <c r="HPM22" s="126"/>
      <c r="HPN22" s="126"/>
      <c r="HPO22" s="126"/>
      <c r="HPP22" s="126"/>
      <c r="HPQ22" s="126"/>
      <c r="HPR22" s="126"/>
      <c r="HPS22" s="126"/>
      <c r="HPT22" s="126"/>
      <c r="HPU22" s="126"/>
      <c r="HPV22" s="126"/>
      <c r="HPW22" s="126"/>
      <c r="HPX22" s="126"/>
      <c r="HPY22" s="126"/>
      <c r="HPZ22" s="126"/>
      <c r="HQA22" s="126"/>
      <c r="HQB22" s="126"/>
      <c r="HQC22" s="126"/>
      <c r="HQD22" s="126"/>
      <c r="HQE22" s="126"/>
      <c r="HQF22" s="126"/>
      <c r="HQG22" s="126"/>
      <c r="HQH22" s="126"/>
      <c r="HQI22" s="126"/>
      <c r="HQJ22" s="126"/>
      <c r="HQK22" s="126"/>
      <c r="HQL22" s="126"/>
      <c r="HQM22" s="126"/>
      <c r="HQN22" s="126"/>
      <c r="HQO22" s="126"/>
      <c r="HQP22" s="126"/>
      <c r="HQQ22" s="126"/>
      <c r="HQR22" s="126"/>
      <c r="HQS22" s="126"/>
      <c r="HQT22" s="126"/>
      <c r="HQU22" s="126"/>
      <c r="HQV22" s="126"/>
      <c r="HQW22" s="126"/>
      <c r="HQX22" s="126"/>
      <c r="HQY22" s="126"/>
      <c r="HQZ22" s="126"/>
      <c r="HRA22" s="126"/>
      <c r="HRB22" s="126"/>
      <c r="HRC22" s="126"/>
      <c r="HRD22" s="126"/>
      <c r="HRE22" s="126"/>
      <c r="HRF22" s="126"/>
      <c r="HRG22" s="126"/>
      <c r="HRH22" s="126"/>
      <c r="HRI22" s="126"/>
      <c r="HRJ22" s="126"/>
      <c r="HRK22" s="126"/>
      <c r="HRL22" s="126"/>
      <c r="HRM22" s="126"/>
      <c r="HRN22" s="126"/>
      <c r="HRO22" s="126"/>
      <c r="HRP22" s="126"/>
      <c r="HRQ22" s="126"/>
      <c r="HRR22" s="126"/>
      <c r="HRS22" s="126"/>
      <c r="HRT22" s="126"/>
      <c r="HRU22" s="126"/>
      <c r="HRV22" s="126"/>
      <c r="HRW22" s="126"/>
      <c r="HRX22" s="126"/>
      <c r="HRY22" s="126"/>
      <c r="HRZ22" s="126"/>
      <c r="HSA22" s="126"/>
      <c r="HSB22" s="126"/>
      <c r="HSC22" s="126"/>
      <c r="HSD22" s="126"/>
      <c r="HSE22" s="126"/>
      <c r="HSF22" s="126"/>
      <c r="HSG22" s="126"/>
      <c r="HSH22" s="126"/>
      <c r="HSI22" s="126"/>
      <c r="HSJ22" s="126"/>
      <c r="HSK22" s="126"/>
      <c r="HSL22" s="126"/>
      <c r="HSM22" s="126"/>
      <c r="HSN22" s="126"/>
      <c r="HSO22" s="126"/>
      <c r="HSP22" s="126"/>
      <c r="HSQ22" s="126"/>
      <c r="HSR22" s="126"/>
      <c r="HSS22" s="126"/>
      <c r="HST22" s="126"/>
      <c r="HSU22" s="126"/>
      <c r="HSV22" s="126"/>
      <c r="HSW22" s="126"/>
      <c r="HSX22" s="126"/>
      <c r="HSY22" s="126"/>
      <c r="HSZ22" s="126"/>
      <c r="HTA22" s="126"/>
      <c r="HTB22" s="126"/>
      <c r="HTC22" s="126"/>
      <c r="HTD22" s="126"/>
      <c r="HTE22" s="126"/>
      <c r="HTF22" s="126"/>
      <c r="HTG22" s="126"/>
      <c r="HTH22" s="126"/>
      <c r="HTI22" s="126"/>
      <c r="HTJ22" s="126"/>
      <c r="HTK22" s="126"/>
      <c r="HTL22" s="126"/>
      <c r="HTM22" s="126"/>
      <c r="HTN22" s="126"/>
      <c r="HTO22" s="126"/>
      <c r="HTP22" s="126"/>
      <c r="HTQ22" s="126"/>
      <c r="HTR22" s="126"/>
      <c r="HTS22" s="126"/>
      <c r="HTT22" s="126"/>
      <c r="HTU22" s="126"/>
      <c r="HTV22" s="126"/>
      <c r="HTW22" s="126"/>
      <c r="HTX22" s="126"/>
      <c r="HTY22" s="126"/>
      <c r="HTZ22" s="126"/>
      <c r="HUA22" s="126"/>
      <c r="HUB22" s="126"/>
      <c r="HUC22" s="126"/>
      <c r="HUD22" s="126"/>
      <c r="HUE22" s="126"/>
      <c r="HUF22" s="126"/>
      <c r="HUG22" s="126"/>
      <c r="HUH22" s="126"/>
      <c r="HUI22" s="126"/>
      <c r="HUJ22" s="126"/>
      <c r="HUK22" s="126"/>
      <c r="HUL22" s="126"/>
      <c r="HUM22" s="126"/>
      <c r="HUN22" s="126"/>
      <c r="HUO22" s="126"/>
      <c r="HUP22" s="126"/>
      <c r="HUQ22" s="126"/>
      <c r="HUR22" s="126"/>
      <c r="HUS22" s="126"/>
      <c r="HUT22" s="126"/>
      <c r="HUU22" s="126"/>
      <c r="HUV22" s="126"/>
      <c r="HUW22" s="126"/>
      <c r="HUX22" s="126"/>
      <c r="HUY22" s="126"/>
      <c r="HUZ22" s="126"/>
      <c r="HVA22" s="126"/>
      <c r="HVB22" s="126"/>
      <c r="HVC22" s="126"/>
      <c r="HVD22" s="126"/>
      <c r="HVE22" s="126"/>
      <c r="HVF22" s="126"/>
      <c r="HVG22" s="126"/>
      <c r="HVH22" s="126"/>
      <c r="HVI22" s="126"/>
      <c r="HVJ22" s="126"/>
      <c r="HVK22" s="126"/>
      <c r="HVL22" s="126"/>
      <c r="HVM22" s="126"/>
      <c r="HVN22" s="126"/>
      <c r="HVO22" s="126"/>
      <c r="HVP22" s="126"/>
      <c r="HVQ22" s="126"/>
      <c r="HVR22" s="126"/>
      <c r="HVS22" s="126"/>
      <c r="HVT22" s="126"/>
      <c r="HVU22" s="126"/>
      <c r="HVV22" s="126"/>
      <c r="HVW22" s="126"/>
      <c r="HVX22" s="126"/>
      <c r="HVY22" s="126"/>
      <c r="HVZ22" s="126"/>
      <c r="HWA22" s="126"/>
      <c r="HWB22" s="126"/>
      <c r="HWC22" s="126"/>
      <c r="HWD22" s="126"/>
      <c r="HWE22" s="126"/>
      <c r="HWF22" s="126"/>
      <c r="HWG22" s="126"/>
      <c r="HWH22" s="126"/>
      <c r="HWI22" s="126"/>
      <c r="HWJ22" s="126"/>
      <c r="HWK22" s="126"/>
      <c r="HWL22" s="126"/>
      <c r="HWM22" s="126"/>
      <c r="HWN22" s="126"/>
      <c r="HWO22" s="126"/>
      <c r="HWP22" s="126"/>
      <c r="HWQ22" s="126"/>
      <c r="HWR22" s="126"/>
      <c r="HWS22" s="126"/>
      <c r="HWT22" s="126"/>
      <c r="HWU22" s="126"/>
      <c r="HWV22" s="126"/>
      <c r="HWW22" s="126"/>
      <c r="HWX22" s="126"/>
      <c r="HWY22" s="126"/>
      <c r="HWZ22" s="126"/>
      <c r="HXA22" s="126"/>
      <c r="HXB22" s="126"/>
      <c r="HXC22" s="126"/>
      <c r="HXD22" s="126"/>
      <c r="HXE22" s="126"/>
      <c r="HXF22" s="126"/>
      <c r="HXG22" s="126"/>
      <c r="HXH22" s="126"/>
      <c r="HXI22" s="126"/>
      <c r="HXJ22" s="126"/>
      <c r="HXK22" s="126"/>
      <c r="HXL22" s="126"/>
      <c r="HXM22" s="126"/>
      <c r="HXN22" s="126"/>
      <c r="HXO22" s="126"/>
      <c r="HXP22" s="126"/>
      <c r="HXQ22" s="126"/>
      <c r="HXR22" s="126"/>
      <c r="HXS22" s="126"/>
      <c r="HXT22" s="126"/>
      <c r="HXU22" s="126"/>
      <c r="HXV22" s="126"/>
      <c r="HXW22" s="126"/>
      <c r="HXX22" s="126"/>
      <c r="HXY22" s="126"/>
      <c r="HXZ22" s="126"/>
      <c r="HYA22" s="126"/>
      <c r="HYB22" s="126"/>
      <c r="HYC22" s="126"/>
      <c r="HYD22" s="126"/>
      <c r="HYE22" s="126"/>
      <c r="HYF22" s="126"/>
      <c r="HYG22" s="126"/>
      <c r="HYH22" s="126"/>
      <c r="HYI22" s="126"/>
      <c r="HYJ22" s="126"/>
      <c r="HYK22" s="126"/>
      <c r="HYL22" s="126"/>
      <c r="HYM22" s="126"/>
      <c r="HYN22" s="126"/>
      <c r="HYO22" s="126"/>
      <c r="HYP22" s="126"/>
      <c r="HYQ22" s="126"/>
      <c r="HYR22" s="126"/>
      <c r="HYS22" s="126"/>
      <c r="HYT22" s="126"/>
      <c r="HYU22" s="126"/>
      <c r="HYV22" s="126"/>
      <c r="HYW22" s="126"/>
      <c r="HYX22" s="126"/>
      <c r="HYY22" s="126"/>
      <c r="HYZ22" s="126"/>
      <c r="HZA22" s="126"/>
      <c r="HZB22" s="126"/>
      <c r="HZC22" s="126"/>
      <c r="HZD22" s="126"/>
      <c r="HZE22" s="126"/>
      <c r="HZF22" s="126"/>
      <c r="HZG22" s="126"/>
      <c r="HZH22" s="126"/>
      <c r="HZI22" s="126"/>
      <c r="HZJ22" s="126"/>
      <c r="HZK22" s="126"/>
      <c r="HZL22" s="126"/>
      <c r="HZM22" s="126"/>
      <c r="HZN22" s="126"/>
      <c r="HZO22" s="126"/>
      <c r="HZP22" s="126"/>
      <c r="HZQ22" s="126"/>
      <c r="HZR22" s="126"/>
      <c r="HZS22" s="126"/>
      <c r="HZT22" s="126"/>
      <c r="HZU22" s="126"/>
      <c r="HZV22" s="126"/>
      <c r="HZW22" s="126"/>
      <c r="HZX22" s="126"/>
      <c r="HZY22" s="126"/>
      <c r="HZZ22" s="126"/>
      <c r="IAA22" s="126"/>
      <c r="IAB22" s="126"/>
      <c r="IAC22" s="126"/>
      <c r="IAD22" s="126"/>
      <c r="IAE22" s="126"/>
      <c r="IAF22" s="126"/>
      <c r="IAG22" s="126"/>
      <c r="IAH22" s="126"/>
      <c r="IAI22" s="126"/>
      <c r="IAJ22" s="126"/>
      <c r="IAK22" s="126"/>
      <c r="IAL22" s="126"/>
      <c r="IAM22" s="126"/>
      <c r="IAN22" s="126"/>
      <c r="IAO22" s="126"/>
      <c r="IAP22" s="126"/>
      <c r="IAQ22" s="126"/>
      <c r="IAR22" s="126"/>
      <c r="IAS22" s="126"/>
      <c r="IAT22" s="126"/>
      <c r="IAU22" s="126"/>
      <c r="IAV22" s="126"/>
      <c r="IAW22" s="126"/>
      <c r="IAX22" s="126"/>
      <c r="IAY22" s="126"/>
      <c r="IAZ22" s="126"/>
      <c r="IBA22" s="126"/>
      <c r="IBB22" s="126"/>
      <c r="IBC22" s="126"/>
      <c r="IBD22" s="126"/>
      <c r="IBE22" s="126"/>
      <c r="IBF22" s="126"/>
      <c r="IBG22" s="126"/>
      <c r="IBH22" s="126"/>
      <c r="IBI22" s="126"/>
      <c r="IBJ22" s="126"/>
      <c r="IBK22" s="126"/>
      <c r="IBL22" s="126"/>
      <c r="IBM22" s="126"/>
      <c r="IBN22" s="126"/>
      <c r="IBO22" s="126"/>
      <c r="IBP22" s="126"/>
      <c r="IBQ22" s="126"/>
      <c r="IBR22" s="126"/>
      <c r="IBS22" s="126"/>
      <c r="IBT22" s="126"/>
      <c r="IBU22" s="126"/>
      <c r="IBV22" s="126"/>
      <c r="IBW22" s="126"/>
      <c r="IBX22" s="126"/>
      <c r="IBY22" s="126"/>
      <c r="IBZ22" s="126"/>
      <c r="ICA22" s="126"/>
      <c r="ICB22" s="126"/>
      <c r="ICC22" s="126"/>
      <c r="ICD22" s="126"/>
      <c r="ICE22" s="126"/>
      <c r="ICF22" s="126"/>
      <c r="ICG22" s="126"/>
      <c r="ICH22" s="126"/>
      <c r="ICI22" s="126"/>
      <c r="ICJ22" s="126"/>
      <c r="ICK22" s="126"/>
      <c r="ICL22" s="126"/>
      <c r="ICM22" s="126"/>
      <c r="ICN22" s="126"/>
      <c r="ICO22" s="126"/>
      <c r="ICP22" s="126"/>
      <c r="ICQ22" s="126"/>
      <c r="ICR22" s="126"/>
      <c r="ICS22" s="126"/>
      <c r="ICT22" s="126"/>
      <c r="ICU22" s="126"/>
      <c r="ICV22" s="126"/>
      <c r="ICW22" s="126"/>
      <c r="ICX22" s="126"/>
      <c r="ICY22" s="126"/>
      <c r="ICZ22" s="126"/>
      <c r="IDA22" s="126"/>
      <c r="IDB22" s="126"/>
      <c r="IDC22" s="126"/>
      <c r="IDD22" s="126"/>
      <c r="IDE22" s="126"/>
      <c r="IDF22" s="126"/>
      <c r="IDG22" s="126"/>
      <c r="IDH22" s="126"/>
      <c r="IDI22" s="126"/>
      <c r="IDJ22" s="126"/>
      <c r="IDK22" s="126"/>
      <c r="IDL22" s="126"/>
      <c r="IDM22" s="126"/>
      <c r="IDN22" s="126"/>
      <c r="IDO22" s="126"/>
      <c r="IDP22" s="126"/>
      <c r="IDQ22" s="126"/>
      <c r="IDR22" s="126"/>
      <c r="IDS22" s="126"/>
      <c r="IDT22" s="126"/>
      <c r="IDU22" s="126"/>
      <c r="IDV22" s="126"/>
      <c r="IDW22" s="126"/>
      <c r="IDX22" s="126"/>
      <c r="IDY22" s="126"/>
      <c r="IDZ22" s="126"/>
      <c r="IEA22" s="126"/>
      <c r="IEB22" s="126"/>
      <c r="IEC22" s="126"/>
      <c r="IED22" s="126"/>
      <c r="IEE22" s="126"/>
      <c r="IEF22" s="126"/>
      <c r="IEG22" s="126"/>
      <c r="IEH22" s="126"/>
      <c r="IEI22" s="126"/>
      <c r="IEJ22" s="126"/>
      <c r="IEK22" s="126"/>
      <c r="IEL22" s="126"/>
      <c r="IEM22" s="126"/>
      <c r="IEN22" s="126"/>
      <c r="IEO22" s="126"/>
      <c r="IEP22" s="126"/>
      <c r="IEQ22" s="126"/>
      <c r="IER22" s="126"/>
      <c r="IES22" s="126"/>
      <c r="IET22" s="126"/>
      <c r="IEU22" s="126"/>
      <c r="IEV22" s="126"/>
      <c r="IEW22" s="126"/>
      <c r="IEX22" s="126"/>
      <c r="IEY22" s="126"/>
      <c r="IEZ22" s="126"/>
      <c r="IFA22" s="126"/>
      <c r="IFB22" s="126"/>
      <c r="IFC22" s="126"/>
      <c r="IFD22" s="126"/>
      <c r="IFE22" s="126"/>
      <c r="IFF22" s="126"/>
      <c r="IFG22" s="126"/>
      <c r="IFH22" s="126"/>
      <c r="IFI22" s="126"/>
      <c r="IFJ22" s="126"/>
      <c r="IFK22" s="126"/>
      <c r="IFL22" s="126"/>
      <c r="IFM22" s="126"/>
      <c r="IFN22" s="126"/>
      <c r="IFO22" s="126"/>
      <c r="IFP22" s="126"/>
      <c r="IFQ22" s="126"/>
      <c r="IFR22" s="126"/>
      <c r="IFS22" s="126"/>
      <c r="IFT22" s="126"/>
      <c r="IFU22" s="126"/>
      <c r="IFV22" s="126"/>
      <c r="IFW22" s="126"/>
      <c r="IFX22" s="126"/>
      <c r="IFY22" s="126"/>
      <c r="IFZ22" s="126"/>
      <c r="IGA22" s="126"/>
      <c r="IGB22" s="126"/>
      <c r="IGC22" s="126"/>
      <c r="IGD22" s="126"/>
      <c r="IGE22" s="126"/>
      <c r="IGF22" s="126"/>
      <c r="IGG22" s="126"/>
      <c r="IGH22" s="126"/>
      <c r="IGI22" s="126"/>
      <c r="IGJ22" s="126"/>
      <c r="IGK22" s="126"/>
      <c r="IGL22" s="126"/>
      <c r="IGM22" s="126"/>
      <c r="IGN22" s="126"/>
      <c r="IGO22" s="126"/>
      <c r="IGP22" s="126"/>
      <c r="IGQ22" s="126"/>
      <c r="IGR22" s="126"/>
      <c r="IGS22" s="126"/>
      <c r="IGT22" s="126"/>
      <c r="IGU22" s="126"/>
      <c r="IGV22" s="126"/>
      <c r="IGW22" s="126"/>
      <c r="IGX22" s="126"/>
      <c r="IGY22" s="126"/>
      <c r="IGZ22" s="126"/>
      <c r="IHA22" s="126"/>
      <c r="IHB22" s="126"/>
      <c r="IHC22" s="126"/>
      <c r="IHD22" s="126"/>
      <c r="IHE22" s="126"/>
      <c r="IHF22" s="126"/>
      <c r="IHG22" s="126"/>
      <c r="IHH22" s="126"/>
      <c r="IHI22" s="126"/>
      <c r="IHJ22" s="126"/>
      <c r="IHK22" s="126"/>
      <c r="IHL22" s="126"/>
      <c r="IHM22" s="126"/>
      <c r="IHN22" s="126"/>
      <c r="IHO22" s="126"/>
      <c r="IHP22" s="126"/>
      <c r="IHQ22" s="126"/>
      <c r="IHR22" s="126"/>
      <c r="IHS22" s="126"/>
      <c r="IHT22" s="126"/>
      <c r="IHU22" s="126"/>
      <c r="IHV22" s="126"/>
      <c r="IHW22" s="126"/>
      <c r="IHX22" s="126"/>
      <c r="IHY22" s="126"/>
      <c r="IHZ22" s="126"/>
      <c r="IIA22" s="126"/>
      <c r="IIB22" s="126"/>
      <c r="IIC22" s="126"/>
      <c r="IID22" s="126"/>
      <c r="IIE22" s="126"/>
      <c r="IIF22" s="126"/>
      <c r="IIG22" s="126"/>
      <c r="IIH22" s="126"/>
      <c r="III22" s="126"/>
      <c r="IIJ22" s="126"/>
      <c r="IIK22" s="126"/>
      <c r="IIL22" s="126"/>
      <c r="IIM22" s="126"/>
      <c r="IIN22" s="126"/>
      <c r="IIO22" s="126"/>
      <c r="IIP22" s="126"/>
      <c r="IIQ22" s="126"/>
      <c r="IIR22" s="126"/>
      <c r="IIS22" s="126"/>
      <c r="IIT22" s="126"/>
      <c r="IIU22" s="126"/>
      <c r="IIV22" s="126"/>
      <c r="IIW22" s="126"/>
      <c r="IIX22" s="126"/>
      <c r="IIY22" s="126"/>
      <c r="IIZ22" s="126"/>
      <c r="IJA22" s="126"/>
      <c r="IJB22" s="126"/>
      <c r="IJC22" s="126"/>
      <c r="IJD22" s="126"/>
      <c r="IJE22" s="126"/>
      <c r="IJF22" s="126"/>
      <c r="IJG22" s="126"/>
      <c r="IJH22" s="126"/>
      <c r="IJI22" s="126"/>
      <c r="IJJ22" s="126"/>
      <c r="IJK22" s="126"/>
      <c r="IJL22" s="126"/>
      <c r="IJM22" s="126"/>
      <c r="IJN22" s="126"/>
      <c r="IJO22" s="126"/>
      <c r="IJP22" s="126"/>
      <c r="IJQ22" s="126"/>
      <c r="IJR22" s="126"/>
      <c r="IJS22" s="126"/>
      <c r="IJT22" s="126"/>
      <c r="IJU22" s="126"/>
      <c r="IJV22" s="126"/>
      <c r="IJW22" s="126"/>
      <c r="IJX22" s="126"/>
      <c r="IJY22" s="126"/>
      <c r="IJZ22" s="126"/>
      <c r="IKA22" s="126"/>
      <c r="IKB22" s="126"/>
      <c r="IKC22" s="126"/>
      <c r="IKD22" s="126"/>
      <c r="IKE22" s="126"/>
      <c r="IKF22" s="126"/>
      <c r="IKG22" s="126"/>
      <c r="IKH22" s="126"/>
      <c r="IKI22" s="126"/>
      <c r="IKJ22" s="126"/>
      <c r="IKK22" s="126"/>
      <c r="IKL22" s="126"/>
      <c r="IKM22" s="126"/>
      <c r="IKN22" s="126"/>
      <c r="IKO22" s="126"/>
      <c r="IKP22" s="126"/>
      <c r="IKQ22" s="126"/>
      <c r="IKR22" s="126"/>
      <c r="IKS22" s="126"/>
      <c r="IKT22" s="126"/>
      <c r="IKU22" s="126"/>
      <c r="IKV22" s="126"/>
      <c r="IKW22" s="126"/>
      <c r="IKX22" s="126"/>
      <c r="IKY22" s="126"/>
      <c r="IKZ22" s="126"/>
      <c r="ILA22" s="126"/>
      <c r="ILB22" s="126"/>
      <c r="ILC22" s="126"/>
      <c r="ILD22" s="126"/>
      <c r="ILE22" s="126"/>
      <c r="ILF22" s="126"/>
      <c r="ILG22" s="126"/>
      <c r="ILH22" s="126"/>
      <c r="ILI22" s="126"/>
      <c r="ILJ22" s="126"/>
      <c r="ILK22" s="126"/>
      <c r="ILL22" s="126"/>
      <c r="ILM22" s="126"/>
      <c r="ILN22" s="126"/>
      <c r="ILO22" s="126"/>
      <c r="ILP22" s="126"/>
      <c r="ILQ22" s="126"/>
      <c r="ILR22" s="126"/>
      <c r="ILS22" s="126"/>
      <c r="ILT22" s="126"/>
      <c r="ILU22" s="126"/>
      <c r="ILV22" s="126"/>
      <c r="ILW22" s="126"/>
      <c r="ILX22" s="126"/>
      <c r="ILY22" s="126"/>
      <c r="ILZ22" s="126"/>
      <c r="IMA22" s="126"/>
      <c r="IMB22" s="126"/>
      <c r="IMC22" s="126"/>
      <c r="IMD22" s="126"/>
      <c r="IME22" s="126"/>
      <c r="IMF22" s="126"/>
      <c r="IMG22" s="126"/>
      <c r="IMH22" s="126"/>
      <c r="IMI22" s="126"/>
      <c r="IMJ22" s="126"/>
      <c r="IMK22" s="126"/>
      <c r="IML22" s="126"/>
      <c r="IMM22" s="126"/>
      <c r="IMN22" s="126"/>
      <c r="IMO22" s="126"/>
      <c r="IMP22" s="126"/>
      <c r="IMQ22" s="126"/>
      <c r="IMR22" s="126"/>
      <c r="IMS22" s="126"/>
      <c r="IMT22" s="126"/>
      <c r="IMU22" s="126"/>
      <c r="IMV22" s="126"/>
      <c r="IMW22" s="126"/>
      <c r="IMX22" s="126"/>
      <c r="IMY22" s="126"/>
      <c r="IMZ22" s="126"/>
      <c r="INA22" s="126"/>
      <c r="INB22" s="126"/>
      <c r="INC22" s="126"/>
      <c r="IND22" s="126"/>
      <c r="INE22" s="126"/>
      <c r="INF22" s="126"/>
      <c r="ING22" s="126"/>
      <c r="INH22" s="126"/>
      <c r="INI22" s="126"/>
      <c r="INJ22" s="126"/>
      <c r="INK22" s="126"/>
      <c r="INL22" s="126"/>
      <c r="INM22" s="126"/>
      <c r="INN22" s="126"/>
      <c r="INO22" s="126"/>
      <c r="INP22" s="126"/>
      <c r="INQ22" s="126"/>
      <c r="INR22" s="126"/>
      <c r="INS22" s="126"/>
      <c r="INT22" s="126"/>
      <c r="INU22" s="126"/>
      <c r="INV22" s="126"/>
      <c r="INW22" s="126"/>
      <c r="INX22" s="126"/>
      <c r="INY22" s="126"/>
      <c r="INZ22" s="126"/>
      <c r="IOA22" s="126"/>
      <c r="IOB22" s="126"/>
      <c r="IOC22" s="126"/>
      <c r="IOD22" s="126"/>
      <c r="IOE22" s="126"/>
      <c r="IOF22" s="126"/>
      <c r="IOG22" s="126"/>
      <c r="IOH22" s="126"/>
      <c r="IOI22" s="126"/>
      <c r="IOJ22" s="126"/>
      <c r="IOK22" s="126"/>
      <c r="IOL22" s="126"/>
      <c r="IOM22" s="126"/>
      <c r="ION22" s="126"/>
      <c r="IOO22" s="126"/>
      <c r="IOP22" s="126"/>
      <c r="IOQ22" s="126"/>
      <c r="IOR22" s="126"/>
      <c r="IOS22" s="126"/>
      <c r="IOT22" s="126"/>
      <c r="IOU22" s="126"/>
      <c r="IOV22" s="126"/>
      <c r="IOW22" s="126"/>
      <c r="IOX22" s="126"/>
      <c r="IOY22" s="126"/>
      <c r="IOZ22" s="126"/>
      <c r="IPA22" s="126"/>
      <c r="IPB22" s="126"/>
      <c r="IPC22" s="126"/>
      <c r="IPD22" s="126"/>
      <c r="IPE22" s="126"/>
      <c r="IPF22" s="126"/>
      <c r="IPG22" s="126"/>
      <c r="IPH22" s="126"/>
      <c r="IPI22" s="126"/>
      <c r="IPJ22" s="126"/>
      <c r="IPK22" s="126"/>
      <c r="IPL22" s="126"/>
      <c r="IPM22" s="126"/>
      <c r="IPN22" s="126"/>
      <c r="IPO22" s="126"/>
      <c r="IPP22" s="126"/>
      <c r="IPQ22" s="126"/>
      <c r="IPR22" s="126"/>
      <c r="IPS22" s="126"/>
      <c r="IPT22" s="126"/>
      <c r="IPU22" s="126"/>
      <c r="IPV22" s="126"/>
      <c r="IPW22" s="126"/>
      <c r="IPX22" s="126"/>
      <c r="IPY22" s="126"/>
      <c r="IPZ22" s="126"/>
      <c r="IQA22" s="126"/>
      <c r="IQB22" s="126"/>
      <c r="IQC22" s="126"/>
      <c r="IQD22" s="126"/>
      <c r="IQE22" s="126"/>
      <c r="IQF22" s="126"/>
      <c r="IQG22" s="126"/>
      <c r="IQH22" s="126"/>
      <c r="IQI22" s="126"/>
      <c r="IQJ22" s="126"/>
      <c r="IQK22" s="126"/>
      <c r="IQL22" s="126"/>
      <c r="IQM22" s="126"/>
      <c r="IQN22" s="126"/>
      <c r="IQO22" s="126"/>
      <c r="IQP22" s="126"/>
      <c r="IQQ22" s="126"/>
      <c r="IQR22" s="126"/>
      <c r="IQS22" s="126"/>
      <c r="IQT22" s="126"/>
      <c r="IQU22" s="126"/>
      <c r="IQV22" s="126"/>
      <c r="IQW22" s="126"/>
      <c r="IQX22" s="126"/>
      <c r="IQY22" s="126"/>
      <c r="IQZ22" s="126"/>
      <c r="IRA22" s="126"/>
      <c r="IRB22" s="126"/>
      <c r="IRC22" s="126"/>
      <c r="IRD22" s="126"/>
      <c r="IRE22" s="126"/>
      <c r="IRF22" s="126"/>
      <c r="IRG22" s="126"/>
      <c r="IRH22" s="126"/>
      <c r="IRI22" s="126"/>
      <c r="IRJ22" s="126"/>
      <c r="IRK22" s="126"/>
      <c r="IRL22" s="126"/>
      <c r="IRM22" s="126"/>
      <c r="IRN22" s="126"/>
      <c r="IRO22" s="126"/>
      <c r="IRP22" s="126"/>
      <c r="IRQ22" s="126"/>
      <c r="IRR22" s="126"/>
      <c r="IRS22" s="126"/>
      <c r="IRT22" s="126"/>
      <c r="IRU22" s="126"/>
      <c r="IRV22" s="126"/>
      <c r="IRW22" s="126"/>
      <c r="IRX22" s="126"/>
      <c r="IRY22" s="126"/>
      <c r="IRZ22" s="126"/>
      <c r="ISA22" s="126"/>
      <c r="ISB22" s="126"/>
      <c r="ISC22" s="126"/>
      <c r="ISD22" s="126"/>
      <c r="ISE22" s="126"/>
      <c r="ISF22" s="126"/>
      <c r="ISG22" s="126"/>
      <c r="ISH22" s="126"/>
      <c r="ISI22" s="126"/>
      <c r="ISJ22" s="126"/>
      <c r="ISK22" s="126"/>
      <c r="ISL22" s="126"/>
      <c r="ISM22" s="126"/>
      <c r="ISN22" s="126"/>
      <c r="ISO22" s="126"/>
      <c r="ISP22" s="126"/>
      <c r="ISQ22" s="126"/>
      <c r="ISR22" s="126"/>
      <c r="ISS22" s="126"/>
      <c r="IST22" s="126"/>
      <c r="ISU22" s="126"/>
      <c r="ISV22" s="126"/>
      <c r="ISW22" s="126"/>
      <c r="ISX22" s="126"/>
      <c r="ISY22" s="126"/>
      <c r="ISZ22" s="126"/>
      <c r="ITA22" s="126"/>
      <c r="ITB22" s="126"/>
      <c r="ITC22" s="126"/>
      <c r="ITD22" s="126"/>
      <c r="ITE22" s="126"/>
      <c r="ITF22" s="126"/>
      <c r="ITG22" s="126"/>
      <c r="ITH22" s="126"/>
      <c r="ITI22" s="126"/>
      <c r="ITJ22" s="126"/>
      <c r="ITK22" s="126"/>
      <c r="ITL22" s="126"/>
      <c r="ITM22" s="126"/>
      <c r="ITN22" s="126"/>
      <c r="ITO22" s="126"/>
      <c r="ITP22" s="126"/>
      <c r="ITQ22" s="126"/>
      <c r="ITR22" s="126"/>
      <c r="ITS22" s="126"/>
      <c r="ITT22" s="126"/>
      <c r="ITU22" s="126"/>
      <c r="ITV22" s="126"/>
      <c r="ITW22" s="126"/>
      <c r="ITX22" s="126"/>
      <c r="ITY22" s="126"/>
      <c r="ITZ22" s="126"/>
      <c r="IUA22" s="126"/>
      <c r="IUB22" s="126"/>
      <c r="IUC22" s="126"/>
      <c r="IUD22" s="126"/>
      <c r="IUE22" s="126"/>
      <c r="IUF22" s="126"/>
      <c r="IUG22" s="126"/>
      <c r="IUH22" s="126"/>
      <c r="IUI22" s="126"/>
      <c r="IUJ22" s="126"/>
      <c r="IUK22" s="126"/>
      <c r="IUL22" s="126"/>
      <c r="IUM22" s="126"/>
      <c r="IUN22" s="126"/>
      <c r="IUO22" s="126"/>
      <c r="IUP22" s="126"/>
      <c r="IUQ22" s="126"/>
      <c r="IUR22" s="126"/>
      <c r="IUS22" s="126"/>
      <c r="IUT22" s="126"/>
      <c r="IUU22" s="126"/>
      <c r="IUV22" s="126"/>
      <c r="IUW22" s="126"/>
      <c r="IUX22" s="126"/>
      <c r="IUY22" s="126"/>
      <c r="IUZ22" s="126"/>
      <c r="IVA22" s="126"/>
      <c r="IVB22" s="126"/>
      <c r="IVC22" s="126"/>
      <c r="IVD22" s="126"/>
      <c r="IVE22" s="126"/>
      <c r="IVF22" s="126"/>
      <c r="IVG22" s="126"/>
      <c r="IVH22" s="126"/>
      <c r="IVI22" s="126"/>
      <c r="IVJ22" s="126"/>
      <c r="IVK22" s="126"/>
      <c r="IVL22" s="126"/>
      <c r="IVM22" s="126"/>
      <c r="IVN22" s="126"/>
      <c r="IVO22" s="126"/>
      <c r="IVP22" s="126"/>
      <c r="IVQ22" s="126"/>
      <c r="IVR22" s="126"/>
      <c r="IVS22" s="126"/>
      <c r="IVT22" s="126"/>
      <c r="IVU22" s="126"/>
      <c r="IVV22" s="126"/>
      <c r="IVW22" s="126"/>
      <c r="IVX22" s="126"/>
      <c r="IVY22" s="126"/>
      <c r="IVZ22" s="126"/>
      <c r="IWA22" s="126"/>
      <c r="IWB22" s="126"/>
      <c r="IWC22" s="126"/>
      <c r="IWD22" s="126"/>
      <c r="IWE22" s="126"/>
      <c r="IWF22" s="126"/>
      <c r="IWG22" s="126"/>
      <c r="IWH22" s="126"/>
      <c r="IWI22" s="126"/>
      <c r="IWJ22" s="126"/>
      <c r="IWK22" s="126"/>
      <c r="IWL22" s="126"/>
      <c r="IWM22" s="126"/>
      <c r="IWN22" s="126"/>
      <c r="IWO22" s="126"/>
      <c r="IWP22" s="126"/>
      <c r="IWQ22" s="126"/>
      <c r="IWR22" s="126"/>
      <c r="IWS22" s="126"/>
      <c r="IWT22" s="126"/>
      <c r="IWU22" s="126"/>
      <c r="IWV22" s="126"/>
      <c r="IWW22" s="126"/>
      <c r="IWX22" s="126"/>
      <c r="IWY22" s="126"/>
      <c r="IWZ22" s="126"/>
      <c r="IXA22" s="126"/>
      <c r="IXB22" s="126"/>
      <c r="IXC22" s="126"/>
      <c r="IXD22" s="126"/>
      <c r="IXE22" s="126"/>
      <c r="IXF22" s="126"/>
      <c r="IXG22" s="126"/>
      <c r="IXH22" s="126"/>
      <c r="IXI22" s="126"/>
      <c r="IXJ22" s="126"/>
      <c r="IXK22" s="126"/>
      <c r="IXL22" s="126"/>
      <c r="IXM22" s="126"/>
      <c r="IXN22" s="126"/>
      <c r="IXO22" s="126"/>
      <c r="IXP22" s="126"/>
      <c r="IXQ22" s="126"/>
      <c r="IXR22" s="126"/>
      <c r="IXS22" s="126"/>
      <c r="IXT22" s="126"/>
      <c r="IXU22" s="126"/>
      <c r="IXV22" s="126"/>
      <c r="IXW22" s="126"/>
      <c r="IXX22" s="126"/>
      <c r="IXY22" s="126"/>
      <c r="IXZ22" s="126"/>
      <c r="IYA22" s="126"/>
      <c r="IYB22" s="126"/>
      <c r="IYC22" s="126"/>
      <c r="IYD22" s="126"/>
      <c r="IYE22" s="126"/>
      <c r="IYF22" s="126"/>
      <c r="IYG22" s="126"/>
      <c r="IYH22" s="126"/>
      <c r="IYI22" s="126"/>
      <c r="IYJ22" s="126"/>
      <c r="IYK22" s="126"/>
      <c r="IYL22" s="126"/>
      <c r="IYM22" s="126"/>
      <c r="IYN22" s="126"/>
      <c r="IYO22" s="126"/>
      <c r="IYP22" s="126"/>
      <c r="IYQ22" s="126"/>
      <c r="IYR22" s="126"/>
      <c r="IYS22" s="126"/>
      <c r="IYT22" s="126"/>
      <c r="IYU22" s="126"/>
      <c r="IYV22" s="126"/>
      <c r="IYW22" s="126"/>
      <c r="IYX22" s="126"/>
      <c r="IYY22" s="126"/>
      <c r="IYZ22" s="126"/>
      <c r="IZA22" s="126"/>
      <c r="IZB22" s="126"/>
      <c r="IZC22" s="126"/>
      <c r="IZD22" s="126"/>
      <c r="IZE22" s="126"/>
      <c r="IZF22" s="126"/>
      <c r="IZG22" s="126"/>
      <c r="IZH22" s="126"/>
      <c r="IZI22" s="126"/>
      <c r="IZJ22" s="126"/>
      <c r="IZK22" s="126"/>
      <c r="IZL22" s="126"/>
      <c r="IZM22" s="126"/>
      <c r="IZN22" s="126"/>
      <c r="IZO22" s="126"/>
      <c r="IZP22" s="126"/>
      <c r="IZQ22" s="126"/>
      <c r="IZR22" s="126"/>
      <c r="IZS22" s="126"/>
      <c r="IZT22" s="126"/>
      <c r="IZU22" s="126"/>
      <c r="IZV22" s="126"/>
      <c r="IZW22" s="126"/>
      <c r="IZX22" s="126"/>
      <c r="IZY22" s="126"/>
      <c r="IZZ22" s="126"/>
      <c r="JAA22" s="126"/>
      <c r="JAB22" s="126"/>
      <c r="JAC22" s="126"/>
      <c r="JAD22" s="126"/>
      <c r="JAE22" s="126"/>
      <c r="JAF22" s="126"/>
      <c r="JAG22" s="126"/>
      <c r="JAH22" s="126"/>
      <c r="JAI22" s="126"/>
      <c r="JAJ22" s="126"/>
      <c r="JAK22" s="126"/>
      <c r="JAL22" s="126"/>
      <c r="JAM22" s="126"/>
      <c r="JAN22" s="126"/>
      <c r="JAO22" s="126"/>
      <c r="JAP22" s="126"/>
      <c r="JAQ22" s="126"/>
      <c r="JAR22" s="126"/>
      <c r="JAS22" s="126"/>
      <c r="JAT22" s="126"/>
      <c r="JAU22" s="126"/>
      <c r="JAV22" s="126"/>
      <c r="JAW22" s="126"/>
      <c r="JAX22" s="126"/>
      <c r="JAY22" s="126"/>
      <c r="JAZ22" s="126"/>
      <c r="JBA22" s="126"/>
      <c r="JBB22" s="126"/>
      <c r="JBC22" s="126"/>
      <c r="JBD22" s="126"/>
      <c r="JBE22" s="126"/>
      <c r="JBF22" s="126"/>
      <c r="JBG22" s="126"/>
      <c r="JBH22" s="126"/>
      <c r="JBI22" s="126"/>
      <c r="JBJ22" s="126"/>
      <c r="JBK22" s="126"/>
      <c r="JBL22" s="126"/>
      <c r="JBM22" s="126"/>
      <c r="JBN22" s="126"/>
      <c r="JBO22" s="126"/>
      <c r="JBP22" s="126"/>
      <c r="JBQ22" s="126"/>
      <c r="JBR22" s="126"/>
      <c r="JBS22" s="126"/>
      <c r="JBT22" s="126"/>
      <c r="JBU22" s="126"/>
      <c r="JBV22" s="126"/>
      <c r="JBW22" s="126"/>
      <c r="JBX22" s="126"/>
      <c r="JBY22" s="126"/>
      <c r="JBZ22" s="126"/>
      <c r="JCA22" s="126"/>
      <c r="JCB22" s="126"/>
      <c r="JCC22" s="126"/>
      <c r="JCD22" s="126"/>
      <c r="JCE22" s="126"/>
      <c r="JCF22" s="126"/>
      <c r="JCG22" s="126"/>
      <c r="JCH22" s="126"/>
      <c r="JCI22" s="126"/>
      <c r="JCJ22" s="126"/>
      <c r="JCK22" s="126"/>
      <c r="JCL22" s="126"/>
      <c r="JCM22" s="126"/>
      <c r="JCN22" s="126"/>
      <c r="JCO22" s="126"/>
      <c r="JCP22" s="126"/>
      <c r="JCQ22" s="126"/>
      <c r="JCR22" s="126"/>
      <c r="JCS22" s="126"/>
      <c r="JCT22" s="126"/>
      <c r="JCU22" s="126"/>
      <c r="JCV22" s="126"/>
      <c r="JCW22" s="126"/>
      <c r="JCX22" s="126"/>
      <c r="JCY22" s="126"/>
      <c r="JCZ22" s="126"/>
      <c r="JDA22" s="126"/>
      <c r="JDB22" s="126"/>
      <c r="JDC22" s="126"/>
      <c r="JDD22" s="126"/>
      <c r="JDE22" s="126"/>
      <c r="JDF22" s="126"/>
      <c r="JDG22" s="126"/>
      <c r="JDH22" s="126"/>
      <c r="JDI22" s="126"/>
      <c r="JDJ22" s="126"/>
      <c r="JDK22" s="126"/>
      <c r="JDL22" s="126"/>
      <c r="JDM22" s="126"/>
      <c r="JDN22" s="126"/>
      <c r="JDO22" s="126"/>
      <c r="JDP22" s="126"/>
      <c r="JDQ22" s="126"/>
      <c r="JDR22" s="126"/>
      <c r="JDS22" s="126"/>
      <c r="JDT22" s="126"/>
      <c r="JDU22" s="126"/>
      <c r="JDV22" s="126"/>
      <c r="JDW22" s="126"/>
      <c r="JDX22" s="126"/>
      <c r="JDY22" s="126"/>
      <c r="JDZ22" s="126"/>
      <c r="JEA22" s="126"/>
      <c r="JEB22" s="126"/>
      <c r="JEC22" s="126"/>
      <c r="JED22" s="126"/>
      <c r="JEE22" s="126"/>
      <c r="JEF22" s="126"/>
      <c r="JEG22" s="126"/>
      <c r="JEH22" s="126"/>
      <c r="JEI22" s="126"/>
      <c r="JEJ22" s="126"/>
      <c r="JEK22" s="126"/>
      <c r="JEL22" s="126"/>
      <c r="JEM22" s="126"/>
      <c r="JEN22" s="126"/>
      <c r="JEO22" s="126"/>
      <c r="JEP22" s="126"/>
      <c r="JEQ22" s="126"/>
      <c r="JER22" s="126"/>
      <c r="JES22" s="126"/>
      <c r="JET22" s="126"/>
      <c r="JEU22" s="126"/>
      <c r="JEV22" s="126"/>
      <c r="JEW22" s="126"/>
      <c r="JEX22" s="126"/>
      <c r="JEY22" s="126"/>
      <c r="JEZ22" s="126"/>
      <c r="JFA22" s="126"/>
      <c r="JFB22" s="126"/>
      <c r="JFC22" s="126"/>
      <c r="JFD22" s="126"/>
      <c r="JFE22" s="126"/>
      <c r="JFF22" s="126"/>
      <c r="JFG22" s="126"/>
      <c r="JFH22" s="126"/>
      <c r="JFI22" s="126"/>
      <c r="JFJ22" s="126"/>
      <c r="JFK22" s="126"/>
      <c r="JFL22" s="126"/>
      <c r="JFM22" s="126"/>
      <c r="JFN22" s="126"/>
      <c r="JFO22" s="126"/>
      <c r="JFP22" s="126"/>
      <c r="JFQ22" s="126"/>
      <c r="JFR22" s="126"/>
      <c r="JFS22" s="126"/>
      <c r="JFT22" s="126"/>
      <c r="JFU22" s="126"/>
      <c r="JFV22" s="126"/>
      <c r="JFW22" s="126"/>
      <c r="JFX22" s="126"/>
      <c r="JFY22" s="126"/>
      <c r="JFZ22" s="126"/>
      <c r="JGA22" s="126"/>
      <c r="JGB22" s="126"/>
      <c r="JGC22" s="126"/>
      <c r="JGD22" s="126"/>
      <c r="JGE22" s="126"/>
      <c r="JGF22" s="126"/>
      <c r="JGG22" s="126"/>
      <c r="JGH22" s="126"/>
      <c r="JGI22" s="126"/>
      <c r="JGJ22" s="126"/>
      <c r="JGK22" s="126"/>
      <c r="JGL22" s="126"/>
      <c r="JGM22" s="126"/>
      <c r="JGN22" s="126"/>
      <c r="JGO22" s="126"/>
      <c r="JGP22" s="126"/>
      <c r="JGQ22" s="126"/>
      <c r="JGR22" s="126"/>
      <c r="JGS22" s="126"/>
      <c r="JGT22" s="126"/>
      <c r="JGU22" s="126"/>
      <c r="JGV22" s="126"/>
      <c r="JGW22" s="126"/>
      <c r="JGX22" s="126"/>
      <c r="JGY22" s="126"/>
      <c r="JGZ22" s="126"/>
      <c r="JHA22" s="126"/>
      <c r="JHB22" s="126"/>
      <c r="JHC22" s="126"/>
      <c r="JHD22" s="126"/>
      <c r="JHE22" s="126"/>
      <c r="JHF22" s="126"/>
      <c r="JHG22" s="126"/>
      <c r="JHH22" s="126"/>
      <c r="JHI22" s="126"/>
      <c r="JHJ22" s="126"/>
      <c r="JHK22" s="126"/>
      <c r="JHL22" s="126"/>
      <c r="JHM22" s="126"/>
      <c r="JHN22" s="126"/>
      <c r="JHO22" s="126"/>
      <c r="JHP22" s="126"/>
      <c r="JHQ22" s="126"/>
      <c r="JHR22" s="126"/>
      <c r="JHS22" s="126"/>
      <c r="JHT22" s="126"/>
      <c r="JHU22" s="126"/>
      <c r="JHV22" s="126"/>
      <c r="JHW22" s="126"/>
      <c r="JHX22" s="126"/>
      <c r="JHY22" s="126"/>
      <c r="JHZ22" s="126"/>
      <c r="JIA22" s="126"/>
      <c r="JIB22" s="126"/>
      <c r="JIC22" s="126"/>
      <c r="JID22" s="126"/>
      <c r="JIE22" s="126"/>
      <c r="JIF22" s="126"/>
      <c r="JIG22" s="126"/>
      <c r="JIH22" s="126"/>
      <c r="JII22" s="126"/>
      <c r="JIJ22" s="126"/>
      <c r="JIK22" s="126"/>
      <c r="JIL22" s="126"/>
      <c r="JIM22" s="126"/>
      <c r="JIN22" s="126"/>
      <c r="JIO22" s="126"/>
      <c r="JIP22" s="126"/>
      <c r="JIQ22" s="126"/>
      <c r="JIR22" s="126"/>
      <c r="JIS22" s="126"/>
      <c r="JIT22" s="126"/>
      <c r="JIU22" s="126"/>
      <c r="JIV22" s="126"/>
      <c r="JIW22" s="126"/>
      <c r="JIX22" s="126"/>
      <c r="JIY22" s="126"/>
      <c r="JIZ22" s="126"/>
      <c r="JJA22" s="126"/>
      <c r="JJB22" s="126"/>
      <c r="JJC22" s="126"/>
      <c r="JJD22" s="126"/>
      <c r="JJE22" s="126"/>
      <c r="JJF22" s="126"/>
      <c r="JJG22" s="126"/>
      <c r="JJH22" s="126"/>
      <c r="JJI22" s="126"/>
      <c r="JJJ22" s="126"/>
      <c r="JJK22" s="126"/>
      <c r="JJL22" s="126"/>
      <c r="JJM22" s="126"/>
      <c r="JJN22" s="126"/>
      <c r="JJO22" s="126"/>
      <c r="JJP22" s="126"/>
      <c r="JJQ22" s="126"/>
      <c r="JJR22" s="126"/>
      <c r="JJS22" s="126"/>
      <c r="JJT22" s="126"/>
      <c r="JJU22" s="126"/>
      <c r="JJV22" s="126"/>
      <c r="JJW22" s="126"/>
      <c r="JJX22" s="126"/>
      <c r="JJY22" s="126"/>
      <c r="JJZ22" s="126"/>
      <c r="JKA22" s="126"/>
      <c r="JKB22" s="126"/>
      <c r="JKC22" s="126"/>
      <c r="JKD22" s="126"/>
      <c r="JKE22" s="126"/>
      <c r="JKF22" s="126"/>
      <c r="JKG22" s="126"/>
      <c r="JKH22" s="126"/>
      <c r="JKI22" s="126"/>
      <c r="JKJ22" s="126"/>
      <c r="JKK22" s="126"/>
      <c r="JKL22" s="126"/>
      <c r="JKM22" s="126"/>
      <c r="JKN22" s="126"/>
      <c r="JKO22" s="126"/>
      <c r="JKP22" s="126"/>
      <c r="JKQ22" s="126"/>
      <c r="JKR22" s="126"/>
      <c r="JKS22" s="126"/>
      <c r="JKT22" s="126"/>
      <c r="JKU22" s="126"/>
      <c r="JKV22" s="126"/>
      <c r="JKW22" s="126"/>
      <c r="JKX22" s="126"/>
      <c r="JKY22" s="126"/>
      <c r="JKZ22" s="126"/>
      <c r="JLA22" s="126"/>
      <c r="JLB22" s="126"/>
      <c r="JLC22" s="126"/>
      <c r="JLD22" s="126"/>
      <c r="JLE22" s="126"/>
      <c r="JLF22" s="126"/>
      <c r="JLG22" s="126"/>
      <c r="JLH22" s="126"/>
      <c r="JLI22" s="126"/>
      <c r="JLJ22" s="126"/>
      <c r="JLK22" s="126"/>
      <c r="JLL22" s="126"/>
      <c r="JLM22" s="126"/>
      <c r="JLN22" s="126"/>
      <c r="JLO22" s="126"/>
      <c r="JLP22" s="126"/>
      <c r="JLQ22" s="126"/>
      <c r="JLR22" s="126"/>
      <c r="JLS22" s="126"/>
      <c r="JLT22" s="126"/>
      <c r="JLU22" s="126"/>
      <c r="JLV22" s="126"/>
      <c r="JLW22" s="126"/>
      <c r="JLX22" s="126"/>
      <c r="JLY22" s="126"/>
      <c r="JLZ22" s="126"/>
      <c r="JMA22" s="126"/>
      <c r="JMB22" s="126"/>
      <c r="JMC22" s="126"/>
      <c r="JMD22" s="126"/>
      <c r="JME22" s="126"/>
      <c r="JMF22" s="126"/>
      <c r="JMG22" s="126"/>
      <c r="JMH22" s="126"/>
      <c r="JMI22" s="126"/>
      <c r="JMJ22" s="126"/>
      <c r="JMK22" s="126"/>
      <c r="JML22" s="126"/>
      <c r="JMM22" s="126"/>
      <c r="JMN22" s="126"/>
      <c r="JMO22" s="126"/>
      <c r="JMP22" s="126"/>
      <c r="JMQ22" s="126"/>
      <c r="JMR22" s="126"/>
      <c r="JMS22" s="126"/>
      <c r="JMT22" s="126"/>
      <c r="JMU22" s="126"/>
      <c r="JMV22" s="126"/>
      <c r="JMW22" s="126"/>
      <c r="JMX22" s="126"/>
      <c r="JMY22" s="126"/>
      <c r="JMZ22" s="126"/>
      <c r="JNA22" s="126"/>
      <c r="JNB22" s="126"/>
      <c r="JNC22" s="126"/>
      <c r="JND22" s="126"/>
      <c r="JNE22" s="126"/>
      <c r="JNF22" s="126"/>
      <c r="JNG22" s="126"/>
      <c r="JNH22" s="126"/>
      <c r="JNI22" s="126"/>
      <c r="JNJ22" s="126"/>
      <c r="JNK22" s="126"/>
      <c r="JNL22" s="126"/>
      <c r="JNM22" s="126"/>
      <c r="JNN22" s="126"/>
      <c r="JNO22" s="126"/>
      <c r="JNP22" s="126"/>
      <c r="JNQ22" s="126"/>
      <c r="JNR22" s="126"/>
      <c r="JNS22" s="126"/>
      <c r="JNT22" s="126"/>
      <c r="JNU22" s="126"/>
      <c r="JNV22" s="126"/>
      <c r="JNW22" s="126"/>
      <c r="JNX22" s="126"/>
      <c r="JNY22" s="126"/>
      <c r="JNZ22" s="126"/>
      <c r="JOA22" s="126"/>
      <c r="JOB22" s="126"/>
      <c r="JOC22" s="126"/>
      <c r="JOD22" s="126"/>
      <c r="JOE22" s="126"/>
      <c r="JOF22" s="126"/>
      <c r="JOG22" s="126"/>
      <c r="JOH22" s="126"/>
      <c r="JOI22" s="126"/>
      <c r="JOJ22" s="126"/>
      <c r="JOK22" s="126"/>
      <c r="JOL22" s="126"/>
      <c r="JOM22" s="126"/>
      <c r="JON22" s="126"/>
      <c r="JOO22" s="126"/>
      <c r="JOP22" s="126"/>
      <c r="JOQ22" s="126"/>
      <c r="JOR22" s="126"/>
      <c r="JOS22" s="126"/>
      <c r="JOT22" s="126"/>
      <c r="JOU22" s="126"/>
      <c r="JOV22" s="126"/>
      <c r="JOW22" s="126"/>
      <c r="JOX22" s="126"/>
      <c r="JOY22" s="126"/>
      <c r="JOZ22" s="126"/>
      <c r="JPA22" s="126"/>
      <c r="JPB22" s="126"/>
      <c r="JPC22" s="126"/>
      <c r="JPD22" s="126"/>
      <c r="JPE22" s="126"/>
      <c r="JPF22" s="126"/>
      <c r="JPG22" s="126"/>
      <c r="JPH22" s="126"/>
      <c r="JPI22" s="126"/>
      <c r="JPJ22" s="126"/>
      <c r="JPK22" s="126"/>
      <c r="JPL22" s="126"/>
      <c r="JPM22" s="126"/>
      <c r="JPN22" s="126"/>
      <c r="JPO22" s="126"/>
      <c r="JPP22" s="126"/>
      <c r="JPQ22" s="126"/>
      <c r="JPR22" s="126"/>
      <c r="JPS22" s="126"/>
      <c r="JPT22" s="126"/>
      <c r="JPU22" s="126"/>
      <c r="JPV22" s="126"/>
      <c r="JPW22" s="126"/>
      <c r="JPX22" s="126"/>
      <c r="JPY22" s="126"/>
      <c r="JPZ22" s="126"/>
      <c r="JQA22" s="126"/>
      <c r="JQB22" s="126"/>
      <c r="JQC22" s="126"/>
      <c r="JQD22" s="126"/>
      <c r="JQE22" s="126"/>
      <c r="JQF22" s="126"/>
      <c r="JQG22" s="126"/>
      <c r="JQH22" s="126"/>
      <c r="JQI22" s="126"/>
      <c r="JQJ22" s="126"/>
      <c r="JQK22" s="126"/>
      <c r="JQL22" s="126"/>
      <c r="JQM22" s="126"/>
      <c r="JQN22" s="126"/>
      <c r="JQO22" s="126"/>
      <c r="JQP22" s="126"/>
      <c r="JQQ22" s="126"/>
      <c r="JQR22" s="126"/>
      <c r="JQS22" s="126"/>
      <c r="JQT22" s="126"/>
      <c r="JQU22" s="126"/>
      <c r="JQV22" s="126"/>
      <c r="JQW22" s="126"/>
      <c r="JQX22" s="126"/>
      <c r="JQY22" s="126"/>
      <c r="JQZ22" s="126"/>
      <c r="JRA22" s="126"/>
      <c r="JRB22" s="126"/>
      <c r="JRC22" s="126"/>
      <c r="JRD22" s="126"/>
      <c r="JRE22" s="126"/>
      <c r="JRF22" s="126"/>
      <c r="JRG22" s="126"/>
      <c r="JRH22" s="126"/>
      <c r="JRI22" s="126"/>
      <c r="JRJ22" s="126"/>
      <c r="JRK22" s="126"/>
      <c r="JRL22" s="126"/>
      <c r="JRM22" s="126"/>
      <c r="JRN22" s="126"/>
      <c r="JRO22" s="126"/>
      <c r="JRP22" s="126"/>
      <c r="JRQ22" s="126"/>
      <c r="JRR22" s="126"/>
      <c r="JRS22" s="126"/>
      <c r="JRT22" s="126"/>
      <c r="JRU22" s="126"/>
      <c r="JRV22" s="126"/>
      <c r="JRW22" s="126"/>
      <c r="JRX22" s="126"/>
      <c r="JRY22" s="126"/>
      <c r="JRZ22" s="126"/>
      <c r="JSA22" s="126"/>
      <c r="JSB22" s="126"/>
      <c r="JSC22" s="126"/>
      <c r="JSD22" s="126"/>
      <c r="JSE22" s="126"/>
      <c r="JSF22" s="126"/>
      <c r="JSG22" s="126"/>
      <c r="JSH22" s="126"/>
      <c r="JSI22" s="126"/>
      <c r="JSJ22" s="126"/>
      <c r="JSK22" s="126"/>
      <c r="JSL22" s="126"/>
      <c r="JSM22" s="126"/>
      <c r="JSN22" s="126"/>
      <c r="JSO22" s="126"/>
      <c r="JSP22" s="126"/>
      <c r="JSQ22" s="126"/>
      <c r="JSR22" s="126"/>
      <c r="JSS22" s="126"/>
      <c r="JST22" s="126"/>
      <c r="JSU22" s="126"/>
      <c r="JSV22" s="126"/>
      <c r="JSW22" s="126"/>
      <c r="JSX22" s="126"/>
      <c r="JSY22" s="126"/>
      <c r="JSZ22" s="126"/>
      <c r="JTA22" s="126"/>
      <c r="JTB22" s="126"/>
      <c r="JTC22" s="126"/>
      <c r="JTD22" s="126"/>
      <c r="JTE22" s="126"/>
      <c r="JTF22" s="126"/>
      <c r="JTG22" s="126"/>
      <c r="JTH22" s="126"/>
      <c r="JTI22" s="126"/>
      <c r="JTJ22" s="126"/>
      <c r="JTK22" s="126"/>
      <c r="JTL22" s="126"/>
      <c r="JTM22" s="126"/>
      <c r="JTN22" s="126"/>
      <c r="JTO22" s="126"/>
      <c r="JTP22" s="126"/>
      <c r="JTQ22" s="126"/>
      <c r="JTR22" s="126"/>
      <c r="JTS22" s="126"/>
      <c r="JTT22" s="126"/>
      <c r="JTU22" s="126"/>
      <c r="JTV22" s="126"/>
      <c r="JTW22" s="126"/>
      <c r="JTX22" s="126"/>
      <c r="JTY22" s="126"/>
      <c r="JTZ22" s="126"/>
      <c r="JUA22" s="126"/>
      <c r="JUB22" s="126"/>
      <c r="JUC22" s="126"/>
      <c r="JUD22" s="126"/>
      <c r="JUE22" s="126"/>
      <c r="JUF22" s="126"/>
      <c r="JUG22" s="126"/>
      <c r="JUH22" s="126"/>
      <c r="JUI22" s="126"/>
      <c r="JUJ22" s="126"/>
      <c r="JUK22" s="126"/>
      <c r="JUL22" s="126"/>
      <c r="JUM22" s="126"/>
      <c r="JUN22" s="126"/>
      <c r="JUO22" s="126"/>
      <c r="JUP22" s="126"/>
      <c r="JUQ22" s="126"/>
      <c r="JUR22" s="126"/>
      <c r="JUS22" s="126"/>
      <c r="JUT22" s="126"/>
      <c r="JUU22" s="126"/>
      <c r="JUV22" s="126"/>
      <c r="JUW22" s="126"/>
      <c r="JUX22" s="126"/>
      <c r="JUY22" s="126"/>
      <c r="JUZ22" s="126"/>
      <c r="JVA22" s="126"/>
      <c r="JVB22" s="126"/>
      <c r="JVC22" s="126"/>
      <c r="JVD22" s="126"/>
      <c r="JVE22" s="126"/>
      <c r="JVF22" s="126"/>
      <c r="JVG22" s="126"/>
      <c r="JVH22" s="126"/>
      <c r="JVI22" s="126"/>
      <c r="JVJ22" s="126"/>
      <c r="JVK22" s="126"/>
      <c r="JVL22" s="126"/>
      <c r="JVM22" s="126"/>
      <c r="JVN22" s="126"/>
      <c r="JVO22" s="126"/>
      <c r="JVP22" s="126"/>
      <c r="JVQ22" s="126"/>
      <c r="JVR22" s="126"/>
      <c r="JVS22" s="126"/>
      <c r="JVT22" s="126"/>
      <c r="JVU22" s="126"/>
      <c r="JVV22" s="126"/>
      <c r="JVW22" s="126"/>
      <c r="JVX22" s="126"/>
      <c r="JVY22" s="126"/>
      <c r="JVZ22" s="126"/>
      <c r="JWA22" s="126"/>
      <c r="JWB22" s="126"/>
      <c r="JWC22" s="126"/>
      <c r="JWD22" s="126"/>
      <c r="JWE22" s="126"/>
      <c r="JWF22" s="126"/>
      <c r="JWG22" s="126"/>
      <c r="JWH22" s="126"/>
      <c r="JWI22" s="126"/>
      <c r="JWJ22" s="126"/>
      <c r="JWK22" s="126"/>
      <c r="JWL22" s="126"/>
      <c r="JWM22" s="126"/>
      <c r="JWN22" s="126"/>
      <c r="JWO22" s="126"/>
      <c r="JWP22" s="126"/>
      <c r="JWQ22" s="126"/>
      <c r="JWR22" s="126"/>
      <c r="JWS22" s="126"/>
      <c r="JWT22" s="126"/>
      <c r="JWU22" s="126"/>
      <c r="JWV22" s="126"/>
      <c r="JWW22" s="126"/>
      <c r="JWX22" s="126"/>
      <c r="JWY22" s="126"/>
      <c r="JWZ22" s="126"/>
      <c r="JXA22" s="126"/>
      <c r="JXB22" s="126"/>
      <c r="JXC22" s="126"/>
      <c r="JXD22" s="126"/>
      <c r="JXE22" s="126"/>
      <c r="JXF22" s="126"/>
      <c r="JXG22" s="126"/>
      <c r="JXH22" s="126"/>
      <c r="JXI22" s="126"/>
      <c r="JXJ22" s="126"/>
      <c r="JXK22" s="126"/>
      <c r="JXL22" s="126"/>
      <c r="JXM22" s="126"/>
      <c r="JXN22" s="126"/>
      <c r="JXO22" s="126"/>
      <c r="JXP22" s="126"/>
      <c r="JXQ22" s="126"/>
      <c r="JXR22" s="126"/>
      <c r="JXS22" s="126"/>
      <c r="JXT22" s="126"/>
      <c r="JXU22" s="126"/>
      <c r="JXV22" s="126"/>
      <c r="JXW22" s="126"/>
      <c r="JXX22" s="126"/>
      <c r="JXY22" s="126"/>
      <c r="JXZ22" s="126"/>
      <c r="JYA22" s="126"/>
      <c r="JYB22" s="126"/>
      <c r="JYC22" s="126"/>
      <c r="JYD22" s="126"/>
      <c r="JYE22" s="126"/>
      <c r="JYF22" s="126"/>
      <c r="JYG22" s="126"/>
      <c r="JYH22" s="126"/>
      <c r="JYI22" s="126"/>
      <c r="JYJ22" s="126"/>
      <c r="JYK22" s="126"/>
      <c r="JYL22" s="126"/>
      <c r="JYM22" s="126"/>
      <c r="JYN22" s="126"/>
      <c r="JYO22" s="126"/>
      <c r="JYP22" s="126"/>
      <c r="JYQ22" s="126"/>
      <c r="JYR22" s="126"/>
      <c r="JYS22" s="126"/>
      <c r="JYT22" s="126"/>
      <c r="JYU22" s="126"/>
      <c r="JYV22" s="126"/>
      <c r="JYW22" s="126"/>
      <c r="JYX22" s="126"/>
      <c r="JYY22" s="126"/>
      <c r="JYZ22" s="126"/>
      <c r="JZA22" s="126"/>
      <c r="JZB22" s="126"/>
      <c r="JZC22" s="126"/>
      <c r="JZD22" s="126"/>
      <c r="JZE22" s="126"/>
      <c r="JZF22" s="126"/>
      <c r="JZG22" s="126"/>
      <c r="JZH22" s="126"/>
      <c r="JZI22" s="126"/>
      <c r="JZJ22" s="126"/>
      <c r="JZK22" s="126"/>
      <c r="JZL22" s="126"/>
      <c r="JZM22" s="126"/>
      <c r="JZN22" s="126"/>
      <c r="JZO22" s="126"/>
      <c r="JZP22" s="126"/>
      <c r="JZQ22" s="126"/>
      <c r="JZR22" s="126"/>
      <c r="JZS22" s="126"/>
      <c r="JZT22" s="126"/>
      <c r="JZU22" s="126"/>
      <c r="JZV22" s="126"/>
      <c r="JZW22" s="126"/>
      <c r="JZX22" s="126"/>
      <c r="JZY22" s="126"/>
      <c r="JZZ22" s="126"/>
      <c r="KAA22" s="126"/>
      <c r="KAB22" s="126"/>
      <c r="KAC22" s="126"/>
      <c r="KAD22" s="126"/>
      <c r="KAE22" s="126"/>
      <c r="KAF22" s="126"/>
      <c r="KAG22" s="126"/>
      <c r="KAH22" s="126"/>
      <c r="KAI22" s="126"/>
      <c r="KAJ22" s="126"/>
      <c r="KAK22" s="126"/>
      <c r="KAL22" s="126"/>
      <c r="KAM22" s="126"/>
      <c r="KAN22" s="126"/>
      <c r="KAO22" s="126"/>
      <c r="KAP22" s="126"/>
      <c r="KAQ22" s="126"/>
      <c r="KAR22" s="126"/>
      <c r="KAS22" s="126"/>
      <c r="KAT22" s="126"/>
      <c r="KAU22" s="126"/>
      <c r="KAV22" s="126"/>
      <c r="KAW22" s="126"/>
      <c r="KAX22" s="126"/>
      <c r="KAY22" s="126"/>
      <c r="KAZ22" s="126"/>
      <c r="KBA22" s="126"/>
      <c r="KBB22" s="126"/>
      <c r="KBC22" s="126"/>
      <c r="KBD22" s="126"/>
      <c r="KBE22" s="126"/>
      <c r="KBF22" s="126"/>
      <c r="KBG22" s="126"/>
      <c r="KBH22" s="126"/>
      <c r="KBI22" s="126"/>
      <c r="KBJ22" s="126"/>
      <c r="KBK22" s="126"/>
      <c r="KBL22" s="126"/>
      <c r="KBM22" s="126"/>
      <c r="KBN22" s="126"/>
      <c r="KBO22" s="126"/>
      <c r="KBP22" s="126"/>
      <c r="KBQ22" s="126"/>
      <c r="KBR22" s="126"/>
      <c r="KBS22" s="126"/>
      <c r="KBT22" s="126"/>
      <c r="KBU22" s="126"/>
      <c r="KBV22" s="126"/>
      <c r="KBW22" s="126"/>
      <c r="KBX22" s="126"/>
      <c r="KBY22" s="126"/>
      <c r="KBZ22" s="126"/>
      <c r="KCA22" s="126"/>
      <c r="KCB22" s="126"/>
      <c r="KCC22" s="126"/>
      <c r="KCD22" s="126"/>
      <c r="KCE22" s="126"/>
      <c r="KCF22" s="126"/>
      <c r="KCG22" s="126"/>
      <c r="KCH22" s="126"/>
      <c r="KCI22" s="126"/>
      <c r="KCJ22" s="126"/>
      <c r="KCK22" s="126"/>
      <c r="KCL22" s="126"/>
      <c r="KCM22" s="126"/>
      <c r="KCN22" s="126"/>
      <c r="KCO22" s="126"/>
      <c r="KCP22" s="126"/>
      <c r="KCQ22" s="126"/>
      <c r="KCR22" s="126"/>
      <c r="KCS22" s="126"/>
      <c r="KCT22" s="126"/>
      <c r="KCU22" s="126"/>
      <c r="KCV22" s="126"/>
      <c r="KCW22" s="126"/>
      <c r="KCX22" s="126"/>
      <c r="KCY22" s="126"/>
      <c r="KCZ22" s="126"/>
      <c r="KDA22" s="126"/>
      <c r="KDB22" s="126"/>
      <c r="KDC22" s="126"/>
      <c r="KDD22" s="126"/>
      <c r="KDE22" s="126"/>
      <c r="KDF22" s="126"/>
      <c r="KDG22" s="126"/>
      <c r="KDH22" s="126"/>
      <c r="KDI22" s="126"/>
      <c r="KDJ22" s="126"/>
      <c r="KDK22" s="126"/>
      <c r="KDL22" s="126"/>
      <c r="KDM22" s="126"/>
      <c r="KDN22" s="126"/>
      <c r="KDO22" s="126"/>
      <c r="KDP22" s="126"/>
      <c r="KDQ22" s="126"/>
      <c r="KDR22" s="126"/>
      <c r="KDS22" s="126"/>
      <c r="KDT22" s="126"/>
      <c r="KDU22" s="126"/>
      <c r="KDV22" s="126"/>
      <c r="KDW22" s="126"/>
      <c r="KDX22" s="126"/>
      <c r="KDY22" s="126"/>
      <c r="KDZ22" s="126"/>
      <c r="KEA22" s="126"/>
      <c r="KEB22" s="126"/>
      <c r="KEC22" s="126"/>
      <c r="KED22" s="126"/>
      <c r="KEE22" s="126"/>
      <c r="KEF22" s="126"/>
      <c r="KEG22" s="126"/>
      <c r="KEH22" s="126"/>
      <c r="KEI22" s="126"/>
      <c r="KEJ22" s="126"/>
      <c r="KEK22" s="126"/>
      <c r="KEL22" s="126"/>
      <c r="KEM22" s="126"/>
      <c r="KEN22" s="126"/>
      <c r="KEO22" s="126"/>
      <c r="KEP22" s="126"/>
      <c r="KEQ22" s="126"/>
      <c r="KER22" s="126"/>
      <c r="KES22" s="126"/>
      <c r="KET22" s="126"/>
      <c r="KEU22" s="126"/>
      <c r="KEV22" s="126"/>
      <c r="KEW22" s="126"/>
      <c r="KEX22" s="126"/>
      <c r="KEY22" s="126"/>
      <c r="KEZ22" s="126"/>
      <c r="KFA22" s="126"/>
      <c r="KFB22" s="126"/>
      <c r="KFC22" s="126"/>
      <c r="KFD22" s="126"/>
      <c r="KFE22" s="126"/>
      <c r="KFF22" s="126"/>
      <c r="KFG22" s="126"/>
      <c r="KFH22" s="126"/>
      <c r="KFI22" s="126"/>
      <c r="KFJ22" s="126"/>
      <c r="KFK22" s="126"/>
      <c r="KFL22" s="126"/>
      <c r="KFM22" s="126"/>
      <c r="KFN22" s="126"/>
      <c r="KFO22" s="126"/>
      <c r="KFP22" s="126"/>
      <c r="KFQ22" s="126"/>
      <c r="KFR22" s="126"/>
      <c r="KFS22" s="126"/>
      <c r="KFT22" s="126"/>
      <c r="KFU22" s="126"/>
      <c r="KFV22" s="126"/>
      <c r="KFW22" s="126"/>
      <c r="KFX22" s="126"/>
      <c r="KFY22" s="126"/>
      <c r="KFZ22" s="126"/>
      <c r="KGA22" s="126"/>
      <c r="KGB22" s="126"/>
      <c r="KGC22" s="126"/>
      <c r="KGD22" s="126"/>
      <c r="KGE22" s="126"/>
      <c r="KGF22" s="126"/>
      <c r="KGG22" s="126"/>
      <c r="KGH22" s="126"/>
      <c r="KGI22" s="126"/>
      <c r="KGJ22" s="126"/>
      <c r="KGK22" s="126"/>
      <c r="KGL22" s="126"/>
      <c r="KGM22" s="126"/>
      <c r="KGN22" s="126"/>
      <c r="KGO22" s="126"/>
      <c r="KGP22" s="126"/>
      <c r="KGQ22" s="126"/>
      <c r="KGR22" s="126"/>
      <c r="KGS22" s="126"/>
      <c r="KGT22" s="126"/>
      <c r="KGU22" s="126"/>
      <c r="KGV22" s="126"/>
      <c r="KGW22" s="126"/>
      <c r="KGX22" s="126"/>
      <c r="KGY22" s="126"/>
      <c r="KGZ22" s="126"/>
      <c r="KHA22" s="126"/>
      <c r="KHB22" s="126"/>
      <c r="KHC22" s="126"/>
      <c r="KHD22" s="126"/>
      <c r="KHE22" s="126"/>
      <c r="KHF22" s="126"/>
      <c r="KHG22" s="126"/>
      <c r="KHH22" s="126"/>
      <c r="KHI22" s="126"/>
      <c r="KHJ22" s="126"/>
      <c r="KHK22" s="126"/>
      <c r="KHL22" s="126"/>
      <c r="KHM22" s="126"/>
      <c r="KHN22" s="126"/>
      <c r="KHO22" s="126"/>
      <c r="KHP22" s="126"/>
      <c r="KHQ22" s="126"/>
      <c r="KHR22" s="126"/>
      <c r="KHS22" s="126"/>
      <c r="KHT22" s="126"/>
      <c r="KHU22" s="126"/>
      <c r="KHV22" s="126"/>
      <c r="KHW22" s="126"/>
      <c r="KHX22" s="126"/>
      <c r="KHY22" s="126"/>
      <c r="KHZ22" s="126"/>
      <c r="KIA22" s="126"/>
      <c r="KIB22" s="126"/>
      <c r="KIC22" s="126"/>
      <c r="KID22" s="126"/>
      <c r="KIE22" s="126"/>
      <c r="KIF22" s="126"/>
      <c r="KIG22" s="126"/>
      <c r="KIH22" s="126"/>
      <c r="KII22" s="126"/>
      <c r="KIJ22" s="126"/>
      <c r="KIK22" s="126"/>
      <c r="KIL22" s="126"/>
      <c r="KIM22" s="126"/>
      <c r="KIN22" s="126"/>
      <c r="KIO22" s="126"/>
      <c r="KIP22" s="126"/>
      <c r="KIQ22" s="126"/>
      <c r="KIR22" s="126"/>
      <c r="KIS22" s="126"/>
      <c r="KIT22" s="126"/>
      <c r="KIU22" s="126"/>
      <c r="KIV22" s="126"/>
      <c r="KIW22" s="126"/>
      <c r="KIX22" s="126"/>
      <c r="KIY22" s="126"/>
      <c r="KIZ22" s="126"/>
      <c r="KJA22" s="126"/>
      <c r="KJB22" s="126"/>
      <c r="KJC22" s="126"/>
      <c r="KJD22" s="126"/>
      <c r="KJE22" s="126"/>
      <c r="KJF22" s="126"/>
      <c r="KJG22" s="126"/>
      <c r="KJH22" s="126"/>
      <c r="KJI22" s="126"/>
      <c r="KJJ22" s="126"/>
      <c r="KJK22" s="126"/>
      <c r="KJL22" s="126"/>
      <c r="KJM22" s="126"/>
      <c r="KJN22" s="126"/>
      <c r="KJO22" s="126"/>
      <c r="KJP22" s="126"/>
      <c r="KJQ22" s="126"/>
      <c r="KJR22" s="126"/>
      <c r="KJS22" s="126"/>
      <c r="KJT22" s="126"/>
      <c r="KJU22" s="126"/>
      <c r="KJV22" s="126"/>
      <c r="KJW22" s="126"/>
      <c r="KJX22" s="126"/>
      <c r="KJY22" s="126"/>
      <c r="KJZ22" s="126"/>
      <c r="KKA22" s="126"/>
      <c r="KKB22" s="126"/>
      <c r="KKC22" s="126"/>
      <c r="KKD22" s="126"/>
      <c r="KKE22" s="126"/>
      <c r="KKF22" s="126"/>
      <c r="KKG22" s="126"/>
      <c r="KKH22" s="126"/>
      <c r="KKI22" s="126"/>
      <c r="KKJ22" s="126"/>
      <c r="KKK22" s="126"/>
      <c r="KKL22" s="126"/>
      <c r="KKM22" s="126"/>
      <c r="KKN22" s="126"/>
      <c r="KKO22" s="126"/>
      <c r="KKP22" s="126"/>
      <c r="KKQ22" s="126"/>
      <c r="KKR22" s="126"/>
      <c r="KKS22" s="126"/>
      <c r="KKT22" s="126"/>
      <c r="KKU22" s="126"/>
      <c r="KKV22" s="126"/>
      <c r="KKW22" s="126"/>
      <c r="KKX22" s="126"/>
      <c r="KKY22" s="126"/>
      <c r="KKZ22" s="126"/>
      <c r="KLA22" s="126"/>
      <c r="KLB22" s="126"/>
      <c r="KLC22" s="126"/>
      <c r="KLD22" s="126"/>
      <c r="KLE22" s="126"/>
      <c r="KLF22" s="126"/>
      <c r="KLG22" s="126"/>
      <c r="KLH22" s="126"/>
      <c r="KLI22" s="126"/>
      <c r="KLJ22" s="126"/>
      <c r="KLK22" s="126"/>
      <c r="KLL22" s="126"/>
      <c r="KLM22" s="126"/>
      <c r="KLN22" s="126"/>
      <c r="KLO22" s="126"/>
      <c r="KLP22" s="126"/>
      <c r="KLQ22" s="126"/>
      <c r="KLR22" s="126"/>
      <c r="KLS22" s="126"/>
      <c r="KLT22" s="126"/>
      <c r="KLU22" s="126"/>
      <c r="KLV22" s="126"/>
      <c r="KLW22" s="126"/>
      <c r="KLX22" s="126"/>
      <c r="KLY22" s="126"/>
      <c r="KLZ22" s="126"/>
      <c r="KMA22" s="126"/>
      <c r="KMB22" s="126"/>
      <c r="KMC22" s="126"/>
      <c r="KMD22" s="126"/>
      <c r="KME22" s="126"/>
      <c r="KMF22" s="126"/>
      <c r="KMG22" s="126"/>
      <c r="KMH22" s="126"/>
      <c r="KMI22" s="126"/>
      <c r="KMJ22" s="126"/>
      <c r="KMK22" s="126"/>
      <c r="KML22" s="126"/>
      <c r="KMM22" s="126"/>
      <c r="KMN22" s="126"/>
      <c r="KMO22" s="126"/>
      <c r="KMP22" s="126"/>
      <c r="KMQ22" s="126"/>
      <c r="KMR22" s="126"/>
      <c r="KMS22" s="126"/>
      <c r="KMT22" s="126"/>
      <c r="KMU22" s="126"/>
      <c r="KMV22" s="126"/>
      <c r="KMW22" s="126"/>
      <c r="KMX22" s="126"/>
      <c r="KMY22" s="126"/>
      <c r="KMZ22" s="126"/>
      <c r="KNA22" s="126"/>
      <c r="KNB22" s="126"/>
      <c r="KNC22" s="126"/>
      <c r="KND22" s="126"/>
      <c r="KNE22" s="126"/>
      <c r="KNF22" s="126"/>
      <c r="KNG22" s="126"/>
      <c r="KNH22" s="126"/>
      <c r="KNI22" s="126"/>
      <c r="KNJ22" s="126"/>
      <c r="KNK22" s="126"/>
      <c r="KNL22" s="126"/>
      <c r="KNM22" s="126"/>
      <c r="KNN22" s="126"/>
      <c r="KNO22" s="126"/>
      <c r="KNP22" s="126"/>
      <c r="KNQ22" s="126"/>
      <c r="KNR22" s="126"/>
      <c r="KNS22" s="126"/>
      <c r="KNT22" s="126"/>
      <c r="KNU22" s="126"/>
      <c r="KNV22" s="126"/>
      <c r="KNW22" s="126"/>
      <c r="KNX22" s="126"/>
      <c r="KNY22" s="126"/>
      <c r="KNZ22" s="126"/>
      <c r="KOA22" s="126"/>
      <c r="KOB22" s="126"/>
      <c r="KOC22" s="126"/>
      <c r="KOD22" s="126"/>
      <c r="KOE22" s="126"/>
      <c r="KOF22" s="126"/>
      <c r="KOG22" s="126"/>
      <c r="KOH22" s="126"/>
      <c r="KOI22" s="126"/>
      <c r="KOJ22" s="126"/>
      <c r="KOK22" s="126"/>
      <c r="KOL22" s="126"/>
      <c r="KOM22" s="126"/>
      <c r="KON22" s="126"/>
      <c r="KOO22" s="126"/>
      <c r="KOP22" s="126"/>
      <c r="KOQ22" s="126"/>
      <c r="KOR22" s="126"/>
      <c r="KOS22" s="126"/>
      <c r="KOT22" s="126"/>
      <c r="KOU22" s="126"/>
      <c r="KOV22" s="126"/>
      <c r="KOW22" s="126"/>
      <c r="KOX22" s="126"/>
      <c r="KOY22" s="126"/>
      <c r="KOZ22" s="126"/>
      <c r="KPA22" s="126"/>
      <c r="KPB22" s="126"/>
      <c r="KPC22" s="126"/>
      <c r="KPD22" s="126"/>
      <c r="KPE22" s="126"/>
      <c r="KPF22" s="126"/>
      <c r="KPG22" s="126"/>
      <c r="KPH22" s="126"/>
      <c r="KPI22" s="126"/>
      <c r="KPJ22" s="126"/>
      <c r="KPK22" s="126"/>
      <c r="KPL22" s="126"/>
      <c r="KPM22" s="126"/>
      <c r="KPN22" s="126"/>
      <c r="KPO22" s="126"/>
      <c r="KPP22" s="126"/>
      <c r="KPQ22" s="126"/>
      <c r="KPR22" s="126"/>
      <c r="KPS22" s="126"/>
      <c r="KPT22" s="126"/>
      <c r="KPU22" s="126"/>
      <c r="KPV22" s="126"/>
      <c r="KPW22" s="126"/>
      <c r="KPX22" s="126"/>
      <c r="KPY22" s="126"/>
      <c r="KPZ22" s="126"/>
      <c r="KQA22" s="126"/>
      <c r="KQB22" s="126"/>
      <c r="KQC22" s="126"/>
      <c r="KQD22" s="126"/>
      <c r="KQE22" s="126"/>
      <c r="KQF22" s="126"/>
      <c r="KQG22" s="126"/>
      <c r="KQH22" s="126"/>
      <c r="KQI22" s="126"/>
      <c r="KQJ22" s="126"/>
      <c r="KQK22" s="126"/>
      <c r="KQL22" s="126"/>
      <c r="KQM22" s="126"/>
      <c r="KQN22" s="126"/>
      <c r="KQO22" s="126"/>
      <c r="KQP22" s="126"/>
      <c r="KQQ22" s="126"/>
      <c r="KQR22" s="126"/>
      <c r="KQS22" s="126"/>
      <c r="KQT22" s="126"/>
      <c r="KQU22" s="126"/>
      <c r="KQV22" s="126"/>
      <c r="KQW22" s="126"/>
      <c r="KQX22" s="126"/>
      <c r="KQY22" s="126"/>
      <c r="KQZ22" s="126"/>
      <c r="KRA22" s="126"/>
      <c r="KRB22" s="126"/>
      <c r="KRC22" s="126"/>
      <c r="KRD22" s="126"/>
      <c r="KRE22" s="126"/>
      <c r="KRF22" s="126"/>
      <c r="KRG22" s="126"/>
      <c r="KRH22" s="126"/>
      <c r="KRI22" s="126"/>
      <c r="KRJ22" s="126"/>
      <c r="KRK22" s="126"/>
      <c r="KRL22" s="126"/>
      <c r="KRM22" s="126"/>
      <c r="KRN22" s="126"/>
      <c r="KRO22" s="126"/>
      <c r="KRP22" s="126"/>
      <c r="KRQ22" s="126"/>
      <c r="KRR22" s="126"/>
      <c r="KRS22" s="126"/>
      <c r="KRT22" s="126"/>
      <c r="KRU22" s="126"/>
      <c r="KRV22" s="126"/>
      <c r="KRW22" s="126"/>
      <c r="KRX22" s="126"/>
      <c r="KRY22" s="126"/>
      <c r="KRZ22" s="126"/>
      <c r="KSA22" s="126"/>
      <c r="KSB22" s="126"/>
      <c r="KSC22" s="126"/>
      <c r="KSD22" s="126"/>
      <c r="KSE22" s="126"/>
      <c r="KSF22" s="126"/>
      <c r="KSG22" s="126"/>
      <c r="KSH22" s="126"/>
      <c r="KSI22" s="126"/>
      <c r="KSJ22" s="126"/>
      <c r="KSK22" s="126"/>
      <c r="KSL22" s="126"/>
      <c r="KSM22" s="126"/>
      <c r="KSN22" s="126"/>
      <c r="KSO22" s="126"/>
      <c r="KSP22" s="126"/>
      <c r="KSQ22" s="126"/>
      <c r="KSR22" s="126"/>
      <c r="KSS22" s="126"/>
      <c r="KST22" s="126"/>
      <c r="KSU22" s="126"/>
      <c r="KSV22" s="126"/>
      <c r="KSW22" s="126"/>
      <c r="KSX22" s="126"/>
      <c r="KSY22" s="126"/>
      <c r="KSZ22" s="126"/>
      <c r="KTA22" s="126"/>
      <c r="KTB22" s="126"/>
      <c r="KTC22" s="126"/>
      <c r="KTD22" s="126"/>
      <c r="KTE22" s="126"/>
      <c r="KTF22" s="126"/>
      <c r="KTG22" s="126"/>
      <c r="KTH22" s="126"/>
      <c r="KTI22" s="126"/>
      <c r="KTJ22" s="126"/>
      <c r="KTK22" s="126"/>
      <c r="KTL22" s="126"/>
      <c r="KTM22" s="126"/>
      <c r="KTN22" s="126"/>
      <c r="KTO22" s="126"/>
      <c r="KTP22" s="126"/>
      <c r="KTQ22" s="126"/>
      <c r="KTR22" s="126"/>
      <c r="KTS22" s="126"/>
      <c r="KTT22" s="126"/>
      <c r="KTU22" s="126"/>
      <c r="KTV22" s="126"/>
      <c r="KTW22" s="126"/>
      <c r="KTX22" s="126"/>
      <c r="KTY22" s="126"/>
      <c r="KTZ22" s="126"/>
      <c r="KUA22" s="126"/>
      <c r="KUB22" s="126"/>
      <c r="KUC22" s="126"/>
      <c r="KUD22" s="126"/>
      <c r="KUE22" s="126"/>
      <c r="KUF22" s="126"/>
      <c r="KUG22" s="126"/>
      <c r="KUH22" s="126"/>
      <c r="KUI22" s="126"/>
      <c r="KUJ22" s="126"/>
      <c r="KUK22" s="126"/>
      <c r="KUL22" s="126"/>
      <c r="KUM22" s="126"/>
      <c r="KUN22" s="126"/>
      <c r="KUO22" s="126"/>
      <c r="KUP22" s="126"/>
      <c r="KUQ22" s="126"/>
      <c r="KUR22" s="126"/>
      <c r="KUS22" s="126"/>
      <c r="KUT22" s="126"/>
      <c r="KUU22" s="126"/>
      <c r="KUV22" s="126"/>
      <c r="KUW22" s="126"/>
      <c r="KUX22" s="126"/>
      <c r="KUY22" s="126"/>
      <c r="KUZ22" s="126"/>
      <c r="KVA22" s="126"/>
      <c r="KVB22" s="126"/>
      <c r="KVC22" s="126"/>
      <c r="KVD22" s="126"/>
      <c r="KVE22" s="126"/>
      <c r="KVF22" s="126"/>
      <c r="KVG22" s="126"/>
      <c r="KVH22" s="126"/>
      <c r="KVI22" s="126"/>
      <c r="KVJ22" s="126"/>
      <c r="KVK22" s="126"/>
      <c r="KVL22" s="126"/>
      <c r="KVM22" s="126"/>
      <c r="KVN22" s="126"/>
      <c r="KVO22" s="126"/>
      <c r="KVP22" s="126"/>
      <c r="KVQ22" s="126"/>
      <c r="KVR22" s="126"/>
      <c r="KVS22" s="126"/>
      <c r="KVT22" s="126"/>
      <c r="KVU22" s="126"/>
      <c r="KVV22" s="126"/>
      <c r="KVW22" s="126"/>
      <c r="KVX22" s="126"/>
      <c r="KVY22" s="126"/>
      <c r="KVZ22" s="126"/>
      <c r="KWA22" s="126"/>
      <c r="KWB22" s="126"/>
      <c r="KWC22" s="126"/>
      <c r="KWD22" s="126"/>
      <c r="KWE22" s="126"/>
      <c r="KWF22" s="126"/>
      <c r="KWG22" s="126"/>
      <c r="KWH22" s="126"/>
      <c r="KWI22" s="126"/>
      <c r="KWJ22" s="126"/>
      <c r="KWK22" s="126"/>
      <c r="KWL22" s="126"/>
      <c r="KWM22" s="126"/>
      <c r="KWN22" s="126"/>
      <c r="KWO22" s="126"/>
      <c r="KWP22" s="126"/>
      <c r="KWQ22" s="126"/>
      <c r="KWR22" s="126"/>
      <c r="KWS22" s="126"/>
      <c r="KWT22" s="126"/>
      <c r="KWU22" s="126"/>
      <c r="KWV22" s="126"/>
      <c r="KWW22" s="126"/>
      <c r="KWX22" s="126"/>
      <c r="KWY22" s="126"/>
      <c r="KWZ22" s="126"/>
      <c r="KXA22" s="126"/>
      <c r="KXB22" s="126"/>
      <c r="KXC22" s="126"/>
      <c r="KXD22" s="126"/>
      <c r="KXE22" s="126"/>
      <c r="KXF22" s="126"/>
      <c r="KXG22" s="126"/>
      <c r="KXH22" s="126"/>
      <c r="KXI22" s="126"/>
      <c r="KXJ22" s="126"/>
      <c r="KXK22" s="126"/>
      <c r="KXL22" s="126"/>
      <c r="KXM22" s="126"/>
      <c r="KXN22" s="126"/>
      <c r="KXO22" s="126"/>
      <c r="KXP22" s="126"/>
      <c r="KXQ22" s="126"/>
      <c r="KXR22" s="126"/>
      <c r="KXS22" s="126"/>
      <c r="KXT22" s="126"/>
      <c r="KXU22" s="126"/>
      <c r="KXV22" s="126"/>
      <c r="KXW22" s="126"/>
      <c r="KXX22" s="126"/>
      <c r="KXY22" s="126"/>
      <c r="KXZ22" s="126"/>
      <c r="KYA22" s="126"/>
      <c r="KYB22" s="126"/>
      <c r="KYC22" s="126"/>
      <c r="KYD22" s="126"/>
      <c r="KYE22" s="126"/>
      <c r="KYF22" s="126"/>
      <c r="KYG22" s="126"/>
      <c r="KYH22" s="126"/>
      <c r="KYI22" s="126"/>
      <c r="KYJ22" s="126"/>
      <c r="KYK22" s="126"/>
      <c r="KYL22" s="126"/>
      <c r="KYM22" s="126"/>
      <c r="KYN22" s="126"/>
      <c r="KYO22" s="126"/>
      <c r="KYP22" s="126"/>
      <c r="KYQ22" s="126"/>
      <c r="KYR22" s="126"/>
      <c r="KYS22" s="126"/>
      <c r="KYT22" s="126"/>
      <c r="KYU22" s="126"/>
      <c r="KYV22" s="126"/>
      <c r="KYW22" s="126"/>
      <c r="KYX22" s="126"/>
      <c r="KYY22" s="126"/>
      <c r="KYZ22" s="126"/>
      <c r="KZA22" s="126"/>
      <c r="KZB22" s="126"/>
      <c r="KZC22" s="126"/>
      <c r="KZD22" s="126"/>
      <c r="KZE22" s="126"/>
      <c r="KZF22" s="126"/>
      <c r="KZG22" s="126"/>
      <c r="KZH22" s="126"/>
      <c r="KZI22" s="126"/>
      <c r="KZJ22" s="126"/>
      <c r="KZK22" s="126"/>
      <c r="KZL22" s="126"/>
      <c r="KZM22" s="126"/>
      <c r="KZN22" s="126"/>
      <c r="KZO22" s="126"/>
      <c r="KZP22" s="126"/>
      <c r="KZQ22" s="126"/>
      <c r="KZR22" s="126"/>
      <c r="KZS22" s="126"/>
      <c r="KZT22" s="126"/>
      <c r="KZU22" s="126"/>
      <c r="KZV22" s="126"/>
      <c r="KZW22" s="126"/>
      <c r="KZX22" s="126"/>
      <c r="KZY22" s="126"/>
      <c r="KZZ22" s="126"/>
      <c r="LAA22" s="126"/>
      <c r="LAB22" s="126"/>
      <c r="LAC22" s="126"/>
      <c r="LAD22" s="126"/>
      <c r="LAE22" s="126"/>
      <c r="LAF22" s="126"/>
      <c r="LAG22" s="126"/>
      <c r="LAH22" s="126"/>
      <c r="LAI22" s="126"/>
      <c r="LAJ22" s="126"/>
      <c r="LAK22" s="126"/>
      <c r="LAL22" s="126"/>
      <c r="LAM22" s="126"/>
      <c r="LAN22" s="126"/>
      <c r="LAO22" s="126"/>
      <c r="LAP22" s="126"/>
      <c r="LAQ22" s="126"/>
      <c r="LAR22" s="126"/>
      <c r="LAS22" s="126"/>
      <c r="LAT22" s="126"/>
      <c r="LAU22" s="126"/>
      <c r="LAV22" s="126"/>
      <c r="LAW22" s="126"/>
      <c r="LAX22" s="126"/>
      <c r="LAY22" s="126"/>
      <c r="LAZ22" s="126"/>
      <c r="LBA22" s="126"/>
      <c r="LBB22" s="126"/>
      <c r="LBC22" s="126"/>
      <c r="LBD22" s="126"/>
      <c r="LBE22" s="126"/>
      <c r="LBF22" s="126"/>
      <c r="LBG22" s="126"/>
      <c r="LBH22" s="126"/>
      <c r="LBI22" s="126"/>
      <c r="LBJ22" s="126"/>
      <c r="LBK22" s="126"/>
      <c r="LBL22" s="126"/>
      <c r="LBM22" s="126"/>
      <c r="LBN22" s="126"/>
      <c r="LBO22" s="126"/>
      <c r="LBP22" s="126"/>
      <c r="LBQ22" s="126"/>
      <c r="LBR22" s="126"/>
      <c r="LBS22" s="126"/>
      <c r="LBT22" s="126"/>
      <c r="LBU22" s="126"/>
      <c r="LBV22" s="126"/>
      <c r="LBW22" s="126"/>
      <c r="LBX22" s="126"/>
      <c r="LBY22" s="126"/>
      <c r="LBZ22" s="126"/>
      <c r="LCA22" s="126"/>
      <c r="LCB22" s="126"/>
      <c r="LCC22" s="126"/>
      <c r="LCD22" s="126"/>
      <c r="LCE22" s="126"/>
      <c r="LCF22" s="126"/>
      <c r="LCG22" s="126"/>
      <c r="LCH22" s="126"/>
      <c r="LCI22" s="126"/>
      <c r="LCJ22" s="126"/>
      <c r="LCK22" s="126"/>
      <c r="LCL22" s="126"/>
      <c r="LCM22" s="126"/>
      <c r="LCN22" s="126"/>
      <c r="LCO22" s="126"/>
      <c r="LCP22" s="126"/>
      <c r="LCQ22" s="126"/>
      <c r="LCR22" s="126"/>
      <c r="LCS22" s="126"/>
      <c r="LCT22" s="126"/>
      <c r="LCU22" s="126"/>
      <c r="LCV22" s="126"/>
      <c r="LCW22" s="126"/>
      <c r="LCX22" s="126"/>
      <c r="LCY22" s="126"/>
      <c r="LCZ22" s="126"/>
      <c r="LDA22" s="126"/>
      <c r="LDB22" s="126"/>
      <c r="LDC22" s="126"/>
      <c r="LDD22" s="126"/>
      <c r="LDE22" s="126"/>
      <c r="LDF22" s="126"/>
      <c r="LDG22" s="126"/>
      <c r="LDH22" s="126"/>
      <c r="LDI22" s="126"/>
      <c r="LDJ22" s="126"/>
      <c r="LDK22" s="126"/>
      <c r="LDL22" s="126"/>
      <c r="LDM22" s="126"/>
      <c r="LDN22" s="126"/>
      <c r="LDO22" s="126"/>
      <c r="LDP22" s="126"/>
      <c r="LDQ22" s="126"/>
      <c r="LDR22" s="126"/>
      <c r="LDS22" s="126"/>
      <c r="LDT22" s="126"/>
      <c r="LDU22" s="126"/>
      <c r="LDV22" s="126"/>
      <c r="LDW22" s="126"/>
      <c r="LDX22" s="126"/>
      <c r="LDY22" s="126"/>
      <c r="LDZ22" s="126"/>
      <c r="LEA22" s="126"/>
      <c r="LEB22" s="126"/>
      <c r="LEC22" s="126"/>
      <c r="LED22" s="126"/>
      <c r="LEE22" s="126"/>
      <c r="LEF22" s="126"/>
      <c r="LEG22" s="126"/>
      <c r="LEH22" s="126"/>
      <c r="LEI22" s="126"/>
      <c r="LEJ22" s="126"/>
      <c r="LEK22" s="126"/>
      <c r="LEL22" s="126"/>
      <c r="LEM22" s="126"/>
      <c r="LEN22" s="126"/>
      <c r="LEO22" s="126"/>
      <c r="LEP22" s="126"/>
      <c r="LEQ22" s="126"/>
      <c r="LER22" s="126"/>
      <c r="LES22" s="126"/>
      <c r="LET22" s="126"/>
      <c r="LEU22" s="126"/>
      <c r="LEV22" s="126"/>
      <c r="LEW22" s="126"/>
      <c r="LEX22" s="126"/>
      <c r="LEY22" s="126"/>
      <c r="LEZ22" s="126"/>
      <c r="LFA22" s="126"/>
      <c r="LFB22" s="126"/>
      <c r="LFC22" s="126"/>
      <c r="LFD22" s="126"/>
      <c r="LFE22" s="126"/>
      <c r="LFF22" s="126"/>
      <c r="LFG22" s="126"/>
      <c r="LFH22" s="126"/>
      <c r="LFI22" s="126"/>
      <c r="LFJ22" s="126"/>
      <c r="LFK22" s="126"/>
      <c r="LFL22" s="126"/>
      <c r="LFM22" s="126"/>
      <c r="LFN22" s="126"/>
      <c r="LFO22" s="126"/>
      <c r="LFP22" s="126"/>
      <c r="LFQ22" s="126"/>
      <c r="LFR22" s="126"/>
      <c r="LFS22" s="126"/>
      <c r="LFT22" s="126"/>
      <c r="LFU22" s="126"/>
      <c r="LFV22" s="126"/>
      <c r="LFW22" s="126"/>
      <c r="LFX22" s="126"/>
      <c r="LFY22" s="126"/>
      <c r="LFZ22" s="126"/>
      <c r="LGA22" s="126"/>
      <c r="LGB22" s="126"/>
      <c r="LGC22" s="126"/>
      <c r="LGD22" s="126"/>
      <c r="LGE22" s="126"/>
      <c r="LGF22" s="126"/>
      <c r="LGG22" s="126"/>
      <c r="LGH22" s="126"/>
      <c r="LGI22" s="126"/>
      <c r="LGJ22" s="126"/>
      <c r="LGK22" s="126"/>
      <c r="LGL22" s="126"/>
      <c r="LGM22" s="126"/>
      <c r="LGN22" s="126"/>
      <c r="LGO22" s="126"/>
      <c r="LGP22" s="126"/>
      <c r="LGQ22" s="126"/>
      <c r="LGR22" s="126"/>
      <c r="LGS22" s="126"/>
      <c r="LGT22" s="126"/>
      <c r="LGU22" s="126"/>
      <c r="LGV22" s="126"/>
      <c r="LGW22" s="126"/>
      <c r="LGX22" s="126"/>
      <c r="LGY22" s="126"/>
      <c r="LGZ22" s="126"/>
      <c r="LHA22" s="126"/>
      <c r="LHB22" s="126"/>
      <c r="LHC22" s="126"/>
      <c r="LHD22" s="126"/>
      <c r="LHE22" s="126"/>
      <c r="LHF22" s="126"/>
      <c r="LHG22" s="126"/>
      <c r="LHH22" s="126"/>
      <c r="LHI22" s="126"/>
      <c r="LHJ22" s="126"/>
      <c r="LHK22" s="126"/>
      <c r="LHL22" s="126"/>
      <c r="LHM22" s="126"/>
      <c r="LHN22" s="126"/>
      <c r="LHO22" s="126"/>
      <c r="LHP22" s="126"/>
      <c r="LHQ22" s="126"/>
      <c r="LHR22" s="126"/>
      <c r="LHS22" s="126"/>
      <c r="LHT22" s="126"/>
      <c r="LHU22" s="126"/>
      <c r="LHV22" s="126"/>
      <c r="LHW22" s="126"/>
      <c r="LHX22" s="126"/>
      <c r="LHY22" s="126"/>
      <c r="LHZ22" s="126"/>
      <c r="LIA22" s="126"/>
      <c r="LIB22" s="126"/>
      <c r="LIC22" s="126"/>
      <c r="LID22" s="126"/>
      <c r="LIE22" s="126"/>
      <c r="LIF22" s="126"/>
      <c r="LIG22" s="126"/>
      <c r="LIH22" s="126"/>
      <c r="LII22" s="126"/>
      <c r="LIJ22" s="126"/>
      <c r="LIK22" s="126"/>
      <c r="LIL22" s="126"/>
      <c r="LIM22" s="126"/>
      <c r="LIN22" s="126"/>
      <c r="LIO22" s="126"/>
      <c r="LIP22" s="126"/>
      <c r="LIQ22" s="126"/>
      <c r="LIR22" s="126"/>
      <c r="LIS22" s="126"/>
      <c r="LIT22" s="126"/>
      <c r="LIU22" s="126"/>
      <c r="LIV22" s="126"/>
      <c r="LIW22" s="126"/>
      <c r="LIX22" s="126"/>
      <c r="LIY22" s="126"/>
      <c r="LIZ22" s="126"/>
      <c r="LJA22" s="126"/>
      <c r="LJB22" s="126"/>
      <c r="LJC22" s="126"/>
      <c r="LJD22" s="126"/>
      <c r="LJE22" s="126"/>
      <c r="LJF22" s="126"/>
      <c r="LJG22" s="126"/>
      <c r="LJH22" s="126"/>
      <c r="LJI22" s="126"/>
      <c r="LJJ22" s="126"/>
      <c r="LJK22" s="126"/>
      <c r="LJL22" s="126"/>
      <c r="LJM22" s="126"/>
      <c r="LJN22" s="126"/>
      <c r="LJO22" s="126"/>
      <c r="LJP22" s="126"/>
      <c r="LJQ22" s="126"/>
      <c r="LJR22" s="126"/>
      <c r="LJS22" s="126"/>
      <c r="LJT22" s="126"/>
      <c r="LJU22" s="126"/>
      <c r="LJV22" s="126"/>
      <c r="LJW22" s="126"/>
      <c r="LJX22" s="126"/>
      <c r="LJY22" s="126"/>
      <c r="LJZ22" s="126"/>
      <c r="LKA22" s="126"/>
      <c r="LKB22" s="126"/>
      <c r="LKC22" s="126"/>
      <c r="LKD22" s="126"/>
      <c r="LKE22" s="126"/>
      <c r="LKF22" s="126"/>
      <c r="LKG22" s="126"/>
      <c r="LKH22" s="126"/>
      <c r="LKI22" s="126"/>
      <c r="LKJ22" s="126"/>
      <c r="LKK22" s="126"/>
      <c r="LKL22" s="126"/>
      <c r="LKM22" s="126"/>
      <c r="LKN22" s="126"/>
      <c r="LKO22" s="126"/>
      <c r="LKP22" s="126"/>
      <c r="LKQ22" s="126"/>
      <c r="LKR22" s="126"/>
      <c r="LKS22" s="126"/>
      <c r="LKT22" s="126"/>
      <c r="LKU22" s="126"/>
      <c r="LKV22" s="126"/>
      <c r="LKW22" s="126"/>
      <c r="LKX22" s="126"/>
      <c r="LKY22" s="126"/>
      <c r="LKZ22" s="126"/>
      <c r="LLA22" s="126"/>
      <c r="LLB22" s="126"/>
      <c r="LLC22" s="126"/>
      <c r="LLD22" s="126"/>
      <c r="LLE22" s="126"/>
      <c r="LLF22" s="126"/>
      <c r="LLG22" s="126"/>
      <c r="LLH22" s="126"/>
      <c r="LLI22" s="126"/>
      <c r="LLJ22" s="126"/>
      <c r="LLK22" s="126"/>
      <c r="LLL22" s="126"/>
      <c r="LLM22" s="126"/>
      <c r="LLN22" s="126"/>
      <c r="LLO22" s="126"/>
      <c r="LLP22" s="126"/>
      <c r="LLQ22" s="126"/>
      <c r="LLR22" s="126"/>
      <c r="LLS22" s="126"/>
      <c r="LLT22" s="126"/>
      <c r="LLU22" s="126"/>
      <c r="LLV22" s="126"/>
      <c r="LLW22" s="126"/>
      <c r="LLX22" s="126"/>
      <c r="LLY22" s="126"/>
      <c r="LLZ22" s="126"/>
      <c r="LMA22" s="126"/>
      <c r="LMB22" s="126"/>
      <c r="LMC22" s="126"/>
      <c r="LMD22" s="126"/>
      <c r="LME22" s="126"/>
      <c r="LMF22" s="126"/>
      <c r="LMG22" s="126"/>
      <c r="LMH22" s="126"/>
      <c r="LMI22" s="126"/>
      <c r="LMJ22" s="126"/>
      <c r="LMK22" s="126"/>
      <c r="LML22" s="126"/>
      <c r="LMM22" s="126"/>
      <c r="LMN22" s="126"/>
      <c r="LMO22" s="126"/>
      <c r="LMP22" s="126"/>
      <c r="LMQ22" s="126"/>
      <c r="LMR22" s="126"/>
      <c r="LMS22" s="126"/>
      <c r="LMT22" s="126"/>
      <c r="LMU22" s="126"/>
      <c r="LMV22" s="126"/>
      <c r="LMW22" s="126"/>
      <c r="LMX22" s="126"/>
      <c r="LMY22" s="126"/>
      <c r="LMZ22" s="126"/>
      <c r="LNA22" s="126"/>
      <c r="LNB22" s="126"/>
      <c r="LNC22" s="126"/>
      <c r="LND22" s="126"/>
      <c r="LNE22" s="126"/>
      <c r="LNF22" s="126"/>
      <c r="LNG22" s="126"/>
      <c r="LNH22" s="126"/>
      <c r="LNI22" s="126"/>
      <c r="LNJ22" s="126"/>
      <c r="LNK22" s="126"/>
      <c r="LNL22" s="126"/>
      <c r="LNM22" s="126"/>
      <c r="LNN22" s="126"/>
      <c r="LNO22" s="126"/>
      <c r="LNP22" s="126"/>
      <c r="LNQ22" s="126"/>
      <c r="LNR22" s="126"/>
      <c r="LNS22" s="126"/>
      <c r="LNT22" s="126"/>
      <c r="LNU22" s="126"/>
      <c r="LNV22" s="126"/>
      <c r="LNW22" s="126"/>
      <c r="LNX22" s="126"/>
      <c r="LNY22" s="126"/>
      <c r="LNZ22" s="126"/>
      <c r="LOA22" s="126"/>
      <c r="LOB22" s="126"/>
      <c r="LOC22" s="126"/>
      <c r="LOD22" s="126"/>
      <c r="LOE22" s="126"/>
      <c r="LOF22" s="126"/>
      <c r="LOG22" s="126"/>
      <c r="LOH22" s="126"/>
      <c r="LOI22" s="126"/>
      <c r="LOJ22" s="126"/>
      <c r="LOK22" s="126"/>
      <c r="LOL22" s="126"/>
      <c r="LOM22" s="126"/>
      <c r="LON22" s="126"/>
      <c r="LOO22" s="126"/>
      <c r="LOP22" s="126"/>
      <c r="LOQ22" s="126"/>
      <c r="LOR22" s="126"/>
      <c r="LOS22" s="126"/>
      <c r="LOT22" s="126"/>
      <c r="LOU22" s="126"/>
      <c r="LOV22" s="126"/>
      <c r="LOW22" s="126"/>
      <c r="LOX22" s="126"/>
      <c r="LOY22" s="126"/>
      <c r="LOZ22" s="126"/>
      <c r="LPA22" s="126"/>
      <c r="LPB22" s="126"/>
      <c r="LPC22" s="126"/>
      <c r="LPD22" s="126"/>
      <c r="LPE22" s="126"/>
      <c r="LPF22" s="126"/>
      <c r="LPG22" s="126"/>
      <c r="LPH22" s="126"/>
      <c r="LPI22" s="126"/>
      <c r="LPJ22" s="126"/>
      <c r="LPK22" s="126"/>
      <c r="LPL22" s="126"/>
      <c r="LPM22" s="126"/>
      <c r="LPN22" s="126"/>
      <c r="LPO22" s="126"/>
      <c r="LPP22" s="126"/>
      <c r="LPQ22" s="126"/>
      <c r="LPR22" s="126"/>
      <c r="LPS22" s="126"/>
      <c r="LPT22" s="126"/>
      <c r="LPU22" s="126"/>
      <c r="LPV22" s="126"/>
      <c r="LPW22" s="126"/>
      <c r="LPX22" s="126"/>
      <c r="LPY22" s="126"/>
      <c r="LPZ22" s="126"/>
      <c r="LQA22" s="126"/>
      <c r="LQB22" s="126"/>
      <c r="LQC22" s="126"/>
      <c r="LQD22" s="126"/>
      <c r="LQE22" s="126"/>
      <c r="LQF22" s="126"/>
      <c r="LQG22" s="126"/>
      <c r="LQH22" s="126"/>
      <c r="LQI22" s="126"/>
      <c r="LQJ22" s="126"/>
      <c r="LQK22" s="126"/>
      <c r="LQL22" s="126"/>
      <c r="LQM22" s="126"/>
      <c r="LQN22" s="126"/>
      <c r="LQO22" s="126"/>
      <c r="LQP22" s="126"/>
      <c r="LQQ22" s="126"/>
      <c r="LQR22" s="126"/>
      <c r="LQS22" s="126"/>
      <c r="LQT22" s="126"/>
      <c r="LQU22" s="126"/>
      <c r="LQV22" s="126"/>
      <c r="LQW22" s="126"/>
      <c r="LQX22" s="126"/>
      <c r="LQY22" s="126"/>
      <c r="LQZ22" s="126"/>
      <c r="LRA22" s="126"/>
      <c r="LRB22" s="126"/>
      <c r="LRC22" s="126"/>
      <c r="LRD22" s="126"/>
      <c r="LRE22" s="126"/>
      <c r="LRF22" s="126"/>
      <c r="LRG22" s="126"/>
      <c r="LRH22" s="126"/>
      <c r="LRI22" s="126"/>
      <c r="LRJ22" s="126"/>
      <c r="LRK22" s="126"/>
      <c r="LRL22" s="126"/>
      <c r="LRM22" s="126"/>
      <c r="LRN22" s="126"/>
      <c r="LRO22" s="126"/>
      <c r="LRP22" s="126"/>
      <c r="LRQ22" s="126"/>
      <c r="LRR22" s="126"/>
      <c r="LRS22" s="126"/>
      <c r="LRT22" s="126"/>
      <c r="LRU22" s="126"/>
      <c r="LRV22" s="126"/>
      <c r="LRW22" s="126"/>
      <c r="LRX22" s="126"/>
      <c r="LRY22" s="126"/>
      <c r="LRZ22" s="126"/>
      <c r="LSA22" s="126"/>
      <c r="LSB22" s="126"/>
      <c r="LSC22" s="126"/>
      <c r="LSD22" s="126"/>
      <c r="LSE22" s="126"/>
      <c r="LSF22" s="126"/>
      <c r="LSG22" s="126"/>
      <c r="LSH22" s="126"/>
      <c r="LSI22" s="126"/>
      <c r="LSJ22" s="126"/>
      <c r="LSK22" s="126"/>
      <c r="LSL22" s="126"/>
      <c r="LSM22" s="126"/>
      <c r="LSN22" s="126"/>
      <c r="LSO22" s="126"/>
      <c r="LSP22" s="126"/>
      <c r="LSQ22" s="126"/>
      <c r="LSR22" s="126"/>
      <c r="LSS22" s="126"/>
      <c r="LST22" s="126"/>
      <c r="LSU22" s="126"/>
      <c r="LSV22" s="126"/>
      <c r="LSW22" s="126"/>
      <c r="LSX22" s="126"/>
      <c r="LSY22" s="126"/>
      <c r="LSZ22" s="126"/>
      <c r="LTA22" s="126"/>
      <c r="LTB22" s="126"/>
      <c r="LTC22" s="126"/>
      <c r="LTD22" s="126"/>
      <c r="LTE22" s="126"/>
      <c r="LTF22" s="126"/>
      <c r="LTG22" s="126"/>
      <c r="LTH22" s="126"/>
      <c r="LTI22" s="126"/>
      <c r="LTJ22" s="126"/>
      <c r="LTK22" s="126"/>
      <c r="LTL22" s="126"/>
      <c r="LTM22" s="126"/>
      <c r="LTN22" s="126"/>
      <c r="LTO22" s="126"/>
      <c r="LTP22" s="126"/>
      <c r="LTQ22" s="126"/>
      <c r="LTR22" s="126"/>
      <c r="LTS22" s="126"/>
      <c r="LTT22" s="126"/>
      <c r="LTU22" s="126"/>
      <c r="LTV22" s="126"/>
      <c r="LTW22" s="126"/>
      <c r="LTX22" s="126"/>
      <c r="LTY22" s="126"/>
      <c r="LTZ22" s="126"/>
      <c r="LUA22" s="126"/>
      <c r="LUB22" s="126"/>
      <c r="LUC22" s="126"/>
      <c r="LUD22" s="126"/>
      <c r="LUE22" s="126"/>
      <c r="LUF22" s="126"/>
      <c r="LUG22" s="126"/>
      <c r="LUH22" s="126"/>
      <c r="LUI22" s="126"/>
      <c r="LUJ22" s="126"/>
      <c r="LUK22" s="126"/>
      <c r="LUL22" s="126"/>
      <c r="LUM22" s="126"/>
      <c r="LUN22" s="126"/>
      <c r="LUO22" s="126"/>
      <c r="LUP22" s="126"/>
      <c r="LUQ22" s="126"/>
      <c r="LUR22" s="126"/>
      <c r="LUS22" s="126"/>
      <c r="LUT22" s="126"/>
      <c r="LUU22" s="126"/>
      <c r="LUV22" s="126"/>
      <c r="LUW22" s="126"/>
      <c r="LUX22" s="126"/>
      <c r="LUY22" s="126"/>
      <c r="LUZ22" s="126"/>
      <c r="LVA22" s="126"/>
      <c r="LVB22" s="126"/>
      <c r="LVC22" s="126"/>
      <c r="LVD22" s="126"/>
      <c r="LVE22" s="126"/>
      <c r="LVF22" s="126"/>
      <c r="LVG22" s="126"/>
      <c r="LVH22" s="126"/>
      <c r="LVI22" s="126"/>
      <c r="LVJ22" s="126"/>
      <c r="LVK22" s="126"/>
      <c r="LVL22" s="126"/>
      <c r="LVM22" s="126"/>
      <c r="LVN22" s="126"/>
      <c r="LVO22" s="126"/>
      <c r="LVP22" s="126"/>
      <c r="LVQ22" s="126"/>
      <c r="LVR22" s="126"/>
      <c r="LVS22" s="126"/>
      <c r="LVT22" s="126"/>
      <c r="LVU22" s="126"/>
      <c r="LVV22" s="126"/>
      <c r="LVW22" s="126"/>
      <c r="LVX22" s="126"/>
      <c r="LVY22" s="126"/>
      <c r="LVZ22" s="126"/>
      <c r="LWA22" s="126"/>
      <c r="LWB22" s="126"/>
      <c r="LWC22" s="126"/>
      <c r="LWD22" s="126"/>
      <c r="LWE22" s="126"/>
      <c r="LWF22" s="126"/>
      <c r="LWG22" s="126"/>
      <c r="LWH22" s="126"/>
      <c r="LWI22" s="126"/>
      <c r="LWJ22" s="126"/>
      <c r="LWK22" s="126"/>
      <c r="LWL22" s="126"/>
      <c r="LWM22" s="126"/>
      <c r="LWN22" s="126"/>
      <c r="LWO22" s="126"/>
      <c r="LWP22" s="126"/>
      <c r="LWQ22" s="126"/>
      <c r="LWR22" s="126"/>
      <c r="LWS22" s="126"/>
      <c r="LWT22" s="126"/>
      <c r="LWU22" s="126"/>
      <c r="LWV22" s="126"/>
      <c r="LWW22" s="126"/>
      <c r="LWX22" s="126"/>
      <c r="LWY22" s="126"/>
      <c r="LWZ22" s="126"/>
      <c r="LXA22" s="126"/>
      <c r="LXB22" s="126"/>
      <c r="LXC22" s="126"/>
      <c r="LXD22" s="126"/>
      <c r="LXE22" s="126"/>
      <c r="LXF22" s="126"/>
      <c r="LXG22" s="126"/>
      <c r="LXH22" s="126"/>
      <c r="LXI22" s="126"/>
      <c r="LXJ22" s="126"/>
      <c r="LXK22" s="126"/>
      <c r="LXL22" s="126"/>
      <c r="LXM22" s="126"/>
      <c r="LXN22" s="126"/>
      <c r="LXO22" s="126"/>
      <c r="LXP22" s="126"/>
      <c r="LXQ22" s="126"/>
      <c r="LXR22" s="126"/>
      <c r="LXS22" s="126"/>
      <c r="LXT22" s="126"/>
      <c r="LXU22" s="126"/>
      <c r="LXV22" s="126"/>
      <c r="LXW22" s="126"/>
      <c r="LXX22" s="126"/>
      <c r="LXY22" s="126"/>
      <c r="LXZ22" s="126"/>
      <c r="LYA22" s="126"/>
      <c r="LYB22" s="126"/>
      <c r="LYC22" s="126"/>
      <c r="LYD22" s="126"/>
      <c r="LYE22" s="126"/>
      <c r="LYF22" s="126"/>
      <c r="LYG22" s="126"/>
      <c r="LYH22" s="126"/>
      <c r="LYI22" s="126"/>
      <c r="LYJ22" s="126"/>
      <c r="LYK22" s="126"/>
      <c r="LYL22" s="126"/>
      <c r="LYM22" s="126"/>
      <c r="LYN22" s="126"/>
      <c r="LYO22" s="126"/>
      <c r="LYP22" s="126"/>
      <c r="LYQ22" s="126"/>
      <c r="LYR22" s="126"/>
      <c r="LYS22" s="126"/>
      <c r="LYT22" s="126"/>
      <c r="LYU22" s="126"/>
      <c r="LYV22" s="126"/>
      <c r="LYW22" s="126"/>
      <c r="LYX22" s="126"/>
      <c r="LYY22" s="126"/>
      <c r="LYZ22" s="126"/>
      <c r="LZA22" s="126"/>
      <c r="LZB22" s="126"/>
      <c r="LZC22" s="126"/>
      <c r="LZD22" s="126"/>
      <c r="LZE22" s="126"/>
      <c r="LZF22" s="126"/>
      <c r="LZG22" s="126"/>
      <c r="LZH22" s="126"/>
      <c r="LZI22" s="126"/>
      <c r="LZJ22" s="126"/>
      <c r="LZK22" s="126"/>
      <c r="LZL22" s="126"/>
      <c r="LZM22" s="126"/>
      <c r="LZN22" s="126"/>
      <c r="LZO22" s="126"/>
      <c r="LZP22" s="126"/>
      <c r="LZQ22" s="126"/>
      <c r="LZR22" s="126"/>
      <c r="LZS22" s="126"/>
      <c r="LZT22" s="126"/>
      <c r="LZU22" s="126"/>
      <c r="LZV22" s="126"/>
      <c r="LZW22" s="126"/>
      <c r="LZX22" s="126"/>
      <c r="LZY22" s="126"/>
      <c r="LZZ22" s="126"/>
      <c r="MAA22" s="126"/>
      <c r="MAB22" s="126"/>
      <c r="MAC22" s="126"/>
      <c r="MAD22" s="126"/>
      <c r="MAE22" s="126"/>
      <c r="MAF22" s="126"/>
      <c r="MAG22" s="126"/>
      <c r="MAH22" s="126"/>
      <c r="MAI22" s="126"/>
      <c r="MAJ22" s="126"/>
      <c r="MAK22" s="126"/>
      <c r="MAL22" s="126"/>
      <c r="MAM22" s="126"/>
      <c r="MAN22" s="126"/>
      <c r="MAO22" s="126"/>
      <c r="MAP22" s="126"/>
      <c r="MAQ22" s="126"/>
      <c r="MAR22" s="126"/>
      <c r="MAS22" s="126"/>
      <c r="MAT22" s="126"/>
      <c r="MAU22" s="126"/>
      <c r="MAV22" s="126"/>
      <c r="MAW22" s="126"/>
      <c r="MAX22" s="126"/>
      <c r="MAY22" s="126"/>
      <c r="MAZ22" s="126"/>
      <c r="MBA22" s="126"/>
      <c r="MBB22" s="126"/>
      <c r="MBC22" s="126"/>
      <c r="MBD22" s="126"/>
      <c r="MBE22" s="126"/>
      <c r="MBF22" s="126"/>
      <c r="MBG22" s="126"/>
      <c r="MBH22" s="126"/>
      <c r="MBI22" s="126"/>
      <c r="MBJ22" s="126"/>
      <c r="MBK22" s="126"/>
      <c r="MBL22" s="126"/>
      <c r="MBM22" s="126"/>
      <c r="MBN22" s="126"/>
      <c r="MBO22" s="126"/>
      <c r="MBP22" s="126"/>
      <c r="MBQ22" s="126"/>
      <c r="MBR22" s="126"/>
      <c r="MBS22" s="126"/>
      <c r="MBT22" s="126"/>
      <c r="MBU22" s="126"/>
      <c r="MBV22" s="126"/>
      <c r="MBW22" s="126"/>
      <c r="MBX22" s="126"/>
      <c r="MBY22" s="126"/>
      <c r="MBZ22" s="126"/>
      <c r="MCA22" s="126"/>
      <c r="MCB22" s="126"/>
      <c r="MCC22" s="126"/>
      <c r="MCD22" s="126"/>
      <c r="MCE22" s="126"/>
      <c r="MCF22" s="126"/>
      <c r="MCG22" s="126"/>
      <c r="MCH22" s="126"/>
      <c r="MCI22" s="126"/>
      <c r="MCJ22" s="126"/>
      <c r="MCK22" s="126"/>
      <c r="MCL22" s="126"/>
      <c r="MCM22" s="126"/>
      <c r="MCN22" s="126"/>
      <c r="MCO22" s="126"/>
      <c r="MCP22" s="126"/>
      <c r="MCQ22" s="126"/>
      <c r="MCR22" s="126"/>
      <c r="MCS22" s="126"/>
      <c r="MCT22" s="126"/>
      <c r="MCU22" s="126"/>
      <c r="MCV22" s="126"/>
      <c r="MCW22" s="126"/>
      <c r="MCX22" s="126"/>
      <c r="MCY22" s="126"/>
      <c r="MCZ22" s="126"/>
      <c r="MDA22" s="126"/>
      <c r="MDB22" s="126"/>
      <c r="MDC22" s="126"/>
      <c r="MDD22" s="126"/>
      <c r="MDE22" s="126"/>
      <c r="MDF22" s="126"/>
      <c r="MDG22" s="126"/>
      <c r="MDH22" s="126"/>
      <c r="MDI22" s="126"/>
      <c r="MDJ22" s="126"/>
      <c r="MDK22" s="126"/>
      <c r="MDL22" s="126"/>
      <c r="MDM22" s="126"/>
      <c r="MDN22" s="126"/>
      <c r="MDO22" s="126"/>
      <c r="MDP22" s="126"/>
      <c r="MDQ22" s="126"/>
      <c r="MDR22" s="126"/>
      <c r="MDS22" s="126"/>
      <c r="MDT22" s="126"/>
      <c r="MDU22" s="126"/>
      <c r="MDV22" s="126"/>
      <c r="MDW22" s="126"/>
      <c r="MDX22" s="126"/>
      <c r="MDY22" s="126"/>
      <c r="MDZ22" s="126"/>
      <c r="MEA22" s="126"/>
      <c r="MEB22" s="126"/>
      <c r="MEC22" s="126"/>
      <c r="MED22" s="126"/>
      <c r="MEE22" s="126"/>
      <c r="MEF22" s="126"/>
      <c r="MEG22" s="126"/>
      <c r="MEH22" s="126"/>
      <c r="MEI22" s="126"/>
      <c r="MEJ22" s="126"/>
      <c r="MEK22" s="126"/>
      <c r="MEL22" s="126"/>
      <c r="MEM22" s="126"/>
      <c r="MEN22" s="126"/>
      <c r="MEO22" s="126"/>
      <c r="MEP22" s="126"/>
      <c r="MEQ22" s="126"/>
      <c r="MER22" s="126"/>
      <c r="MES22" s="126"/>
      <c r="MET22" s="126"/>
      <c r="MEU22" s="126"/>
      <c r="MEV22" s="126"/>
      <c r="MEW22" s="126"/>
      <c r="MEX22" s="126"/>
      <c r="MEY22" s="126"/>
      <c r="MEZ22" s="126"/>
      <c r="MFA22" s="126"/>
      <c r="MFB22" s="126"/>
      <c r="MFC22" s="126"/>
      <c r="MFD22" s="126"/>
      <c r="MFE22" s="126"/>
      <c r="MFF22" s="126"/>
      <c r="MFG22" s="126"/>
      <c r="MFH22" s="126"/>
      <c r="MFI22" s="126"/>
      <c r="MFJ22" s="126"/>
      <c r="MFK22" s="126"/>
      <c r="MFL22" s="126"/>
      <c r="MFM22" s="126"/>
      <c r="MFN22" s="126"/>
      <c r="MFO22" s="126"/>
      <c r="MFP22" s="126"/>
      <c r="MFQ22" s="126"/>
      <c r="MFR22" s="126"/>
      <c r="MFS22" s="126"/>
      <c r="MFT22" s="126"/>
      <c r="MFU22" s="126"/>
      <c r="MFV22" s="126"/>
      <c r="MFW22" s="126"/>
      <c r="MFX22" s="126"/>
      <c r="MFY22" s="126"/>
      <c r="MFZ22" s="126"/>
      <c r="MGA22" s="126"/>
      <c r="MGB22" s="126"/>
      <c r="MGC22" s="126"/>
      <c r="MGD22" s="126"/>
      <c r="MGE22" s="126"/>
      <c r="MGF22" s="126"/>
      <c r="MGG22" s="126"/>
      <c r="MGH22" s="126"/>
      <c r="MGI22" s="126"/>
      <c r="MGJ22" s="126"/>
      <c r="MGK22" s="126"/>
      <c r="MGL22" s="126"/>
      <c r="MGM22" s="126"/>
      <c r="MGN22" s="126"/>
      <c r="MGO22" s="126"/>
      <c r="MGP22" s="126"/>
      <c r="MGQ22" s="126"/>
      <c r="MGR22" s="126"/>
      <c r="MGS22" s="126"/>
      <c r="MGT22" s="126"/>
      <c r="MGU22" s="126"/>
      <c r="MGV22" s="126"/>
      <c r="MGW22" s="126"/>
      <c r="MGX22" s="126"/>
      <c r="MGY22" s="126"/>
      <c r="MGZ22" s="126"/>
      <c r="MHA22" s="126"/>
      <c r="MHB22" s="126"/>
      <c r="MHC22" s="126"/>
      <c r="MHD22" s="126"/>
      <c r="MHE22" s="126"/>
      <c r="MHF22" s="126"/>
      <c r="MHG22" s="126"/>
      <c r="MHH22" s="126"/>
      <c r="MHI22" s="126"/>
      <c r="MHJ22" s="126"/>
      <c r="MHK22" s="126"/>
      <c r="MHL22" s="126"/>
      <c r="MHM22" s="126"/>
      <c r="MHN22" s="126"/>
      <c r="MHO22" s="126"/>
      <c r="MHP22" s="126"/>
      <c r="MHQ22" s="126"/>
      <c r="MHR22" s="126"/>
      <c r="MHS22" s="126"/>
      <c r="MHT22" s="126"/>
      <c r="MHU22" s="126"/>
      <c r="MHV22" s="126"/>
      <c r="MHW22" s="126"/>
      <c r="MHX22" s="126"/>
      <c r="MHY22" s="126"/>
      <c r="MHZ22" s="126"/>
      <c r="MIA22" s="126"/>
      <c r="MIB22" s="126"/>
      <c r="MIC22" s="126"/>
      <c r="MID22" s="126"/>
      <c r="MIE22" s="126"/>
      <c r="MIF22" s="126"/>
      <c r="MIG22" s="126"/>
      <c r="MIH22" s="126"/>
      <c r="MII22" s="126"/>
      <c r="MIJ22" s="126"/>
      <c r="MIK22" s="126"/>
      <c r="MIL22" s="126"/>
      <c r="MIM22" s="126"/>
      <c r="MIN22" s="126"/>
      <c r="MIO22" s="126"/>
      <c r="MIP22" s="126"/>
      <c r="MIQ22" s="126"/>
      <c r="MIR22" s="126"/>
      <c r="MIS22" s="126"/>
      <c r="MIT22" s="126"/>
      <c r="MIU22" s="126"/>
      <c r="MIV22" s="126"/>
      <c r="MIW22" s="126"/>
      <c r="MIX22" s="126"/>
      <c r="MIY22" s="126"/>
      <c r="MIZ22" s="126"/>
      <c r="MJA22" s="126"/>
      <c r="MJB22" s="126"/>
      <c r="MJC22" s="126"/>
      <c r="MJD22" s="126"/>
      <c r="MJE22" s="126"/>
      <c r="MJF22" s="126"/>
      <c r="MJG22" s="126"/>
      <c r="MJH22" s="126"/>
      <c r="MJI22" s="126"/>
      <c r="MJJ22" s="126"/>
      <c r="MJK22" s="126"/>
      <c r="MJL22" s="126"/>
      <c r="MJM22" s="126"/>
      <c r="MJN22" s="126"/>
      <c r="MJO22" s="126"/>
      <c r="MJP22" s="126"/>
      <c r="MJQ22" s="126"/>
      <c r="MJR22" s="126"/>
      <c r="MJS22" s="126"/>
      <c r="MJT22" s="126"/>
      <c r="MJU22" s="126"/>
      <c r="MJV22" s="126"/>
      <c r="MJW22" s="126"/>
      <c r="MJX22" s="126"/>
      <c r="MJY22" s="126"/>
      <c r="MJZ22" s="126"/>
      <c r="MKA22" s="126"/>
      <c r="MKB22" s="126"/>
      <c r="MKC22" s="126"/>
      <c r="MKD22" s="126"/>
      <c r="MKE22" s="126"/>
      <c r="MKF22" s="126"/>
      <c r="MKG22" s="126"/>
      <c r="MKH22" s="126"/>
      <c r="MKI22" s="126"/>
      <c r="MKJ22" s="126"/>
      <c r="MKK22" s="126"/>
      <c r="MKL22" s="126"/>
      <c r="MKM22" s="126"/>
      <c r="MKN22" s="126"/>
      <c r="MKO22" s="126"/>
      <c r="MKP22" s="126"/>
      <c r="MKQ22" s="126"/>
      <c r="MKR22" s="126"/>
      <c r="MKS22" s="126"/>
      <c r="MKT22" s="126"/>
      <c r="MKU22" s="126"/>
      <c r="MKV22" s="126"/>
      <c r="MKW22" s="126"/>
      <c r="MKX22" s="126"/>
      <c r="MKY22" s="126"/>
      <c r="MKZ22" s="126"/>
      <c r="MLA22" s="126"/>
      <c r="MLB22" s="126"/>
      <c r="MLC22" s="126"/>
      <c r="MLD22" s="126"/>
      <c r="MLE22" s="126"/>
      <c r="MLF22" s="126"/>
      <c r="MLG22" s="126"/>
      <c r="MLH22" s="126"/>
      <c r="MLI22" s="126"/>
      <c r="MLJ22" s="126"/>
      <c r="MLK22" s="126"/>
      <c r="MLL22" s="126"/>
      <c r="MLM22" s="126"/>
      <c r="MLN22" s="126"/>
      <c r="MLO22" s="126"/>
      <c r="MLP22" s="126"/>
      <c r="MLQ22" s="126"/>
      <c r="MLR22" s="126"/>
      <c r="MLS22" s="126"/>
      <c r="MLT22" s="126"/>
      <c r="MLU22" s="126"/>
      <c r="MLV22" s="126"/>
      <c r="MLW22" s="126"/>
      <c r="MLX22" s="126"/>
      <c r="MLY22" s="126"/>
      <c r="MLZ22" s="126"/>
      <c r="MMA22" s="126"/>
      <c r="MMB22" s="126"/>
      <c r="MMC22" s="126"/>
      <c r="MMD22" s="126"/>
      <c r="MME22" s="126"/>
      <c r="MMF22" s="126"/>
      <c r="MMG22" s="126"/>
      <c r="MMH22" s="126"/>
      <c r="MMI22" s="126"/>
      <c r="MMJ22" s="126"/>
      <c r="MMK22" s="126"/>
      <c r="MML22" s="126"/>
      <c r="MMM22" s="126"/>
      <c r="MMN22" s="126"/>
      <c r="MMO22" s="126"/>
      <c r="MMP22" s="126"/>
      <c r="MMQ22" s="126"/>
      <c r="MMR22" s="126"/>
      <c r="MMS22" s="126"/>
      <c r="MMT22" s="126"/>
      <c r="MMU22" s="126"/>
      <c r="MMV22" s="126"/>
      <c r="MMW22" s="126"/>
      <c r="MMX22" s="126"/>
      <c r="MMY22" s="126"/>
      <c r="MMZ22" s="126"/>
      <c r="MNA22" s="126"/>
      <c r="MNB22" s="126"/>
      <c r="MNC22" s="126"/>
      <c r="MND22" s="126"/>
      <c r="MNE22" s="126"/>
      <c r="MNF22" s="126"/>
      <c r="MNG22" s="126"/>
      <c r="MNH22" s="126"/>
      <c r="MNI22" s="126"/>
      <c r="MNJ22" s="126"/>
      <c r="MNK22" s="126"/>
      <c r="MNL22" s="126"/>
      <c r="MNM22" s="126"/>
      <c r="MNN22" s="126"/>
      <c r="MNO22" s="126"/>
      <c r="MNP22" s="126"/>
      <c r="MNQ22" s="126"/>
      <c r="MNR22" s="126"/>
      <c r="MNS22" s="126"/>
      <c r="MNT22" s="126"/>
      <c r="MNU22" s="126"/>
      <c r="MNV22" s="126"/>
      <c r="MNW22" s="126"/>
      <c r="MNX22" s="126"/>
      <c r="MNY22" s="126"/>
      <c r="MNZ22" s="126"/>
      <c r="MOA22" s="126"/>
      <c r="MOB22" s="126"/>
      <c r="MOC22" s="126"/>
      <c r="MOD22" s="126"/>
      <c r="MOE22" s="126"/>
      <c r="MOF22" s="126"/>
      <c r="MOG22" s="126"/>
      <c r="MOH22" s="126"/>
      <c r="MOI22" s="126"/>
      <c r="MOJ22" s="126"/>
      <c r="MOK22" s="126"/>
      <c r="MOL22" s="126"/>
      <c r="MOM22" s="126"/>
      <c r="MON22" s="126"/>
      <c r="MOO22" s="126"/>
      <c r="MOP22" s="126"/>
      <c r="MOQ22" s="126"/>
      <c r="MOR22" s="126"/>
      <c r="MOS22" s="126"/>
      <c r="MOT22" s="126"/>
      <c r="MOU22" s="126"/>
      <c r="MOV22" s="126"/>
      <c r="MOW22" s="126"/>
      <c r="MOX22" s="126"/>
      <c r="MOY22" s="126"/>
      <c r="MOZ22" s="126"/>
      <c r="MPA22" s="126"/>
      <c r="MPB22" s="126"/>
      <c r="MPC22" s="126"/>
      <c r="MPD22" s="126"/>
      <c r="MPE22" s="126"/>
      <c r="MPF22" s="126"/>
      <c r="MPG22" s="126"/>
      <c r="MPH22" s="126"/>
      <c r="MPI22" s="126"/>
      <c r="MPJ22" s="126"/>
      <c r="MPK22" s="126"/>
      <c r="MPL22" s="126"/>
      <c r="MPM22" s="126"/>
      <c r="MPN22" s="126"/>
      <c r="MPO22" s="126"/>
      <c r="MPP22" s="126"/>
      <c r="MPQ22" s="126"/>
      <c r="MPR22" s="126"/>
      <c r="MPS22" s="126"/>
      <c r="MPT22" s="126"/>
      <c r="MPU22" s="126"/>
      <c r="MPV22" s="126"/>
      <c r="MPW22" s="126"/>
      <c r="MPX22" s="126"/>
      <c r="MPY22" s="126"/>
      <c r="MPZ22" s="126"/>
      <c r="MQA22" s="126"/>
      <c r="MQB22" s="126"/>
      <c r="MQC22" s="126"/>
      <c r="MQD22" s="126"/>
      <c r="MQE22" s="126"/>
      <c r="MQF22" s="126"/>
      <c r="MQG22" s="126"/>
      <c r="MQH22" s="126"/>
      <c r="MQI22" s="126"/>
      <c r="MQJ22" s="126"/>
      <c r="MQK22" s="126"/>
      <c r="MQL22" s="126"/>
      <c r="MQM22" s="126"/>
      <c r="MQN22" s="126"/>
      <c r="MQO22" s="126"/>
      <c r="MQP22" s="126"/>
      <c r="MQQ22" s="126"/>
      <c r="MQR22" s="126"/>
      <c r="MQS22" s="126"/>
      <c r="MQT22" s="126"/>
      <c r="MQU22" s="126"/>
      <c r="MQV22" s="126"/>
      <c r="MQW22" s="126"/>
      <c r="MQX22" s="126"/>
      <c r="MQY22" s="126"/>
      <c r="MQZ22" s="126"/>
      <c r="MRA22" s="126"/>
      <c r="MRB22" s="126"/>
      <c r="MRC22" s="126"/>
      <c r="MRD22" s="126"/>
      <c r="MRE22" s="126"/>
      <c r="MRF22" s="126"/>
      <c r="MRG22" s="126"/>
      <c r="MRH22" s="126"/>
      <c r="MRI22" s="126"/>
      <c r="MRJ22" s="126"/>
      <c r="MRK22" s="126"/>
      <c r="MRL22" s="126"/>
      <c r="MRM22" s="126"/>
      <c r="MRN22" s="126"/>
      <c r="MRO22" s="126"/>
      <c r="MRP22" s="126"/>
      <c r="MRQ22" s="126"/>
      <c r="MRR22" s="126"/>
      <c r="MRS22" s="126"/>
      <c r="MRT22" s="126"/>
      <c r="MRU22" s="126"/>
      <c r="MRV22" s="126"/>
      <c r="MRW22" s="126"/>
      <c r="MRX22" s="126"/>
      <c r="MRY22" s="126"/>
      <c r="MRZ22" s="126"/>
      <c r="MSA22" s="126"/>
      <c r="MSB22" s="126"/>
      <c r="MSC22" s="126"/>
      <c r="MSD22" s="126"/>
      <c r="MSE22" s="126"/>
      <c r="MSF22" s="126"/>
      <c r="MSG22" s="126"/>
      <c r="MSH22" s="126"/>
      <c r="MSI22" s="126"/>
      <c r="MSJ22" s="126"/>
      <c r="MSK22" s="126"/>
      <c r="MSL22" s="126"/>
      <c r="MSM22" s="126"/>
      <c r="MSN22" s="126"/>
      <c r="MSO22" s="126"/>
      <c r="MSP22" s="126"/>
      <c r="MSQ22" s="126"/>
      <c r="MSR22" s="126"/>
      <c r="MSS22" s="126"/>
      <c r="MST22" s="126"/>
      <c r="MSU22" s="126"/>
      <c r="MSV22" s="126"/>
      <c r="MSW22" s="126"/>
      <c r="MSX22" s="126"/>
      <c r="MSY22" s="126"/>
      <c r="MSZ22" s="126"/>
      <c r="MTA22" s="126"/>
      <c r="MTB22" s="126"/>
      <c r="MTC22" s="126"/>
      <c r="MTD22" s="126"/>
      <c r="MTE22" s="126"/>
      <c r="MTF22" s="126"/>
      <c r="MTG22" s="126"/>
      <c r="MTH22" s="126"/>
      <c r="MTI22" s="126"/>
      <c r="MTJ22" s="126"/>
      <c r="MTK22" s="126"/>
      <c r="MTL22" s="126"/>
      <c r="MTM22" s="126"/>
      <c r="MTN22" s="126"/>
      <c r="MTO22" s="126"/>
      <c r="MTP22" s="126"/>
      <c r="MTQ22" s="126"/>
      <c r="MTR22" s="126"/>
      <c r="MTS22" s="126"/>
      <c r="MTT22" s="126"/>
      <c r="MTU22" s="126"/>
      <c r="MTV22" s="126"/>
      <c r="MTW22" s="126"/>
      <c r="MTX22" s="126"/>
      <c r="MTY22" s="126"/>
      <c r="MTZ22" s="126"/>
      <c r="MUA22" s="126"/>
      <c r="MUB22" s="126"/>
      <c r="MUC22" s="126"/>
      <c r="MUD22" s="126"/>
      <c r="MUE22" s="126"/>
      <c r="MUF22" s="126"/>
      <c r="MUG22" s="126"/>
      <c r="MUH22" s="126"/>
      <c r="MUI22" s="126"/>
      <c r="MUJ22" s="126"/>
      <c r="MUK22" s="126"/>
      <c r="MUL22" s="126"/>
      <c r="MUM22" s="126"/>
      <c r="MUN22" s="126"/>
      <c r="MUO22" s="126"/>
      <c r="MUP22" s="126"/>
      <c r="MUQ22" s="126"/>
      <c r="MUR22" s="126"/>
      <c r="MUS22" s="126"/>
      <c r="MUT22" s="126"/>
      <c r="MUU22" s="126"/>
      <c r="MUV22" s="126"/>
      <c r="MUW22" s="126"/>
      <c r="MUX22" s="126"/>
      <c r="MUY22" s="126"/>
      <c r="MUZ22" s="126"/>
      <c r="MVA22" s="126"/>
      <c r="MVB22" s="126"/>
      <c r="MVC22" s="126"/>
      <c r="MVD22" s="126"/>
      <c r="MVE22" s="126"/>
      <c r="MVF22" s="126"/>
      <c r="MVG22" s="126"/>
      <c r="MVH22" s="126"/>
      <c r="MVI22" s="126"/>
      <c r="MVJ22" s="126"/>
      <c r="MVK22" s="126"/>
      <c r="MVL22" s="126"/>
      <c r="MVM22" s="126"/>
      <c r="MVN22" s="126"/>
      <c r="MVO22" s="126"/>
      <c r="MVP22" s="126"/>
      <c r="MVQ22" s="126"/>
      <c r="MVR22" s="126"/>
      <c r="MVS22" s="126"/>
      <c r="MVT22" s="126"/>
      <c r="MVU22" s="126"/>
      <c r="MVV22" s="126"/>
      <c r="MVW22" s="126"/>
      <c r="MVX22" s="126"/>
      <c r="MVY22" s="126"/>
      <c r="MVZ22" s="126"/>
      <c r="MWA22" s="126"/>
      <c r="MWB22" s="126"/>
      <c r="MWC22" s="126"/>
      <c r="MWD22" s="126"/>
      <c r="MWE22" s="126"/>
      <c r="MWF22" s="126"/>
      <c r="MWG22" s="126"/>
      <c r="MWH22" s="126"/>
      <c r="MWI22" s="126"/>
      <c r="MWJ22" s="126"/>
      <c r="MWK22" s="126"/>
      <c r="MWL22" s="126"/>
      <c r="MWM22" s="126"/>
      <c r="MWN22" s="126"/>
      <c r="MWO22" s="126"/>
      <c r="MWP22" s="126"/>
      <c r="MWQ22" s="126"/>
      <c r="MWR22" s="126"/>
      <c r="MWS22" s="126"/>
      <c r="MWT22" s="126"/>
      <c r="MWU22" s="126"/>
      <c r="MWV22" s="126"/>
      <c r="MWW22" s="126"/>
      <c r="MWX22" s="126"/>
      <c r="MWY22" s="126"/>
      <c r="MWZ22" s="126"/>
      <c r="MXA22" s="126"/>
      <c r="MXB22" s="126"/>
      <c r="MXC22" s="126"/>
      <c r="MXD22" s="126"/>
      <c r="MXE22" s="126"/>
      <c r="MXF22" s="126"/>
      <c r="MXG22" s="126"/>
      <c r="MXH22" s="126"/>
      <c r="MXI22" s="126"/>
      <c r="MXJ22" s="126"/>
      <c r="MXK22" s="126"/>
      <c r="MXL22" s="126"/>
      <c r="MXM22" s="126"/>
      <c r="MXN22" s="126"/>
      <c r="MXO22" s="126"/>
      <c r="MXP22" s="126"/>
      <c r="MXQ22" s="126"/>
      <c r="MXR22" s="126"/>
      <c r="MXS22" s="126"/>
      <c r="MXT22" s="126"/>
      <c r="MXU22" s="126"/>
      <c r="MXV22" s="126"/>
      <c r="MXW22" s="126"/>
      <c r="MXX22" s="126"/>
      <c r="MXY22" s="126"/>
      <c r="MXZ22" s="126"/>
      <c r="MYA22" s="126"/>
      <c r="MYB22" s="126"/>
      <c r="MYC22" s="126"/>
      <c r="MYD22" s="126"/>
      <c r="MYE22" s="126"/>
      <c r="MYF22" s="126"/>
      <c r="MYG22" s="126"/>
      <c r="MYH22" s="126"/>
      <c r="MYI22" s="126"/>
      <c r="MYJ22" s="126"/>
      <c r="MYK22" s="126"/>
      <c r="MYL22" s="126"/>
      <c r="MYM22" s="126"/>
      <c r="MYN22" s="126"/>
      <c r="MYO22" s="126"/>
      <c r="MYP22" s="126"/>
      <c r="MYQ22" s="126"/>
      <c r="MYR22" s="126"/>
      <c r="MYS22" s="126"/>
      <c r="MYT22" s="126"/>
      <c r="MYU22" s="126"/>
      <c r="MYV22" s="126"/>
      <c r="MYW22" s="126"/>
      <c r="MYX22" s="126"/>
      <c r="MYY22" s="126"/>
      <c r="MYZ22" s="126"/>
      <c r="MZA22" s="126"/>
      <c r="MZB22" s="126"/>
      <c r="MZC22" s="126"/>
      <c r="MZD22" s="126"/>
      <c r="MZE22" s="126"/>
      <c r="MZF22" s="126"/>
      <c r="MZG22" s="126"/>
      <c r="MZH22" s="126"/>
      <c r="MZI22" s="126"/>
      <c r="MZJ22" s="126"/>
      <c r="MZK22" s="126"/>
      <c r="MZL22" s="126"/>
      <c r="MZM22" s="126"/>
      <c r="MZN22" s="126"/>
      <c r="MZO22" s="126"/>
      <c r="MZP22" s="126"/>
      <c r="MZQ22" s="126"/>
      <c r="MZR22" s="126"/>
      <c r="MZS22" s="126"/>
      <c r="MZT22" s="126"/>
      <c r="MZU22" s="126"/>
      <c r="MZV22" s="126"/>
      <c r="MZW22" s="126"/>
      <c r="MZX22" s="126"/>
      <c r="MZY22" s="126"/>
      <c r="MZZ22" s="126"/>
      <c r="NAA22" s="126"/>
      <c r="NAB22" s="126"/>
      <c r="NAC22" s="126"/>
      <c r="NAD22" s="126"/>
      <c r="NAE22" s="126"/>
      <c r="NAF22" s="126"/>
      <c r="NAG22" s="126"/>
      <c r="NAH22" s="126"/>
      <c r="NAI22" s="126"/>
      <c r="NAJ22" s="126"/>
      <c r="NAK22" s="126"/>
      <c r="NAL22" s="126"/>
      <c r="NAM22" s="126"/>
      <c r="NAN22" s="126"/>
      <c r="NAO22" s="126"/>
      <c r="NAP22" s="126"/>
      <c r="NAQ22" s="126"/>
      <c r="NAR22" s="126"/>
      <c r="NAS22" s="126"/>
      <c r="NAT22" s="126"/>
      <c r="NAU22" s="126"/>
      <c r="NAV22" s="126"/>
      <c r="NAW22" s="126"/>
      <c r="NAX22" s="126"/>
      <c r="NAY22" s="126"/>
      <c r="NAZ22" s="126"/>
      <c r="NBA22" s="126"/>
      <c r="NBB22" s="126"/>
      <c r="NBC22" s="126"/>
      <c r="NBD22" s="126"/>
      <c r="NBE22" s="126"/>
      <c r="NBF22" s="126"/>
      <c r="NBG22" s="126"/>
      <c r="NBH22" s="126"/>
      <c r="NBI22" s="126"/>
      <c r="NBJ22" s="126"/>
      <c r="NBK22" s="126"/>
      <c r="NBL22" s="126"/>
      <c r="NBM22" s="126"/>
      <c r="NBN22" s="126"/>
      <c r="NBO22" s="126"/>
      <c r="NBP22" s="126"/>
      <c r="NBQ22" s="126"/>
      <c r="NBR22" s="126"/>
      <c r="NBS22" s="126"/>
      <c r="NBT22" s="126"/>
      <c r="NBU22" s="126"/>
      <c r="NBV22" s="126"/>
      <c r="NBW22" s="126"/>
      <c r="NBX22" s="126"/>
      <c r="NBY22" s="126"/>
      <c r="NBZ22" s="126"/>
      <c r="NCA22" s="126"/>
      <c r="NCB22" s="126"/>
      <c r="NCC22" s="126"/>
      <c r="NCD22" s="126"/>
      <c r="NCE22" s="126"/>
      <c r="NCF22" s="126"/>
      <c r="NCG22" s="126"/>
      <c r="NCH22" s="126"/>
      <c r="NCI22" s="126"/>
      <c r="NCJ22" s="126"/>
      <c r="NCK22" s="126"/>
      <c r="NCL22" s="126"/>
      <c r="NCM22" s="126"/>
      <c r="NCN22" s="126"/>
      <c r="NCO22" s="126"/>
      <c r="NCP22" s="126"/>
      <c r="NCQ22" s="126"/>
      <c r="NCR22" s="126"/>
      <c r="NCS22" s="126"/>
      <c r="NCT22" s="126"/>
      <c r="NCU22" s="126"/>
      <c r="NCV22" s="126"/>
      <c r="NCW22" s="126"/>
      <c r="NCX22" s="126"/>
      <c r="NCY22" s="126"/>
      <c r="NCZ22" s="126"/>
      <c r="NDA22" s="126"/>
      <c r="NDB22" s="126"/>
      <c r="NDC22" s="126"/>
      <c r="NDD22" s="126"/>
      <c r="NDE22" s="126"/>
      <c r="NDF22" s="126"/>
      <c r="NDG22" s="126"/>
      <c r="NDH22" s="126"/>
      <c r="NDI22" s="126"/>
      <c r="NDJ22" s="126"/>
      <c r="NDK22" s="126"/>
      <c r="NDL22" s="126"/>
      <c r="NDM22" s="126"/>
      <c r="NDN22" s="126"/>
      <c r="NDO22" s="126"/>
      <c r="NDP22" s="126"/>
      <c r="NDQ22" s="126"/>
      <c r="NDR22" s="126"/>
      <c r="NDS22" s="126"/>
      <c r="NDT22" s="126"/>
      <c r="NDU22" s="126"/>
      <c r="NDV22" s="126"/>
      <c r="NDW22" s="126"/>
      <c r="NDX22" s="126"/>
      <c r="NDY22" s="126"/>
      <c r="NDZ22" s="126"/>
      <c r="NEA22" s="126"/>
      <c r="NEB22" s="126"/>
      <c r="NEC22" s="126"/>
      <c r="NED22" s="126"/>
      <c r="NEE22" s="126"/>
      <c r="NEF22" s="126"/>
      <c r="NEG22" s="126"/>
      <c r="NEH22" s="126"/>
      <c r="NEI22" s="126"/>
      <c r="NEJ22" s="126"/>
      <c r="NEK22" s="126"/>
      <c r="NEL22" s="126"/>
      <c r="NEM22" s="126"/>
      <c r="NEN22" s="126"/>
      <c r="NEO22" s="126"/>
      <c r="NEP22" s="126"/>
      <c r="NEQ22" s="126"/>
      <c r="NER22" s="126"/>
      <c r="NES22" s="126"/>
      <c r="NET22" s="126"/>
      <c r="NEU22" s="126"/>
      <c r="NEV22" s="126"/>
      <c r="NEW22" s="126"/>
      <c r="NEX22" s="126"/>
      <c r="NEY22" s="126"/>
      <c r="NEZ22" s="126"/>
      <c r="NFA22" s="126"/>
      <c r="NFB22" s="126"/>
      <c r="NFC22" s="126"/>
      <c r="NFD22" s="126"/>
      <c r="NFE22" s="126"/>
      <c r="NFF22" s="126"/>
      <c r="NFG22" s="126"/>
      <c r="NFH22" s="126"/>
      <c r="NFI22" s="126"/>
      <c r="NFJ22" s="126"/>
      <c r="NFK22" s="126"/>
      <c r="NFL22" s="126"/>
      <c r="NFM22" s="126"/>
      <c r="NFN22" s="126"/>
      <c r="NFO22" s="126"/>
      <c r="NFP22" s="126"/>
      <c r="NFQ22" s="126"/>
      <c r="NFR22" s="126"/>
      <c r="NFS22" s="126"/>
      <c r="NFT22" s="126"/>
      <c r="NFU22" s="126"/>
      <c r="NFV22" s="126"/>
      <c r="NFW22" s="126"/>
      <c r="NFX22" s="126"/>
      <c r="NFY22" s="126"/>
      <c r="NFZ22" s="126"/>
      <c r="NGA22" s="126"/>
      <c r="NGB22" s="126"/>
      <c r="NGC22" s="126"/>
      <c r="NGD22" s="126"/>
      <c r="NGE22" s="126"/>
      <c r="NGF22" s="126"/>
      <c r="NGG22" s="126"/>
      <c r="NGH22" s="126"/>
      <c r="NGI22" s="126"/>
      <c r="NGJ22" s="126"/>
      <c r="NGK22" s="126"/>
      <c r="NGL22" s="126"/>
      <c r="NGM22" s="126"/>
      <c r="NGN22" s="126"/>
      <c r="NGO22" s="126"/>
      <c r="NGP22" s="126"/>
      <c r="NGQ22" s="126"/>
      <c r="NGR22" s="126"/>
      <c r="NGS22" s="126"/>
      <c r="NGT22" s="126"/>
      <c r="NGU22" s="126"/>
      <c r="NGV22" s="126"/>
      <c r="NGW22" s="126"/>
      <c r="NGX22" s="126"/>
      <c r="NGY22" s="126"/>
      <c r="NGZ22" s="126"/>
      <c r="NHA22" s="126"/>
      <c r="NHB22" s="126"/>
      <c r="NHC22" s="126"/>
      <c r="NHD22" s="126"/>
      <c r="NHE22" s="126"/>
      <c r="NHF22" s="126"/>
      <c r="NHG22" s="126"/>
      <c r="NHH22" s="126"/>
      <c r="NHI22" s="126"/>
      <c r="NHJ22" s="126"/>
      <c r="NHK22" s="126"/>
      <c r="NHL22" s="126"/>
      <c r="NHM22" s="126"/>
      <c r="NHN22" s="126"/>
      <c r="NHO22" s="126"/>
      <c r="NHP22" s="126"/>
      <c r="NHQ22" s="126"/>
      <c r="NHR22" s="126"/>
      <c r="NHS22" s="126"/>
      <c r="NHT22" s="126"/>
      <c r="NHU22" s="126"/>
      <c r="NHV22" s="126"/>
      <c r="NHW22" s="126"/>
      <c r="NHX22" s="126"/>
      <c r="NHY22" s="126"/>
      <c r="NHZ22" s="126"/>
      <c r="NIA22" s="126"/>
      <c r="NIB22" s="126"/>
      <c r="NIC22" s="126"/>
      <c r="NID22" s="126"/>
      <c r="NIE22" s="126"/>
      <c r="NIF22" s="126"/>
      <c r="NIG22" s="126"/>
      <c r="NIH22" s="126"/>
      <c r="NII22" s="126"/>
      <c r="NIJ22" s="126"/>
      <c r="NIK22" s="126"/>
      <c r="NIL22" s="126"/>
      <c r="NIM22" s="126"/>
      <c r="NIN22" s="126"/>
      <c r="NIO22" s="126"/>
      <c r="NIP22" s="126"/>
      <c r="NIQ22" s="126"/>
      <c r="NIR22" s="126"/>
      <c r="NIS22" s="126"/>
      <c r="NIT22" s="126"/>
      <c r="NIU22" s="126"/>
      <c r="NIV22" s="126"/>
      <c r="NIW22" s="126"/>
      <c r="NIX22" s="126"/>
      <c r="NIY22" s="126"/>
      <c r="NIZ22" s="126"/>
      <c r="NJA22" s="126"/>
      <c r="NJB22" s="126"/>
      <c r="NJC22" s="126"/>
      <c r="NJD22" s="126"/>
      <c r="NJE22" s="126"/>
      <c r="NJF22" s="126"/>
      <c r="NJG22" s="126"/>
      <c r="NJH22" s="126"/>
      <c r="NJI22" s="126"/>
      <c r="NJJ22" s="126"/>
      <c r="NJK22" s="126"/>
      <c r="NJL22" s="126"/>
      <c r="NJM22" s="126"/>
      <c r="NJN22" s="126"/>
      <c r="NJO22" s="126"/>
      <c r="NJP22" s="126"/>
      <c r="NJQ22" s="126"/>
      <c r="NJR22" s="126"/>
      <c r="NJS22" s="126"/>
      <c r="NJT22" s="126"/>
      <c r="NJU22" s="126"/>
      <c r="NJV22" s="126"/>
      <c r="NJW22" s="126"/>
      <c r="NJX22" s="126"/>
      <c r="NJY22" s="126"/>
      <c r="NJZ22" s="126"/>
      <c r="NKA22" s="126"/>
      <c r="NKB22" s="126"/>
      <c r="NKC22" s="126"/>
      <c r="NKD22" s="126"/>
      <c r="NKE22" s="126"/>
      <c r="NKF22" s="126"/>
      <c r="NKG22" s="126"/>
      <c r="NKH22" s="126"/>
      <c r="NKI22" s="126"/>
      <c r="NKJ22" s="126"/>
      <c r="NKK22" s="126"/>
      <c r="NKL22" s="126"/>
      <c r="NKM22" s="126"/>
      <c r="NKN22" s="126"/>
      <c r="NKO22" s="126"/>
      <c r="NKP22" s="126"/>
      <c r="NKQ22" s="126"/>
      <c r="NKR22" s="126"/>
      <c r="NKS22" s="126"/>
      <c r="NKT22" s="126"/>
      <c r="NKU22" s="126"/>
      <c r="NKV22" s="126"/>
      <c r="NKW22" s="126"/>
      <c r="NKX22" s="126"/>
      <c r="NKY22" s="126"/>
      <c r="NKZ22" s="126"/>
      <c r="NLA22" s="126"/>
      <c r="NLB22" s="126"/>
      <c r="NLC22" s="126"/>
      <c r="NLD22" s="126"/>
      <c r="NLE22" s="126"/>
      <c r="NLF22" s="126"/>
      <c r="NLG22" s="126"/>
      <c r="NLH22" s="126"/>
      <c r="NLI22" s="126"/>
      <c r="NLJ22" s="126"/>
      <c r="NLK22" s="126"/>
      <c r="NLL22" s="126"/>
      <c r="NLM22" s="126"/>
      <c r="NLN22" s="126"/>
      <c r="NLO22" s="126"/>
      <c r="NLP22" s="126"/>
      <c r="NLQ22" s="126"/>
      <c r="NLR22" s="126"/>
      <c r="NLS22" s="126"/>
      <c r="NLT22" s="126"/>
      <c r="NLU22" s="126"/>
      <c r="NLV22" s="126"/>
      <c r="NLW22" s="126"/>
      <c r="NLX22" s="126"/>
      <c r="NLY22" s="126"/>
      <c r="NLZ22" s="126"/>
      <c r="NMA22" s="126"/>
      <c r="NMB22" s="126"/>
      <c r="NMC22" s="126"/>
      <c r="NMD22" s="126"/>
      <c r="NME22" s="126"/>
      <c r="NMF22" s="126"/>
      <c r="NMG22" s="126"/>
      <c r="NMH22" s="126"/>
      <c r="NMI22" s="126"/>
      <c r="NMJ22" s="126"/>
      <c r="NMK22" s="126"/>
      <c r="NML22" s="126"/>
      <c r="NMM22" s="126"/>
      <c r="NMN22" s="126"/>
      <c r="NMO22" s="126"/>
      <c r="NMP22" s="126"/>
      <c r="NMQ22" s="126"/>
      <c r="NMR22" s="126"/>
      <c r="NMS22" s="126"/>
      <c r="NMT22" s="126"/>
      <c r="NMU22" s="126"/>
      <c r="NMV22" s="126"/>
      <c r="NMW22" s="126"/>
      <c r="NMX22" s="126"/>
      <c r="NMY22" s="126"/>
      <c r="NMZ22" s="126"/>
      <c r="NNA22" s="126"/>
      <c r="NNB22" s="126"/>
      <c r="NNC22" s="126"/>
      <c r="NND22" s="126"/>
      <c r="NNE22" s="126"/>
      <c r="NNF22" s="126"/>
      <c r="NNG22" s="126"/>
      <c r="NNH22" s="126"/>
      <c r="NNI22" s="126"/>
      <c r="NNJ22" s="126"/>
      <c r="NNK22" s="126"/>
      <c r="NNL22" s="126"/>
      <c r="NNM22" s="126"/>
      <c r="NNN22" s="126"/>
      <c r="NNO22" s="126"/>
      <c r="NNP22" s="126"/>
      <c r="NNQ22" s="126"/>
      <c r="NNR22" s="126"/>
      <c r="NNS22" s="126"/>
      <c r="NNT22" s="126"/>
      <c r="NNU22" s="126"/>
      <c r="NNV22" s="126"/>
      <c r="NNW22" s="126"/>
      <c r="NNX22" s="126"/>
      <c r="NNY22" s="126"/>
      <c r="NNZ22" s="126"/>
      <c r="NOA22" s="126"/>
      <c r="NOB22" s="126"/>
      <c r="NOC22" s="126"/>
      <c r="NOD22" s="126"/>
      <c r="NOE22" s="126"/>
      <c r="NOF22" s="126"/>
      <c r="NOG22" s="126"/>
      <c r="NOH22" s="126"/>
      <c r="NOI22" s="126"/>
      <c r="NOJ22" s="126"/>
      <c r="NOK22" s="126"/>
      <c r="NOL22" s="126"/>
      <c r="NOM22" s="126"/>
      <c r="NON22" s="126"/>
      <c r="NOO22" s="126"/>
      <c r="NOP22" s="126"/>
      <c r="NOQ22" s="126"/>
      <c r="NOR22" s="126"/>
      <c r="NOS22" s="126"/>
      <c r="NOT22" s="126"/>
      <c r="NOU22" s="126"/>
      <c r="NOV22" s="126"/>
      <c r="NOW22" s="126"/>
      <c r="NOX22" s="126"/>
      <c r="NOY22" s="126"/>
      <c r="NOZ22" s="126"/>
      <c r="NPA22" s="126"/>
      <c r="NPB22" s="126"/>
      <c r="NPC22" s="126"/>
      <c r="NPD22" s="126"/>
      <c r="NPE22" s="126"/>
      <c r="NPF22" s="126"/>
      <c r="NPG22" s="126"/>
      <c r="NPH22" s="126"/>
      <c r="NPI22" s="126"/>
      <c r="NPJ22" s="126"/>
      <c r="NPK22" s="126"/>
      <c r="NPL22" s="126"/>
      <c r="NPM22" s="126"/>
      <c r="NPN22" s="126"/>
      <c r="NPO22" s="126"/>
      <c r="NPP22" s="126"/>
      <c r="NPQ22" s="126"/>
      <c r="NPR22" s="126"/>
      <c r="NPS22" s="126"/>
      <c r="NPT22" s="126"/>
      <c r="NPU22" s="126"/>
      <c r="NPV22" s="126"/>
      <c r="NPW22" s="126"/>
      <c r="NPX22" s="126"/>
      <c r="NPY22" s="126"/>
      <c r="NPZ22" s="126"/>
      <c r="NQA22" s="126"/>
      <c r="NQB22" s="126"/>
      <c r="NQC22" s="126"/>
      <c r="NQD22" s="126"/>
      <c r="NQE22" s="126"/>
      <c r="NQF22" s="126"/>
      <c r="NQG22" s="126"/>
      <c r="NQH22" s="126"/>
      <c r="NQI22" s="126"/>
      <c r="NQJ22" s="126"/>
      <c r="NQK22" s="126"/>
      <c r="NQL22" s="126"/>
      <c r="NQM22" s="126"/>
      <c r="NQN22" s="126"/>
      <c r="NQO22" s="126"/>
      <c r="NQP22" s="126"/>
      <c r="NQQ22" s="126"/>
      <c r="NQR22" s="126"/>
      <c r="NQS22" s="126"/>
      <c r="NQT22" s="126"/>
      <c r="NQU22" s="126"/>
      <c r="NQV22" s="126"/>
      <c r="NQW22" s="126"/>
      <c r="NQX22" s="126"/>
      <c r="NQY22" s="126"/>
      <c r="NQZ22" s="126"/>
      <c r="NRA22" s="126"/>
      <c r="NRB22" s="126"/>
      <c r="NRC22" s="126"/>
      <c r="NRD22" s="126"/>
      <c r="NRE22" s="126"/>
      <c r="NRF22" s="126"/>
      <c r="NRG22" s="126"/>
      <c r="NRH22" s="126"/>
      <c r="NRI22" s="126"/>
      <c r="NRJ22" s="126"/>
      <c r="NRK22" s="126"/>
      <c r="NRL22" s="126"/>
      <c r="NRM22" s="126"/>
      <c r="NRN22" s="126"/>
      <c r="NRO22" s="126"/>
      <c r="NRP22" s="126"/>
      <c r="NRQ22" s="126"/>
      <c r="NRR22" s="126"/>
      <c r="NRS22" s="126"/>
      <c r="NRT22" s="126"/>
      <c r="NRU22" s="126"/>
      <c r="NRV22" s="126"/>
      <c r="NRW22" s="126"/>
      <c r="NRX22" s="126"/>
      <c r="NRY22" s="126"/>
      <c r="NRZ22" s="126"/>
      <c r="NSA22" s="126"/>
      <c r="NSB22" s="126"/>
      <c r="NSC22" s="126"/>
      <c r="NSD22" s="126"/>
      <c r="NSE22" s="126"/>
      <c r="NSF22" s="126"/>
      <c r="NSG22" s="126"/>
      <c r="NSH22" s="126"/>
      <c r="NSI22" s="126"/>
      <c r="NSJ22" s="126"/>
      <c r="NSK22" s="126"/>
      <c r="NSL22" s="126"/>
      <c r="NSM22" s="126"/>
      <c r="NSN22" s="126"/>
      <c r="NSO22" s="126"/>
      <c r="NSP22" s="126"/>
      <c r="NSQ22" s="126"/>
      <c r="NSR22" s="126"/>
      <c r="NSS22" s="126"/>
      <c r="NST22" s="126"/>
      <c r="NSU22" s="126"/>
      <c r="NSV22" s="126"/>
      <c r="NSW22" s="126"/>
      <c r="NSX22" s="126"/>
      <c r="NSY22" s="126"/>
      <c r="NSZ22" s="126"/>
      <c r="NTA22" s="126"/>
      <c r="NTB22" s="126"/>
      <c r="NTC22" s="126"/>
      <c r="NTD22" s="126"/>
      <c r="NTE22" s="126"/>
      <c r="NTF22" s="126"/>
      <c r="NTG22" s="126"/>
      <c r="NTH22" s="126"/>
      <c r="NTI22" s="126"/>
      <c r="NTJ22" s="126"/>
      <c r="NTK22" s="126"/>
      <c r="NTL22" s="126"/>
      <c r="NTM22" s="126"/>
      <c r="NTN22" s="126"/>
      <c r="NTO22" s="126"/>
      <c r="NTP22" s="126"/>
      <c r="NTQ22" s="126"/>
      <c r="NTR22" s="126"/>
      <c r="NTS22" s="126"/>
      <c r="NTT22" s="126"/>
      <c r="NTU22" s="126"/>
      <c r="NTV22" s="126"/>
      <c r="NTW22" s="126"/>
      <c r="NTX22" s="126"/>
      <c r="NTY22" s="126"/>
      <c r="NTZ22" s="126"/>
      <c r="NUA22" s="126"/>
      <c r="NUB22" s="126"/>
      <c r="NUC22" s="126"/>
      <c r="NUD22" s="126"/>
      <c r="NUE22" s="126"/>
      <c r="NUF22" s="126"/>
      <c r="NUG22" s="126"/>
      <c r="NUH22" s="126"/>
      <c r="NUI22" s="126"/>
      <c r="NUJ22" s="126"/>
      <c r="NUK22" s="126"/>
      <c r="NUL22" s="126"/>
      <c r="NUM22" s="126"/>
      <c r="NUN22" s="126"/>
      <c r="NUO22" s="126"/>
      <c r="NUP22" s="126"/>
      <c r="NUQ22" s="126"/>
      <c r="NUR22" s="126"/>
      <c r="NUS22" s="126"/>
      <c r="NUT22" s="126"/>
      <c r="NUU22" s="126"/>
      <c r="NUV22" s="126"/>
      <c r="NUW22" s="126"/>
      <c r="NUX22" s="126"/>
      <c r="NUY22" s="126"/>
      <c r="NUZ22" s="126"/>
      <c r="NVA22" s="126"/>
      <c r="NVB22" s="126"/>
      <c r="NVC22" s="126"/>
      <c r="NVD22" s="126"/>
      <c r="NVE22" s="126"/>
      <c r="NVF22" s="126"/>
      <c r="NVG22" s="126"/>
      <c r="NVH22" s="126"/>
      <c r="NVI22" s="126"/>
      <c r="NVJ22" s="126"/>
      <c r="NVK22" s="126"/>
      <c r="NVL22" s="126"/>
      <c r="NVM22" s="126"/>
      <c r="NVN22" s="126"/>
      <c r="NVO22" s="126"/>
      <c r="NVP22" s="126"/>
      <c r="NVQ22" s="126"/>
      <c r="NVR22" s="126"/>
      <c r="NVS22" s="126"/>
      <c r="NVT22" s="126"/>
      <c r="NVU22" s="126"/>
      <c r="NVV22" s="126"/>
      <c r="NVW22" s="126"/>
      <c r="NVX22" s="126"/>
      <c r="NVY22" s="126"/>
      <c r="NVZ22" s="126"/>
      <c r="NWA22" s="126"/>
      <c r="NWB22" s="126"/>
      <c r="NWC22" s="126"/>
      <c r="NWD22" s="126"/>
      <c r="NWE22" s="126"/>
      <c r="NWF22" s="126"/>
      <c r="NWG22" s="126"/>
      <c r="NWH22" s="126"/>
      <c r="NWI22" s="126"/>
      <c r="NWJ22" s="126"/>
      <c r="NWK22" s="126"/>
      <c r="NWL22" s="126"/>
      <c r="NWM22" s="126"/>
      <c r="NWN22" s="126"/>
      <c r="NWO22" s="126"/>
      <c r="NWP22" s="126"/>
      <c r="NWQ22" s="126"/>
      <c r="NWR22" s="126"/>
      <c r="NWS22" s="126"/>
      <c r="NWT22" s="126"/>
      <c r="NWU22" s="126"/>
      <c r="NWV22" s="126"/>
      <c r="NWW22" s="126"/>
      <c r="NWX22" s="126"/>
      <c r="NWY22" s="126"/>
      <c r="NWZ22" s="126"/>
      <c r="NXA22" s="126"/>
      <c r="NXB22" s="126"/>
      <c r="NXC22" s="126"/>
      <c r="NXD22" s="126"/>
      <c r="NXE22" s="126"/>
      <c r="NXF22" s="126"/>
      <c r="NXG22" s="126"/>
      <c r="NXH22" s="126"/>
      <c r="NXI22" s="126"/>
      <c r="NXJ22" s="126"/>
      <c r="NXK22" s="126"/>
      <c r="NXL22" s="126"/>
      <c r="NXM22" s="126"/>
      <c r="NXN22" s="126"/>
      <c r="NXO22" s="126"/>
      <c r="NXP22" s="126"/>
      <c r="NXQ22" s="126"/>
      <c r="NXR22" s="126"/>
      <c r="NXS22" s="126"/>
      <c r="NXT22" s="126"/>
      <c r="NXU22" s="126"/>
      <c r="NXV22" s="126"/>
      <c r="NXW22" s="126"/>
      <c r="NXX22" s="126"/>
      <c r="NXY22" s="126"/>
      <c r="NXZ22" s="126"/>
      <c r="NYA22" s="126"/>
      <c r="NYB22" s="126"/>
      <c r="NYC22" s="126"/>
      <c r="NYD22" s="126"/>
      <c r="NYE22" s="126"/>
      <c r="NYF22" s="126"/>
      <c r="NYG22" s="126"/>
      <c r="NYH22" s="126"/>
      <c r="NYI22" s="126"/>
      <c r="NYJ22" s="126"/>
      <c r="NYK22" s="126"/>
      <c r="NYL22" s="126"/>
      <c r="NYM22" s="126"/>
      <c r="NYN22" s="126"/>
      <c r="NYO22" s="126"/>
      <c r="NYP22" s="126"/>
      <c r="NYQ22" s="126"/>
      <c r="NYR22" s="126"/>
      <c r="NYS22" s="126"/>
      <c r="NYT22" s="126"/>
      <c r="NYU22" s="126"/>
      <c r="NYV22" s="126"/>
      <c r="NYW22" s="126"/>
      <c r="NYX22" s="126"/>
      <c r="NYY22" s="126"/>
      <c r="NYZ22" s="126"/>
      <c r="NZA22" s="126"/>
      <c r="NZB22" s="126"/>
      <c r="NZC22" s="126"/>
      <c r="NZD22" s="126"/>
      <c r="NZE22" s="126"/>
      <c r="NZF22" s="126"/>
      <c r="NZG22" s="126"/>
      <c r="NZH22" s="126"/>
      <c r="NZI22" s="126"/>
      <c r="NZJ22" s="126"/>
      <c r="NZK22" s="126"/>
      <c r="NZL22" s="126"/>
      <c r="NZM22" s="126"/>
      <c r="NZN22" s="126"/>
      <c r="NZO22" s="126"/>
      <c r="NZP22" s="126"/>
      <c r="NZQ22" s="126"/>
      <c r="NZR22" s="126"/>
      <c r="NZS22" s="126"/>
      <c r="NZT22" s="126"/>
      <c r="NZU22" s="126"/>
      <c r="NZV22" s="126"/>
      <c r="NZW22" s="126"/>
      <c r="NZX22" s="126"/>
      <c r="NZY22" s="126"/>
      <c r="NZZ22" s="126"/>
      <c r="OAA22" s="126"/>
      <c r="OAB22" s="126"/>
      <c r="OAC22" s="126"/>
      <c r="OAD22" s="126"/>
      <c r="OAE22" s="126"/>
      <c r="OAF22" s="126"/>
      <c r="OAG22" s="126"/>
      <c r="OAH22" s="126"/>
      <c r="OAI22" s="126"/>
      <c r="OAJ22" s="126"/>
      <c r="OAK22" s="126"/>
      <c r="OAL22" s="126"/>
      <c r="OAM22" s="126"/>
      <c r="OAN22" s="126"/>
      <c r="OAO22" s="126"/>
      <c r="OAP22" s="126"/>
      <c r="OAQ22" s="126"/>
      <c r="OAR22" s="126"/>
      <c r="OAS22" s="126"/>
      <c r="OAT22" s="126"/>
      <c r="OAU22" s="126"/>
      <c r="OAV22" s="126"/>
      <c r="OAW22" s="126"/>
      <c r="OAX22" s="126"/>
      <c r="OAY22" s="126"/>
      <c r="OAZ22" s="126"/>
      <c r="OBA22" s="126"/>
      <c r="OBB22" s="126"/>
      <c r="OBC22" s="126"/>
      <c r="OBD22" s="126"/>
      <c r="OBE22" s="126"/>
      <c r="OBF22" s="126"/>
      <c r="OBG22" s="126"/>
      <c r="OBH22" s="126"/>
      <c r="OBI22" s="126"/>
      <c r="OBJ22" s="126"/>
      <c r="OBK22" s="126"/>
      <c r="OBL22" s="126"/>
      <c r="OBM22" s="126"/>
      <c r="OBN22" s="126"/>
      <c r="OBO22" s="126"/>
      <c r="OBP22" s="126"/>
      <c r="OBQ22" s="126"/>
      <c r="OBR22" s="126"/>
      <c r="OBS22" s="126"/>
      <c r="OBT22" s="126"/>
      <c r="OBU22" s="126"/>
      <c r="OBV22" s="126"/>
      <c r="OBW22" s="126"/>
      <c r="OBX22" s="126"/>
      <c r="OBY22" s="126"/>
      <c r="OBZ22" s="126"/>
      <c r="OCA22" s="126"/>
      <c r="OCB22" s="126"/>
      <c r="OCC22" s="126"/>
      <c r="OCD22" s="126"/>
      <c r="OCE22" s="126"/>
      <c r="OCF22" s="126"/>
      <c r="OCG22" s="126"/>
      <c r="OCH22" s="126"/>
      <c r="OCI22" s="126"/>
      <c r="OCJ22" s="126"/>
      <c r="OCK22" s="126"/>
      <c r="OCL22" s="126"/>
      <c r="OCM22" s="126"/>
      <c r="OCN22" s="126"/>
      <c r="OCO22" s="126"/>
      <c r="OCP22" s="126"/>
      <c r="OCQ22" s="126"/>
      <c r="OCR22" s="126"/>
      <c r="OCS22" s="126"/>
      <c r="OCT22" s="126"/>
      <c r="OCU22" s="126"/>
      <c r="OCV22" s="126"/>
      <c r="OCW22" s="126"/>
      <c r="OCX22" s="126"/>
      <c r="OCY22" s="126"/>
      <c r="OCZ22" s="126"/>
      <c r="ODA22" s="126"/>
      <c r="ODB22" s="126"/>
      <c r="ODC22" s="126"/>
      <c r="ODD22" s="126"/>
      <c r="ODE22" s="126"/>
      <c r="ODF22" s="126"/>
      <c r="ODG22" s="126"/>
      <c r="ODH22" s="126"/>
      <c r="ODI22" s="126"/>
      <c r="ODJ22" s="126"/>
      <c r="ODK22" s="126"/>
      <c r="ODL22" s="126"/>
      <c r="ODM22" s="126"/>
      <c r="ODN22" s="126"/>
      <c r="ODO22" s="126"/>
      <c r="ODP22" s="126"/>
      <c r="ODQ22" s="126"/>
      <c r="ODR22" s="126"/>
      <c r="ODS22" s="126"/>
      <c r="ODT22" s="126"/>
      <c r="ODU22" s="126"/>
      <c r="ODV22" s="126"/>
      <c r="ODW22" s="126"/>
      <c r="ODX22" s="126"/>
      <c r="ODY22" s="126"/>
      <c r="ODZ22" s="126"/>
      <c r="OEA22" s="126"/>
      <c r="OEB22" s="126"/>
      <c r="OEC22" s="126"/>
      <c r="OED22" s="126"/>
      <c r="OEE22" s="126"/>
      <c r="OEF22" s="126"/>
      <c r="OEG22" s="126"/>
      <c r="OEH22" s="126"/>
      <c r="OEI22" s="126"/>
      <c r="OEJ22" s="126"/>
      <c r="OEK22" s="126"/>
      <c r="OEL22" s="126"/>
      <c r="OEM22" s="126"/>
      <c r="OEN22" s="126"/>
      <c r="OEO22" s="126"/>
      <c r="OEP22" s="126"/>
      <c r="OEQ22" s="126"/>
      <c r="OER22" s="126"/>
      <c r="OES22" s="126"/>
      <c r="OET22" s="126"/>
      <c r="OEU22" s="126"/>
      <c r="OEV22" s="126"/>
      <c r="OEW22" s="126"/>
      <c r="OEX22" s="126"/>
      <c r="OEY22" s="126"/>
      <c r="OEZ22" s="126"/>
      <c r="OFA22" s="126"/>
      <c r="OFB22" s="126"/>
      <c r="OFC22" s="126"/>
      <c r="OFD22" s="126"/>
      <c r="OFE22" s="126"/>
      <c r="OFF22" s="126"/>
      <c r="OFG22" s="126"/>
      <c r="OFH22" s="126"/>
      <c r="OFI22" s="126"/>
      <c r="OFJ22" s="126"/>
      <c r="OFK22" s="126"/>
      <c r="OFL22" s="126"/>
      <c r="OFM22" s="126"/>
      <c r="OFN22" s="126"/>
      <c r="OFO22" s="126"/>
      <c r="OFP22" s="126"/>
      <c r="OFQ22" s="126"/>
      <c r="OFR22" s="126"/>
      <c r="OFS22" s="126"/>
      <c r="OFT22" s="126"/>
      <c r="OFU22" s="126"/>
      <c r="OFV22" s="126"/>
      <c r="OFW22" s="126"/>
      <c r="OFX22" s="126"/>
      <c r="OFY22" s="126"/>
      <c r="OFZ22" s="126"/>
      <c r="OGA22" s="126"/>
      <c r="OGB22" s="126"/>
      <c r="OGC22" s="126"/>
      <c r="OGD22" s="126"/>
      <c r="OGE22" s="126"/>
      <c r="OGF22" s="126"/>
      <c r="OGG22" s="126"/>
      <c r="OGH22" s="126"/>
      <c r="OGI22" s="126"/>
      <c r="OGJ22" s="126"/>
      <c r="OGK22" s="126"/>
      <c r="OGL22" s="126"/>
      <c r="OGM22" s="126"/>
      <c r="OGN22" s="126"/>
      <c r="OGO22" s="126"/>
      <c r="OGP22" s="126"/>
      <c r="OGQ22" s="126"/>
      <c r="OGR22" s="126"/>
      <c r="OGS22" s="126"/>
      <c r="OGT22" s="126"/>
      <c r="OGU22" s="126"/>
      <c r="OGV22" s="126"/>
      <c r="OGW22" s="126"/>
      <c r="OGX22" s="126"/>
      <c r="OGY22" s="126"/>
      <c r="OGZ22" s="126"/>
      <c r="OHA22" s="126"/>
      <c r="OHB22" s="126"/>
      <c r="OHC22" s="126"/>
      <c r="OHD22" s="126"/>
      <c r="OHE22" s="126"/>
      <c r="OHF22" s="126"/>
      <c r="OHG22" s="126"/>
      <c r="OHH22" s="126"/>
      <c r="OHI22" s="126"/>
      <c r="OHJ22" s="126"/>
      <c r="OHK22" s="126"/>
      <c r="OHL22" s="126"/>
      <c r="OHM22" s="126"/>
      <c r="OHN22" s="126"/>
      <c r="OHO22" s="126"/>
      <c r="OHP22" s="126"/>
      <c r="OHQ22" s="126"/>
      <c r="OHR22" s="126"/>
      <c r="OHS22" s="126"/>
      <c r="OHT22" s="126"/>
      <c r="OHU22" s="126"/>
      <c r="OHV22" s="126"/>
      <c r="OHW22" s="126"/>
      <c r="OHX22" s="126"/>
      <c r="OHY22" s="126"/>
      <c r="OHZ22" s="126"/>
      <c r="OIA22" s="126"/>
      <c r="OIB22" s="126"/>
      <c r="OIC22" s="126"/>
      <c r="OID22" s="126"/>
      <c r="OIE22" s="126"/>
      <c r="OIF22" s="126"/>
      <c r="OIG22" s="126"/>
      <c r="OIH22" s="126"/>
      <c r="OII22" s="126"/>
      <c r="OIJ22" s="126"/>
      <c r="OIK22" s="126"/>
      <c r="OIL22" s="126"/>
      <c r="OIM22" s="126"/>
      <c r="OIN22" s="126"/>
      <c r="OIO22" s="126"/>
      <c r="OIP22" s="126"/>
      <c r="OIQ22" s="126"/>
      <c r="OIR22" s="126"/>
      <c r="OIS22" s="126"/>
      <c r="OIT22" s="126"/>
      <c r="OIU22" s="126"/>
      <c r="OIV22" s="126"/>
      <c r="OIW22" s="126"/>
      <c r="OIX22" s="126"/>
      <c r="OIY22" s="126"/>
      <c r="OIZ22" s="126"/>
      <c r="OJA22" s="126"/>
      <c r="OJB22" s="126"/>
      <c r="OJC22" s="126"/>
      <c r="OJD22" s="126"/>
      <c r="OJE22" s="126"/>
      <c r="OJF22" s="126"/>
      <c r="OJG22" s="126"/>
      <c r="OJH22" s="126"/>
      <c r="OJI22" s="126"/>
      <c r="OJJ22" s="126"/>
      <c r="OJK22" s="126"/>
      <c r="OJL22" s="126"/>
      <c r="OJM22" s="126"/>
      <c r="OJN22" s="126"/>
      <c r="OJO22" s="126"/>
      <c r="OJP22" s="126"/>
      <c r="OJQ22" s="126"/>
      <c r="OJR22" s="126"/>
      <c r="OJS22" s="126"/>
      <c r="OJT22" s="126"/>
      <c r="OJU22" s="126"/>
      <c r="OJV22" s="126"/>
      <c r="OJW22" s="126"/>
      <c r="OJX22" s="126"/>
      <c r="OJY22" s="126"/>
      <c r="OJZ22" s="126"/>
      <c r="OKA22" s="126"/>
      <c r="OKB22" s="126"/>
      <c r="OKC22" s="126"/>
      <c r="OKD22" s="126"/>
      <c r="OKE22" s="126"/>
      <c r="OKF22" s="126"/>
      <c r="OKG22" s="126"/>
      <c r="OKH22" s="126"/>
      <c r="OKI22" s="126"/>
      <c r="OKJ22" s="126"/>
      <c r="OKK22" s="126"/>
      <c r="OKL22" s="126"/>
      <c r="OKM22" s="126"/>
      <c r="OKN22" s="126"/>
      <c r="OKO22" s="126"/>
      <c r="OKP22" s="126"/>
      <c r="OKQ22" s="126"/>
      <c r="OKR22" s="126"/>
      <c r="OKS22" s="126"/>
      <c r="OKT22" s="126"/>
      <c r="OKU22" s="126"/>
      <c r="OKV22" s="126"/>
      <c r="OKW22" s="126"/>
      <c r="OKX22" s="126"/>
      <c r="OKY22" s="126"/>
      <c r="OKZ22" s="126"/>
      <c r="OLA22" s="126"/>
      <c r="OLB22" s="126"/>
      <c r="OLC22" s="126"/>
      <c r="OLD22" s="126"/>
      <c r="OLE22" s="126"/>
      <c r="OLF22" s="126"/>
      <c r="OLG22" s="126"/>
      <c r="OLH22" s="126"/>
      <c r="OLI22" s="126"/>
      <c r="OLJ22" s="126"/>
      <c r="OLK22" s="126"/>
      <c r="OLL22" s="126"/>
      <c r="OLM22" s="126"/>
      <c r="OLN22" s="126"/>
      <c r="OLO22" s="126"/>
      <c r="OLP22" s="126"/>
      <c r="OLQ22" s="126"/>
      <c r="OLR22" s="126"/>
      <c r="OLS22" s="126"/>
      <c r="OLT22" s="126"/>
      <c r="OLU22" s="126"/>
      <c r="OLV22" s="126"/>
      <c r="OLW22" s="126"/>
      <c r="OLX22" s="126"/>
      <c r="OLY22" s="126"/>
      <c r="OLZ22" s="126"/>
      <c r="OMA22" s="126"/>
      <c r="OMB22" s="126"/>
      <c r="OMC22" s="126"/>
      <c r="OMD22" s="126"/>
      <c r="OME22" s="126"/>
      <c r="OMF22" s="126"/>
      <c r="OMG22" s="126"/>
      <c r="OMH22" s="126"/>
      <c r="OMI22" s="126"/>
      <c r="OMJ22" s="126"/>
      <c r="OMK22" s="126"/>
      <c r="OML22" s="126"/>
      <c r="OMM22" s="126"/>
      <c r="OMN22" s="126"/>
      <c r="OMO22" s="126"/>
      <c r="OMP22" s="126"/>
      <c r="OMQ22" s="126"/>
      <c r="OMR22" s="126"/>
      <c r="OMS22" s="126"/>
      <c r="OMT22" s="126"/>
      <c r="OMU22" s="126"/>
      <c r="OMV22" s="126"/>
      <c r="OMW22" s="126"/>
      <c r="OMX22" s="126"/>
      <c r="OMY22" s="126"/>
      <c r="OMZ22" s="126"/>
      <c r="ONA22" s="126"/>
      <c r="ONB22" s="126"/>
      <c r="ONC22" s="126"/>
      <c r="OND22" s="126"/>
      <c r="ONE22" s="126"/>
      <c r="ONF22" s="126"/>
      <c r="ONG22" s="126"/>
      <c r="ONH22" s="126"/>
      <c r="ONI22" s="126"/>
      <c r="ONJ22" s="126"/>
      <c r="ONK22" s="126"/>
      <c r="ONL22" s="126"/>
      <c r="ONM22" s="126"/>
      <c r="ONN22" s="126"/>
      <c r="ONO22" s="126"/>
      <c r="ONP22" s="126"/>
      <c r="ONQ22" s="126"/>
      <c r="ONR22" s="126"/>
      <c r="ONS22" s="126"/>
      <c r="ONT22" s="126"/>
      <c r="ONU22" s="126"/>
      <c r="ONV22" s="126"/>
      <c r="ONW22" s="126"/>
      <c r="ONX22" s="126"/>
      <c r="ONY22" s="126"/>
      <c r="ONZ22" s="126"/>
      <c r="OOA22" s="126"/>
      <c r="OOB22" s="126"/>
      <c r="OOC22" s="126"/>
      <c r="OOD22" s="126"/>
      <c r="OOE22" s="126"/>
      <c r="OOF22" s="126"/>
      <c r="OOG22" s="126"/>
      <c r="OOH22" s="126"/>
      <c r="OOI22" s="126"/>
      <c r="OOJ22" s="126"/>
      <c r="OOK22" s="126"/>
      <c r="OOL22" s="126"/>
      <c r="OOM22" s="126"/>
      <c r="OON22" s="126"/>
      <c r="OOO22" s="126"/>
      <c r="OOP22" s="126"/>
      <c r="OOQ22" s="126"/>
      <c r="OOR22" s="126"/>
      <c r="OOS22" s="126"/>
      <c r="OOT22" s="126"/>
      <c r="OOU22" s="126"/>
      <c r="OOV22" s="126"/>
      <c r="OOW22" s="126"/>
      <c r="OOX22" s="126"/>
      <c r="OOY22" s="126"/>
      <c r="OOZ22" s="126"/>
      <c r="OPA22" s="126"/>
      <c r="OPB22" s="126"/>
      <c r="OPC22" s="126"/>
      <c r="OPD22" s="126"/>
      <c r="OPE22" s="126"/>
      <c r="OPF22" s="126"/>
      <c r="OPG22" s="126"/>
      <c r="OPH22" s="126"/>
      <c r="OPI22" s="126"/>
      <c r="OPJ22" s="126"/>
      <c r="OPK22" s="126"/>
      <c r="OPL22" s="126"/>
      <c r="OPM22" s="126"/>
      <c r="OPN22" s="126"/>
      <c r="OPO22" s="126"/>
      <c r="OPP22" s="126"/>
      <c r="OPQ22" s="126"/>
      <c r="OPR22" s="126"/>
      <c r="OPS22" s="126"/>
      <c r="OPT22" s="126"/>
      <c r="OPU22" s="126"/>
      <c r="OPV22" s="126"/>
      <c r="OPW22" s="126"/>
      <c r="OPX22" s="126"/>
      <c r="OPY22" s="126"/>
      <c r="OPZ22" s="126"/>
      <c r="OQA22" s="126"/>
      <c r="OQB22" s="126"/>
      <c r="OQC22" s="126"/>
      <c r="OQD22" s="126"/>
      <c r="OQE22" s="126"/>
      <c r="OQF22" s="126"/>
      <c r="OQG22" s="126"/>
      <c r="OQH22" s="126"/>
      <c r="OQI22" s="126"/>
      <c r="OQJ22" s="126"/>
      <c r="OQK22" s="126"/>
      <c r="OQL22" s="126"/>
      <c r="OQM22" s="126"/>
      <c r="OQN22" s="126"/>
      <c r="OQO22" s="126"/>
      <c r="OQP22" s="126"/>
      <c r="OQQ22" s="126"/>
      <c r="OQR22" s="126"/>
      <c r="OQS22" s="126"/>
      <c r="OQT22" s="126"/>
      <c r="OQU22" s="126"/>
      <c r="OQV22" s="126"/>
      <c r="OQW22" s="126"/>
      <c r="OQX22" s="126"/>
      <c r="OQY22" s="126"/>
      <c r="OQZ22" s="126"/>
      <c r="ORA22" s="126"/>
      <c r="ORB22" s="126"/>
      <c r="ORC22" s="126"/>
      <c r="ORD22" s="126"/>
      <c r="ORE22" s="126"/>
      <c r="ORF22" s="126"/>
      <c r="ORG22" s="126"/>
      <c r="ORH22" s="126"/>
      <c r="ORI22" s="126"/>
      <c r="ORJ22" s="126"/>
      <c r="ORK22" s="126"/>
      <c r="ORL22" s="126"/>
      <c r="ORM22" s="126"/>
      <c r="ORN22" s="126"/>
      <c r="ORO22" s="126"/>
      <c r="ORP22" s="126"/>
      <c r="ORQ22" s="126"/>
      <c r="ORR22" s="126"/>
      <c r="ORS22" s="126"/>
      <c r="ORT22" s="126"/>
      <c r="ORU22" s="126"/>
      <c r="ORV22" s="126"/>
      <c r="ORW22" s="126"/>
      <c r="ORX22" s="126"/>
      <c r="ORY22" s="126"/>
      <c r="ORZ22" s="126"/>
      <c r="OSA22" s="126"/>
      <c r="OSB22" s="126"/>
      <c r="OSC22" s="126"/>
      <c r="OSD22" s="126"/>
      <c r="OSE22" s="126"/>
      <c r="OSF22" s="126"/>
      <c r="OSG22" s="126"/>
      <c r="OSH22" s="126"/>
      <c r="OSI22" s="126"/>
      <c r="OSJ22" s="126"/>
      <c r="OSK22" s="126"/>
      <c r="OSL22" s="126"/>
      <c r="OSM22" s="126"/>
      <c r="OSN22" s="126"/>
      <c r="OSO22" s="126"/>
      <c r="OSP22" s="126"/>
      <c r="OSQ22" s="126"/>
      <c r="OSR22" s="126"/>
      <c r="OSS22" s="126"/>
      <c r="OST22" s="126"/>
      <c r="OSU22" s="126"/>
      <c r="OSV22" s="126"/>
      <c r="OSW22" s="126"/>
      <c r="OSX22" s="126"/>
      <c r="OSY22" s="126"/>
      <c r="OSZ22" s="126"/>
      <c r="OTA22" s="126"/>
      <c r="OTB22" s="126"/>
      <c r="OTC22" s="126"/>
      <c r="OTD22" s="126"/>
      <c r="OTE22" s="126"/>
      <c r="OTF22" s="126"/>
      <c r="OTG22" s="126"/>
      <c r="OTH22" s="126"/>
      <c r="OTI22" s="126"/>
      <c r="OTJ22" s="126"/>
      <c r="OTK22" s="126"/>
      <c r="OTL22" s="126"/>
      <c r="OTM22" s="126"/>
      <c r="OTN22" s="126"/>
      <c r="OTO22" s="126"/>
      <c r="OTP22" s="126"/>
      <c r="OTQ22" s="126"/>
      <c r="OTR22" s="126"/>
      <c r="OTS22" s="126"/>
      <c r="OTT22" s="126"/>
      <c r="OTU22" s="126"/>
      <c r="OTV22" s="126"/>
      <c r="OTW22" s="126"/>
      <c r="OTX22" s="126"/>
      <c r="OTY22" s="126"/>
      <c r="OTZ22" s="126"/>
      <c r="OUA22" s="126"/>
      <c r="OUB22" s="126"/>
      <c r="OUC22" s="126"/>
      <c r="OUD22" s="126"/>
      <c r="OUE22" s="126"/>
      <c r="OUF22" s="126"/>
      <c r="OUG22" s="126"/>
      <c r="OUH22" s="126"/>
      <c r="OUI22" s="126"/>
      <c r="OUJ22" s="126"/>
      <c r="OUK22" s="126"/>
      <c r="OUL22" s="126"/>
      <c r="OUM22" s="126"/>
      <c r="OUN22" s="126"/>
      <c r="OUO22" s="126"/>
      <c r="OUP22" s="126"/>
      <c r="OUQ22" s="126"/>
      <c r="OUR22" s="126"/>
      <c r="OUS22" s="126"/>
      <c r="OUT22" s="126"/>
      <c r="OUU22" s="126"/>
      <c r="OUV22" s="126"/>
      <c r="OUW22" s="126"/>
      <c r="OUX22" s="126"/>
      <c r="OUY22" s="126"/>
      <c r="OUZ22" s="126"/>
      <c r="OVA22" s="126"/>
      <c r="OVB22" s="126"/>
      <c r="OVC22" s="126"/>
      <c r="OVD22" s="126"/>
      <c r="OVE22" s="126"/>
      <c r="OVF22" s="126"/>
      <c r="OVG22" s="126"/>
      <c r="OVH22" s="126"/>
      <c r="OVI22" s="126"/>
      <c r="OVJ22" s="126"/>
      <c r="OVK22" s="126"/>
      <c r="OVL22" s="126"/>
      <c r="OVM22" s="126"/>
      <c r="OVN22" s="126"/>
      <c r="OVO22" s="126"/>
      <c r="OVP22" s="126"/>
      <c r="OVQ22" s="126"/>
      <c r="OVR22" s="126"/>
      <c r="OVS22" s="126"/>
      <c r="OVT22" s="126"/>
      <c r="OVU22" s="126"/>
      <c r="OVV22" s="126"/>
      <c r="OVW22" s="126"/>
      <c r="OVX22" s="126"/>
      <c r="OVY22" s="126"/>
      <c r="OVZ22" s="126"/>
      <c r="OWA22" s="126"/>
      <c r="OWB22" s="126"/>
      <c r="OWC22" s="126"/>
      <c r="OWD22" s="126"/>
      <c r="OWE22" s="126"/>
      <c r="OWF22" s="126"/>
      <c r="OWG22" s="126"/>
      <c r="OWH22" s="126"/>
      <c r="OWI22" s="126"/>
      <c r="OWJ22" s="126"/>
      <c r="OWK22" s="126"/>
      <c r="OWL22" s="126"/>
      <c r="OWM22" s="126"/>
      <c r="OWN22" s="126"/>
      <c r="OWO22" s="126"/>
      <c r="OWP22" s="126"/>
      <c r="OWQ22" s="126"/>
      <c r="OWR22" s="126"/>
      <c r="OWS22" s="126"/>
      <c r="OWT22" s="126"/>
      <c r="OWU22" s="126"/>
      <c r="OWV22" s="126"/>
      <c r="OWW22" s="126"/>
      <c r="OWX22" s="126"/>
      <c r="OWY22" s="126"/>
      <c r="OWZ22" s="126"/>
      <c r="OXA22" s="126"/>
      <c r="OXB22" s="126"/>
      <c r="OXC22" s="126"/>
      <c r="OXD22" s="126"/>
      <c r="OXE22" s="126"/>
      <c r="OXF22" s="126"/>
      <c r="OXG22" s="126"/>
      <c r="OXH22" s="126"/>
      <c r="OXI22" s="126"/>
      <c r="OXJ22" s="126"/>
      <c r="OXK22" s="126"/>
      <c r="OXL22" s="126"/>
      <c r="OXM22" s="126"/>
      <c r="OXN22" s="126"/>
      <c r="OXO22" s="126"/>
      <c r="OXP22" s="126"/>
      <c r="OXQ22" s="126"/>
      <c r="OXR22" s="126"/>
      <c r="OXS22" s="126"/>
      <c r="OXT22" s="126"/>
      <c r="OXU22" s="126"/>
      <c r="OXV22" s="126"/>
      <c r="OXW22" s="126"/>
      <c r="OXX22" s="126"/>
      <c r="OXY22" s="126"/>
      <c r="OXZ22" s="126"/>
      <c r="OYA22" s="126"/>
      <c r="OYB22" s="126"/>
      <c r="OYC22" s="126"/>
      <c r="OYD22" s="126"/>
      <c r="OYE22" s="126"/>
      <c r="OYF22" s="126"/>
      <c r="OYG22" s="126"/>
      <c r="OYH22" s="126"/>
      <c r="OYI22" s="126"/>
      <c r="OYJ22" s="126"/>
      <c r="OYK22" s="126"/>
      <c r="OYL22" s="126"/>
      <c r="OYM22" s="126"/>
      <c r="OYN22" s="126"/>
      <c r="OYO22" s="126"/>
      <c r="OYP22" s="126"/>
      <c r="OYQ22" s="126"/>
      <c r="OYR22" s="126"/>
      <c r="OYS22" s="126"/>
      <c r="OYT22" s="126"/>
      <c r="OYU22" s="126"/>
      <c r="OYV22" s="126"/>
      <c r="OYW22" s="126"/>
      <c r="OYX22" s="126"/>
      <c r="OYY22" s="126"/>
      <c r="OYZ22" s="126"/>
      <c r="OZA22" s="126"/>
      <c r="OZB22" s="126"/>
      <c r="OZC22" s="126"/>
      <c r="OZD22" s="126"/>
      <c r="OZE22" s="126"/>
      <c r="OZF22" s="126"/>
      <c r="OZG22" s="126"/>
      <c r="OZH22" s="126"/>
      <c r="OZI22" s="126"/>
      <c r="OZJ22" s="126"/>
      <c r="OZK22" s="126"/>
      <c r="OZL22" s="126"/>
      <c r="OZM22" s="126"/>
      <c r="OZN22" s="126"/>
      <c r="OZO22" s="126"/>
      <c r="OZP22" s="126"/>
      <c r="OZQ22" s="126"/>
      <c r="OZR22" s="126"/>
      <c r="OZS22" s="126"/>
      <c r="OZT22" s="126"/>
      <c r="OZU22" s="126"/>
      <c r="OZV22" s="126"/>
      <c r="OZW22" s="126"/>
      <c r="OZX22" s="126"/>
      <c r="OZY22" s="126"/>
      <c r="OZZ22" s="126"/>
      <c r="PAA22" s="126"/>
      <c r="PAB22" s="126"/>
      <c r="PAC22" s="126"/>
      <c r="PAD22" s="126"/>
      <c r="PAE22" s="126"/>
      <c r="PAF22" s="126"/>
      <c r="PAG22" s="126"/>
      <c r="PAH22" s="126"/>
      <c r="PAI22" s="126"/>
      <c r="PAJ22" s="126"/>
      <c r="PAK22" s="126"/>
      <c r="PAL22" s="126"/>
      <c r="PAM22" s="126"/>
      <c r="PAN22" s="126"/>
      <c r="PAO22" s="126"/>
      <c r="PAP22" s="126"/>
      <c r="PAQ22" s="126"/>
      <c r="PAR22" s="126"/>
      <c r="PAS22" s="126"/>
      <c r="PAT22" s="126"/>
      <c r="PAU22" s="126"/>
      <c r="PAV22" s="126"/>
      <c r="PAW22" s="126"/>
      <c r="PAX22" s="126"/>
      <c r="PAY22" s="126"/>
      <c r="PAZ22" s="126"/>
      <c r="PBA22" s="126"/>
      <c r="PBB22" s="126"/>
      <c r="PBC22" s="126"/>
      <c r="PBD22" s="126"/>
      <c r="PBE22" s="126"/>
      <c r="PBF22" s="126"/>
      <c r="PBG22" s="126"/>
      <c r="PBH22" s="126"/>
      <c r="PBI22" s="126"/>
      <c r="PBJ22" s="126"/>
      <c r="PBK22" s="126"/>
      <c r="PBL22" s="126"/>
      <c r="PBM22" s="126"/>
      <c r="PBN22" s="126"/>
      <c r="PBO22" s="126"/>
      <c r="PBP22" s="126"/>
      <c r="PBQ22" s="126"/>
      <c r="PBR22" s="126"/>
      <c r="PBS22" s="126"/>
      <c r="PBT22" s="126"/>
      <c r="PBU22" s="126"/>
      <c r="PBV22" s="126"/>
      <c r="PBW22" s="126"/>
      <c r="PBX22" s="126"/>
      <c r="PBY22" s="126"/>
      <c r="PBZ22" s="126"/>
      <c r="PCA22" s="126"/>
      <c r="PCB22" s="126"/>
      <c r="PCC22" s="126"/>
      <c r="PCD22" s="126"/>
      <c r="PCE22" s="126"/>
      <c r="PCF22" s="126"/>
      <c r="PCG22" s="126"/>
      <c r="PCH22" s="126"/>
      <c r="PCI22" s="126"/>
      <c r="PCJ22" s="126"/>
      <c r="PCK22" s="126"/>
      <c r="PCL22" s="126"/>
      <c r="PCM22" s="126"/>
      <c r="PCN22" s="126"/>
      <c r="PCO22" s="126"/>
      <c r="PCP22" s="126"/>
      <c r="PCQ22" s="126"/>
      <c r="PCR22" s="126"/>
      <c r="PCS22" s="126"/>
      <c r="PCT22" s="126"/>
      <c r="PCU22" s="126"/>
      <c r="PCV22" s="126"/>
      <c r="PCW22" s="126"/>
      <c r="PCX22" s="126"/>
      <c r="PCY22" s="126"/>
      <c r="PCZ22" s="126"/>
      <c r="PDA22" s="126"/>
      <c r="PDB22" s="126"/>
      <c r="PDC22" s="126"/>
      <c r="PDD22" s="126"/>
      <c r="PDE22" s="126"/>
      <c r="PDF22" s="126"/>
      <c r="PDG22" s="126"/>
      <c r="PDH22" s="126"/>
      <c r="PDI22" s="126"/>
      <c r="PDJ22" s="126"/>
      <c r="PDK22" s="126"/>
      <c r="PDL22" s="126"/>
      <c r="PDM22" s="126"/>
      <c r="PDN22" s="126"/>
      <c r="PDO22" s="126"/>
      <c r="PDP22" s="126"/>
      <c r="PDQ22" s="126"/>
      <c r="PDR22" s="126"/>
      <c r="PDS22" s="126"/>
      <c r="PDT22" s="126"/>
      <c r="PDU22" s="126"/>
      <c r="PDV22" s="126"/>
      <c r="PDW22" s="126"/>
      <c r="PDX22" s="126"/>
      <c r="PDY22" s="126"/>
      <c r="PDZ22" s="126"/>
      <c r="PEA22" s="126"/>
      <c r="PEB22" s="126"/>
      <c r="PEC22" s="126"/>
      <c r="PED22" s="126"/>
      <c r="PEE22" s="126"/>
      <c r="PEF22" s="126"/>
      <c r="PEG22" s="126"/>
      <c r="PEH22" s="126"/>
      <c r="PEI22" s="126"/>
      <c r="PEJ22" s="126"/>
      <c r="PEK22" s="126"/>
      <c r="PEL22" s="126"/>
      <c r="PEM22" s="126"/>
      <c r="PEN22" s="126"/>
      <c r="PEO22" s="126"/>
      <c r="PEP22" s="126"/>
      <c r="PEQ22" s="126"/>
      <c r="PER22" s="126"/>
      <c r="PES22" s="126"/>
      <c r="PET22" s="126"/>
      <c r="PEU22" s="126"/>
      <c r="PEV22" s="126"/>
      <c r="PEW22" s="126"/>
      <c r="PEX22" s="126"/>
      <c r="PEY22" s="126"/>
      <c r="PEZ22" s="126"/>
      <c r="PFA22" s="126"/>
      <c r="PFB22" s="126"/>
      <c r="PFC22" s="126"/>
      <c r="PFD22" s="126"/>
      <c r="PFE22" s="126"/>
      <c r="PFF22" s="126"/>
      <c r="PFG22" s="126"/>
      <c r="PFH22" s="126"/>
      <c r="PFI22" s="126"/>
      <c r="PFJ22" s="126"/>
      <c r="PFK22" s="126"/>
      <c r="PFL22" s="126"/>
      <c r="PFM22" s="126"/>
      <c r="PFN22" s="126"/>
      <c r="PFO22" s="126"/>
      <c r="PFP22" s="126"/>
      <c r="PFQ22" s="126"/>
      <c r="PFR22" s="126"/>
      <c r="PFS22" s="126"/>
      <c r="PFT22" s="126"/>
      <c r="PFU22" s="126"/>
      <c r="PFV22" s="126"/>
      <c r="PFW22" s="126"/>
      <c r="PFX22" s="126"/>
      <c r="PFY22" s="126"/>
      <c r="PFZ22" s="126"/>
      <c r="PGA22" s="126"/>
      <c r="PGB22" s="126"/>
      <c r="PGC22" s="126"/>
      <c r="PGD22" s="126"/>
      <c r="PGE22" s="126"/>
      <c r="PGF22" s="126"/>
      <c r="PGG22" s="126"/>
      <c r="PGH22" s="126"/>
      <c r="PGI22" s="126"/>
      <c r="PGJ22" s="126"/>
      <c r="PGK22" s="126"/>
      <c r="PGL22" s="126"/>
      <c r="PGM22" s="126"/>
      <c r="PGN22" s="126"/>
      <c r="PGO22" s="126"/>
      <c r="PGP22" s="126"/>
      <c r="PGQ22" s="126"/>
      <c r="PGR22" s="126"/>
      <c r="PGS22" s="126"/>
      <c r="PGT22" s="126"/>
      <c r="PGU22" s="126"/>
      <c r="PGV22" s="126"/>
      <c r="PGW22" s="126"/>
      <c r="PGX22" s="126"/>
      <c r="PGY22" s="126"/>
      <c r="PGZ22" s="126"/>
      <c r="PHA22" s="126"/>
      <c r="PHB22" s="126"/>
      <c r="PHC22" s="126"/>
      <c r="PHD22" s="126"/>
      <c r="PHE22" s="126"/>
      <c r="PHF22" s="126"/>
      <c r="PHG22" s="126"/>
      <c r="PHH22" s="126"/>
      <c r="PHI22" s="126"/>
      <c r="PHJ22" s="126"/>
      <c r="PHK22" s="126"/>
      <c r="PHL22" s="126"/>
      <c r="PHM22" s="126"/>
      <c r="PHN22" s="126"/>
      <c r="PHO22" s="126"/>
      <c r="PHP22" s="126"/>
      <c r="PHQ22" s="126"/>
      <c r="PHR22" s="126"/>
      <c r="PHS22" s="126"/>
      <c r="PHT22" s="126"/>
      <c r="PHU22" s="126"/>
      <c r="PHV22" s="126"/>
      <c r="PHW22" s="126"/>
      <c r="PHX22" s="126"/>
      <c r="PHY22" s="126"/>
      <c r="PHZ22" s="126"/>
      <c r="PIA22" s="126"/>
      <c r="PIB22" s="126"/>
      <c r="PIC22" s="126"/>
      <c r="PID22" s="126"/>
      <c r="PIE22" s="126"/>
      <c r="PIF22" s="126"/>
      <c r="PIG22" s="126"/>
      <c r="PIH22" s="126"/>
      <c r="PII22" s="126"/>
      <c r="PIJ22" s="126"/>
      <c r="PIK22" s="126"/>
      <c r="PIL22" s="126"/>
      <c r="PIM22" s="126"/>
      <c r="PIN22" s="126"/>
      <c r="PIO22" s="126"/>
      <c r="PIP22" s="126"/>
      <c r="PIQ22" s="126"/>
      <c r="PIR22" s="126"/>
      <c r="PIS22" s="126"/>
      <c r="PIT22" s="126"/>
      <c r="PIU22" s="126"/>
      <c r="PIV22" s="126"/>
      <c r="PIW22" s="126"/>
      <c r="PIX22" s="126"/>
      <c r="PIY22" s="126"/>
      <c r="PIZ22" s="126"/>
      <c r="PJA22" s="126"/>
      <c r="PJB22" s="126"/>
      <c r="PJC22" s="126"/>
      <c r="PJD22" s="126"/>
      <c r="PJE22" s="126"/>
      <c r="PJF22" s="126"/>
      <c r="PJG22" s="126"/>
      <c r="PJH22" s="126"/>
      <c r="PJI22" s="126"/>
      <c r="PJJ22" s="126"/>
      <c r="PJK22" s="126"/>
      <c r="PJL22" s="126"/>
      <c r="PJM22" s="126"/>
      <c r="PJN22" s="126"/>
      <c r="PJO22" s="126"/>
      <c r="PJP22" s="126"/>
      <c r="PJQ22" s="126"/>
      <c r="PJR22" s="126"/>
      <c r="PJS22" s="126"/>
      <c r="PJT22" s="126"/>
      <c r="PJU22" s="126"/>
      <c r="PJV22" s="126"/>
      <c r="PJW22" s="126"/>
      <c r="PJX22" s="126"/>
      <c r="PJY22" s="126"/>
      <c r="PJZ22" s="126"/>
      <c r="PKA22" s="126"/>
      <c r="PKB22" s="126"/>
      <c r="PKC22" s="126"/>
      <c r="PKD22" s="126"/>
      <c r="PKE22" s="126"/>
      <c r="PKF22" s="126"/>
      <c r="PKG22" s="126"/>
      <c r="PKH22" s="126"/>
      <c r="PKI22" s="126"/>
      <c r="PKJ22" s="126"/>
      <c r="PKK22" s="126"/>
      <c r="PKL22" s="126"/>
      <c r="PKM22" s="126"/>
      <c r="PKN22" s="126"/>
      <c r="PKO22" s="126"/>
      <c r="PKP22" s="126"/>
      <c r="PKQ22" s="126"/>
      <c r="PKR22" s="126"/>
      <c r="PKS22" s="126"/>
      <c r="PKT22" s="126"/>
      <c r="PKU22" s="126"/>
      <c r="PKV22" s="126"/>
      <c r="PKW22" s="126"/>
      <c r="PKX22" s="126"/>
      <c r="PKY22" s="126"/>
      <c r="PKZ22" s="126"/>
      <c r="PLA22" s="126"/>
      <c r="PLB22" s="126"/>
      <c r="PLC22" s="126"/>
      <c r="PLD22" s="126"/>
      <c r="PLE22" s="126"/>
      <c r="PLF22" s="126"/>
      <c r="PLG22" s="126"/>
      <c r="PLH22" s="126"/>
      <c r="PLI22" s="126"/>
      <c r="PLJ22" s="126"/>
      <c r="PLK22" s="126"/>
      <c r="PLL22" s="126"/>
      <c r="PLM22" s="126"/>
      <c r="PLN22" s="126"/>
      <c r="PLO22" s="126"/>
      <c r="PLP22" s="126"/>
      <c r="PLQ22" s="126"/>
      <c r="PLR22" s="126"/>
      <c r="PLS22" s="126"/>
      <c r="PLT22" s="126"/>
      <c r="PLU22" s="126"/>
      <c r="PLV22" s="126"/>
      <c r="PLW22" s="126"/>
      <c r="PLX22" s="126"/>
      <c r="PLY22" s="126"/>
      <c r="PLZ22" s="126"/>
      <c r="PMA22" s="126"/>
      <c r="PMB22" s="126"/>
      <c r="PMC22" s="126"/>
      <c r="PMD22" s="126"/>
      <c r="PME22" s="126"/>
      <c r="PMF22" s="126"/>
      <c r="PMG22" s="126"/>
      <c r="PMH22" s="126"/>
      <c r="PMI22" s="126"/>
      <c r="PMJ22" s="126"/>
      <c r="PMK22" s="126"/>
      <c r="PML22" s="126"/>
      <c r="PMM22" s="126"/>
      <c r="PMN22" s="126"/>
      <c r="PMO22" s="126"/>
      <c r="PMP22" s="126"/>
      <c r="PMQ22" s="126"/>
      <c r="PMR22" s="126"/>
      <c r="PMS22" s="126"/>
      <c r="PMT22" s="126"/>
      <c r="PMU22" s="126"/>
      <c r="PMV22" s="126"/>
      <c r="PMW22" s="126"/>
      <c r="PMX22" s="126"/>
      <c r="PMY22" s="126"/>
      <c r="PMZ22" s="126"/>
      <c r="PNA22" s="126"/>
      <c r="PNB22" s="126"/>
      <c r="PNC22" s="126"/>
      <c r="PND22" s="126"/>
      <c r="PNE22" s="126"/>
      <c r="PNF22" s="126"/>
      <c r="PNG22" s="126"/>
      <c r="PNH22" s="126"/>
      <c r="PNI22" s="126"/>
      <c r="PNJ22" s="126"/>
      <c r="PNK22" s="126"/>
      <c r="PNL22" s="126"/>
      <c r="PNM22" s="126"/>
      <c r="PNN22" s="126"/>
      <c r="PNO22" s="126"/>
      <c r="PNP22" s="126"/>
      <c r="PNQ22" s="126"/>
      <c r="PNR22" s="126"/>
      <c r="PNS22" s="126"/>
      <c r="PNT22" s="126"/>
      <c r="PNU22" s="126"/>
      <c r="PNV22" s="126"/>
      <c r="PNW22" s="126"/>
      <c r="PNX22" s="126"/>
      <c r="PNY22" s="126"/>
      <c r="PNZ22" s="126"/>
      <c r="POA22" s="126"/>
      <c r="POB22" s="126"/>
      <c r="POC22" s="126"/>
      <c r="POD22" s="126"/>
      <c r="POE22" s="126"/>
      <c r="POF22" s="126"/>
      <c r="POG22" s="126"/>
      <c r="POH22" s="126"/>
      <c r="POI22" s="126"/>
      <c r="POJ22" s="126"/>
      <c r="POK22" s="126"/>
      <c r="POL22" s="126"/>
      <c r="POM22" s="126"/>
      <c r="PON22" s="126"/>
      <c r="POO22" s="126"/>
      <c r="POP22" s="126"/>
      <c r="POQ22" s="126"/>
      <c r="POR22" s="126"/>
      <c r="POS22" s="126"/>
      <c r="POT22" s="126"/>
      <c r="POU22" s="126"/>
      <c r="POV22" s="126"/>
      <c r="POW22" s="126"/>
      <c r="POX22" s="126"/>
      <c r="POY22" s="126"/>
      <c r="POZ22" s="126"/>
      <c r="PPA22" s="126"/>
      <c r="PPB22" s="126"/>
      <c r="PPC22" s="126"/>
      <c r="PPD22" s="126"/>
      <c r="PPE22" s="126"/>
      <c r="PPF22" s="126"/>
      <c r="PPG22" s="126"/>
      <c r="PPH22" s="126"/>
      <c r="PPI22" s="126"/>
      <c r="PPJ22" s="126"/>
      <c r="PPK22" s="126"/>
      <c r="PPL22" s="126"/>
      <c r="PPM22" s="126"/>
      <c r="PPN22" s="126"/>
      <c r="PPO22" s="126"/>
      <c r="PPP22" s="126"/>
      <c r="PPQ22" s="126"/>
      <c r="PPR22" s="126"/>
      <c r="PPS22" s="126"/>
      <c r="PPT22" s="126"/>
      <c r="PPU22" s="126"/>
      <c r="PPV22" s="126"/>
      <c r="PPW22" s="126"/>
      <c r="PPX22" s="126"/>
      <c r="PPY22" s="126"/>
      <c r="PPZ22" s="126"/>
      <c r="PQA22" s="126"/>
      <c r="PQB22" s="126"/>
      <c r="PQC22" s="126"/>
      <c r="PQD22" s="126"/>
      <c r="PQE22" s="126"/>
      <c r="PQF22" s="126"/>
      <c r="PQG22" s="126"/>
      <c r="PQH22" s="126"/>
      <c r="PQI22" s="126"/>
      <c r="PQJ22" s="126"/>
      <c r="PQK22" s="126"/>
      <c r="PQL22" s="126"/>
      <c r="PQM22" s="126"/>
      <c r="PQN22" s="126"/>
      <c r="PQO22" s="126"/>
      <c r="PQP22" s="126"/>
      <c r="PQQ22" s="126"/>
      <c r="PQR22" s="126"/>
      <c r="PQS22" s="126"/>
      <c r="PQT22" s="126"/>
      <c r="PQU22" s="126"/>
      <c r="PQV22" s="126"/>
      <c r="PQW22" s="126"/>
      <c r="PQX22" s="126"/>
      <c r="PQY22" s="126"/>
      <c r="PQZ22" s="126"/>
      <c r="PRA22" s="126"/>
      <c r="PRB22" s="126"/>
      <c r="PRC22" s="126"/>
      <c r="PRD22" s="126"/>
      <c r="PRE22" s="126"/>
      <c r="PRF22" s="126"/>
      <c r="PRG22" s="126"/>
      <c r="PRH22" s="126"/>
      <c r="PRI22" s="126"/>
      <c r="PRJ22" s="126"/>
      <c r="PRK22" s="126"/>
      <c r="PRL22" s="126"/>
      <c r="PRM22" s="126"/>
      <c r="PRN22" s="126"/>
      <c r="PRO22" s="126"/>
      <c r="PRP22" s="126"/>
      <c r="PRQ22" s="126"/>
      <c r="PRR22" s="126"/>
      <c r="PRS22" s="126"/>
      <c r="PRT22" s="126"/>
      <c r="PRU22" s="126"/>
      <c r="PRV22" s="126"/>
      <c r="PRW22" s="126"/>
      <c r="PRX22" s="126"/>
      <c r="PRY22" s="126"/>
      <c r="PRZ22" s="126"/>
      <c r="PSA22" s="126"/>
      <c r="PSB22" s="126"/>
      <c r="PSC22" s="126"/>
      <c r="PSD22" s="126"/>
      <c r="PSE22" s="126"/>
      <c r="PSF22" s="126"/>
      <c r="PSG22" s="126"/>
      <c r="PSH22" s="126"/>
      <c r="PSI22" s="126"/>
      <c r="PSJ22" s="126"/>
      <c r="PSK22" s="126"/>
      <c r="PSL22" s="126"/>
      <c r="PSM22" s="126"/>
      <c r="PSN22" s="126"/>
      <c r="PSO22" s="126"/>
      <c r="PSP22" s="126"/>
      <c r="PSQ22" s="126"/>
      <c r="PSR22" s="126"/>
      <c r="PSS22" s="126"/>
      <c r="PST22" s="126"/>
      <c r="PSU22" s="126"/>
      <c r="PSV22" s="126"/>
      <c r="PSW22" s="126"/>
      <c r="PSX22" s="126"/>
      <c r="PSY22" s="126"/>
      <c r="PSZ22" s="126"/>
      <c r="PTA22" s="126"/>
      <c r="PTB22" s="126"/>
      <c r="PTC22" s="126"/>
      <c r="PTD22" s="126"/>
      <c r="PTE22" s="126"/>
      <c r="PTF22" s="126"/>
      <c r="PTG22" s="126"/>
      <c r="PTH22" s="126"/>
      <c r="PTI22" s="126"/>
      <c r="PTJ22" s="126"/>
      <c r="PTK22" s="126"/>
      <c r="PTL22" s="126"/>
      <c r="PTM22" s="126"/>
      <c r="PTN22" s="126"/>
      <c r="PTO22" s="126"/>
      <c r="PTP22" s="126"/>
      <c r="PTQ22" s="126"/>
      <c r="PTR22" s="126"/>
      <c r="PTS22" s="126"/>
      <c r="PTT22" s="126"/>
      <c r="PTU22" s="126"/>
      <c r="PTV22" s="126"/>
      <c r="PTW22" s="126"/>
      <c r="PTX22" s="126"/>
      <c r="PTY22" s="126"/>
      <c r="PTZ22" s="126"/>
      <c r="PUA22" s="126"/>
      <c r="PUB22" s="126"/>
      <c r="PUC22" s="126"/>
      <c r="PUD22" s="126"/>
      <c r="PUE22" s="126"/>
      <c r="PUF22" s="126"/>
      <c r="PUG22" s="126"/>
      <c r="PUH22" s="126"/>
      <c r="PUI22" s="126"/>
      <c r="PUJ22" s="126"/>
      <c r="PUK22" s="126"/>
      <c r="PUL22" s="126"/>
      <c r="PUM22" s="126"/>
      <c r="PUN22" s="126"/>
      <c r="PUO22" s="126"/>
      <c r="PUP22" s="126"/>
      <c r="PUQ22" s="126"/>
      <c r="PUR22" s="126"/>
      <c r="PUS22" s="126"/>
      <c r="PUT22" s="126"/>
      <c r="PUU22" s="126"/>
      <c r="PUV22" s="126"/>
      <c r="PUW22" s="126"/>
      <c r="PUX22" s="126"/>
      <c r="PUY22" s="126"/>
      <c r="PUZ22" s="126"/>
      <c r="PVA22" s="126"/>
      <c r="PVB22" s="126"/>
      <c r="PVC22" s="126"/>
      <c r="PVD22" s="126"/>
      <c r="PVE22" s="126"/>
      <c r="PVF22" s="126"/>
      <c r="PVG22" s="126"/>
      <c r="PVH22" s="126"/>
      <c r="PVI22" s="126"/>
      <c r="PVJ22" s="126"/>
      <c r="PVK22" s="126"/>
      <c r="PVL22" s="126"/>
      <c r="PVM22" s="126"/>
      <c r="PVN22" s="126"/>
      <c r="PVO22" s="126"/>
      <c r="PVP22" s="126"/>
      <c r="PVQ22" s="126"/>
      <c r="PVR22" s="126"/>
      <c r="PVS22" s="126"/>
      <c r="PVT22" s="126"/>
      <c r="PVU22" s="126"/>
      <c r="PVV22" s="126"/>
      <c r="PVW22" s="126"/>
      <c r="PVX22" s="126"/>
      <c r="PVY22" s="126"/>
      <c r="PVZ22" s="126"/>
      <c r="PWA22" s="126"/>
      <c r="PWB22" s="126"/>
      <c r="PWC22" s="126"/>
      <c r="PWD22" s="126"/>
      <c r="PWE22" s="126"/>
      <c r="PWF22" s="126"/>
      <c r="PWG22" s="126"/>
      <c r="PWH22" s="126"/>
      <c r="PWI22" s="126"/>
      <c r="PWJ22" s="126"/>
      <c r="PWK22" s="126"/>
      <c r="PWL22" s="126"/>
      <c r="PWM22" s="126"/>
      <c r="PWN22" s="126"/>
      <c r="PWO22" s="126"/>
      <c r="PWP22" s="126"/>
      <c r="PWQ22" s="126"/>
      <c r="PWR22" s="126"/>
      <c r="PWS22" s="126"/>
      <c r="PWT22" s="126"/>
      <c r="PWU22" s="126"/>
      <c r="PWV22" s="126"/>
      <c r="PWW22" s="126"/>
      <c r="PWX22" s="126"/>
      <c r="PWY22" s="126"/>
      <c r="PWZ22" s="126"/>
      <c r="PXA22" s="126"/>
      <c r="PXB22" s="126"/>
      <c r="PXC22" s="126"/>
      <c r="PXD22" s="126"/>
      <c r="PXE22" s="126"/>
      <c r="PXF22" s="126"/>
      <c r="PXG22" s="126"/>
      <c r="PXH22" s="126"/>
      <c r="PXI22" s="126"/>
      <c r="PXJ22" s="126"/>
      <c r="PXK22" s="126"/>
      <c r="PXL22" s="126"/>
      <c r="PXM22" s="126"/>
      <c r="PXN22" s="126"/>
      <c r="PXO22" s="126"/>
      <c r="PXP22" s="126"/>
      <c r="PXQ22" s="126"/>
      <c r="PXR22" s="126"/>
      <c r="PXS22" s="126"/>
      <c r="PXT22" s="126"/>
      <c r="PXU22" s="126"/>
      <c r="PXV22" s="126"/>
      <c r="PXW22" s="126"/>
      <c r="PXX22" s="126"/>
      <c r="PXY22" s="126"/>
      <c r="PXZ22" s="126"/>
      <c r="PYA22" s="126"/>
      <c r="PYB22" s="126"/>
      <c r="PYC22" s="126"/>
      <c r="PYD22" s="126"/>
      <c r="PYE22" s="126"/>
      <c r="PYF22" s="126"/>
      <c r="PYG22" s="126"/>
      <c r="PYH22" s="126"/>
      <c r="PYI22" s="126"/>
      <c r="PYJ22" s="126"/>
      <c r="PYK22" s="126"/>
      <c r="PYL22" s="126"/>
      <c r="PYM22" s="126"/>
      <c r="PYN22" s="126"/>
      <c r="PYO22" s="126"/>
      <c r="PYP22" s="126"/>
      <c r="PYQ22" s="126"/>
      <c r="PYR22" s="126"/>
      <c r="PYS22" s="126"/>
      <c r="PYT22" s="126"/>
      <c r="PYU22" s="126"/>
      <c r="PYV22" s="126"/>
      <c r="PYW22" s="126"/>
      <c r="PYX22" s="126"/>
      <c r="PYY22" s="126"/>
      <c r="PYZ22" s="126"/>
      <c r="PZA22" s="126"/>
      <c r="PZB22" s="126"/>
      <c r="PZC22" s="126"/>
      <c r="PZD22" s="126"/>
      <c r="PZE22" s="126"/>
      <c r="PZF22" s="126"/>
      <c r="PZG22" s="126"/>
      <c r="PZH22" s="126"/>
      <c r="PZI22" s="126"/>
      <c r="PZJ22" s="126"/>
      <c r="PZK22" s="126"/>
      <c r="PZL22" s="126"/>
      <c r="PZM22" s="126"/>
      <c r="PZN22" s="126"/>
      <c r="PZO22" s="126"/>
      <c r="PZP22" s="126"/>
      <c r="PZQ22" s="126"/>
      <c r="PZR22" s="126"/>
      <c r="PZS22" s="126"/>
      <c r="PZT22" s="126"/>
      <c r="PZU22" s="126"/>
      <c r="PZV22" s="126"/>
      <c r="PZW22" s="126"/>
      <c r="PZX22" s="126"/>
      <c r="PZY22" s="126"/>
      <c r="PZZ22" s="126"/>
      <c r="QAA22" s="126"/>
      <c r="QAB22" s="126"/>
      <c r="QAC22" s="126"/>
      <c r="QAD22" s="126"/>
      <c r="QAE22" s="126"/>
      <c r="QAF22" s="126"/>
      <c r="QAG22" s="126"/>
      <c r="QAH22" s="126"/>
      <c r="QAI22" s="126"/>
      <c r="QAJ22" s="126"/>
      <c r="QAK22" s="126"/>
      <c r="QAL22" s="126"/>
      <c r="QAM22" s="126"/>
      <c r="QAN22" s="126"/>
      <c r="QAO22" s="126"/>
      <c r="QAP22" s="126"/>
      <c r="QAQ22" s="126"/>
      <c r="QAR22" s="126"/>
      <c r="QAS22" s="126"/>
      <c r="QAT22" s="126"/>
      <c r="QAU22" s="126"/>
      <c r="QAV22" s="126"/>
      <c r="QAW22" s="126"/>
      <c r="QAX22" s="126"/>
      <c r="QAY22" s="126"/>
      <c r="QAZ22" s="126"/>
      <c r="QBA22" s="126"/>
      <c r="QBB22" s="126"/>
      <c r="QBC22" s="126"/>
      <c r="QBD22" s="126"/>
      <c r="QBE22" s="126"/>
      <c r="QBF22" s="126"/>
      <c r="QBG22" s="126"/>
      <c r="QBH22" s="126"/>
      <c r="QBI22" s="126"/>
      <c r="QBJ22" s="126"/>
      <c r="QBK22" s="126"/>
      <c r="QBL22" s="126"/>
      <c r="QBM22" s="126"/>
      <c r="QBN22" s="126"/>
      <c r="QBO22" s="126"/>
      <c r="QBP22" s="126"/>
      <c r="QBQ22" s="126"/>
      <c r="QBR22" s="126"/>
      <c r="QBS22" s="126"/>
      <c r="QBT22" s="126"/>
      <c r="QBU22" s="126"/>
      <c r="QBV22" s="126"/>
      <c r="QBW22" s="126"/>
      <c r="QBX22" s="126"/>
      <c r="QBY22" s="126"/>
      <c r="QBZ22" s="126"/>
      <c r="QCA22" s="126"/>
      <c r="QCB22" s="126"/>
      <c r="QCC22" s="126"/>
      <c r="QCD22" s="126"/>
      <c r="QCE22" s="126"/>
      <c r="QCF22" s="126"/>
      <c r="QCG22" s="126"/>
      <c r="QCH22" s="126"/>
      <c r="QCI22" s="126"/>
      <c r="QCJ22" s="126"/>
      <c r="QCK22" s="126"/>
      <c r="QCL22" s="126"/>
      <c r="QCM22" s="126"/>
      <c r="QCN22" s="126"/>
      <c r="QCO22" s="126"/>
      <c r="QCP22" s="126"/>
      <c r="QCQ22" s="126"/>
      <c r="QCR22" s="126"/>
      <c r="QCS22" s="126"/>
      <c r="QCT22" s="126"/>
      <c r="QCU22" s="126"/>
      <c r="QCV22" s="126"/>
      <c r="QCW22" s="126"/>
      <c r="QCX22" s="126"/>
      <c r="QCY22" s="126"/>
      <c r="QCZ22" s="126"/>
      <c r="QDA22" s="126"/>
      <c r="QDB22" s="126"/>
      <c r="QDC22" s="126"/>
      <c r="QDD22" s="126"/>
      <c r="QDE22" s="126"/>
      <c r="QDF22" s="126"/>
      <c r="QDG22" s="126"/>
      <c r="QDH22" s="126"/>
      <c r="QDI22" s="126"/>
      <c r="QDJ22" s="126"/>
      <c r="QDK22" s="126"/>
      <c r="QDL22" s="126"/>
      <c r="QDM22" s="126"/>
      <c r="QDN22" s="126"/>
      <c r="QDO22" s="126"/>
      <c r="QDP22" s="126"/>
      <c r="QDQ22" s="126"/>
      <c r="QDR22" s="126"/>
      <c r="QDS22" s="126"/>
      <c r="QDT22" s="126"/>
      <c r="QDU22" s="126"/>
      <c r="QDV22" s="126"/>
      <c r="QDW22" s="126"/>
      <c r="QDX22" s="126"/>
      <c r="QDY22" s="126"/>
      <c r="QDZ22" s="126"/>
      <c r="QEA22" s="126"/>
      <c r="QEB22" s="126"/>
      <c r="QEC22" s="126"/>
      <c r="QED22" s="126"/>
      <c r="QEE22" s="126"/>
      <c r="QEF22" s="126"/>
      <c r="QEG22" s="126"/>
      <c r="QEH22" s="126"/>
      <c r="QEI22" s="126"/>
      <c r="QEJ22" s="126"/>
      <c r="QEK22" s="126"/>
      <c r="QEL22" s="126"/>
      <c r="QEM22" s="126"/>
      <c r="QEN22" s="126"/>
      <c r="QEO22" s="126"/>
      <c r="QEP22" s="126"/>
      <c r="QEQ22" s="126"/>
      <c r="QER22" s="126"/>
      <c r="QES22" s="126"/>
      <c r="QET22" s="126"/>
      <c r="QEU22" s="126"/>
      <c r="QEV22" s="126"/>
      <c r="QEW22" s="126"/>
      <c r="QEX22" s="126"/>
      <c r="QEY22" s="126"/>
      <c r="QEZ22" s="126"/>
      <c r="QFA22" s="126"/>
      <c r="QFB22" s="126"/>
      <c r="QFC22" s="126"/>
      <c r="QFD22" s="126"/>
      <c r="QFE22" s="126"/>
      <c r="QFF22" s="126"/>
      <c r="QFG22" s="126"/>
      <c r="QFH22" s="126"/>
      <c r="QFI22" s="126"/>
      <c r="QFJ22" s="126"/>
      <c r="QFK22" s="126"/>
      <c r="QFL22" s="126"/>
      <c r="QFM22" s="126"/>
      <c r="QFN22" s="126"/>
      <c r="QFO22" s="126"/>
      <c r="QFP22" s="126"/>
      <c r="QFQ22" s="126"/>
      <c r="QFR22" s="126"/>
      <c r="QFS22" s="126"/>
      <c r="QFT22" s="126"/>
      <c r="QFU22" s="126"/>
      <c r="QFV22" s="126"/>
      <c r="QFW22" s="126"/>
      <c r="QFX22" s="126"/>
      <c r="QFY22" s="126"/>
      <c r="QFZ22" s="126"/>
      <c r="QGA22" s="126"/>
      <c r="QGB22" s="126"/>
      <c r="QGC22" s="126"/>
      <c r="QGD22" s="126"/>
      <c r="QGE22" s="126"/>
      <c r="QGF22" s="126"/>
      <c r="QGG22" s="126"/>
      <c r="QGH22" s="126"/>
      <c r="QGI22" s="126"/>
      <c r="QGJ22" s="126"/>
      <c r="QGK22" s="126"/>
      <c r="QGL22" s="126"/>
      <c r="QGM22" s="126"/>
      <c r="QGN22" s="126"/>
      <c r="QGO22" s="126"/>
      <c r="QGP22" s="126"/>
      <c r="QGQ22" s="126"/>
      <c r="QGR22" s="126"/>
      <c r="QGS22" s="126"/>
      <c r="QGT22" s="126"/>
      <c r="QGU22" s="126"/>
      <c r="QGV22" s="126"/>
      <c r="QGW22" s="126"/>
      <c r="QGX22" s="126"/>
      <c r="QGY22" s="126"/>
      <c r="QGZ22" s="126"/>
      <c r="QHA22" s="126"/>
      <c r="QHB22" s="126"/>
      <c r="QHC22" s="126"/>
      <c r="QHD22" s="126"/>
      <c r="QHE22" s="126"/>
      <c r="QHF22" s="126"/>
      <c r="QHG22" s="126"/>
      <c r="QHH22" s="126"/>
      <c r="QHI22" s="126"/>
      <c r="QHJ22" s="126"/>
      <c r="QHK22" s="126"/>
      <c r="QHL22" s="126"/>
      <c r="QHM22" s="126"/>
      <c r="QHN22" s="126"/>
      <c r="QHO22" s="126"/>
      <c r="QHP22" s="126"/>
      <c r="QHQ22" s="126"/>
      <c r="QHR22" s="126"/>
      <c r="QHS22" s="126"/>
      <c r="QHT22" s="126"/>
      <c r="QHU22" s="126"/>
      <c r="QHV22" s="126"/>
      <c r="QHW22" s="126"/>
      <c r="QHX22" s="126"/>
      <c r="QHY22" s="126"/>
      <c r="QHZ22" s="126"/>
      <c r="QIA22" s="126"/>
      <c r="QIB22" s="126"/>
      <c r="QIC22" s="126"/>
      <c r="QID22" s="126"/>
      <c r="QIE22" s="126"/>
      <c r="QIF22" s="126"/>
      <c r="QIG22" s="126"/>
      <c r="QIH22" s="126"/>
      <c r="QII22" s="126"/>
      <c r="QIJ22" s="126"/>
      <c r="QIK22" s="126"/>
      <c r="QIL22" s="126"/>
      <c r="QIM22" s="126"/>
      <c r="QIN22" s="126"/>
      <c r="QIO22" s="126"/>
      <c r="QIP22" s="126"/>
      <c r="QIQ22" s="126"/>
      <c r="QIR22" s="126"/>
      <c r="QIS22" s="126"/>
      <c r="QIT22" s="126"/>
      <c r="QIU22" s="126"/>
      <c r="QIV22" s="126"/>
      <c r="QIW22" s="126"/>
      <c r="QIX22" s="126"/>
      <c r="QIY22" s="126"/>
      <c r="QIZ22" s="126"/>
      <c r="QJA22" s="126"/>
      <c r="QJB22" s="126"/>
      <c r="QJC22" s="126"/>
      <c r="QJD22" s="126"/>
      <c r="QJE22" s="126"/>
      <c r="QJF22" s="126"/>
      <c r="QJG22" s="126"/>
      <c r="QJH22" s="126"/>
      <c r="QJI22" s="126"/>
      <c r="QJJ22" s="126"/>
      <c r="QJK22" s="126"/>
      <c r="QJL22" s="126"/>
      <c r="QJM22" s="126"/>
      <c r="QJN22" s="126"/>
      <c r="QJO22" s="126"/>
      <c r="QJP22" s="126"/>
      <c r="QJQ22" s="126"/>
      <c r="QJR22" s="126"/>
      <c r="QJS22" s="126"/>
      <c r="QJT22" s="126"/>
      <c r="QJU22" s="126"/>
      <c r="QJV22" s="126"/>
      <c r="QJW22" s="126"/>
      <c r="QJX22" s="126"/>
      <c r="QJY22" s="126"/>
      <c r="QJZ22" s="126"/>
      <c r="QKA22" s="126"/>
      <c r="QKB22" s="126"/>
      <c r="QKC22" s="126"/>
      <c r="QKD22" s="126"/>
      <c r="QKE22" s="126"/>
      <c r="QKF22" s="126"/>
      <c r="QKG22" s="126"/>
      <c r="QKH22" s="126"/>
      <c r="QKI22" s="126"/>
      <c r="QKJ22" s="126"/>
      <c r="QKK22" s="126"/>
      <c r="QKL22" s="126"/>
      <c r="QKM22" s="126"/>
      <c r="QKN22" s="126"/>
      <c r="QKO22" s="126"/>
      <c r="QKP22" s="126"/>
      <c r="QKQ22" s="126"/>
      <c r="QKR22" s="126"/>
      <c r="QKS22" s="126"/>
      <c r="QKT22" s="126"/>
      <c r="QKU22" s="126"/>
      <c r="QKV22" s="126"/>
      <c r="QKW22" s="126"/>
      <c r="QKX22" s="126"/>
      <c r="QKY22" s="126"/>
      <c r="QKZ22" s="126"/>
      <c r="QLA22" s="126"/>
      <c r="QLB22" s="126"/>
      <c r="QLC22" s="126"/>
      <c r="QLD22" s="126"/>
      <c r="QLE22" s="126"/>
      <c r="QLF22" s="126"/>
      <c r="QLG22" s="126"/>
      <c r="QLH22" s="126"/>
      <c r="QLI22" s="126"/>
      <c r="QLJ22" s="126"/>
      <c r="QLK22" s="126"/>
      <c r="QLL22" s="126"/>
      <c r="QLM22" s="126"/>
      <c r="QLN22" s="126"/>
      <c r="QLO22" s="126"/>
      <c r="QLP22" s="126"/>
      <c r="QLQ22" s="126"/>
      <c r="QLR22" s="126"/>
      <c r="QLS22" s="126"/>
      <c r="QLT22" s="126"/>
      <c r="QLU22" s="126"/>
      <c r="QLV22" s="126"/>
      <c r="QLW22" s="126"/>
      <c r="QLX22" s="126"/>
      <c r="QLY22" s="126"/>
      <c r="QLZ22" s="126"/>
      <c r="QMA22" s="126"/>
      <c r="QMB22" s="126"/>
      <c r="QMC22" s="126"/>
      <c r="QMD22" s="126"/>
      <c r="QME22" s="126"/>
      <c r="QMF22" s="126"/>
      <c r="QMG22" s="126"/>
      <c r="QMH22" s="126"/>
      <c r="QMI22" s="126"/>
      <c r="QMJ22" s="126"/>
      <c r="QMK22" s="126"/>
      <c r="QML22" s="126"/>
      <c r="QMM22" s="126"/>
      <c r="QMN22" s="126"/>
      <c r="QMO22" s="126"/>
      <c r="QMP22" s="126"/>
      <c r="QMQ22" s="126"/>
      <c r="QMR22" s="126"/>
      <c r="QMS22" s="126"/>
      <c r="QMT22" s="126"/>
      <c r="QMU22" s="126"/>
      <c r="QMV22" s="126"/>
      <c r="QMW22" s="126"/>
      <c r="QMX22" s="126"/>
      <c r="QMY22" s="126"/>
      <c r="QMZ22" s="126"/>
      <c r="QNA22" s="126"/>
      <c r="QNB22" s="126"/>
      <c r="QNC22" s="126"/>
      <c r="QND22" s="126"/>
      <c r="QNE22" s="126"/>
      <c r="QNF22" s="126"/>
      <c r="QNG22" s="126"/>
      <c r="QNH22" s="126"/>
      <c r="QNI22" s="126"/>
      <c r="QNJ22" s="126"/>
      <c r="QNK22" s="126"/>
      <c r="QNL22" s="126"/>
      <c r="QNM22" s="126"/>
      <c r="QNN22" s="126"/>
      <c r="QNO22" s="126"/>
      <c r="QNP22" s="126"/>
      <c r="QNQ22" s="126"/>
      <c r="QNR22" s="126"/>
      <c r="QNS22" s="126"/>
      <c r="QNT22" s="126"/>
      <c r="QNU22" s="126"/>
      <c r="QNV22" s="126"/>
      <c r="QNW22" s="126"/>
      <c r="QNX22" s="126"/>
      <c r="QNY22" s="126"/>
      <c r="QNZ22" s="126"/>
      <c r="QOA22" s="126"/>
      <c r="QOB22" s="126"/>
      <c r="QOC22" s="126"/>
      <c r="QOD22" s="126"/>
      <c r="QOE22" s="126"/>
      <c r="QOF22" s="126"/>
      <c r="QOG22" s="126"/>
      <c r="QOH22" s="126"/>
      <c r="QOI22" s="126"/>
      <c r="QOJ22" s="126"/>
      <c r="QOK22" s="126"/>
      <c r="QOL22" s="126"/>
      <c r="QOM22" s="126"/>
      <c r="QON22" s="126"/>
      <c r="QOO22" s="126"/>
      <c r="QOP22" s="126"/>
      <c r="QOQ22" s="126"/>
      <c r="QOR22" s="126"/>
      <c r="QOS22" s="126"/>
      <c r="QOT22" s="126"/>
      <c r="QOU22" s="126"/>
      <c r="QOV22" s="126"/>
      <c r="QOW22" s="126"/>
      <c r="QOX22" s="126"/>
      <c r="QOY22" s="126"/>
      <c r="QOZ22" s="126"/>
      <c r="QPA22" s="126"/>
      <c r="QPB22" s="126"/>
      <c r="QPC22" s="126"/>
      <c r="QPD22" s="126"/>
      <c r="QPE22" s="126"/>
      <c r="QPF22" s="126"/>
      <c r="QPG22" s="126"/>
      <c r="QPH22" s="126"/>
      <c r="QPI22" s="126"/>
      <c r="QPJ22" s="126"/>
      <c r="QPK22" s="126"/>
      <c r="QPL22" s="126"/>
      <c r="QPM22" s="126"/>
      <c r="QPN22" s="126"/>
      <c r="QPO22" s="126"/>
      <c r="QPP22" s="126"/>
      <c r="QPQ22" s="126"/>
      <c r="QPR22" s="126"/>
      <c r="QPS22" s="126"/>
      <c r="QPT22" s="126"/>
      <c r="QPU22" s="126"/>
      <c r="QPV22" s="126"/>
      <c r="QPW22" s="126"/>
      <c r="QPX22" s="126"/>
      <c r="QPY22" s="126"/>
      <c r="QPZ22" s="126"/>
      <c r="QQA22" s="126"/>
      <c r="QQB22" s="126"/>
      <c r="QQC22" s="126"/>
      <c r="QQD22" s="126"/>
      <c r="QQE22" s="126"/>
      <c r="QQF22" s="126"/>
      <c r="QQG22" s="126"/>
      <c r="QQH22" s="126"/>
      <c r="QQI22" s="126"/>
      <c r="QQJ22" s="126"/>
      <c r="QQK22" s="126"/>
      <c r="QQL22" s="126"/>
      <c r="QQM22" s="126"/>
      <c r="QQN22" s="126"/>
      <c r="QQO22" s="126"/>
      <c r="QQP22" s="126"/>
      <c r="QQQ22" s="126"/>
      <c r="QQR22" s="126"/>
      <c r="QQS22" s="126"/>
      <c r="QQT22" s="126"/>
      <c r="QQU22" s="126"/>
      <c r="QQV22" s="126"/>
      <c r="QQW22" s="126"/>
      <c r="QQX22" s="126"/>
      <c r="QQY22" s="126"/>
      <c r="QQZ22" s="126"/>
      <c r="QRA22" s="126"/>
      <c r="QRB22" s="126"/>
      <c r="QRC22" s="126"/>
      <c r="QRD22" s="126"/>
      <c r="QRE22" s="126"/>
      <c r="QRF22" s="126"/>
      <c r="QRG22" s="126"/>
      <c r="QRH22" s="126"/>
      <c r="QRI22" s="126"/>
      <c r="QRJ22" s="126"/>
      <c r="QRK22" s="126"/>
      <c r="QRL22" s="126"/>
      <c r="QRM22" s="126"/>
      <c r="QRN22" s="126"/>
      <c r="QRO22" s="126"/>
      <c r="QRP22" s="126"/>
      <c r="QRQ22" s="126"/>
      <c r="QRR22" s="126"/>
      <c r="QRS22" s="126"/>
      <c r="QRT22" s="126"/>
      <c r="QRU22" s="126"/>
      <c r="QRV22" s="126"/>
      <c r="QRW22" s="126"/>
      <c r="QRX22" s="126"/>
      <c r="QRY22" s="126"/>
      <c r="QRZ22" s="126"/>
      <c r="QSA22" s="126"/>
      <c r="QSB22" s="126"/>
      <c r="QSC22" s="126"/>
      <c r="QSD22" s="126"/>
      <c r="QSE22" s="126"/>
      <c r="QSF22" s="126"/>
      <c r="QSG22" s="126"/>
      <c r="QSH22" s="126"/>
      <c r="QSI22" s="126"/>
      <c r="QSJ22" s="126"/>
      <c r="QSK22" s="126"/>
      <c r="QSL22" s="126"/>
      <c r="QSM22" s="126"/>
      <c r="QSN22" s="126"/>
      <c r="QSO22" s="126"/>
      <c r="QSP22" s="126"/>
      <c r="QSQ22" s="126"/>
      <c r="QSR22" s="126"/>
      <c r="QSS22" s="126"/>
      <c r="QST22" s="126"/>
      <c r="QSU22" s="126"/>
      <c r="QSV22" s="126"/>
      <c r="QSW22" s="126"/>
      <c r="QSX22" s="126"/>
      <c r="QSY22" s="126"/>
      <c r="QSZ22" s="126"/>
      <c r="QTA22" s="126"/>
      <c r="QTB22" s="126"/>
      <c r="QTC22" s="126"/>
      <c r="QTD22" s="126"/>
      <c r="QTE22" s="126"/>
      <c r="QTF22" s="126"/>
      <c r="QTG22" s="126"/>
      <c r="QTH22" s="126"/>
      <c r="QTI22" s="126"/>
      <c r="QTJ22" s="126"/>
      <c r="QTK22" s="126"/>
      <c r="QTL22" s="126"/>
      <c r="QTM22" s="126"/>
      <c r="QTN22" s="126"/>
      <c r="QTO22" s="126"/>
      <c r="QTP22" s="126"/>
      <c r="QTQ22" s="126"/>
      <c r="QTR22" s="126"/>
      <c r="QTS22" s="126"/>
      <c r="QTT22" s="126"/>
      <c r="QTU22" s="126"/>
      <c r="QTV22" s="126"/>
      <c r="QTW22" s="126"/>
      <c r="QTX22" s="126"/>
      <c r="QTY22" s="126"/>
      <c r="QTZ22" s="126"/>
      <c r="QUA22" s="126"/>
      <c r="QUB22" s="126"/>
      <c r="QUC22" s="126"/>
      <c r="QUD22" s="126"/>
      <c r="QUE22" s="126"/>
      <c r="QUF22" s="126"/>
      <c r="QUG22" s="126"/>
      <c r="QUH22" s="126"/>
      <c r="QUI22" s="126"/>
      <c r="QUJ22" s="126"/>
      <c r="QUK22" s="126"/>
      <c r="QUL22" s="126"/>
      <c r="QUM22" s="126"/>
      <c r="QUN22" s="126"/>
      <c r="QUO22" s="126"/>
      <c r="QUP22" s="126"/>
      <c r="QUQ22" s="126"/>
      <c r="QUR22" s="126"/>
      <c r="QUS22" s="126"/>
      <c r="QUT22" s="126"/>
      <c r="QUU22" s="126"/>
      <c r="QUV22" s="126"/>
      <c r="QUW22" s="126"/>
      <c r="QUX22" s="126"/>
      <c r="QUY22" s="126"/>
      <c r="QUZ22" s="126"/>
      <c r="QVA22" s="126"/>
      <c r="QVB22" s="126"/>
      <c r="QVC22" s="126"/>
      <c r="QVD22" s="126"/>
      <c r="QVE22" s="126"/>
      <c r="QVF22" s="126"/>
      <c r="QVG22" s="126"/>
      <c r="QVH22" s="126"/>
      <c r="QVI22" s="126"/>
      <c r="QVJ22" s="126"/>
      <c r="QVK22" s="126"/>
      <c r="QVL22" s="126"/>
      <c r="QVM22" s="126"/>
      <c r="QVN22" s="126"/>
      <c r="QVO22" s="126"/>
      <c r="QVP22" s="126"/>
      <c r="QVQ22" s="126"/>
      <c r="QVR22" s="126"/>
      <c r="QVS22" s="126"/>
      <c r="QVT22" s="126"/>
      <c r="QVU22" s="126"/>
      <c r="QVV22" s="126"/>
      <c r="QVW22" s="126"/>
      <c r="QVX22" s="126"/>
      <c r="QVY22" s="126"/>
      <c r="QVZ22" s="126"/>
      <c r="QWA22" s="126"/>
      <c r="QWB22" s="126"/>
      <c r="QWC22" s="126"/>
      <c r="QWD22" s="126"/>
      <c r="QWE22" s="126"/>
      <c r="QWF22" s="126"/>
      <c r="QWG22" s="126"/>
      <c r="QWH22" s="126"/>
      <c r="QWI22" s="126"/>
      <c r="QWJ22" s="126"/>
      <c r="QWK22" s="126"/>
      <c r="QWL22" s="126"/>
      <c r="QWM22" s="126"/>
      <c r="QWN22" s="126"/>
      <c r="QWO22" s="126"/>
      <c r="QWP22" s="126"/>
      <c r="QWQ22" s="126"/>
      <c r="QWR22" s="126"/>
      <c r="QWS22" s="126"/>
      <c r="QWT22" s="126"/>
      <c r="QWU22" s="126"/>
      <c r="QWV22" s="126"/>
      <c r="QWW22" s="126"/>
      <c r="QWX22" s="126"/>
      <c r="QWY22" s="126"/>
      <c r="QWZ22" s="126"/>
      <c r="QXA22" s="126"/>
      <c r="QXB22" s="126"/>
      <c r="QXC22" s="126"/>
      <c r="QXD22" s="126"/>
      <c r="QXE22" s="126"/>
      <c r="QXF22" s="126"/>
      <c r="QXG22" s="126"/>
      <c r="QXH22" s="126"/>
      <c r="QXI22" s="126"/>
      <c r="QXJ22" s="126"/>
      <c r="QXK22" s="126"/>
      <c r="QXL22" s="126"/>
      <c r="QXM22" s="126"/>
      <c r="QXN22" s="126"/>
      <c r="QXO22" s="126"/>
      <c r="QXP22" s="126"/>
      <c r="QXQ22" s="126"/>
      <c r="QXR22" s="126"/>
      <c r="QXS22" s="126"/>
      <c r="QXT22" s="126"/>
      <c r="QXU22" s="126"/>
      <c r="QXV22" s="126"/>
      <c r="QXW22" s="126"/>
      <c r="QXX22" s="126"/>
      <c r="QXY22" s="126"/>
      <c r="QXZ22" s="126"/>
      <c r="QYA22" s="126"/>
      <c r="QYB22" s="126"/>
      <c r="QYC22" s="126"/>
      <c r="QYD22" s="126"/>
      <c r="QYE22" s="126"/>
      <c r="QYF22" s="126"/>
      <c r="QYG22" s="126"/>
      <c r="QYH22" s="126"/>
      <c r="QYI22" s="126"/>
      <c r="QYJ22" s="126"/>
      <c r="QYK22" s="126"/>
      <c r="QYL22" s="126"/>
      <c r="QYM22" s="126"/>
      <c r="QYN22" s="126"/>
      <c r="QYO22" s="126"/>
      <c r="QYP22" s="126"/>
      <c r="QYQ22" s="126"/>
      <c r="QYR22" s="126"/>
      <c r="QYS22" s="126"/>
      <c r="QYT22" s="126"/>
      <c r="QYU22" s="126"/>
      <c r="QYV22" s="126"/>
      <c r="QYW22" s="126"/>
      <c r="QYX22" s="126"/>
      <c r="QYY22" s="126"/>
      <c r="QYZ22" s="126"/>
      <c r="QZA22" s="126"/>
      <c r="QZB22" s="126"/>
      <c r="QZC22" s="126"/>
      <c r="QZD22" s="126"/>
      <c r="QZE22" s="126"/>
      <c r="QZF22" s="126"/>
      <c r="QZG22" s="126"/>
      <c r="QZH22" s="126"/>
      <c r="QZI22" s="126"/>
      <c r="QZJ22" s="126"/>
      <c r="QZK22" s="126"/>
      <c r="QZL22" s="126"/>
      <c r="QZM22" s="126"/>
      <c r="QZN22" s="126"/>
      <c r="QZO22" s="126"/>
      <c r="QZP22" s="126"/>
      <c r="QZQ22" s="126"/>
      <c r="QZR22" s="126"/>
      <c r="QZS22" s="126"/>
      <c r="QZT22" s="126"/>
      <c r="QZU22" s="126"/>
      <c r="QZV22" s="126"/>
      <c r="QZW22" s="126"/>
      <c r="QZX22" s="126"/>
      <c r="QZY22" s="126"/>
      <c r="QZZ22" s="126"/>
      <c r="RAA22" s="126"/>
      <c r="RAB22" s="126"/>
      <c r="RAC22" s="126"/>
      <c r="RAD22" s="126"/>
      <c r="RAE22" s="126"/>
      <c r="RAF22" s="126"/>
      <c r="RAG22" s="126"/>
      <c r="RAH22" s="126"/>
      <c r="RAI22" s="126"/>
      <c r="RAJ22" s="126"/>
      <c r="RAK22" s="126"/>
      <c r="RAL22" s="126"/>
      <c r="RAM22" s="126"/>
      <c r="RAN22" s="126"/>
      <c r="RAO22" s="126"/>
      <c r="RAP22" s="126"/>
      <c r="RAQ22" s="126"/>
      <c r="RAR22" s="126"/>
      <c r="RAS22" s="126"/>
      <c r="RAT22" s="126"/>
      <c r="RAU22" s="126"/>
      <c r="RAV22" s="126"/>
      <c r="RAW22" s="126"/>
      <c r="RAX22" s="126"/>
      <c r="RAY22" s="126"/>
      <c r="RAZ22" s="126"/>
      <c r="RBA22" s="126"/>
      <c r="RBB22" s="126"/>
      <c r="RBC22" s="126"/>
      <c r="RBD22" s="126"/>
      <c r="RBE22" s="126"/>
      <c r="RBF22" s="126"/>
      <c r="RBG22" s="126"/>
      <c r="RBH22" s="126"/>
      <c r="RBI22" s="126"/>
      <c r="RBJ22" s="126"/>
      <c r="RBK22" s="126"/>
      <c r="RBL22" s="126"/>
      <c r="RBM22" s="126"/>
      <c r="RBN22" s="126"/>
      <c r="RBO22" s="126"/>
      <c r="RBP22" s="126"/>
      <c r="RBQ22" s="126"/>
      <c r="RBR22" s="126"/>
      <c r="RBS22" s="126"/>
      <c r="RBT22" s="126"/>
      <c r="RBU22" s="126"/>
      <c r="RBV22" s="126"/>
      <c r="RBW22" s="126"/>
      <c r="RBX22" s="126"/>
      <c r="RBY22" s="126"/>
      <c r="RBZ22" s="126"/>
      <c r="RCA22" s="126"/>
      <c r="RCB22" s="126"/>
      <c r="RCC22" s="126"/>
      <c r="RCD22" s="126"/>
      <c r="RCE22" s="126"/>
      <c r="RCF22" s="126"/>
      <c r="RCG22" s="126"/>
      <c r="RCH22" s="126"/>
      <c r="RCI22" s="126"/>
      <c r="RCJ22" s="126"/>
      <c r="RCK22" s="126"/>
      <c r="RCL22" s="126"/>
      <c r="RCM22" s="126"/>
      <c r="RCN22" s="126"/>
      <c r="RCO22" s="126"/>
      <c r="RCP22" s="126"/>
      <c r="RCQ22" s="126"/>
      <c r="RCR22" s="126"/>
      <c r="RCS22" s="126"/>
      <c r="RCT22" s="126"/>
      <c r="RCU22" s="126"/>
      <c r="RCV22" s="126"/>
      <c r="RCW22" s="126"/>
      <c r="RCX22" s="126"/>
      <c r="RCY22" s="126"/>
      <c r="RCZ22" s="126"/>
      <c r="RDA22" s="126"/>
      <c r="RDB22" s="126"/>
      <c r="RDC22" s="126"/>
      <c r="RDD22" s="126"/>
      <c r="RDE22" s="126"/>
      <c r="RDF22" s="126"/>
      <c r="RDG22" s="126"/>
      <c r="RDH22" s="126"/>
      <c r="RDI22" s="126"/>
      <c r="RDJ22" s="126"/>
      <c r="RDK22" s="126"/>
      <c r="RDL22" s="126"/>
      <c r="RDM22" s="126"/>
      <c r="RDN22" s="126"/>
      <c r="RDO22" s="126"/>
      <c r="RDP22" s="126"/>
      <c r="RDQ22" s="126"/>
      <c r="RDR22" s="126"/>
      <c r="RDS22" s="126"/>
      <c r="RDT22" s="126"/>
      <c r="RDU22" s="126"/>
      <c r="RDV22" s="126"/>
      <c r="RDW22" s="126"/>
      <c r="RDX22" s="126"/>
      <c r="RDY22" s="126"/>
      <c r="RDZ22" s="126"/>
      <c r="REA22" s="126"/>
      <c r="REB22" s="126"/>
      <c r="REC22" s="126"/>
      <c r="RED22" s="126"/>
      <c r="REE22" s="126"/>
      <c r="REF22" s="126"/>
      <c r="REG22" s="126"/>
      <c r="REH22" s="126"/>
      <c r="REI22" s="126"/>
      <c r="REJ22" s="126"/>
      <c r="REK22" s="126"/>
      <c r="REL22" s="126"/>
      <c r="REM22" s="126"/>
      <c r="REN22" s="126"/>
      <c r="REO22" s="126"/>
      <c r="REP22" s="126"/>
      <c r="REQ22" s="126"/>
      <c r="RER22" s="126"/>
      <c r="RES22" s="126"/>
      <c r="RET22" s="126"/>
      <c r="REU22" s="126"/>
      <c r="REV22" s="126"/>
      <c r="REW22" s="126"/>
      <c r="REX22" s="126"/>
      <c r="REY22" s="126"/>
      <c r="REZ22" s="126"/>
      <c r="RFA22" s="126"/>
      <c r="RFB22" s="126"/>
      <c r="RFC22" s="126"/>
      <c r="RFD22" s="126"/>
      <c r="RFE22" s="126"/>
      <c r="RFF22" s="126"/>
      <c r="RFG22" s="126"/>
      <c r="RFH22" s="126"/>
      <c r="RFI22" s="126"/>
      <c r="RFJ22" s="126"/>
      <c r="RFK22" s="126"/>
      <c r="RFL22" s="126"/>
      <c r="RFM22" s="126"/>
      <c r="RFN22" s="126"/>
      <c r="RFO22" s="126"/>
      <c r="RFP22" s="126"/>
      <c r="RFQ22" s="126"/>
      <c r="RFR22" s="126"/>
      <c r="RFS22" s="126"/>
      <c r="RFT22" s="126"/>
      <c r="RFU22" s="126"/>
      <c r="RFV22" s="126"/>
      <c r="RFW22" s="126"/>
      <c r="RFX22" s="126"/>
      <c r="RFY22" s="126"/>
      <c r="RFZ22" s="126"/>
      <c r="RGA22" s="126"/>
      <c r="RGB22" s="126"/>
      <c r="RGC22" s="126"/>
      <c r="RGD22" s="126"/>
      <c r="RGE22" s="126"/>
      <c r="RGF22" s="126"/>
      <c r="RGG22" s="126"/>
      <c r="RGH22" s="126"/>
      <c r="RGI22" s="126"/>
      <c r="RGJ22" s="126"/>
      <c r="RGK22" s="126"/>
      <c r="RGL22" s="126"/>
      <c r="RGM22" s="126"/>
      <c r="RGN22" s="126"/>
      <c r="RGO22" s="126"/>
      <c r="RGP22" s="126"/>
      <c r="RGQ22" s="126"/>
      <c r="RGR22" s="126"/>
      <c r="RGS22" s="126"/>
      <c r="RGT22" s="126"/>
      <c r="RGU22" s="126"/>
      <c r="RGV22" s="126"/>
      <c r="RGW22" s="126"/>
      <c r="RGX22" s="126"/>
      <c r="RGY22" s="126"/>
      <c r="RGZ22" s="126"/>
      <c r="RHA22" s="126"/>
      <c r="RHB22" s="126"/>
      <c r="RHC22" s="126"/>
      <c r="RHD22" s="126"/>
      <c r="RHE22" s="126"/>
      <c r="RHF22" s="126"/>
      <c r="RHG22" s="126"/>
      <c r="RHH22" s="126"/>
      <c r="RHI22" s="126"/>
      <c r="RHJ22" s="126"/>
      <c r="RHK22" s="126"/>
      <c r="RHL22" s="126"/>
      <c r="RHM22" s="126"/>
      <c r="RHN22" s="126"/>
      <c r="RHO22" s="126"/>
      <c r="RHP22" s="126"/>
      <c r="RHQ22" s="126"/>
      <c r="RHR22" s="126"/>
      <c r="RHS22" s="126"/>
      <c r="RHT22" s="126"/>
      <c r="RHU22" s="126"/>
      <c r="RHV22" s="126"/>
      <c r="RHW22" s="126"/>
      <c r="RHX22" s="126"/>
      <c r="RHY22" s="126"/>
      <c r="RHZ22" s="126"/>
      <c r="RIA22" s="126"/>
      <c r="RIB22" s="126"/>
      <c r="RIC22" s="126"/>
      <c r="RID22" s="126"/>
      <c r="RIE22" s="126"/>
      <c r="RIF22" s="126"/>
      <c r="RIG22" s="126"/>
      <c r="RIH22" s="126"/>
      <c r="RII22" s="126"/>
      <c r="RIJ22" s="126"/>
      <c r="RIK22" s="126"/>
      <c r="RIL22" s="126"/>
      <c r="RIM22" s="126"/>
      <c r="RIN22" s="126"/>
      <c r="RIO22" s="126"/>
      <c r="RIP22" s="126"/>
      <c r="RIQ22" s="126"/>
      <c r="RIR22" s="126"/>
      <c r="RIS22" s="126"/>
      <c r="RIT22" s="126"/>
      <c r="RIU22" s="126"/>
      <c r="RIV22" s="126"/>
      <c r="RIW22" s="126"/>
      <c r="RIX22" s="126"/>
      <c r="RIY22" s="126"/>
      <c r="RIZ22" s="126"/>
      <c r="RJA22" s="126"/>
      <c r="RJB22" s="126"/>
      <c r="RJC22" s="126"/>
      <c r="RJD22" s="126"/>
      <c r="RJE22" s="126"/>
      <c r="RJF22" s="126"/>
      <c r="RJG22" s="126"/>
      <c r="RJH22" s="126"/>
      <c r="RJI22" s="126"/>
      <c r="RJJ22" s="126"/>
      <c r="RJK22" s="126"/>
      <c r="RJL22" s="126"/>
      <c r="RJM22" s="126"/>
      <c r="RJN22" s="126"/>
      <c r="RJO22" s="126"/>
      <c r="RJP22" s="126"/>
      <c r="RJQ22" s="126"/>
      <c r="RJR22" s="126"/>
      <c r="RJS22" s="126"/>
      <c r="RJT22" s="126"/>
      <c r="RJU22" s="126"/>
      <c r="RJV22" s="126"/>
      <c r="RJW22" s="126"/>
      <c r="RJX22" s="126"/>
      <c r="RJY22" s="126"/>
      <c r="RJZ22" s="126"/>
      <c r="RKA22" s="126"/>
      <c r="RKB22" s="126"/>
      <c r="RKC22" s="126"/>
      <c r="RKD22" s="126"/>
      <c r="RKE22" s="126"/>
      <c r="RKF22" s="126"/>
      <c r="RKG22" s="126"/>
      <c r="RKH22" s="126"/>
      <c r="RKI22" s="126"/>
      <c r="RKJ22" s="126"/>
      <c r="RKK22" s="126"/>
      <c r="RKL22" s="126"/>
      <c r="RKM22" s="126"/>
      <c r="RKN22" s="126"/>
      <c r="RKO22" s="126"/>
      <c r="RKP22" s="126"/>
      <c r="RKQ22" s="126"/>
      <c r="RKR22" s="126"/>
      <c r="RKS22" s="126"/>
      <c r="RKT22" s="126"/>
      <c r="RKU22" s="126"/>
      <c r="RKV22" s="126"/>
      <c r="RKW22" s="126"/>
      <c r="RKX22" s="126"/>
      <c r="RKY22" s="126"/>
      <c r="RKZ22" s="126"/>
      <c r="RLA22" s="126"/>
      <c r="RLB22" s="126"/>
      <c r="RLC22" s="126"/>
      <c r="RLD22" s="126"/>
      <c r="RLE22" s="126"/>
      <c r="RLF22" s="126"/>
      <c r="RLG22" s="126"/>
      <c r="RLH22" s="126"/>
      <c r="RLI22" s="126"/>
      <c r="RLJ22" s="126"/>
      <c r="RLK22" s="126"/>
      <c r="RLL22" s="126"/>
      <c r="RLM22" s="126"/>
      <c r="RLN22" s="126"/>
      <c r="RLO22" s="126"/>
      <c r="RLP22" s="126"/>
      <c r="RLQ22" s="126"/>
      <c r="RLR22" s="126"/>
      <c r="RLS22" s="126"/>
      <c r="RLT22" s="126"/>
      <c r="RLU22" s="126"/>
      <c r="RLV22" s="126"/>
      <c r="RLW22" s="126"/>
      <c r="RLX22" s="126"/>
      <c r="RLY22" s="126"/>
      <c r="RLZ22" s="126"/>
      <c r="RMA22" s="126"/>
      <c r="RMB22" s="126"/>
      <c r="RMC22" s="126"/>
      <c r="RMD22" s="126"/>
      <c r="RME22" s="126"/>
      <c r="RMF22" s="126"/>
      <c r="RMG22" s="126"/>
      <c r="RMH22" s="126"/>
      <c r="RMI22" s="126"/>
      <c r="RMJ22" s="126"/>
      <c r="RMK22" s="126"/>
      <c r="RML22" s="126"/>
      <c r="RMM22" s="126"/>
      <c r="RMN22" s="126"/>
      <c r="RMO22" s="126"/>
      <c r="RMP22" s="126"/>
      <c r="RMQ22" s="126"/>
      <c r="RMR22" s="126"/>
      <c r="RMS22" s="126"/>
      <c r="RMT22" s="126"/>
      <c r="RMU22" s="126"/>
      <c r="RMV22" s="126"/>
      <c r="RMW22" s="126"/>
      <c r="RMX22" s="126"/>
      <c r="RMY22" s="126"/>
      <c r="RMZ22" s="126"/>
      <c r="RNA22" s="126"/>
      <c r="RNB22" s="126"/>
      <c r="RNC22" s="126"/>
      <c r="RND22" s="126"/>
      <c r="RNE22" s="126"/>
      <c r="RNF22" s="126"/>
      <c r="RNG22" s="126"/>
      <c r="RNH22" s="126"/>
      <c r="RNI22" s="126"/>
      <c r="RNJ22" s="126"/>
      <c r="RNK22" s="126"/>
      <c r="RNL22" s="126"/>
      <c r="RNM22" s="126"/>
      <c r="RNN22" s="126"/>
      <c r="RNO22" s="126"/>
      <c r="RNP22" s="126"/>
      <c r="RNQ22" s="126"/>
      <c r="RNR22" s="126"/>
      <c r="RNS22" s="126"/>
      <c r="RNT22" s="126"/>
      <c r="RNU22" s="126"/>
      <c r="RNV22" s="126"/>
      <c r="RNW22" s="126"/>
      <c r="RNX22" s="126"/>
      <c r="RNY22" s="126"/>
      <c r="RNZ22" s="126"/>
      <c r="ROA22" s="126"/>
      <c r="ROB22" s="126"/>
      <c r="ROC22" s="126"/>
      <c r="ROD22" s="126"/>
      <c r="ROE22" s="126"/>
      <c r="ROF22" s="126"/>
      <c r="ROG22" s="126"/>
      <c r="ROH22" s="126"/>
      <c r="ROI22" s="126"/>
      <c r="ROJ22" s="126"/>
      <c r="ROK22" s="126"/>
      <c r="ROL22" s="126"/>
      <c r="ROM22" s="126"/>
      <c r="RON22" s="126"/>
      <c r="ROO22" s="126"/>
      <c r="ROP22" s="126"/>
      <c r="ROQ22" s="126"/>
      <c r="ROR22" s="126"/>
      <c r="ROS22" s="126"/>
      <c r="ROT22" s="126"/>
      <c r="ROU22" s="126"/>
      <c r="ROV22" s="126"/>
      <c r="ROW22" s="126"/>
      <c r="ROX22" s="126"/>
      <c r="ROY22" s="126"/>
      <c r="ROZ22" s="126"/>
      <c r="RPA22" s="126"/>
      <c r="RPB22" s="126"/>
      <c r="RPC22" s="126"/>
      <c r="RPD22" s="126"/>
      <c r="RPE22" s="126"/>
      <c r="RPF22" s="126"/>
      <c r="RPG22" s="126"/>
      <c r="RPH22" s="126"/>
      <c r="RPI22" s="126"/>
      <c r="RPJ22" s="126"/>
      <c r="RPK22" s="126"/>
      <c r="RPL22" s="126"/>
      <c r="RPM22" s="126"/>
      <c r="RPN22" s="126"/>
      <c r="RPO22" s="126"/>
      <c r="RPP22" s="126"/>
      <c r="RPQ22" s="126"/>
      <c r="RPR22" s="126"/>
      <c r="RPS22" s="126"/>
      <c r="RPT22" s="126"/>
      <c r="RPU22" s="126"/>
      <c r="RPV22" s="126"/>
      <c r="RPW22" s="126"/>
      <c r="RPX22" s="126"/>
      <c r="RPY22" s="126"/>
      <c r="RPZ22" s="126"/>
      <c r="RQA22" s="126"/>
      <c r="RQB22" s="126"/>
      <c r="RQC22" s="126"/>
      <c r="RQD22" s="126"/>
      <c r="RQE22" s="126"/>
      <c r="RQF22" s="126"/>
      <c r="RQG22" s="126"/>
      <c r="RQH22" s="126"/>
      <c r="RQI22" s="126"/>
      <c r="RQJ22" s="126"/>
      <c r="RQK22" s="126"/>
      <c r="RQL22" s="126"/>
      <c r="RQM22" s="126"/>
      <c r="RQN22" s="126"/>
      <c r="RQO22" s="126"/>
      <c r="RQP22" s="126"/>
      <c r="RQQ22" s="126"/>
      <c r="RQR22" s="126"/>
      <c r="RQS22" s="126"/>
      <c r="RQT22" s="126"/>
      <c r="RQU22" s="126"/>
      <c r="RQV22" s="126"/>
      <c r="RQW22" s="126"/>
      <c r="RQX22" s="126"/>
      <c r="RQY22" s="126"/>
      <c r="RQZ22" s="126"/>
      <c r="RRA22" s="126"/>
      <c r="RRB22" s="126"/>
      <c r="RRC22" s="126"/>
      <c r="RRD22" s="126"/>
      <c r="RRE22" s="126"/>
      <c r="RRF22" s="126"/>
      <c r="RRG22" s="126"/>
      <c r="RRH22" s="126"/>
      <c r="RRI22" s="126"/>
      <c r="RRJ22" s="126"/>
      <c r="RRK22" s="126"/>
      <c r="RRL22" s="126"/>
      <c r="RRM22" s="126"/>
      <c r="RRN22" s="126"/>
      <c r="RRO22" s="126"/>
      <c r="RRP22" s="126"/>
      <c r="RRQ22" s="126"/>
      <c r="RRR22" s="126"/>
      <c r="RRS22" s="126"/>
      <c r="RRT22" s="126"/>
      <c r="RRU22" s="126"/>
      <c r="RRV22" s="126"/>
      <c r="RRW22" s="126"/>
      <c r="RRX22" s="126"/>
      <c r="RRY22" s="126"/>
      <c r="RRZ22" s="126"/>
      <c r="RSA22" s="126"/>
      <c r="RSB22" s="126"/>
      <c r="RSC22" s="126"/>
      <c r="RSD22" s="126"/>
      <c r="RSE22" s="126"/>
      <c r="RSF22" s="126"/>
      <c r="RSG22" s="126"/>
      <c r="RSH22" s="126"/>
      <c r="RSI22" s="126"/>
      <c r="RSJ22" s="126"/>
      <c r="RSK22" s="126"/>
      <c r="RSL22" s="126"/>
      <c r="RSM22" s="126"/>
      <c r="RSN22" s="126"/>
      <c r="RSO22" s="126"/>
      <c r="RSP22" s="126"/>
      <c r="RSQ22" s="126"/>
      <c r="RSR22" s="126"/>
      <c r="RSS22" s="126"/>
      <c r="RST22" s="126"/>
      <c r="RSU22" s="126"/>
      <c r="RSV22" s="126"/>
      <c r="RSW22" s="126"/>
      <c r="RSX22" s="126"/>
      <c r="RSY22" s="126"/>
      <c r="RSZ22" s="126"/>
      <c r="RTA22" s="126"/>
      <c r="RTB22" s="126"/>
      <c r="RTC22" s="126"/>
      <c r="RTD22" s="126"/>
      <c r="RTE22" s="126"/>
      <c r="RTF22" s="126"/>
      <c r="RTG22" s="126"/>
      <c r="RTH22" s="126"/>
      <c r="RTI22" s="126"/>
      <c r="RTJ22" s="126"/>
      <c r="RTK22" s="126"/>
      <c r="RTL22" s="126"/>
      <c r="RTM22" s="126"/>
      <c r="RTN22" s="126"/>
      <c r="RTO22" s="126"/>
      <c r="RTP22" s="126"/>
      <c r="RTQ22" s="126"/>
      <c r="RTR22" s="126"/>
      <c r="RTS22" s="126"/>
      <c r="RTT22" s="126"/>
      <c r="RTU22" s="126"/>
      <c r="RTV22" s="126"/>
      <c r="RTW22" s="126"/>
      <c r="RTX22" s="126"/>
      <c r="RTY22" s="126"/>
      <c r="RTZ22" s="126"/>
      <c r="RUA22" s="126"/>
      <c r="RUB22" s="126"/>
      <c r="RUC22" s="126"/>
      <c r="RUD22" s="126"/>
      <c r="RUE22" s="126"/>
      <c r="RUF22" s="126"/>
      <c r="RUG22" s="126"/>
      <c r="RUH22" s="126"/>
      <c r="RUI22" s="126"/>
      <c r="RUJ22" s="126"/>
      <c r="RUK22" s="126"/>
      <c r="RUL22" s="126"/>
      <c r="RUM22" s="126"/>
      <c r="RUN22" s="126"/>
      <c r="RUO22" s="126"/>
      <c r="RUP22" s="126"/>
      <c r="RUQ22" s="126"/>
      <c r="RUR22" s="126"/>
      <c r="RUS22" s="126"/>
      <c r="RUT22" s="126"/>
      <c r="RUU22" s="126"/>
      <c r="RUV22" s="126"/>
      <c r="RUW22" s="126"/>
      <c r="RUX22" s="126"/>
      <c r="RUY22" s="126"/>
      <c r="RUZ22" s="126"/>
      <c r="RVA22" s="126"/>
      <c r="RVB22" s="126"/>
      <c r="RVC22" s="126"/>
      <c r="RVD22" s="126"/>
      <c r="RVE22" s="126"/>
      <c r="RVF22" s="126"/>
      <c r="RVG22" s="126"/>
      <c r="RVH22" s="126"/>
      <c r="RVI22" s="126"/>
      <c r="RVJ22" s="126"/>
      <c r="RVK22" s="126"/>
      <c r="RVL22" s="126"/>
      <c r="RVM22" s="126"/>
      <c r="RVN22" s="126"/>
      <c r="RVO22" s="126"/>
      <c r="RVP22" s="126"/>
      <c r="RVQ22" s="126"/>
      <c r="RVR22" s="126"/>
      <c r="RVS22" s="126"/>
      <c r="RVT22" s="126"/>
      <c r="RVU22" s="126"/>
      <c r="RVV22" s="126"/>
      <c r="RVW22" s="126"/>
      <c r="RVX22" s="126"/>
      <c r="RVY22" s="126"/>
      <c r="RVZ22" s="126"/>
      <c r="RWA22" s="126"/>
      <c r="RWB22" s="126"/>
      <c r="RWC22" s="126"/>
      <c r="RWD22" s="126"/>
      <c r="RWE22" s="126"/>
      <c r="RWF22" s="126"/>
      <c r="RWG22" s="126"/>
      <c r="RWH22" s="126"/>
      <c r="RWI22" s="126"/>
      <c r="RWJ22" s="126"/>
      <c r="RWK22" s="126"/>
      <c r="RWL22" s="126"/>
      <c r="RWM22" s="126"/>
      <c r="RWN22" s="126"/>
      <c r="RWO22" s="126"/>
      <c r="RWP22" s="126"/>
      <c r="RWQ22" s="126"/>
      <c r="RWR22" s="126"/>
      <c r="RWS22" s="126"/>
      <c r="RWT22" s="126"/>
      <c r="RWU22" s="126"/>
      <c r="RWV22" s="126"/>
      <c r="RWW22" s="126"/>
      <c r="RWX22" s="126"/>
      <c r="RWY22" s="126"/>
      <c r="RWZ22" s="126"/>
      <c r="RXA22" s="126"/>
      <c r="RXB22" s="126"/>
      <c r="RXC22" s="126"/>
      <c r="RXD22" s="126"/>
      <c r="RXE22" s="126"/>
      <c r="RXF22" s="126"/>
      <c r="RXG22" s="126"/>
      <c r="RXH22" s="126"/>
      <c r="RXI22" s="126"/>
      <c r="RXJ22" s="126"/>
      <c r="RXK22" s="126"/>
      <c r="RXL22" s="126"/>
      <c r="RXM22" s="126"/>
      <c r="RXN22" s="126"/>
      <c r="RXO22" s="126"/>
      <c r="RXP22" s="126"/>
      <c r="RXQ22" s="126"/>
      <c r="RXR22" s="126"/>
      <c r="RXS22" s="126"/>
      <c r="RXT22" s="126"/>
      <c r="RXU22" s="126"/>
      <c r="RXV22" s="126"/>
      <c r="RXW22" s="126"/>
      <c r="RXX22" s="126"/>
      <c r="RXY22" s="126"/>
      <c r="RXZ22" s="126"/>
      <c r="RYA22" s="126"/>
      <c r="RYB22" s="126"/>
      <c r="RYC22" s="126"/>
      <c r="RYD22" s="126"/>
      <c r="RYE22" s="126"/>
      <c r="RYF22" s="126"/>
      <c r="RYG22" s="126"/>
      <c r="RYH22" s="126"/>
      <c r="RYI22" s="126"/>
      <c r="RYJ22" s="126"/>
      <c r="RYK22" s="126"/>
      <c r="RYL22" s="126"/>
      <c r="RYM22" s="126"/>
      <c r="RYN22" s="126"/>
      <c r="RYO22" s="126"/>
      <c r="RYP22" s="126"/>
      <c r="RYQ22" s="126"/>
      <c r="RYR22" s="126"/>
      <c r="RYS22" s="126"/>
      <c r="RYT22" s="126"/>
      <c r="RYU22" s="126"/>
      <c r="RYV22" s="126"/>
      <c r="RYW22" s="126"/>
      <c r="RYX22" s="126"/>
      <c r="RYY22" s="126"/>
      <c r="RYZ22" s="126"/>
      <c r="RZA22" s="126"/>
      <c r="RZB22" s="126"/>
      <c r="RZC22" s="126"/>
      <c r="RZD22" s="126"/>
      <c r="RZE22" s="126"/>
      <c r="RZF22" s="126"/>
      <c r="RZG22" s="126"/>
      <c r="RZH22" s="126"/>
      <c r="RZI22" s="126"/>
      <c r="RZJ22" s="126"/>
      <c r="RZK22" s="126"/>
      <c r="RZL22" s="126"/>
      <c r="RZM22" s="126"/>
      <c r="RZN22" s="126"/>
      <c r="RZO22" s="126"/>
      <c r="RZP22" s="126"/>
      <c r="RZQ22" s="126"/>
      <c r="RZR22" s="126"/>
      <c r="RZS22" s="126"/>
      <c r="RZT22" s="126"/>
      <c r="RZU22" s="126"/>
      <c r="RZV22" s="126"/>
      <c r="RZW22" s="126"/>
      <c r="RZX22" s="126"/>
      <c r="RZY22" s="126"/>
      <c r="RZZ22" s="126"/>
      <c r="SAA22" s="126"/>
      <c r="SAB22" s="126"/>
      <c r="SAC22" s="126"/>
      <c r="SAD22" s="126"/>
      <c r="SAE22" s="126"/>
      <c r="SAF22" s="126"/>
      <c r="SAG22" s="126"/>
      <c r="SAH22" s="126"/>
      <c r="SAI22" s="126"/>
      <c r="SAJ22" s="126"/>
      <c r="SAK22" s="126"/>
      <c r="SAL22" s="126"/>
      <c r="SAM22" s="126"/>
      <c r="SAN22" s="126"/>
      <c r="SAO22" s="126"/>
      <c r="SAP22" s="126"/>
      <c r="SAQ22" s="126"/>
      <c r="SAR22" s="126"/>
      <c r="SAS22" s="126"/>
      <c r="SAT22" s="126"/>
      <c r="SAU22" s="126"/>
      <c r="SAV22" s="126"/>
      <c r="SAW22" s="126"/>
      <c r="SAX22" s="126"/>
      <c r="SAY22" s="126"/>
      <c r="SAZ22" s="126"/>
      <c r="SBA22" s="126"/>
      <c r="SBB22" s="126"/>
      <c r="SBC22" s="126"/>
      <c r="SBD22" s="126"/>
      <c r="SBE22" s="126"/>
      <c r="SBF22" s="126"/>
      <c r="SBG22" s="126"/>
      <c r="SBH22" s="126"/>
      <c r="SBI22" s="126"/>
      <c r="SBJ22" s="126"/>
      <c r="SBK22" s="126"/>
      <c r="SBL22" s="126"/>
      <c r="SBM22" s="126"/>
      <c r="SBN22" s="126"/>
      <c r="SBO22" s="126"/>
      <c r="SBP22" s="126"/>
      <c r="SBQ22" s="126"/>
      <c r="SBR22" s="126"/>
      <c r="SBS22" s="126"/>
      <c r="SBT22" s="126"/>
      <c r="SBU22" s="126"/>
      <c r="SBV22" s="126"/>
      <c r="SBW22" s="126"/>
      <c r="SBX22" s="126"/>
      <c r="SBY22" s="126"/>
      <c r="SBZ22" s="126"/>
      <c r="SCA22" s="126"/>
      <c r="SCB22" s="126"/>
      <c r="SCC22" s="126"/>
      <c r="SCD22" s="126"/>
      <c r="SCE22" s="126"/>
      <c r="SCF22" s="126"/>
      <c r="SCG22" s="126"/>
      <c r="SCH22" s="126"/>
      <c r="SCI22" s="126"/>
      <c r="SCJ22" s="126"/>
      <c r="SCK22" s="126"/>
      <c r="SCL22" s="126"/>
      <c r="SCM22" s="126"/>
      <c r="SCN22" s="126"/>
      <c r="SCO22" s="126"/>
      <c r="SCP22" s="126"/>
      <c r="SCQ22" s="126"/>
      <c r="SCR22" s="126"/>
      <c r="SCS22" s="126"/>
      <c r="SCT22" s="126"/>
      <c r="SCU22" s="126"/>
      <c r="SCV22" s="126"/>
      <c r="SCW22" s="126"/>
      <c r="SCX22" s="126"/>
      <c r="SCY22" s="126"/>
      <c r="SCZ22" s="126"/>
      <c r="SDA22" s="126"/>
      <c r="SDB22" s="126"/>
      <c r="SDC22" s="126"/>
      <c r="SDD22" s="126"/>
      <c r="SDE22" s="126"/>
      <c r="SDF22" s="126"/>
      <c r="SDG22" s="126"/>
      <c r="SDH22" s="126"/>
      <c r="SDI22" s="126"/>
      <c r="SDJ22" s="126"/>
      <c r="SDK22" s="126"/>
      <c r="SDL22" s="126"/>
      <c r="SDM22" s="126"/>
      <c r="SDN22" s="126"/>
      <c r="SDO22" s="126"/>
      <c r="SDP22" s="126"/>
      <c r="SDQ22" s="126"/>
      <c r="SDR22" s="126"/>
      <c r="SDS22" s="126"/>
      <c r="SDT22" s="126"/>
      <c r="SDU22" s="126"/>
      <c r="SDV22" s="126"/>
      <c r="SDW22" s="126"/>
      <c r="SDX22" s="126"/>
      <c r="SDY22" s="126"/>
      <c r="SDZ22" s="126"/>
      <c r="SEA22" s="126"/>
      <c r="SEB22" s="126"/>
      <c r="SEC22" s="126"/>
      <c r="SED22" s="126"/>
      <c r="SEE22" s="126"/>
      <c r="SEF22" s="126"/>
      <c r="SEG22" s="126"/>
      <c r="SEH22" s="126"/>
      <c r="SEI22" s="126"/>
      <c r="SEJ22" s="126"/>
      <c r="SEK22" s="126"/>
      <c r="SEL22" s="126"/>
      <c r="SEM22" s="126"/>
      <c r="SEN22" s="126"/>
      <c r="SEO22" s="126"/>
      <c r="SEP22" s="126"/>
      <c r="SEQ22" s="126"/>
      <c r="SER22" s="126"/>
      <c r="SES22" s="126"/>
      <c r="SET22" s="126"/>
      <c r="SEU22" s="126"/>
      <c r="SEV22" s="126"/>
      <c r="SEW22" s="126"/>
      <c r="SEX22" s="126"/>
      <c r="SEY22" s="126"/>
      <c r="SEZ22" s="126"/>
      <c r="SFA22" s="126"/>
      <c r="SFB22" s="126"/>
      <c r="SFC22" s="126"/>
      <c r="SFD22" s="126"/>
      <c r="SFE22" s="126"/>
      <c r="SFF22" s="126"/>
      <c r="SFG22" s="126"/>
      <c r="SFH22" s="126"/>
      <c r="SFI22" s="126"/>
      <c r="SFJ22" s="126"/>
      <c r="SFK22" s="126"/>
      <c r="SFL22" s="126"/>
      <c r="SFM22" s="126"/>
      <c r="SFN22" s="126"/>
      <c r="SFO22" s="126"/>
      <c r="SFP22" s="126"/>
      <c r="SFQ22" s="126"/>
      <c r="SFR22" s="126"/>
      <c r="SFS22" s="126"/>
      <c r="SFT22" s="126"/>
      <c r="SFU22" s="126"/>
      <c r="SFV22" s="126"/>
      <c r="SFW22" s="126"/>
      <c r="SFX22" s="126"/>
      <c r="SFY22" s="126"/>
      <c r="SFZ22" s="126"/>
      <c r="SGA22" s="126"/>
      <c r="SGB22" s="126"/>
      <c r="SGC22" s="126"/>
      <c r="SGD22" s="126"/>
      <c r="SGE22" s="126"/>
      <c r="SGF22" s="126"/>
      <c r="SGG22" s="126"/>
      <c r="SGH22" s="126"/>
      <c r="SGI22" s="126"/>
      <c r="SGJ22" s="126"/>
      <c r="SGK22" s="126"/>
      <c r="SGL22" s="126"/>
      <c r="SGM22" s="126"/>
      <c r="SGN22" s="126"/>
      <c r="SGO22" s="126"/>
      <c r="SGP22" s="126"/>
      <c r="SGQ22" s="126"/>
      <c r="SGR22" s="126"/>
      <c r="SGS22" s="126"/>
      <c r="SGT22" s="126"/>
      <c r="SGU22" s="126"/>
      <c r="SGV22" s="126"/>
      <c r="SGW22" s="126"/>
      <c r="SGX22" s="126"/>
      <c r="SGY22" s="126"/>
      <c r="SGZ22" s="126"/>
      <c r="SHA22" s="126"/>
      <c r="SHB22" s="126"/>
      <c r="SHC22" s="126"/>
      <c r="SHD22" s="126"/>
      <c r="SHE22" s="126"/>
      <c r="SHF22" s="126"/>
      <c r="SHG22" s="126"/>
      <c r="SHH22" s="126"/>
      <c r="SHI22" s="126"/>
      <c r="SHJ22" s="126"/>
      <c r="SHK22" s="126"/>
      <c r="SHL22" s="126"/>
      <c r="SHM22" s="126"/>
      <c r="SHN22" s="126"/>
      <c r="SHO22" s="126"/>
      <c r="SHP22" s="126"/>
      <c r="SHQ22" s="126"/>
      <c r="SHR22" s="126"/>
      <c r="SHS22" s="126"/>
      <c r="SHT22" s="126"/>
      <c r="SHU22" s="126"/>
      <c r="SHV22" s="126"/>
      <c r="SHW22" s="126"/>
      <c r="SHX22" s="126"/>
      <c r="SHY22" s="126"/>
      <c r="SHZ22" s="126"/>
      <c r="SIA22" s="126"/>
      <c r="SIB22" s="126"/>
      <c r="SIC22" s="126"/>
      <c r="SID22" s="126"/>
      <c r="SIE22" s="126"/>
      <c r="SIF22" s="126"/>
      <c r="SIG22" s="126"/>
      <c r="SIH22" s="126"/>
      <c r="SII22" s="126"/>
      <c r="SIJ22" s="126"/>
      <c r="SIK22" s="126"/>
      <c r="SIL22" s="126"/>
      <c r="SIM22" s="126"/>
      <c r="SIN22" s="126"/>
      <c r="SIO22" s="126"/>
      <c r="SIP22" s="126"/>
      <c r="SIQ22" s="126"/>
      <c r="SIR22" s="126"/>
      <c r="SIS22" s="126"/>
      <c r="SIT22" s="126"/>
      <c r="SIU22" s="126"/>
      <c r="SIV22" s="126"/>
      <c r="SIW22" s="126"/>
      <c r="SIX22" s="126"/>
      <c r="SIY22" s="126"/>
      <c r="SIZ22" s="126"/>
      <c r="SJA22" s="126"/>
      <c r="SJB22" s="126"/>
      <c r="SJC22" s="126"/>
      <c r="SJD22" s="126"/>
      <c r="SJE22" s="126"/>
      <c r="SJF22" s="126"/>
      <c r="SJG22" s="126"/>
      <c r="SJH22" s="126"/>
      <c r="SJI22" s="126"/>
      <c r="SJJ22" s="126"/>
      <c r="SJK22" s="126"/>
      <c r="SJL22" s="126"/>
      <c r="SJM22" s="126"/>
      <c r="SJN22" s="126"/>
      <c r="SJO22" s="126"/>
      <c r="SJP22" s="126"/>
      <c r="SJQ22" s="126"/>
      <c r="SJR22" s="126"/>
      <c r="SJS22" s="126"/>
      <c r="SJT22" s="126"/>
      <c r="SJU22" s="126"/>
      <c r="SJV22" s="126"/>
      <c r="SJW22" s="126"/>
      <c r="SJX22" s="126"/>
      <c r="SJY22" s="126"/>
      <c r="SJZ22" s="126"/>
      <c r="SKA22" s="126"/>
      <c r="SKB22" s="126"/>
      <c r="SKC22" s="126"/>
      <c r="SKD22" s="126"/>
      <c r="SKE22" s="126"/>
      <c r="SKF22" s="126"/>
      <c r="SKG22" s="126"/>
      <c r="SKH22" s="126"/>
      <c r="SKI22" s="126"/>
      <c r="SKJ22" s="126"/>
      <c r="SKK22" s="126"/>
      <c r="SKL22" s="126"/>
      <c r="SKM22" s="126"/>
      <c r="SKN22" s="126"/>
      <c r="SKO22" s="126"/>
      <c r="SKP22" s="126"/>
      <c r="SKQ22" s="126"/>
      <c r="SKR22" s="126"/>
      <c r="SKS22" s="126"/>
      <c r="SKT22" s="126"/>
      <c r="SKU22" s="126"/>
      <c r="SKV22" s="126"/>
      <c r="SKW22" s="126"/>
      <c r="SKX22" s="126"/>
      <c r="SKY22" s="126"/>
      <c r="SKZ22" s="126"/>
      <c r="SLA22" s="126"/>
      <c r="SLB22" s="126"/>
      <c r="SLC22" s="126"/>
      <c r="SLD22" s="126"/>
      <c r="SLE22" s="126"/>
      <c r="SLF22" s="126"/>
      <c r="SLG22" s="126"/>
      <c r="SLH22" s="126"/>
      <c r="SLI22" s="126"/>
      <c r="SLJ22" s="126"/>
      <c r="SLK22" s="126"/>
      <c r="SLL22" s="126"/>
      <c r="SLM22" s="126"/>
      <c r="SLN22" s="126"/>
      <c r="SLO22" s="126"/>
      <c r="SLP22" s="126"/>
      <c r="SLQ22" s="126"/>
      <c r="SLR22" s="126"/>
      <c r="SLS22" s="126"/>
      <c r="SLT22" s="126"/>
      <c r="SLU22" s="126"/>
      <c r="SLV22" s="126"/>
      <c r="SLW22" s="126"/>
      <c r="SLX22" s="126"/>
      <c r="SLY22" s="126"/>
      <c r="SLZ22" s="126"/>
      <c r="SMA22" s="126"/>
      <c r="SMB22" s="126"/>
      <c r="SMC22" s="126"/>
      <c r="SMD22" s="126"/>
      <c r="SME22" s="126"/>
      <c r="SMF22" s="126"/>
      <c r="SMG22" s="126"/>
      <c r="SMH22" s="126"/>
      <c r="SMI22" s="126"/>
      <c r="SMJ22" s="126"/>
      <c r="SMK22" s="126"/>
      <c r="SML22" s="126"/>
      <c r="SMM22" s="126"/>
      <c r="SMN22" s="126"/>
      <c r="SMO22" s="126"/>
      <c r="SMP22" s="126"/>
      <c r="SMQ22" s="126"/>
      <c r="SMR22" s="126"/>
      <c r="SMS22" s="126"/>
      <c r="SMT22" s="126"/>
      <c r="SMU22" s="126"/>
      <c r="SMV22" s="126"/>
      <c r="SMW22" s="126"/>
      <c r="SMX22" s="126"/>
      <c r="SMY22" s="126"/>
      <c r="SMZ22" s="126"/>
      <c r="SNA22" s="126"/>
      <c r="SNB22" s="126"/>
      <c r="SNC22" s="126"/>
      <c r="SND22" s="126"/>
      <c r="SNE22" s="126"/>
      <c r="SNF22" s="126"/>
      <c r="SNG22" s="126"/>
      <c r="SNH22" s="126"/>
      <c r="SNI22" s="126"/>
      <c r="SNJ22" s="126"/>
      <c r="SNK22" s="126"/>
      <c r="SNL22" s="126"/>
      <c r="SNM22" s="126"/>
      <c r="SNN22" s="126"/>
      <c r="SNO22" s="126"/>
      <c r="SNP22" s="126"/>
      <c r="SNQ22" s="126"/>
      <c r="SNR22" s="126"/>
      <c r="SNS22" s="126"/>
      <c r="SNT22" s="126"/>
      <c r="SNU22" s="126"/>
      <c r="SNV22" s="126"/>
      <c r="SNW22" s="126"/>
      <c r="SNX22" s="126"/>
      <c r="SNY22" s="126"/>
      <c r="SNZ22" s="126"/>
      <c r="SOA22" s="126"/>
      <c r="SOB22" s="126"/>
      <c r="SOC22" s="126"/>
      <c r="SOD22" s="126"/>
      <c r="SOE22" s="126"/>
      <c r="SOF22" s="126"/>
      <c r="SOG22" s="126"/>
      <c r="SOH22" s="126"/>
      <c r="SOI22" s="126"/>
      <c r="SOJ22" s="126"/>
      <c r="SOK22" s="126"/>
      <c r="SOL22" s="126"/>
      <c r="SOM22" s="126"/>
      <c r="SON22" s="126"/>
      <c r="SOO22" s="126"/>
      <c r="SOP22" s="126"/>
      <c r="SOQ22" s="126"/>
      <c r="SOR22" s="126"/>
      <c r="SOS22" s="126"/>
      <c r="SOT22" s="126"/>
      <c r="SOU22" s="126"/>
      <c r="SOV22" s="126"/>
      <c r="SOW22" s="126"/>
      <c r="SOX22" s="126"/>
      <c r="SOY22" s="126"/>
      <c r="SOZ22" s="126"/>
      <c r="SPA22" s="126"/>
      <c r="SPB22" s="126"/>
      <c r="SPC22" s="126"/>
      <c r="SPD22" s="126"/>
      <c r="SPE22" s="126"/>
      <c r="SPF22" s="126"/>
      <c r="SPG22" s="126"/>
      <c r="SPH22" s="126"/>
      <c r="SPI22" s="126"/>
      <c r="SPJ22" s="126"/>
      <c r="SPK22" s="126"/>
      <c r="SPL22" s="126"/>
      <c r="SPM22" s="126"/>
      <c r="SPN22" s="126"/>
      <c r="SPO22" s="126"/>
      <c r="SPP22" s="126"/>
      <c r="SPQ22" s="126"/>
      <c r="SPR22" s="126"/>
      <c r="SPS22" s="126"/>
      <c r="SPT22" s="126"/>
      <c r="SPU22" s="126"/>
      <c r="SPV22" s="126"/>
      <c r="SPW22" s="126"/>
      <c r="SPX22" s="126"/>
      <c r="SPY22" s="126"/>
      <c r="SPZ22" s="126"/>
      <c r="SQA22" s="126"/>
      <c r="SQB22" s="126"/>
      <c r="SQC22" s="126"/>
      <c r="SQD22" s="126"/>
      <c r="SQE22" s="126"/>
      <c r="SQF22" s="126"/>
      <c r="SQG22" s="126"/>
      <c r="SQH22" s="126"/>
      <c r="SQI22" s="126"/>
      <c r="SQJ22" s="126"/>
      <c r="SQK22" s="126"/>
      <c r="SQL22" s="126"/>
      <c r="SQM22" s="126"/>
      <c r="SQN22" s="126"/>
      <c r="SQO22" s="126"/>
      <c r="SQP22" s="126"/>
      <c r="SQQ22" s="126"/>
      <c r="SQR22" s="126"/>
      <c r="SQS22" s="126"/>
      <c r="SQT22" s="126"/>
      <c r="SQU22" s="126"/>
      <c r="SQV22" s="126"/>
      <c r="SQW22" s="126"/>
      <c r="SQX22" s="126"/>
      <c r="SQY22" s="126"/>
      <c r="SQZ22" s="126"/>
      <c r="SRA22" s="126"/>
      <c r="SRB22" s="126"/>
      <c r="SRC22" s="126"/>
      <c r="SRD22" s="126"/>
      <c r="SRE22" s="126"/>
      <c r="SRF22" s="126"/>
      <c r="SRG22" s="126"/>
      <c r="SRH22" s="126"/>
      <c r="SRI22" s="126"/>
      <c r="SRJ22" s="126"/>
      <c r="SRK22" s="126"/>
      <c r="SRL22" s="126"/>
      <c r="SRM22" s="126"/>
      <c r="SRN22" s="126"/>
      <c r="SRO22" s="126"/>
      <c r="SRP22" s="126"/>
      <c r="SRQ22" s="126"/>
      <c r="SRR22" s="126"/>
      <c r="SRS22" s="126"/>
      <c r="SRT22" s="126"/>
      <c r="SRU22" s="126"/>
      <c r="SRV22" s="126"/>
      <c r="SRW22" s="126"/>
      <c r="SRX22" s="126"/>
      <c r="SRY22" s="126"/>
      <c r="SRZ22" s="126"/>
      <c r="SSA22" s="126"/>
      <c r="SSB22" s="126"/>
      <c r="SSC22" s="126"/>
      <c r="SSD22" s="126"/>
      <c r="SSE22" s="126"/>
      <c r="SSF22" s="126"/>
      <c r="SSG22" s="126"/>
      <c r="SSH22" s="126"/>
      <c r="SSI22" s="126"/>
      <c r="SSJ22" s="126"/>
      <c r="SSK22" s="126"/>
      <c r="SSL22" s="126"/>
      <c r="SSM22" s="126"/>
      <c r="SSN22" s="126"/>
      <c r="SSO22" s="126"/>
      <c r="SSP22" s="126"/>
      <c r="SSQ22" s="126"/>
      <c r="SSR22" s="126"/>
      <c r="SSS22" s="126"/>
      <c r="SST22" s="126"/>
      <c r="SSU22" s="126"/>
      <c r="SSV22" s="126"/>
      <c r="SSW22" s="126"/>
      <c r="SSX22" s="126"/>
      <c r="SSY22" s="126"/>
      <c r="SSZ22" s="126"/>
      <c r="STA22" s="126"/>
      <c r="STB22" s="126"/>
      <c r="STC22" s="126"/>
      <c r="STD22" s="126"/>
      <c r="STE22" s="126"/>
      <c r="STF22" s="126"/>
      <c r="STG22" s="126"/>
      <c r="STH22" s="126"/>
      <c r="STI22" s="126"/>
      <c r="STJ22" s="126"/>
      <c r="STK22" s="126"/>
      <c r="STL22" s="126"/>
      <c r="STM22" s="126"/>
      <c r="STN22" s="126"/>
      <c r="STO22" s="126"/>
      <c r="STP22" s="126"/>
      <c r="STQ22" s="126"/>
      <c r="STR22" s="126"/>
      <c r="STS22" s="126"/>
      <c r="STT22" s="126"/>
      <c r="STU22" s="126"/>
      <c r="STV22" s="126"/>
      <c r="STW22" s="126"/>
      <c r="STX22" s="126"/>
      <c r="STY22" s="126"/>
      <c r="STZ22" s="126"/>
      <c r="SUA22" s="126"/>
      <c r="SUB22" s="126"/>
      <c r="SUC22" s="126"/>
      <c r="SUD22" s="126"/>
      <c r="SUE22" s="126"/>
      <c r="SUF22" s="126"/>
      <c r="SUG22" s="126"/>
      <c r="SUH22" s="126"/>
      <c r="SUI22" s="126"/>
      <c r="SUJ22" s="126"/>
      <c r="SUK22" s="126"/>
      <c r="SUL22" s="126"/>
      <c r="SUM22" s="126"/>
      <c r="SUN22" s="126"/>
      <c r="SUO22" s="126"/>
      <c r="SUP22" s="126"/>
      <c r="SUQ22" s="126"/>
      <c r="SUR22" s="126"/>
      <c r="SUS22" s="126"/>
      <c r="SUT22" s="126"/>
      <c r="SUU22" s="126"/>
      <c r="SUV22" s="126"/>
      <c r="SUW22" s="126"/>
      <c r="SUX22" s="126"/>
      <c r="SUY22" s="126"/>
      <c r="SUZ22" s="126"/>
      <c r="SVA22" s="126"/>
      <c r="SVB22" s="126"/>
      <c r="SVC22" s="126"/>
      <c r="SVD22" s="126"/>
      <c r="SVE22" s="126"/>
      <c r="SVF22" s="126"/>
      <c r="SVG22" s="126"/>
      <c r="SVH22" s="126"/>
      <c r="SVI22" s="126"/>
      <c r="SVJ22" s="126"/>
      <c r="SVK22" s="126"/>
      <c r="SVL22" s="126"/>
      <c r="SVM22" s="126"/>
      <c r="SVN22" s="126"/>
      <c r="SVO22" s="126"/>
      <c r="SVP22" s="126"/>
      <c r="SVQ22" s="126"/>
      <c r="SVR22" s="126"/>
      <c r="SVS22" s="126"/>
      <c r="SVT22" s="126"/>
      <c r="SVU22" s="126"/>
      <c r="SVV22" s="126"/>
      <c r="SVW22" s="126"/>
      <c r="SVX22" s="126"/>
      <c r="SVY22" s="126"/>
      <c r="SVZ22" s="126"/>
      <c r="SWA22" s="126"/>
      <c r="SWB22" s="126"/>
      <c r="SWC22" s="126"/>
      <c r="SWD22" s="126"/>
      <c r="SWE22" s="126"/>
      <c r="SWF22" s="126"/>
      <c r="SWG22" s="126"/>
      <c r="SWH22" s="126"/>
      <c r="SWI22" s="126"/>
      <c r="SWJ22" s="126"/>
      <c r="SWK22" s="126"/>
      <c r="SWL22" s="126"/>
      <c r="SWM22" s="126"/>
      <c r="SWN22" s="126"/>
      <c r="SWO22" s="126"/>
      <c r="SWP22" s="126"/>
      <c r="SWQ22" s="126"/>
      <c r="SWR22" s="126"/>
      <c r="SWS22" s="126"/>
      <c r="SWT22" s="126"/>
      <c r="SWU22" s="126"/>
      <c r="SWV22" s="126"/>
      <c r="SWW22" s="126"/>
      <c r="SWX22" s="126"/>
      <c r="SWY22" s="126"/>
      <c r="SWZ22" s="126"/>
      <c r="SXA22" s="126"/>
      <c r="SXB22" s="126"/>
      <c r="SXC22" s="126"/>
      <c r="SXD22" s="126"/>
      <c r="SXE22" s="126"/>
      <c r="SXF22" s="126"/>
      <c r="SXG22" s="126"/>
      <c r="SXH22" s="126"/>
      <c r="SXI22" s="126"/>
      <c r="SXJ22" s="126"/>
      <c r="SXK22" s="126"/>
      <c r="SXL22" s="126"/>
      <c r="SXM22" s="126"/>
      <c r="SXN22" s="126"/>
      <c r="SXO22" s="126"/>
      <c r="SXP22" s="126"/>
      <c r="SXQ22" s="126"/>
      <c r="SXR22" s="126"/>
      <c r="SXS22" s="126"/>
      <c r="SXT22" s="126"/>
      <c r="SXU22" s="126"/>
      <c r="SXV22" s="126"/>
      <c r="SXW22" s="126"/>
      <c r="SXX22" s="126"/>
      <c r="SXY22" s="126"/>
      <c r="SXZ22" s="126"/>
      <c r="SYA22" s="126"/>
      <c r="SYB22" s="126"/>
      <c r="SYC22" s="126"/>
      <c r="SYD22" s="126"/>
      <c r="SYE22" s="126"/>
      <c r="SYF22" s="126"/>
      <c r="SYG22" s="126"/>
      <c r="SYH22" s="126"/>
      <c r="SYI22" s="126"/>
      <c r="SYJ22" s="126"/>
      <c r="SYK22" s="126"/>
      <c r="SYL22" s="126"/>
      <c r="SYM22" s="126"/>
      <c r="SYN22" s="126"/>
      <c r="SYO22" s="126"/>
      <c r="SYP22" s="126"/>
      <c r="SYQ22" s="126"/>
      <c r="SYR22" s="126"/>
      <c r="SYS22" s="126"/>
      <c r="SYT22" s="126"/>
      <c r="SYU22" s="126"/>
      <c r="SYV22" s="126"/>
      <c r="SYW22" s="126"/>
      <c r="SYX22" s="126"/>
      <c r="SYY22" s="126"/>
      <c r="SYZ22" s="126"/>
      <c r="SZA22" s="126"/>
      <c r="SZB22" s="126"/>
      <c r="SZC22" s="126"/>
      <c r="SZD22" s="126"/>
      <c r="SZE22" s="126"/>
      <c r="SZF22" s="126"/>
      <c r="SZG22" s="126"/>
      <c r="SZH22" s="126"/>
      <c r="SZI22" s="126"/>
      <c r="SZJ22" s="126"/>
      <c r="SZK22" s="126"/>
      <c r="SZL22" s="126"/>
      <c r="SZM22" s="126"/>
      <c r="SZN22" s="126"/>
      <c r="SZO22" s="126"/>
      <c r="SZP22" s="126"/>
      <c r="SZQ22" s="126"/>
      <c r="SZR22" s="126"/>
      <c r="SZS22" s="126"/>
      <c r="SZT22" s="126"/>
      <c r="SZU22" s="126"/>
      <c r="SZV22" s="126"/>
      <c r="SZW22" s="126"/>
      <c r="SZX22" s="126"/>
      <c r="SZY22" s="126"/>
      <c r="SZZ22" s="126"/>
      <c r="TAA22" s="126"/>
      <c r="TAB22" s="126"/>
      <c r="TAC22" s="126"/>
      <c r="TAD22" s="126"/>
      <c r="TAE22" s="126"/>
      <c r="TAF22" s="126"/>
      <c r="TAG22" s="126"/>
      <c r="TAH22" s="126"/>
      <c r="TAI22" s="126"/>
      <c r="TAJ22" s="126"/>
      <c r="TAK22" s="126"/>
      <c r="TAL22" s="126"/>
      <c r="TAM22" s="126"/>
      <c r="TAN22" s="126"/>
      <c r="TAO22" s="126"/>
      <c r="TAP22" s="126"/>
      <c r="TAQ22" s="126"/>
      <c r="TAR22" s="126"/>
      <c r="TAS22" s="126"/>
      <c r="TAT22" s="126"/>
      <c r="TAU22" s="126"/>
      <c r="TAV22" s="126"/>
      <c r="TAW22" s="126"/>
      <c r="TAX22" s="126"/>
      <c r="TAY22" s="126"/>
      <c r="TAZ22" s="126"/>
      <c r="TBA22" s="126"/>
      <c r="TBB22" s="126"/>
      <c r="TBC22" s="126"/>
      <c r="TBD22" s="126"/>
      <c r="TBE22" s="126"/>
      <c r="TBF22" s="126"/>
      <c r="TBG22" s="126"/>
      <c r="TBH22" s="126"/>
      <c r="TBI22" s="126"/>
      <c r="TBJ22" s="126"/>
      <c r="TBK22" s="126"/>
      <c r="TBL22" s="126"/>
      <c r="TBM22" s="126"/>
      <c r="TBN22" s="126"/>
      <c r="TBO22" s="126"/>
      <c r="TBP22" s="126"/>
      <c r="TBQ22" s="126"/>
      <c r="TBR22" s="126"/>
      <c r="TBS22" s="126"/>
      <c r="TBT22" s="126"/>
      <c r="TBU22" s="126"/>
      <c r="TBV22" s="126"/>
      <c r="TBW22" s="126"/>
      <c r="TBX22" s="126"/>
      <c r="TBY22" s="126"/>
      <c r="TBZ22" s="126"/>
      <c r="TCA22" s="126"/>
      <c r="TCB22" s="126"/>
      <c r="TCC22" s="126"/>
      <c r="TCD22" s="126"/>
      <c r="TCE22" s="126"/>
      <c r="TCF22" s="126"/>
      <c r="TCG22" s="126"/>
      <c r="TCH22" s="126"/>
      <c r="TCI22" s="126"/>
      <c r="TCJ22" s="126"/>
      <c r="TCK22" s="126"/>
      <c r="TCL22" s="126"/>
      <c r="TCM22" s="126"/>
      <c r="TCN22" s="126"/>
      <c r="TCO22" s="126"/>
      <c r="TCP22" s="126"/>
      <c r="TCQ22" s="126"/>
      <c r="TCR22" s="126"/>
      <c r="TCS22" s="126"/>
      <c r="TCT22" s="126"/>
      <c r="TCU22" s="126"/>
      <c r="TCV22" s="126"/>
      <c r="TCW22" s="126"/>
      <c r="TCX22" s="126"/>
      <c r="TCY22" s="126"/>
      <c r="TCZ22" s="126"/>
      <c r="TDA22" s="126"/>
      <c r="TDB22" s="126"/>
      <c r="TDC22" s="126"/>
      <c r="TDD22" s="126"/>
      <c r="TDE22" s="126"/>
      <c r="TDF22" s="126"/>
      <c r="TDG22" s="126"/>
      <c r="TDH22" s="126"/>
      <c r="TDI22" s="126"/>
      <c r="TDJ22" s="126"/>
      <c r="TDK22" s="126"/>
      <c r="TDL22" s="126"/>
      <c r="TDM22" s="126"/>
      <c r="TDN22" s="126"/>
      <c r="TDO22" s="126"/>
      <c r="TDP22" s="126"/>
      <c r="TDQ22" s="126"/>
      <c r="TDR22" s="126"/>
      <c r="TDS22" s="126"/>
      <c r="TDT22" s="126"/>
      <c r="TDU22" s="126"/>
      <c r="TDV22" s="126"/>
      <c r="TDW22" s="126"/>
      <c r="TDX22" s="126"/>
      <c r="TDY22" s="126"/>
      <c r="TDZ22" s="126"/>
      <c r="TEA22" s="126"/>
      <c r="TEB22" s="126"/>
      <c r="TEC22" s="126"/>
      <c r="TED22" s="126"/>
      <c r="TEE22" s="126"/>
      <c r="TEF22" s="126"/>
      <c r="TEG22" s="126"/>
      <c r="TEH22" s="126"/>
      <c r="TEI22" s="126"/>
      <c r="TEJ22" s="126"/>
      <c r="TEK22" s="126"/>
      <c r="TEL22" s="126"/>
      <c r="TEM22" s="126"/>
      <c r="TEN22" s="126"/>
      <c r="TEO22" s="126"/>
      <c r="TEP22" s="126"/>
      <c r="TEQ22" s="126"/>
      <c r="TER22" s="126"/>
      <c r="TES22" s="126"/>
      <c r="TET22" s="126"/>
      <c r="TEU22" s="126"/>
      <c r="TEV22" s="126"/>
      <c r="TEW22" s="126"/>
      <c r="TEX22" s="126"/>
      <c r="TEY22" s="126"/>
      <c r="TEZ22" s="126"/>
      <c r="TFA22" s="126"/>
      <c r="TFB22" s="126"/>
      <c r="TFC22" s="126"/>
      <c r="TFD22" s="126"/>
      <c r="TFE22" s="126"/>
      <c r="TFF22" s="126"/>
      <c r="TFG22" s="126"/>
      <c r="TFH22" s="126"/>
      <c r="TFI22" s="126"/>
      <c r="TFJ22" s="126"/>
      <c r="TFK22" s="126"/>
      <c r="TFL22" s="126"/>
      <c r="TFM22" s="126"/>
      <c r="TFN22" s="126"/>
      <c r="TFO22" s="126"/>
      <c r="TFP22" s="126"/>
      <c r="TFQ22" s="126"/>
      <c r="TFR22" s="126"/>
      <c r="TFS22" s="126"/>
      <c r="TFT22" s="126"/>
      <c r="TFU22" s="126"/>
      <c r="TFV22" s="126"/>
      <c r="TFW22" s="126"/>
      <c r="TFX22" s="126"/>
      <c r="TFY22" s="126"/>
      <c r="TFZ22" s="126"/>
      <c r="TGA22" s="126"/>
      <c r="TGB22" s="126"/>
      <c r="TGC22" s="126"/>
      <c r="TGD22" s="126"/>
      <c r="TGE22" s="126"/>
      <c r="TGF22" s="126"/>
      <c r="TGG22" s="126"/>
      <c r="TGH22" s="126"/>
      <c r="TGI22" s="126"/>
      <c r="TGJ22" s="126"/>
      <c r="TGK22" s="126"/>
      <c r="TGL22" s="126"/>
      <c r="TGM22" s="126"/>
      <c r="TGN22" s="126"/>
      <c r="TGO22" s="126"/>
      <c r="TGP22" s="126"/>
      <c r="TGQ22" s="126"/>
      <c r="TGR22" s="126"/>
      <c r="TGS22" s="126"/>
      <c r="TGT22" s="126"/>
      <c r="TGU22" s="126"/>
      <c r="TGV22" s="126"/>
      <c r="TGW22" s="126"/>
      <c r="TGX22" s="126"/>
      <c r="TGY22" s="126"/>
      <c r="TGZ22" s="126"/>
      <c r="THA22" s="126"/>
      <c r="THB22" s="126"/>
      <c r="THC22" s="126"/>
      <c r="THD22" s="126"/>
      <c r="THE22" s="126"/>
      <c r="THF22" s="126"/>
      <c r="THG22" s="126"/>
      <c r="THH22" s="126"/>
      <c r="THI22" s="126"/>
      <c r="THJ22" s="126"/>
      <c r="THK22" s="126"/>
      <c r="THL22" s="126"/>
      <c r="THM22" s="126"/>
      <c r="THN22" s="126"/>
      <c r="THO22" s="126"/>
      <c r="THP22" s="126"/>
      <c r="THQ22" s="126"/>
      <c r="THR22" s="126"/>
      <c r="THS22" s="126"/>
      <c r="THT22" s="126"/>
      <c r="THU22" s="126"/>
      <c r="THV22" s="126"/>
      <c r="THW22" s="126"/>
      <c r="THX22" s="126"/>
      <c r="THY22" s="126"/>
      <c r="THZ22" s="126"/>
      <c r="TIA22" s="126"/>
      <c r="TIB22" s="126"/>
      <c r="TIC22" s="126"/>
      <c r="TID22" s="126"/>
      <c r="TIE22" s="126"/>
      <c r="TIF22" s="126"/>
      <c r="TIG22" s="126"/>
      <c r="TIH22" s="126"/>
      <c r="TII22" s="126"/>
      <c r="TIJ22" s="126"/>
      <c r="TIK22" s="126"/>
      <c r="TIL22" s="126"/>
      <c r="TIM22" s="126"/>
      <c r="TIN22" s="126"/>
      <c r="TIO22" s="126"/>
      <c r="TIP22" s="126"/>
      <c r="TIQ22" s="126"/>
      <c r="TIR22" s="126"/>
      <c r="TIS22" s="126"/>
      <c r="TIT22" s="126"/>
      <c r="TIU22" s="126"/>
      <c r="TIV22" s="126"/>
      <c r="TIW22" s="126"/>
      <c r="TIX22" s="126"/>
      <c r="TIY22" s="126"/>
      <c r="TIZ22" s="126"/>
      <c r="TJA22" s="126"/>
      <c r="TJB22" s="126"/>
      <c r="TJC22" s="126"/>
      <c r="TJD22" s="126"/>
      <c r="TJE22" s="126"/>
      <c r="TJF22" s="126"/>
      <c r="TJG22" s="126"/>
      <c r="TJH22" s="126"/>
      <c r="TJI22" s="126"/>
      <c r="TJJ22" s="126"/>
      <c r="TJK22" s="126"/>
      <c r="TJL22" s="126"/>
      <c r="TJM22" s="126"/>
      <c r="TJN22" s="126"/>
      <c r="TJO22" s="126"/>
      <c r="TJP22" s="126"/>
      <c r="TJQ22" s="126"/>
      <c r="TJR22" s="126"/>
      <c r="TJS22" s="126"/>
      <c r="TJT22" s="126"/>
      <c r="TJU22" s="126"/>
      <c r="TJV22" s="126"/>
      <c r="TJW22" s="126"/>
      <c r="TJX22" s="126"/>
      <c r="TJY22" s="126"/>
      <c r="TJZ22" s="126"/>
      <c r="TKA22" s="126"/>
      <c r="TKB22" s="126"/>
      <c r="TKC22" s="126"/>
      <c r="TKD22" s="126"/>
      <c r="TKE22" s="126"/>
      <c r="TKF22" s="126"/>
      <c r="TKG22" s="126"/>
      <c r="TKH22" s="126"/>
      <c r="TKI22" s="126"/>
      <c r="TKJ22" s="126"/>
      <c r="TKK22" s="126"/>
      <c r="TKL22" s="126"/>
      <c r="TKM22" s="126"/>
      <c r="TKN22" s="126"/>
      <c r="TKO22" s="126"/>
      <c r="TKP22" s="126"/>
      <c r="TKQ22" s="126"/>
      <c r="TKR22" s="126"/>
      <c r="TKS22" s="126"/>
      <c r="TKT22" s="126"/>
      <c r="TKU22" s="126"/>
      <c r="TKV22" s="126"/>
      <c r="TKW22" s="126"/>
      <c r="TKX22" s="126"/>
      <c r="TKY22" s="126"/>
      <c r="TKZ22" s="126"/>
      <c r="TLA22" s="126"/>
      <c r="TLB22" s="126"/>
      <c r="TLC22" s="126"/>
      <c r="TLD22" s="126"/>
      <c r="TLE22" s="126"/>
      <c r="TLF22" s="126"/>
      <c r="TLG22" s="126"/>
      <c r="TLH22" s="126"/>
      <c r="TLI22" s="126"/>
      <c r="TLJ22" s="126"/>
      <c r="TLK22" s="126"/>
      <c r="TLL22" s="126"/>
      <c r="TLM22" s="126"/>
      <c r="TLN22" s="126"/>
      <c r="TLO22" s="126"/>
      <c r="TLP22" s="126"/>
      <c r="TLQ22" s="126"/>
      <c r="TLR22" s="126"/>
      <c r="TLS22" s="126"/>
      <c r="TLT22" s="126"/>
      <c r="TLU22" s="126"/>
      <c r="TLV22" s="126"/>
      <c r="TLW22" s="126"/>
      <c r="TLX22" s="126"/>
      <c r="TLY22" s="126"/>
      <c r="TLZ22" s="126"/>
      <c r="TMA22" s="126"/>
      <c r="TMB22" s="126"/>
      <c r="TMC22" s="126"/>
      <c r="TMD22" s="126"/>
      <c r="TME22" s="126"/>
      <c r="TMF22" s="126"/>
      <c r="TMG22" s="126"/>
      <c r="TMH22" s="126"/>
      <c r="TMI22" s="126"/>
      <c r="TMJ22" s="126"/>
      <c r="TMK22" s="126"/>
      <c r="TML22" s="126"/>
      <c r="TMM22" s="126"/>
      <c r="TMN22" s="126"/>
      <c r="TMO22" s="126"/>
      <c r="TMP22" s="126"/>
      <c r="TMQ22" s="126"/>
      <c r="TMR22" s="126"/>
      <c r="TMS22" s="126"/>
      <c r="TMT22" s="126"/>
      <c r="TMU22" s="126"/>
      <c r="TMV22" s="126"/>
      <c r="TMW22" s="126"/>
      <c r="TMX22" s="126"/>
      <c r="TMY22" s="126"/>
      <c r="TMZ22" s="126"/>
      <c r="TNA22" s="126"/>
      <c r="TNB22" s="126"/>
      <c r="TNC22" s="126"/>
      <c r="TND22" s="126"/>
      <c r="TNE22" s="126"/>
      <c r="TNF22" s="126"/>
      <c r="TNG22" s="126"/>
      <c r="TNH22" s="126"/>
      <c r="TNI22" s="126"/>
      <c r="TNJ22" s="126"/>
      <c r="TNK22" s="126"/>
      <c r="TNL22" s="126"/>
      <c r="TNM22" s="126"/>
      <c r="TNN22" s="126"/>
      <c r="TNO22" s="126"/>
      <c r="TNP22" s="126"/>
      <c r="TNQ22" s="126"/>
      <c r="TNR22" s="126"/>
      <c r="TNS22" s="126"/>
      <c r="TNT22" s="126"/>
      <c r="TNU22" s="126"/>
      <c r="TNV22" s="126"/>
      <c r="TNW22" s="126"/>
      <c r="TNX22" s="126"/>
      <c r="TNY22" s="126"/>
      <c r="TNZ22" s="126"/>
      <c r="TOA22" s="126"/>
      <c r="TOB22" s="126"/>
      <c r="TOC22" s="126"/>
      <c r="TOD22" s="126"/>
      <c r="TOE22" s="126"/>
      <c r="TOF22" s="126"/>
      <c r="TOG22" s="126"/>
      <c r="TOH22" s="126"/>
      <c r="TOI22" s="126"/>
      <c r="TOJ22" s="126"/>
      <c r="TOK22" s="126"/>
      <c r="TOL22" s="126"/>
      <c r="TOM22" s="126"/>
      <c r="TON22" s="126"/>
      <c r="TOO22" s="126"/>
      <c r="TOP22" s="126"/>
      <c r="TOQ22" s="126"/>
      <c r="TOR22" s="126"/>
      <c r="TOS22" s="126"/>
      <c r="TOT22" s="126"/>
      <c r="TOU22" s="126"/>
      <c r="TOV22" s="126"/>
      <c r="TOW22" s="126"/>
      <c r="TOX22" s="126"/>
      <c r="TOY22" s="126"/>
      <c r="TOZ22" s="126"/>
      <c r="TPA22" s="126"/>
      <c r="TPB22" s="126"/>
      <c r="TPC22" s="126"/>
      <c r="TPD22" s="126"/>
      <c r="TPE22" s="126"/>
      <c r="TPF22" s="126"/>
      <c r="TPG22" s="126"/>
      <c r="TPH22" s="126"/>
      <c r="TPI22" s="126"/>
      <c r="TPJ22" s="126"/>
      <c r="TPK22" s="126"/>
      <c r="TPL22" s="126"/>
      <c r="TPM22" s="126"/>
      <c r="TPN22" s="126"/>
      <c r="TPO22" s="126"/>
      <c r="TPP22" s="126"/>
      <c r="TPQ22" s="126"/>
      <c r="TPR22" s="126"/>
      <c r="TPS22" s="126"/>
      <c r="TPT22" s="126"/>
      <c r="TPU22" s="126"/>
      <c r="TPV22" s="126"/>
      <c r="TPW22" s="126"/>
      <c r="TPX22" s="126"/>
      <c r="TPY22" s="126"/>
      <c r="TPZ22" s="126"/>
      <c r="TQA22" s="126"/>
      <c r="TQB22" s="126"/>
      <c r="TQC22" s="126"/>
      <c r="TQD22" s="126"/>
      <c r="TQE22" s="126"/>
      <c r="TQF22" s="126"/>
      <c r="TQG22" s="126"/>
      <c r="TQH22" s="126"/>
      <c r="TQI22" s="126"/>
      <c r="TQJ22" s="126"/>
      <c r="TQK22" s="126"/>
      <c r="TQL22" s="126"/>
      <c r="TQM22" s="126"/>
      <c r="TQN22" s="126"/>
      <c r="TQO22" s="126"/>
      <c r="TQP22" s="126"/>
      <c r="TQQ22" s="126"/>
      <c r="TQR22" s="126"/>
      <c r="TQS22" s="126"/>
      <c r="TQT22" s="126"/>
      <c r="TQU22" s="126"/>
      <c r="TQV22" s="126"/>
      <c r="TQW22" s="126"/>
      <c r="TQX22" s="126"/>
      <c r="TQY22" s="126"/>
      <c r="TQZ22" s="126"/>
      <c r="TRA22" s="126"/>
      <c r="TRB22" s="126"/>
      <c r="TRC22" s="126"/>
      <c r="TRD22" s="126"/>
      <c r="TRE22" s="126"/>
      <c r="TRF22" s="126"/>
      <c r="TRG22" s="126"/>
      <c r="TRH22" s="126"/>
      <c r="TRI22" s="126"/>
      <c r="TRJ22" s="126"/>
      <c r="TRK22" s="126"/>
      <c r="TRL22" s="126"/>
      <c r="TRM22" s="126"/>
      <c r="TRN22" s="126"/>
      <c r="TRO22" s="126"/>
      <c r="TRP22" s="126"/>
      <c r="TRQ22" s="126"/>
      <c r="TRR22" s="126"/>
      <c r="TRS22" s="126"/>
      <c r="TRT22" s="126"/>
      <c r="TRU22" s="126"/>
      <c r="TRV22" s="126"/>
      <c r="TRW22" s="126"/>
      <c r="TRX22" s="126"/>
      <c r="TRY22" s="126"/>
      <c r="TRZ22" s="126"/>
      <c r="TSA22" s="126"/>
      <c r="TSB22" s="126"/>
      <c r="TSC22" s="126"/>
      <c r="TSD22" s="126"/>
      <c r="TSE22" s="126"/>
      <c r="TSF22" s="126"/>
      <c r="TSG22" s="126"/>
      <c r="TSH22" s="126"/>
      <c r="TSI22" s="126"/>
      <c r="TSJ22" s="126"/>
      <c r="TSK22" s="126"/>
      <c r="TSL22" s="126"/>
      <c r="TSM22" s="126"/>
      <c r="TSN22" s="126"/>
      <c r="TSO22" s="126"/>
      <c r="TSP22" s="126"/>
      <c r="TSQ22" s="126"/>
      <c r="TSR22" s="126"/>
      <c r="TSS22" s="126"/>
      <c r="TST22" s="126"/>
      <c r="TSU22" s="126"/>
      <c r="TSV22" s="126"/>
      <c r="TSW22" s="126"/>
      <c r="TSX22" s="126"/>
      <c r="TSY22" s="126"/>
      <c r="TSZ22" s="126"/>
      <c r="TTA22" s="126"/>
      <c r="TTB22" s="126"/>
      <c r="TTC22" s="126"/>
      <c r="TTD22" s="126"/>
      <c r="TTE22" s="126"/>
      <c r="TTF22" s="126"/>
      <c r="TTG22" s="126"/>
      <c r="TTH22" s="126"/>
      <c r="TTI22" s="126"/>
      <c r="TTJ22" s="126"/>
      <c r="TTK22" s="126"/>
      <c r="TTL22" s="126"/>
      <c r="TTM22" s="126"/>
      <c r="TTN22" s="126"/>
      <c r="TTO22" s="126"/>
      <c r="TTP22" s="126"/>
      <c r="TTQ22" s="126"/>
      <c r="TTR22" s="126"/>
      <c r="TTS22" s="126"/>
      <c r="TTT22" s="126"/>
      <c r="TTU22" s="126"/>
      <c r="TTV22" s="126"/>
      <c r="TTW22" s="126"/>
      <c r="TTX22" s="126"/>
      <c r="TTY22" s="126"/>
      <c r="TTZ22" s="126"/>
      <c r="TUA22" s="126"/>
      <c r="TUB22" s="126"/>
      <c r="TUC22" s="126"/>
      <c r="TUD22" s="126"/>
      <c r="TUE22" s="126"/>
      <c r="TUF22" s="126"/>
      <c r="TUG22" s="126"/>
      <c r="TUH22" s="126"/>
      <c r="TUI22" s="126"/>
      <c r="TUJ22" s="126"/>
      <c r="TUK22" s="126"/>
      <c r="TUL22" s="126"/>
      <c r="TUM22" s="126"/>
      <c r="TUN22" s="126"/>
      <c r="TUO22" s="126"/>
      <c r="TUP22" s="126"/>
      <c r="TUQ22" s="126"/>
      <c r="TUR22" s="126"/>
      <c r="TUS22" s="126"/>
      <c r="TUT22" s="126"/>
      <c r="TUU22" s="126"/>
      <c r="TUV22" s="126"/>
      <c r="TUW22" s="126"/>
      <c r="TUX22" s="126"/>
      <c r="TUY22" s="126"/>
      <c r="TUZ22" s="126"/>
      <c r="TVA22" s="126"/>
      <c r="TVB22" s="126"/>
      <c r="TVC22" s="126"/>
      <c r="TVD22" s="126"/>
      <c r="TVE22" s="126"/>
      <c r="TVF22" s="126"/>
      <c r="TVG22" s="126"/>
      <c r="TVH22" s="126"/>
      <c r="TVI22" s="126"/>
      <c r="TVJ22" s="126"/>
      <c r="TVK22" s="126"/>
      <c r="TVL22" s="126"/>
      <c r="TVM22" s="126"/>
      <c r="TVN22" s="126"/>
      <c r="TVO22" s="126"/>
      <c r="TVP22" s="126"/>
      <c r="TVQ22" s="126"/>
      <c r="TVR22" s="126"/>
      <c r="TVS22" s="126"/>
      <c r="TVT22" s="126"/>
      <c r="TVU22" s="126"/>
      <c r="TVV22" s="126"/>
      <c r="TVW22" s="126"/>
      <c r="TVX22" s="126"/>
      <c r="TVY22" s="126"/>
      <c r="TVZ22" s="126"/>
      <c r="TWA22" s="126"/>
      <c r="TWB22" s="126"/>
      <c r="TWC22" s="126"/>
      <c r="TWD22" s="126"/>
      <c r="TWE22" s="126"/>
      <c r="TWF22" s="126"/>
      <c r="TWG22" s="126"/>
      <c r="TWH22" s="126"/>
      <c r="TWI22" s="126"/>
      <c r="TWJ22" s="126"/>
      <c r="TWK22" s="126"/>
      <c r="TWL22" s="126"/>
      <c r="TWM22" s="126"/>
      <c r="TWN22" s="126"/>
      <c r="TWO22" s="126"/>
      <c r="TWP22" s="126"/>
      <c r="TWQ22" s="126"/>
      <c r="TWR22" s="126"/>
      <c r="TWS22" s="126"/>
      <c r="TWT22" s="126"/>
      <c r="TWU22" s="126"/>
      <c r="TWV22" s="126"/>
      <c r="TWW22" s="126"/>
      <c r="TWX22" s="126"/>
      <c r="TWY22" s="126"/>
      <c r="TWZ22" s="126"/>
      <c r="TXA22" s="126"/>
      <c r="TXB22" s="126"/>
      <c r="TXC22" s="126"/>
      <c r="TXD22" s="126"/>
      <c r="TXE22" s="126"/>
      <c r="TXF22" s="126"/>
      <c r="TXG22" s="126"/>
      <c r="TXH22" s="126"/>
      <c r="TXI22" s="126"/>
      <c r="TXJ22" s="126"/>
      <c r="TXK22" s="126"/>
      <c r="TXL22" s="126"/>
      <c r="TXM22" s="126"/>
      <c r="TXN22" s="126"/>
      <c r="TXO22" s="126"/>
      <c r="TXP22" s="126"/>
      <c r="TXQ22" s="126"/>
      <c r="TXR22" s="126"/>
      <c r="TXS22" s="126"/>
      <c r="TXT22" s="126"/>
      <c r="TXU22" s="126"/>
      <c r="TXV22" s="126"/>
      <c r="TXW22" s="126"/>
      <c r="TXX22" s="126"/>
      <c r="TXY22" s="126"/>
      <c r="TXZ22" s="126"/>
      <c r="TYA22" s="126"/>
      <c r="TYB22" s="126"/>
      <c r="TYC22" s="126"/>
      <c r="TYD22" s="126"/>
      <c r="TYE22" s="126"/>
      <c r="TYF22" s="126"/>
      <c r="TYG22" s="126"/>
      <c r="TYH22" s="126"/>
      <c r="TYI22" s="126"/>
      <c r="TYJ22" s="126"/>
      <c r="TYK22" s="126"/>
      <c r="TYL22" s="126"/>
      <c r="TYM22" s="126"/>
      <c r="TYN22" s="126"/>
      <c r="TYO22" s="126"/>
      <c r="TYP22" s="126"/>
      <c r="TYQ22" s="126"/>
      <c r="TYR22" s="126"/>
      <c r="TYS22" s="126"/>
      <c r="TYT22" s="126"/>
      <c r="TYU22" s="126"/>
      <c r="TYV22" s="126"/>
      <c r="TYW22" s="126"/>
      <c r="TYX22" s="126"/>
      <c r="TYY22" s="126"/>
      <c r="TYZ22" s="126"/>
      <c r="TZA22" s="126"/>
      <c r="TZB22" s="126"/>
      <c r="TZC22" s="126"/>
      <c r="TZD22" s="126"/>
      <c r="TZE22" s="126"/>
      <c r="TZF22" s="126"/>
      <c r="TZG22" s="126"/>
      <c r="TZH22" s="126"/>
      <c r="TZI22" s="126"/>
      <c r="TZJ22" s="126"/>
      <c r="TZK22" s="126"/>
      <c r="TZL22" s="126"/>
      <c r="TZM22" s="126"/>
      <c r="TZN22" s="126"/>
      <c r="TZO22" s="126"/>
      <c r="TZP22" s="126"/>
      <c r="TZQ22" s="126"/>
      <c r="TZR22" s="126"/>
      <c r="TZS22" s="126"/>
      <c r="TZT22" s="126"/>
      <c r="TZU22" s="126"/>
      <c r="TZV22" s="126"/>
      <c r="TZW22" s="126"/>
      <c r="TZX22" s="126"/>
      <c r="TZY22" s="126"/>
      <c r="TZZ22" s="126"/>
      <c r="UAA22" s="126"/>
      <c r="UAB22" s="126"/>
      <c r="UAC22" s="126"/>
      <c r="UAD22" s="126"/>
      <c r="UAE22" s="126"/>
      <c r="UAF22" s="126"/>
      <c r="UAG22" s="126"/>
      <c r="UAH22" s="126"/>
      <c r="UAI22" s="126"/>
      <c r="UAJ22" s="126"/>
      <c r="UAK22" s="126"/>
      <c r="UAL22" s="126"/>
      <c r="UAM22" s="126"/>
      <c r="UAN22" s="126"/>
      <c r="UAO22" s="126"/>
      <c r="UAP22" s="126"/>
      <c r="UAQ22" s="126"/>
      <c r="UAR22" s="126"/>
      <c r="UAS22" s="126"/>
      <c r="UAT22" s="126"/>
      <c r="UAU22" s="126"/>
      <c r="UAV22" s="126"/>
      <c r="UAW22" s="126"/>
      <c r="UAX22" s="126"/>
      <c r="UAY22" s="126"/>
      <c r="UAZ22" s="126"/>
      <c r="UBA22" s="126"/>
      <c r="UBB22" s="126"/>
      <c r="UBC22" s="126"/>
      <c r="UBD22" s="126"/>
      <c r="UBE22" s="126"/>
      <c r="UBF22" s="126"/>
      <c r="UBG22" s="126"/>
      <c r="UBH22" s="126"/>
      <c r="UBI22" s="126"/>
      <c r="UBJ22" s="126"/>
      <c r="UBK22" s="126"/>
      <c r="UBL22" s="126"/>
      <c r="UBM22" s="126"/>
      <c r="UBN22" s="126"/>
      <c r="UBO22" s="126"/>
      <c r="UBP22" s="126"/>
      <c r="UBQ22" s="126"/>
      <c r="UBR22" s="126"/>
      <c r="UBS22" s="126"/>
      <c r="UBT22" s="126"/>
      <c r="UBU22" s="126"/>
      <c r="UBV22" s="126"/>
      <c r="UBW22" s="126"/>
      <c r="UBX22" s="126"/>
      <c r="UBY22" s="126"/>
      <c r="UBZ22" s="126"/>
      <c r="UCA22" s="126"/>
      <c r="UCB22" s="126"/>
      <c r="UCC22" s="126"/>
      <c r="UCD22" s="126"/>
      <c r="UCE22" s="126"/>
      <c r="UCF22" s="126"/>
      <c r="UCG22" s="126"/>
      <c r="UCH22" s="126"/>
      <c r="UCI22" s="126"/>
      <c r="UCJ22" s="126"/>
      <c r="UCK22" s="126"/>
      <c r="UCL22" s="126"/>
      <c r="UCM22" s="126"/>
      <c r="UCN22" s="126"/>
      <c r="UCO22" s="126"/>
      <c r="UCP22" s="126"/>
      <c r="UCQ22" s="126"/>
      <c r="UCR22" s="126"/>
      <c r="UCS22" s="126"/>
      <c r="UCT22" s="126"/>
      <c r="UCU22" s="126"/>
      <c r="UCV22" s="126"/>
      <c r="UCW22" s="126"/>
      <c r="UCX22" s="126"/>
      <c r="UCY22" s="126"/>
      <c r="UCZ22" s="126"/>
      <c r="UDA22" s="126"/>
      <c r="UDB22" s="126"/>
      <c r="UDC22" s="126"/>
      <c r="UDD22" s="126"/>
      <c r="UDE22" s="126"/>
      <c r="UDF22" s="126"/>
      <c r="UDG22" s="126"/>
      <c r="UDH22" s="126"/>
      <c r="UDI22" s="126"/>
      <c r="UDJ22" s="126"/>
      <c r="UDK22" s="126"/>
      <c r="UDL22" s="126"/>
      <c r="UDM22" s="126"/>
      <c r="UDN22" s="126"/>
      <c r="UDO22" s="126"/>
      <c r="UDP22" s="126"/>
      <c r="UDQ22" s="126"/>
      <c r="UDR22" s="126"/>
      <c r="UDS22" s="126"/>
      <c r="UDT22" s="126"/>
      <c r="UDU22" s="126"/>
      <c r="UDV22" s="126"/>
      <c r="UDW22" s="126"/>
      <c r="UDX22" s="126"/>
      <c r="UDY22" s="126"/>
      <c r="UDZ22" s="126"/>
      <c r="UEA22" s="126"/>
      <c r="UEB22" s="126"/>
      <c r="UEC22" s="126"/>
      <c r="UED22" s="126"/>
      <c r="UEE22" s="126"/>
      <c r="UEF22" s="126"/>
      <c r="UEG22" s="126"/>
      <c r="UEH22" s="126"/>
      <c r="UEI22" s="126"/>
      <c r="UEJ22" s="126"/>
      <c r="UEK22" s="126"/>
      <c r="UEL22" s="126"/>
      <c r="UEM22" s="126"/>
      <c r="UEN22" s="126"/>
      <c r="UEO22" s="126"/>
      <c r="UEP22" s="126"/>
      <c r="UEQ22" s="126"/>
      <c r="UER22" s="126"/>
      <c r="UES22" s="126"/>
      <c r="UET22" s="126"/>
      <c r="UEU22" s="126"/>
      <c r="UEV22" s="126"/>
      <c r="UEW22" s="126"/>
      <c r="UEX22" s="126"/>
      <c r="UEY22" s="126"/>
      <c r="UEZ22" s="126"/>
      <c r="UFA22" s="126"/>
      <c r="UFB22" s="126"/>
      <c r="UFC22" s="126"/>
      <c r="UFD22" s="126"/>
      <c r="UFE22" s="126"/>
      <c r="UFF22" s="126"/>
      <c r="UFG22" s="126"/>
      <c r="UFH22" s="126"/>
      <c r="UFI22" s="126"/>
      <c r="UFJ22" s="126"/>
      <c r="UFK22" s="126"/>
      <c r="UFL22" s="126"/>
      <c r="UFM22" s="126"/>
      <c r="UFN22" s="126"/>
      <c r="UFO22" s="126"/>
      <c r="UFP22" s="126"/>
      <c r="UFQ22" s="126"/>
      <c r="UFR22" s="126"/>
      <c r="UFS22" s="126"/>
      <c r="UFT22" s="126"/>
      <c r="UFU22" s="126"/>
      <c r="UFV22" s="126"/>
      <c r="UFW22" s="126"/>
      <c r="UFX22" s="126"/>
      <c r="UFY22" s="126"/>
      <c r="UFZ22" s="126"/>
      <c r="UGA22" s="126"/>
      <c r="UGB22" s="126"/>
      <c r="UGC22" s="126"/>
      <c r="UGD22" s="126"/>
      <c r="UGE22" s="126"/>
      <c r="UGF22" s="126"/>
      <c r="UGG22" s="126"/>
      <c r="UGH22" s="126"/>
      <c r="UGI22" s="126"/>
      <c r="UGJ22" s="126"/>
      <c r="UGK22" s="126"/>
      <c r="UGL22" s="126"/>
      <c r="UGM22" s="126"/>
      <c r="UGN22" s="126"/>
      <c r="UGO22" s="126"/>
      <c r="UGP22" s="126"/>
      <c r="UGQ22" s="126"/>
      <c r="UGR22" s="126"/>
      <c r="UGS22" s="126"/>
      <c r="UGT22" s="126"/>
      <c r="UGU22" s="126"/>
      <c r="UGV22" s="126"/>
      <c r="UGW22" s="126"/>
      <c r="UGX22" s="126"/>
      <c r="UGY22" s="126"/>
      <c r="UGZ22" s="126"/>
      <c r="UHA22" s="126"/>
      <c r="UHB22" s="126"/>
      <c r="UHC22" s="126"/>
      <c r="UHD22" s="126"/>
      <c r="UHE22" s="126"/>
      <c r="UHF22" s="126"/>
      <c r="UHG22" s="126"/>
      <c r="UHH22" s="126"/>
      <c r="UHI22" s="126"/>
      <c r="UHJ22" s="126"/>
      <c r="UHK22" s="126"/>
      <c r="UHL22" s="126"/>
      <c r="UHM22" s="126"/>
      <c r="UHN22" s="126"/>
      <c r="UHO22" s="126"/>
      <c r="UHP22" s="126"/>
      <c r="UHQ22" s="126"/>
      <c r="UHR22" s="126"/>
      <c r="UHS22" s="126"/>
      <c r="UHT22" s="126"/>
      <c r="UHU22" s="126"/>
      <c r="UHV22" s="126"/>
      <c r="UHW22" s="126"/>
      <c r="UHX22" s="126"/>
      <c r="UHY22" s="126"/>
      <c r="UHZ22" s="126"/>
      <c r="UIA22" s="126"/>
      <c r="UIB22" s="126"/>
      <c r="UIC22" s="126"/>
      <c r="UID22" s="126"/>
      <c r="UIE22" s="126"/>
      <c r="UIF22" s="126"/>
      <c r="UIG22" s="126"/>
      <c r="UIH22" s="126"/>
      <c r="UII22" s="126"/>
      <c r="UIJ22" s="126"/>
      <c r="UIK22" s="126"/>
      <c r="UIL22" s="126"/>
      <c r="UIM22" s="126"/>
      <c r="UIN22" s="126"/>
      <c r="UIO22" s="126"/>
      <c r="UIP22" s="126"/>
      <c r="UIQ22" s="126"/>
      <c r="UIR22" s="126"/>
      <c r="UIS22" s="126"/>
      <c r="UIT22" s="126"/>
      <c r="UIU22" s="126"/>
      <c r="UIV22" s="126"/>
      <c r="UIW22" s="126"/>
      <c r="UIX22" s="126"/>
      <c r="UIY22" s="126"/>
      <c r="UIZ22" s="126"/>
      <c r="UJA22" s="126"/>
      <c r="UJB22" s="126"/>
      <c r="UJC22" s="126"/>
      <c r="UJD22" s="126"/>
      <c r="UJE22" s="126"/>
      <c r="UJF22" s="126"/>
      <c r="UJG22" s="126"/>
      <c r="UJH22" s="126"/>
      <c r="UJI22" s="126"/>
      <c r="UJJ22" s="126"/>
      <c r="UJK22" s="126"/>
      <c r="UJL22" s="126"/>
      <c r="UJM22" s="126"/>
      <c r="UJN22" s="126"/>
      <c r="UJO22" s="126"/>
      <c r="UJP22" s="126"/>
      <c r="UJQ22" s="126"/>
      <c r="UJR22" s="126"/>
      <c r="UJS22" s="126"/>
      <c r="UJT22" s="126"/>
      <c r="UJU22" s="126"/>
      <c r="UJV22" s="126"/>
      <c r="UJW22" s="126"/>
      <c r="UJX22" s="126"/>
      <c r="UJY22" s="126"/>
      <c r="UJZ22" s="126"/>
      <c r="UKA22" s="126"/>
      <c r="UKB22" s="126"/>
      <c r="UKC22" s="126"/>
      <c r="UKD22" s="126"/>
      <c r="UKE22" s="126"/>
      <c r="UKF22" s="126"/>
      <c r="UKG22" s="126"/>
      <c r="UKH22" s="126"/>
      <c r="UKI22" s="126"/>
      <c r="UKJ22" s="126"/>
      <c r="UKK22" s="126"/>
      <c r="UKL22" s="126"/>
      <c r="UKM22" s="126"/>
      <c r="UKN22" s="126"/>
      <c r="UKO22" s="126"/>
      <c r="UKP22" s="126"/>
      <c r="UKQ22" s="126"/>
      <c r="UKR22" s="126"/>
      <c r="UKS22" s="126"/>
      <c r="UKT22" s="126"/>
      <c r="UKU22" s="126"/>
      <c r="UKV22" s="126"/>
      <c r="UKW22" s="126"/>
      <c r="UKX22" s="126"/>
      <c r="UKY22" s="126"/>
      <c r="UKZ22" s="126"/>
      <c r="ULA22" s="126"/>
      <c r="ULB22" s="126"/>
      <c r="ULC22" s="126"/>
      <c r="ULD22" s="126"/>
      <c r="ULE22" s="126"/>
      <c r="ULF22" s="126"/>
      <c r="ULG22" s="126"/>
      <c r="ULH22" s="126"/>
      <c r="ULI22" s="126"/>
      <c r="ULJ22" s="126"/>
      <c r="ULK22" s="126"/>
      <c r="ULL22" s="126"/>
      <c r="ULM22" s="126"/>
      <c r="ULN22" s="126"/>
      <c r="ULO22" s="126"/>
      <c r="ULP22" s="126"/>
      <c r="ULQ22" s="126"/>
      <c r="ULR22" s="126"/>
      <c r="ULS22" s="126"/>
      <c r="ULT22" s="126"/>
      <c r="ULU22" s="126"/>
      <c r="ULV22" s="126"/>
      <c r="ULW22" s="126"/>
      <c r="ULX22" s="126"/>
      <c r="ULY22" s="126"/>
      <c r="ULZ22" s="126"/>
      <c r="UMA22" s="126"/>
      <c r="UMB22" s="126"/>
      <c r="UMC22" s="126"/>
      <c r="UMD22" s="126"/>
      <c r="UME22" s="126"/>
      <c r="UMF22" s="126"/>
      <c r="UMG22" s="126"/>
      <c r="UMH22" s="126"/>
      <c r="UMI22" s="126"/>
      <c r="UMJ22" s="126"/>
      <c r="UMK22" s="126"/>
      <c r="UML22" s="126"/>
      <c r="UMM22" s="126"/>
      <c r="UMN22" s="126"/>
      <c r="UMO22" s="126"/>
      <c r="UMP22" s="126"/>
      <c r="UMQ22" s="126"/>
      <c r="UMR22" s="126"/>
      <c r="UMS22" s="126"/>
      <c r="UMT22" s="126"/>
      <c r="UMU22" s="126"/>
      <c r="UMV22" s="126"/>
      <c r="UMW22" s="126"/>
      <c r="UMX22" s="126"/>
      <c r="UMY22" s="126"/>
      <c r="UMZ22" s="126"/>
      <c r="UNA22" s="126"/>
      <c r="UNB22" s="126"/>
      <c r="UNC22" s="126"/>
      <c r="UND22" s="126"/>
      <c r="UNE22" s="126"/>
      <c r="UNF22" s="126"/>
      <c r="UNG22" s="126"/>
      <c r="UNH22" s="126"/>
      <c r="UNI22" s="126"/>
      <c r="UNJ22" s="126"/>
      <c r="UNK22" s="126"/>
      <c r="UNL22" s="126"/>
      <c r="UNM22" s="126"/>
      <c r="UNN22" s="126"/>
      <c r="UNO22" s="126"/>
      <c r="UNP22" s="126"/>
      <c r="UNQ22" s="126"/>
      <c r="UNR22" s="126"/>
      <c r="UNS22" s="126"/>
      <c r="UNT22" s="126"/>
      <c r="UNU22" s="126"/>
      <c r="UNV22" s="126"/>
      <c r="UNW22" s="126"/>
      <c r="UNX22" s="126"/>
      <c r="UNY22" s="126"/>
      <c r="UNZ22" s="126"/>
      <c r="UOA22" s="126"/>
      <c r="UOB22" s="126"/>
      <c r="UOC22" s="126"/>
      <c r="UOD22" s="126"/>
      <c r="UOE22" s="126"/>
      <c r="UOF22" s="126"/>
      <c r="UOG22" s="126"/>
      <c r="UOH22" s="126"/>
      <c r="UOI22" s="126"/>
      <c r="UOJ22" s="126"/>
      <c r="UOK22" s="126"/>
      <c r="UOL22" s="126"/>
      <c r="UOM22" s="126"/>
      <c r="UON22" s="126"/>
      <c r="UOO22" s="126"/>
      <c r="UOP22" s="126"/>
      <c r="UOQ22" s="126"/>
      <c r="UOR22" s="126"/>
      <c r="UOS22" s="126"/>
      <c r="UOT22" s="126"/>
      <c r="UOU22" s="126"/>
      <c r="UOV22" s="126"/>
      <c r="UOW22" s="126"/>
      <c r="UOX22" s="126"/>
      <c r="UOY22" s="126"/>
      <c r="UOZ22" s="126"/>
      <c r="UPA22" s="126"/>
      <c r="UPB22" s="126"/>
      <c r="UPC22" s="126"/>
      <c r="UPD22" s="126"/>
      <c r="UPE22" s="126"/>
      <c r="UPF22" s="126"/>
      <c r="UPG22" s="126"/>
      <c r="UPH22" s="126"/>
      <c r="UPI22" s="126"/>
      <c r="UPJ22" s="126"/>
      <c r="UPK22" s="126"/>
      <c r="UPL22" s="126"/>
      <c r="UPM22" s="126"/>
      <c r="UPN22" s="126"/>
      <c r="UPO22" s="126"/>
      <c r="UPP22" s="126"/>
      <c r="UPQ22" s="126"/>
      <c r="UPR22" s="126"/>
      <c r="UPS22" s="126"/>
      <c r="UPT22" s="126"/>
      <c r="UPU22" s="126"/>
      <c r="UPV22" s="126"/>
      <c r="UPW22" s="126"/>
      <c r="UPX22" s="126"/>
      <c r="UPY22" s="126"/>
      <c r="UPZ22" s="126"/>
      <c r="UQA22" s="126"/>
      <c r="UQB22" s="126"/>
      <c r="UQC22" s="126"/>
      <c r="UQD22" s="126"/>
      <c r="UQE22" s="126"/>
      <c r="UQF22" s="126"/>
      <c r="UQG22" s="126"/>
      <c r="UQH22" s="126"/>
      <c r="UQI22" s="126"/>
      <c r="UQJ22" s="126"/>
      <c r="UQK22" s="126"/>
      <c r="UQL22" s="126"/>
      <c r="UQM22" s="126"/>
      <c r="UQN22" s="126"/>
      <c r="UQO22" s="126"/>
      <c r="UQP22" s="126"/>
      <c r="UQQ22" s="126"/>
      <c r="UQR22" s="126"/>
      <c r="UQS22" s="126"/>
      <c r="UQT22" s="126"/>
      <c r="UQU22" s="126"/>
      <c r="UQV22" s="126"/>
      <c r="UQW22" s="126"/>
      <c r="UQX22" s="126"/>
      <c r="UQY22" s="126"/>
      <c r="UQZ22" s="126"/>
      <c r="URA22" s="126"/>
      <c r="URB22" s="126"/>
      <c r="URC22" s="126"/>
      <c r="URD22" s="126"/>
      <c r="URE22" s="126"/>
      <c r="URF22" s="126"/>
      <c r="URG22" s="126"/>
      <c r="URH22" s="126"/>
      <c r="URI22" s="126"/>
      <c r="URJ22" s="126"/>
      <c r="URK22" s="126"/>
      <c r="URL22" s="126"/>
      <c r="URM22" s="126"/>
      <c r="URN22" s="126"/>
      <c r="URO22" s="126"/>
      <c r="URP22" s="126"/>
      <c r="URQ22" s="126"/>
      <c r="URR22" s="126"/>
      <c r="URS22" s="126"/>
      <c r="URT22" s="126"/>
      <c r="URU22" s="126"/>
      <c r="URV22" s="126"/>
      <c r="URW22" s="126"/>
      <c r="URX22" s="126"/>
      <c r="URY22" s="126"/>
      <c r="URZ22" s="126"/>
      <c r="USA22" s="126"/>
      <c r="USB22" s="126"/>
      <c r="USC22" s="126"/>
      <c r="USD22" s="126"/>
      <c r="USE22" s="126"/>
      <c r="USF22" s="126"/>
      <c r="USG22" s="126"/>
      <c r="USH22" s="126"/>
      <c r="USI22" s="126"/>
      <c r="USJ22" s="126"/>
      <c r="USK22" s="126"/>
      <c r="USL22" s="126"/>
      <c r="USM22" s="126"/>
      <c r="USN22" s="126"/>
      <c r="USO22" s="126"/>
      <c r="USP22" s="126"/>
      <c r="USQ22" s="126"/>
      <c r="USR22" s="126"/>
      <c r="USS22" s="126"/>
      <c r="UST22" s="126"/>
      <c r="USU22" s="126"/>
      <c r="USV22" s="126"/>
      <c r="USW22" s="126"/>
      <c r="USX22" s="126"/>
      <c r="USY22" s="126"/>
      <c r="USZ22" s="126"/>
      <c r="UTA22" s="126"/>
      <c r="UTB22" s="126"/>
      <c r="UTC22" s="126"/>
      <c r="UTD22" s="126"/>
      <c r="UTE22" s="126"/>
      <c r="UTF22" s="126"/>
      <c r="UTG22" s="126"/>
      <c r="UTH22" s="126"/>
      <c r="UTI22" s="126"/>
      <c r="UTJ22" s="126"/>
      <c r="UTK22" s="126"/>
      <c r="UTL22" s="126"/>
      <c r="UTM22" s="126"/>
      <c r="UTN22" s="126"/>
      <c r="UTO22" s="126"/>
      <c r="UTP22" s="126"/>
      <c r="UTQ22" s="126"/>
      <c r="UTR22" s="126"/>
      <c r="UTS22" s="126"/>
      <c r="UTT22" s="126"/>
      <c r="UTU22" s="126"/>
      <c r="UTV22" s="126"/>
      <c r="UTW22" s="126"/>
      <c r="UTX22" s="126"/>
      <c r="UTY22" s="126"/>
      <c r="UTZ22" s="126"/>
      <c r="UUA22" s="126"/>
      <c r="UUB22" s="126"/>
      <c r="UUC22" s="126"/>
      <c r="UUD22" s="126"/>
      <c r="UUE22" s="126"/>
      <c r="UUF22" s="126"/>
      <c r="UUG22" s="126"/>
      <c r="UUH22" s="126"/>
      <c r="UUI22" s="126"/>
      <c r="UUJ22" s="126"/>
      <c r="UUK22" s="126"/>
      <c r="UUL22" s="126"/>
      <c r="UUM22" s="126"/>
      <c r="UUN22" s="126"/>
      <c r="UUO22" s="126"/>
      <c r="UUP22" s="126"/>
      <c r="UUQ22" s="126"/>
      <c r="UUR22" s="126"/>
      <c r="UUS22" s="126"/>
      <c r="UUT22" s="126"/>
      <c r="UUU22" s="126"/>
      <c r="UUV22" s="126"/>
      <c r="UUW22" s="126"/>
      <c r="UUX22" s="126"/>
      <c r="UUY22" s="126"/>
      <c r="UUZ22" s="126"/>
      <c r="UVA22" s="126"/>
      <c r="UVB22" s="126"/>
      <c r="UVC22" s="126"/>
      <c r="UVD22" s="126"/>
      <c r="UVE22" s="126"/>
      <c r="UVF22" s="126"/>
      <c r="UVG22" s="126"/>
      <c r="UVH22" s="126"/>
      <c r="UVI22" s="126"/>
      <c r="UVJ22" s="126"/>
      <c r="UVK22" s="126"/>
      <c r="UVL22" s="126"/>
      <c r="UVM22" s="126"/>
      <c r="UVN22" s="126"/>
      <c r="UVO22" s="126"/>
      <c r="UVP22" s="126"/>
      <c r="UVQ22" s="126"/>
      <c r="UVR22" s="126"/>
      <c r="UVS22" s="126"/>
      <c r="UVT22" s="126"/>
      <c r="UVU22" s="126"/>
      <c r="UVV22" s="126"/>
      <c r="UVW22" s="126"/>
      <c r="UVX22" s="126"/>
      <c r="UVY22" s="126"/>
      <c r="UVZ22" s="126"/>
      <c r="UWA22" s="126"/>
      <c r="UWB22" s="126"/>
      <c r="UWC22" s="126"/>
      <c r="UWD22" s="126"/>
      <c r="UWE22" s="126"/>
      <c r="UWF22" s="126"/>
      <c r="UWG22" s="126"/>
      <c r="UWH22" s="126"/>
      <c r="UWI22" s="126"/>
      <c r="UWJ22" s="126"/>
      <c r="UWK22" s="126"/>
      <c r="UWL22" s="126"/>
      <c r="UWM22" s="126"/>
      <c r="UWN22" s="126"/>
      <c r="UWO22" s="126"/>
      <c r="UWP22" s="126"/>
      <c r="UWQ22" s="126"/>
      <c r="UWR22" s="126"/>
      <c r="UWS22" s="126"/>
      <c r="UWT22" s="126"/>
      <c r="UWU22" s="126"/>
      <c r="UWV22" s="126"/>
      <c r="UWW22" s="126"/>
      <c r="UWX22" s="126"/>
      <c r="UWY22" s="126"/>
      <c r="UWZ22" s="126"/>
      <c r="UXA22" s="126"/>
      <c r="UXB22" s="126"/>
      <c r="UXC22" s="126"/>
      <c r="UXD22" s="126"/>
      <c r="UXE22" s="126"/>
      <c r="UXF22" s="126"/>
      <c r="UXG22" s="126"/>
      <c r="UXH22" s="126"/>
      <c r="UXI22" s="126"/>
      <c r="UXJ22" s="126"/>
      <c r="UXK22" s="126"/>
      <c r="UXL22" s="126"/>
      <c r="UXM22" s="126"/>
      <c r="UXN22" s="126"/>
      <c r="UXO22" s="126"/>
      <c r="UXP22" s="126"/>
      <c r="UXQ22" s="126"/>
      <c r="UXR22" s="126"/>
      <c r="UXS22" s="126"/>
      <c r="UXT22" s="126"/>
      <c r="UXU22" s="126"/>
      <c r="UXV22" s="126"/>
      <c r="UXW22" s="126"/>
      <c r="UXX22" s="126"/>
      <c r="UXY22" s="126"/>
      <c r="UXZ22" s="126"/>
      <c r="UYA22" s="126"/>
      <c r="UYB22" s="126"/>
      <c r="UYC22" s="126"/>
      <c r="UYD22" s="126"/>
      <c r="UYE22" s="126"/>
      <c r="UYF22" s="126"/>
      <c r="UYG22" s="126"/>
      <c r="UYH22" s="126"/>
      <c r="UYI22" s="126"/>
      <c r="UYJ22" s="126"/>
      <c r="UYK22" s="126"/>
      <c r="UYL22" s="126"/>
      <c r="UYM22" s="126"/>
      <c r="UYN22" s="126"/>
      <c r="UYO22" s="126"/>
      <c r="UYP22" s="126"/>
      <c r="UYQ22" s="126"/>
      <c r="UYR22" s="126"/>
      <c r="UYS22" s="126"/>
      <c r="UYT22" s="126"/>
      <c r="UYU22" s="126"/>
      <c r="UYV22" s="126"/>
      <c r="UYW22" s="126"/>
      <c r="UYX22" s="126"/>
      <c r="UYY22" s="126"/>
      <c r="UYZ22" s="126"/>
      <c r="UZA22" s="126"/>
      <c r="UZB22" s="126"/>
      <c r="UZC22" s="126"/>
      <c r="UZD22" s="126"/>
      <c r="UZE22" s="126"/>
      <c r="UZF22" s="126"/>
      <c r="UZG22" s="126"/>
      <c r="UZH22" s="126"/>
      <c r="UZI22" s="126"/>
      <c r="UZJ22" s="126"/>
      <c r="UZK22" s="126"/>
      <c r="UZL22" s="126"/>
      <c r="UZM22" s="126"/>
      <c r="UZN22" s="126"/>
      <c r="UZO22" s="126"/>
      <c r="UZP22" s="126"/>
      <c r="UZQ22" s="126"/>
      <c r="UZR22" s="126"/>
      <c r="UZS22" s="126"/>
      <c r="UZT22" s="126"/>
      <c r="UZU22" s="126"/>
      <c r="UZV22" s="126"/>
      <c r="UZW22" s="126"/>
      <c r="UZX22" s="126"/>
      <c r="UZY22" s="126"/>
      <c r="UZZ22" s="126"/>
      <c r="VAA22" s="126"/>
      <c r="VAB22" s="126"/>
      <c r="VAC22" s="126"/>
      <c r="VAD22" s="126"/>
      <c r="VAE22" s="126"/>
      <c r="VAF22" s="126"/>
      <c r="VAG22" s="126"/>
      <c r="VAH22" s="126"/>
      <c r="VAI22" s="126"/>
      <c r="VAJ22" s="126"/>
      <c r="VAK22" s="126"/>
      <c r="VAL22" s="126"/>
      <c r="VAM22" s="126"/>
      <c r="VAN22" s="126"/>
      <c r="VAO22" s="126"/>
      <c r="VAP22" s="126"/>
      <c r="VAQ22" s="126"/>
      <c r="VAR22" s="126"/>
      <c r="VAS22" s="126"/>
      <c r="VAT22" s="126"/>
      <c r="VAU22" s="126"/>
      <c r="VAV22" s="126"/>
      <c r="VAW22" s="126"/>
      <c r="VAX22" s="126"/>
      <c r="VAY22" s="126"/>
      <c r="VAZ22" s="126"/>
      <c r="VBA22" s="126"/>
      <c r="VBB22" s="126"/>
      <c r="VBC22" s="126"/>
      <c r="VBD22" s="126"/>
      <c r="VBE22" s="126"/>
      <c r="VBF22" s="126"/>
      <c r="VBG22" s="126"/>
      <c r="VBH22" s="126"/>
      <c r="VBI22" s="126"/>
      <c r="VBJ22" s="126"/>
      <c r="VBK22" s="126"/>
      <c r="VBL22" s="126"/>
      <c r="VBM22" s="126"/>
      <c r="VBN22" s="126"/>
      <c r="VBO22" s="126"/>
      <c r="VBP22" s="126"/>
      <c r="VBQ22" s="126"/>
      <c r="VBR22" s="126"/>
      <c r="VBS22" s="126"/>
      <c r="VBT22" s="126"/>
      <c r="VBU22" s="126"/>
      <c r="VBV22" s="126"/>
      <c r="VBW22" s="126"/>
      <c r="VBX22" s="126"/>
      <c r="VBY22" s="126"/>
      <c r="VBZ22" s="126"/>
      <c r="VCA22" s="126"/>
      <c r="VCB22" s="126"/>
      <c r="VCC22" s="126"/>
      <c r="VCD22" s="126"/>
      <c r="VCE22" s="126"/>
      <c r="VCF22" s="126"/>
      <c r="VCG22" s="126"/>
      <c r="VCH22" s="126"/>
      <c r="VCI22" s="126"/>
      <c r="VCJ22" s="126"/>
      <c r="VCK22" s="126"/>
      <c r="VCL22" s="126"/>
      <c r="VCM22" s="126"/>
      <c r="VCN22" s="126"/>
      <c r="VCO22" s="126"/>
      <c r="VCP22" s="126"/>
      <c r="VCQ22" s="126"/>
      <c r="VCR22" s="126"/>
      <c r="VCS22" s="126"/>
      <c r="VCT22" s="126"/>
      <c r="VCU22" s="126"/>
      <c r="VCV22" s="126"/>
      <c r="VCW22" s="126"/>
      <c r="VCX22" s="126"/>
      <c r="VCY22" s="126"/>
      <c r="VCZ22" s="126"/>
      <c r="VDA22" s="126"/>
      <c r="VDB22" s="126"/>
      <c r="VDC22" s="126"/>
      <c r="VDD22" s="126"/>
      <c r="VDE22" s="126"/>
      <c r="VDF22" s="126"/>
      <c r="VDG22" s="126"/>
      <c r="VDH22" s="126"/>
      <c r="VDI22" s="126"/>
      <c r="VDJ22" s="126"/>
      <c r="VDK22" s="126"/>
      <c r="VDL22" s="126"/>
      <c r="VDM22" s="126"/>
      <c r="VDN22" s="126"/>
      <c r="VDO22" s="126"/>
      <c r="VDP22" s="126"/>
      <c r="VDQ22" s="126"/>
      <c r="VDR22" s="126"/>
      <c r="VDS22" s="126"/>
      <c r="VDT22" s="126"/>
      <c r="VDU22" s="126"/>
      <c r="VDV22" s="126"/>
      <c r="VDW22" s="126"/>
      <c r="VDX22" s="126"/>
      <c r="VDY22" s="126"/>
      <c r="VDZ22" s="126"/>
      <c r="VEA22" s="126"/>
      <c r="VEB22" s="126"/>
      <c r="VEC22" s="126"/>
      <c r="VED22" s="126"/>
      <c r="VEE22" s="126"/>
      <c r="VEF22" s="126"/>
      <c r="VEG22" s="126"/>
      <c r="VEH22" s="126"/>
      <c r="VEI22" s="126"/>
      <c r="VEJ22" s="126"/>
      <c r="VEK22" s="126"/>
      <c r="VEL22" s="126"/>
      <c r="VEM22" s="126"/>
      <c r="VEN22" s="126"/>
      <c r="VEO22" s="126"/>
      <c r="VEP22" s="126"/>
      <c r="VEQ22" s="126"/>
      <c r="VER22" s="126"/>
      <c r="VES22" s="126"/>
      <c r="VET22" s="126"/>
      <c r="VEU22" s="126"/>
      <c r="VEV22" s="126"/>
      <c r="VEW22" s="126"/>
      <c r="VEX22" s="126"/>
      <c r="VEY22" s="126"/>
      <c r="VEZ22" s="126"/>
      <c r="VFA22" s="126"/>
      <c r="VFB22" s="126"/>
      <c r="VFC22" s="126"/>
      <c r="VFD22" s="126"/>
      <c r="VFE22" s="126"/>
      <c r="VFF22" s="126"/>
      <c r="VFG22" s="126"/>
      <c r="VFH22" s="126"/>
      <c r="VFI22" s="126"/>
      <c r="VFJ22" s="126"/>
      <c r="VFK22" s="126"/>
      <c r="VFL22" s="126"/>
      <c r="VFM22" s="126"/>
      <c r="VFN22" s="126"/>
      <c r="VFO22" s="126"/>
      <c r="VFP22" s="126"/>
      <c r="VFQ22" s="126"/>
      <c r="VFR22" s="126"/>
      <c r="VFS22" s="126"/>
      <c r="VFT22" s="126"/>
      <c r="VFU22" s="126"/>
      <c r="VFV22" s="126"/>
      <c r="VFW22" s="126"/>
      <c r="VFX22" s="126"/>
      <c r="VFY22" s="126"/>
      <c r="VFZ22" s="126"/>
      <c r="VGA22" s="126"/>
      <c r="VGB22" s="126"/>
      <c r="VGC22" s="126"/>
      <c r="VGD22" s="126"/>
      <c r="VGE22" s="126"/>
      <c r="VGF22" s="126"/>
      <c r="VGG22" s="126"/>
      <c r="VGH22" s="126"/>
      <c r="VGI22" s="126"/>
      <c r="VGJ22" s="126"/>
      <c r="VGK22" s="126"/>
      <c r="VGL22" s="126"/>
      <c r="VGM22" s="126"/>
      <c r="VGN22" s="126"/>
      <c r="VGO22" s="126"/>
      <c r="VGP22" s="126"/>
      <c r="VGQ22" s="126"/>
      <c r="VGR22" s="126"/>
      <c r="VGS22" s="126"/>
      <c r="VGT22" s="126"/>
      <c r="VGU22" s="126"/>
      <c r="VGV22" s="126"/>
      <c r="VGW22" s="126"/>
      <c r="VGX22" s="126"/>
      <c r="VGY22" s="126"/>
      <c r="VGZ22" s="126"/>
      <c r="VHA22" s="126"/>
      <c r="VHB22" s="126"/>
      <c r="VHC22" s="126"/>
      <c r="VHD22" s="126"/>
      <c r="VHE22" s="126"/>
      <c r="VHF22" s="126"/>
      <c r="VHG22" s="126"/>
      <c r="VHH22" s="126"/>
      <c r="VHI22" s="126"/>
      <c r="VHJ22" s="126"/>
      <c r="VHK22" s="126"/>
      <c r="VHL22" s="126"/>
      <c r="VHM22" s="126"/>
      <c r="VHN22" s="126"/>
      <c r="VHO22" s="126"/>
      <c r="VHP22" s="126"/>
      <c r="VHQ22" s="126"/>
      <c r="VHR22" s="126"/>
      <c r="VHS22" s="126"/>
      <c r="VHT22" s="126"/>
      <c r="VHU22" s="126"/>
      <c r="VHV22" s="126"/>
      <c r="VHW22" s="126"/>
      <c r="VHX22" s="126"/>
      <c r="VHY22" s="126"/>
      <c r="VHZ22" s="126"/>
      <c r="VIA22" s="126"/>
      <c r="VIB22" s="126"/>
      <c r="VIC22" s="126"/>
      <c r="VID22" s="126"/>
      <c r="VIE22" s="126"/>
      <c r="VIF22" s="126"/>
      <c r="VIG22" s="126"/>
      <c r="VIH22" s="126"/>
      <c r="VII22" s="126"/>
      <c r="VIJ22" s="126"/>
      <c r="VIK22" s="126"/>
      <c r="VIL22" s="126"/>
      <c r="VIM22" s="126"/>
      <c r="VIN22" s="126"/>
      <c r="VIO22" s="126"/>
      <c r="VIP22" s="126"/>
      <c r="VIQ22" s="126"/>
      <c r="VIR22" s="126"/>
      <c r="VIS22" s="126"/>
      <c r="VIT22" s="126"/>
      <c r="VIU22" s="126"/>
      <c r="VIV22" s="126"/>
      <c r="VIW22" s="126"/>
      <c r="VIX22" s="126"/>
      <c r="VIY22" s="126"/>
      <c r="VIZ22" s="126"/>
      <c r="VJA22" s="126"/>
      <c r="VJB22" s="126"/>
      <c r="VJC22" s="126"/>
      <c r="VJD22" s="126"/>
      <c r="VJE22" s="126"/>
      <c r="VJF22" s="126"/>
      <c r="VJG22" s="126"/>
      <c r="VJH22" s="126"/>
      <c r="VJI22" s="126"/>
      <c r="VJJ22" s="126"/>
      <c r="VJK22" s="126"/>
      <c r="VJL22" s="126"/>
      <c r="VJM22" s="126"/>
      <c r="VJN22" s="126"/>
      <c r="VJO22" s="126"/>
      <c r="VJP22" s="126"/>
      <c r="VJQ22" s="126"/>
      <c r="VJR22" s="126"/>
      <c r="VJS22" s="126"/>
      <c r="VJT22" s="126"/>
      <c r="VJU22" s="126"/>
      <c r="VJV22" s="126"/>
      <c r="VJW22" s="126"/>
      <c r="VJX22" s="126"/>
      <c r="VJY22" s="126"/>
      <c r="VJZ22" s="126"/>
      <c r="VKA22" s="126"/>
      <c r="VKB22" s="126"/>
      <c r="VKC22" s="126"/>
      <c r="VKD22" s="126"/>
      <c r="VKE22" s="126"/>
      <c r="VKF22" s="126"/>
      <c r="VKG22" s="126"/>
      <c r="VKH22" s="126"/>
      <c r="VKI22" s="126"/>
      <c r="VKJ22" s="126"/>
      <c r="VKK22" s="126"/>
      <c r="VKL22" s="126"/>
      <c r="VKM22" s="126"/>
      <c r="VKN22" s="126"/>
      <c r="VKO22" s="126"/>
      <c r="VKP22" s="126"/>
      <c r="VKQ22" s="126"/>
      <c r="VKR22" s="126"/>
      <c r="VKS22" s="126"/>
      <c r="VKT22" s="126"/>
      <c r="VKU22" s="126"/>
      <c r="VKV22" s="126"/>
      <c r="VKW22" s="126"/>
      <c r="VKX22" s="126"/>
      <c r="VKY22" s="126"/>
      <c r="VKZ22" s="126"/>
      <c r="VLA22" s="126"/>
      <c r="VLB22" s="126"/>
      <c r="VLC22" s="126"/>
      <c r="VLD22" s="126"/>
      <c r="VLE22" s="126"/>
      <c r="VLF22" s="126"/>
      <c r="VLG22" s="126"/>
      <c r="VLH22" s="126"/>
      <c r="VLI22" s="126"/>
      <c r="VLJ22" s="126"/>
      <c r="VLK22" s="126"/>
      <c r="VLL22" s="126"/>
      <c r="VLM22" s="126"/>
      <c r="VLN22" s="126"/>
      <c r="VLO22" s="126"/>
      <c r="VLP22" s="126"/>
      <c r="VLQ22" s="126"/>
      <c r="VLR22" s="126"/>
      <c r="VLS22" s="126"/>
      <c r="VLT22" s="126"/>
      <c r="VLU22" s="126"/>
      <c r="VLV22" s="126"/>
      <c r="VLW22" s="126"/>
      <c r="VLX22" s="126"/>
      <c r="VLY22" s="126"/>
      <c r="VLZ22" s="126"/>
      <c r="VMA22" s="126"/>
      <c r="VMB22" s="126"/>
      <c r="VMC22" s="126"/>
      <c r="VMD22" s="126"/>
      <c r="VME22" s="126"/>
      <c r="VMF22" s="126"/>
      <c r="VMG22" s="126"/>
      <c r="VMH22" s="126"/>
      <c r="VMI22" s="126"/>
      <c r="VMJ22" s="126"/>
      <c r="VMK22" s="126"/>
      <c r="VML22" s="126"/>
      <c r="VMM22" s="126"/>
      <c r="VMN22" s="126"/>
      <c r="VMO22" s="126"/>
      <c r="VMP22" s="126"/>
      <c r="VMQ22" s="126"/>
      <c r="VMR22" s="126"/>
      <c r="VMS22" s="126"/>
      <c r="VMT22" s="126"/>
      <c r="VMU22" s="126"/>
      <c r="VMV22" s="126"/>
      <c r="VMW22" s="126"/>
      <c r="VMX22" s="126"/>
      <c r="VMY22" s="126"/>
      <c r="VMZ22" s="126"/>
      <c r="VNA22" s="126"/>
      <c r="VNB22" s="126"/>
      <c r="VNC22" s="126"/>
      <c r="VND22" s="126"/>
      <c r="VNE22" s="126"/>
      <c r="VNF22" s="126"/>
      <c r="VNG22" s="126"/>
      <c r="VNH22" s="126"/>
      <c r="VNI22" s="126"/>
      <c r="VNJ22" s="126"/>
      <c r="VNK22" s="126"/>
      <c r="VNL22" s="126"/>
      <c r="VNM22" s="126"/>
      <c r="VNN22" s="126"/>
      <c r="VNO22" s="126"/>
      <c r="VNP22" s="126"/>
      <c r="VNQ22" s="126"/>
      <c r="VNR22" s="126"/>
      <c r="VNS22" s="126"/>
      <c r="VNT22" s="126"/>
      <c r="VNU22" s="126"/>
      <c r="VNV22" s="126"/>
      <c r="VNW22" s="126"/>
      <c r="VNX22" s="126"/>
      <c r="VNY22" s="126"/>
      <c r="VNZ22" s="126"/>
      <c r="VOA22" s="126"/>
      <c r="VOB22" s="126"/>
      <c r="VOC22" s="126"/>
      <c r="VOD22" s="126"/>
      <c r="VOE22" s="126"/>
      <c r="VOF22" s="126"/>
      <c r="VOG22" s="126"/>
      <c r="VOH22" s="126"/>
      <c r="VOI22" s="126"/>
      <c r="VOJ22" s="126"/>
      <c r="VOK22" s="126"/>
      <c r="VOL22" s="126"/>
      <c r="VOM22" s="126"/>
      <c r="VON22" s="126"/>
      <c r="VOO22" s="126"/>
      <c r="VOP22" s="126"/>
      <c r="VOQ22" s="126"/>
      <c r="VOR22" s="126"/>
      <c r="VOS22" s="126"/>
      <c r="VOT22" s="126"/>
      <c r="VOU22" s="126"/>
      <c r="VOV22" s="126"/>
      <c r="VOW22" s="126"/>
      <c r="VOX22" s="126"/>
      <c r="VOY22" s="126"/>
      <c r="VOZ22" s="126"/>
      <c r="VPA22" s="126"/>
      <c r="VPB22" s="126"/>
      <c r="VPC22" s="126"/>
      <c r="VPD22" s="126"/>
      <c r="VPE22" s="126"/>
      <c r="VPF22" s="126"/>
      <c r="VPG22" s="126"/>
      <c r="VPH22" s="126"/>
      <c r="VPI22" s="126"/>
      <c r="VPJ22" s="126"/>
      <c r="VPK22" s="126"/>
      <c r="VPL22" s="126"/>
      <c r="VPM22" s="126"/>
      <c r="VPN22" s="126"/>
      <c r="VPO22" s="126"/>
      <c r="VPP22" s="126"/>
      <c r="VPQ22" s="126"/>
      <c r="VPR22" s="126"/>
      <c r="VPS22" s="126"/>
      <c r="VPT22" s="126"/>
      <c r="VPU22" s="126"/>
      <c r="VPV22" s="126"/>
      <c r="VPW22" s="126"/>
      <c r="VPX22" s="126"/>
      <c r="VPY22" s="126"/>
      <c r="VPZ22" s="126"/>
      <c r="VQA22" s="126"/>
      <c r="VQB22" s="126"/>
      <c r="VQC22" s="126"/>
      <c r="VQD22" s="126"/>
      <c r="VQE22" s="126"/>
      <c r="VQF22" s="126"/>
      <c r="VQG22" s="126"/>
      <c r="VQH22" s="126"/>
      <c r="VQI22" s="126"/>
      <c r="VQJ22" s="126"/>
      <c r="VQK22" s="126"/>
      <c r="VQL22" s="126"/>
      <c r="VQM22" s="126"/>
      <c r="VQN22" s="126"/>
      <c r="VQO22" s="126"/>
      <c r="VQP22" s="126"/>
      <c r="VQQ22" s="126"/>
      <c r="VQR22" s="126"/>
      <c r="VQS22" s="126"/>
      <c r="VQT22" s="126"/>
      <c r="VQU22" s="126"/>
      <c r="VQV22" s="126"/>
      <c r="VQW22" s="126"/>
      <c r="VQX22" s="126"/>
      <c r="VQY22" s="126"/>
      <c r="VQZ22" s="126"/>
      <c r="VRA22" s="126"/>
      <c r="VRB22" s="126"/>
      <c r="VRC22" s="126"/>
      <c r="VRD22" s="126"/>
      <c r="VRE22" s="126"/>
      <c r="VRF22" s="126"/>
      <c r="VRG22" s="126"/>
      <c r="VRH22" s="126"/>
      <c r="VRI22" s="126"/>
      <c r="VRJ22" s="126"/>
      <c r="VRK22" s="126"/>
      <c r="VRL22" s="126"/>
      <c r="VRM22" s="126"/>
      <c r="VRN22" s="126"/>
      <c r="VRO22" s="126"/>
      <c r="VRP22" s="126"/>
      <c r="VRQ22" s="126"/>
      <c r="VRR22" s="126"/>
      <c r="VRS22" s="126"/>
      <c r="VRT22" s="126"/>
      <c r="VRU22" s="126"/>
      <c r="VRV22" s="126"/>
      <c r="VRW22" s="126"/>
      <c r="VRX22" s="126"/>
      <c r="VRY22" s="126"/>
      <c r="VRZ22" s="126"/>
      <c r="VSA22" s="126"/>
      <c r="VSB22" s="126"/>
      <c r="VSC22" s="126"/>
      <c r="VSD22" s="126"/>
      <c r="VSE22" s="126"/>
      <c r="VSF22" s="126"/>
      <c r="VSG22" s="126"/>
      <c r="VSH22" s="126"/>
      <c r="VSI22" s="126"/>
      <c r="VSJ22" s="126"/>
      <c r="VSK22" s="126"/>
      <c r="VSL22" s="126"/>
      <c r="VSM22" s="126"/>
      <c r="VSN22" s="126"/>
      <c r="VSO22" s="126"/>
      <c r="VSP22" s="126"/>
      <c r="VSQ22" s="126"/>
      <c r="VSR22" s="126"/>
      <c r="VSS22" s="126"/>
      <c r="VST22" s="126"/>
      <c r="VSU22" s="126"/>
      <c r="VSV22" s="126"/>
      <c r="VSW22" s="126"/>
      <c r="VSX22" s="126"/>
      <c r="VSY22" s="126"/>
      <c r="VSZ22" s="126"/>
      <c r="VTA22" s="126"/>
      <c r="VTB22" s="126"/>
      <c r="VTC22" s="126"/>
      <c r="VTD22" s="126"/>
      <c r="VTE22" s="126"/>
      <c r="VTF22" s="126"/>
      <c r="VTG22" s="126"/>
      <c r="VTH22" s="126"/>
      <c r="VTI22" s="126"/>
      <c r="VTJ22" s="126"/>
      <c r="VTK22" s="126"/>
      <c r="VTL22" s="126"/>
      <c r="VTM22" s="126"/>
      <c r="VTN22" s="126"/>
      <c r="VTO22" s="126"/>
      <c r="VTP22" s="126"/>
      <c r="VTQ22" s="126"/>
      <c r="VTR22" s="126"/>
      <c r="VTS22" s="126"/>
      <c r="VTT22" s="126"/>
      <c r="VTU22" s="126"/>
      <c r="VTV22" s="126"/>
      <c r="VTW22" s="126"/>
      <c r="VTX22" s="126"/>
      <c r="VTY22" s="126"/>
      <c r="VTZ22" s="126"/>
      <c r="VUA22" s="126"/>
      <c r="VUB22" s="126"/>
      <c r="VUC22" s="126"/>
      <c r="VUD22" s="126"/>
      <c r="VUE22" s="126"/>
      <c r="VUF22" s="126"/>
      <c r="VUG22" s="126"/>
      <c r="VUH22" s="126"/>
      <c r="VUI22" s="126"/>
      <c r="VUJ22" s="126"/>
      <c r="VUK22" s="126"/>
      <c r="VUL22" s="126"/>
      <c r="VUM22" s="126"/>
      <c r="VUN22" s="126"/>
      <c r="VUO22" s="126"/>
      <c r="VUP22" s="126"/>
      <c r="VUQ22" s="126"/>
      <c r="VUR22" s="126"/>
      <c r="VUS22" s="126"/>
      <c r="VUT22" s="126"/>
      <c r="VUU22" s="126"/>
      <c r="VUV22" s="126"/>
      <c r="VUW22" s="126"/>
      <c r="VUX22" s="126"/>
      <c r="VUY22" s="126"/>
      <c r="VUZ22" s="126"/>
      <c r="VVA22" s="126"/>
      <c r="VVB22" s="126"/>
      <c r="VVC22" s="126"/>
      <c r="VVD22" s="126"/>
      <c r="VVE22" s="126"/>
      <c r="VVF22" s="126"/>
      <c r="VVG22" s="126"/>
      <c r="VVH22" s="126"/>
      <c r="VVI22" s="126"/>
      <c r="VVJ22" s="126"/>
      <c r="VVK22" s="126"/>
      <c r="VVL22" s="126"/>
      <c r="VVM22" s="126"/>
      <c r="VVN22" s="126"/>
      <c r="VVO22" s="126"/>
      <c r="VVP22" s="126"/>
      <c r="VVQ22" s="126"/>
      <c r="VVR22" s="126"/>
      <c r="VVS22" s="126"/>
      <c r="VVT22" s="126"/>
      <c r="VVU22" s="126"/>
      <c r="VVV22" s="126"/>
      <c r="VVW22" s="126"/>
      <c r="VVX22" s="126"/>
      <c r="VVY22" s="126"/>
      <c r="VVZ22" s="126"/>
      <c r="VWA22" s="126"/>
      <c r="VWB22" s="126"/>
      <c r="VWC22" s="126"/>
      <c r="VWD22" s="126"/>
      <c r="VWE22" s="126"/>
      <c r="VWF22" s="126"/>
      <c r="VWG22" s="126"/>
      <c r="VWH22" s="126"/>
      <c r="VWI22" s="126"/>
      <c r="VWJ22" s="126"/>
      <c r="VWK22" s="126"/>
      <c r="VWL22" s="126"/>
      <c r="VWM22" s="126"/>
      <c r="VWN22" s="126"/>
      <c r="VWO22" s="126"/>
      <c r="VWP22" s="126"/>
      <c r="VWQ22" s="126"/>
      <c r="VWR22" s="126"/>
      <c r="VWS22" s="126"/>
      <c r="VWT22" s="126"/>
      <c r="VWU22" s="126"/>
      <c r="VWV22" s="126"/>
      <c r="VWW22" s="126"/>
      <c r="VWX22" s="126"/>
      <c r="VWY22" s="126"/>
      <c r="VWZ22" s="126"/>
      <c r="VXA22" s="126"/>
      <c r="VXB22" s="126"/>
      <c r="VXC22" s="126"/>
      <c r="VXD22" s="126"/>
      <c r="VXE22" s="126"/>
      <c r="VXF22" s="126"/>
      <c r="VXG22" s="126"/>
      <c r="VXH22" s="126"/>
      <c r="VXI22" s="126"/>
      <c r="VXJ22" s="126"/>
      <c r="VXK22" s="126"/>
      <c r="VXL22" s="126"/>
      <c r="VXM22" s="126"/>
      <c r="VXN22" s="126"/>
      <c r="VXO22" s="126"/>
      <c r="VXP22" s="126"/>
      <c r="VXQ22" s="126"/>
      <c r="VXR22" s="126"/>
      <c r="VXS22" s="126"/>
      <c r="VXT22" s="126"/>
      <c r="VXU22" s="126"/>
      <c r="VXV22" s="126"/>
      <c r="VXW22" s="126"/>
      <c r="VXX22" s="126"/>
      <c r="VXY22" s="126"/>
      <c r="VXZ22" s="126"/>
      <c r="VYA22" s="126"/>
      <c r="VYB22" s="126"/>
      <c r="VYC22" s="126"/>
      <c r="VYD22" s="126"/>
      <c r="VYE22" s="126"/>
      <c r="VYF22" s="126"/>
      <c r="VYG22" s="126"/>
      <c r="VYH22" s="126"/>
      <c r="VYI22" s="126"/>
      <c r="VYJ22" s="126"/>
      <c r="VYK22" s="126"/>
      <c r="VYL22" s="126"/>
      <c r="VYM22" s="126"/>
      <c r="VYN22" s="126"/>
      <c r="VYO22" s="126"/>
      <c r="VYP22" s="126"/>
      <c r="VYQ22" s="126"/>
      <c r="VYR22" s="126"/>
      <c r="VYS22" s="126"/>
      <c r="VYT22" s="126"/>
      <c r="VYU22" s="126"/>
      <c r="VYV22" s="126"/>
      <c r="VYW22" s="126"/>
      <c r="VYX22" s="126"/>
      <c r="VYY22" s="126"/>
      <c r="VYZ22" s="126"/>
      <c r="VZA22" s="126"/>
      <c r="VZB22" s="126"/>
      <c r="VZC22" s="126"/>
      <c r="VZD22" s="126"/>
      <c r="VZE22" s="126"/>
      <c r="VZF22" s="126"/>
      <c r="VZG22" s="126"/>
      <c r="VZH22" s="126"/>
      <c r="VZI22" s="126"/>
      <c r="VZJ22" s="126"/>
      <c r="VZK22" s="126"/>
      <c r="VZL22" s="126"/>
      <c r="VZM22" s="126"/>
      <c r="VZN22" s="126"/>
      <c r="VZO22" s="126"/>
      <c r="VZP22" s="126"/>
      <c r="VZQ22" s="126"/>
      <c r="VZR22" s="126"/>
      <c r="VZS22" s="126"/>
      <c r="VZT22" s="126"/>
      <c r="VZU22" s="126"/>
      <c r="VZV22" s="126"/>
      <c r="VZW22" s="126"/>
      <c r="VZX22" s="126"/>
      <c r="VZY22" s="126"/>
      <c r="VZZ22" s="126"/>
      <c r="WAA22" s="126"/>
      <c r="WAB22" s="126"/>
      <c r="WAC22" s="126"/>
      <c r="WAD22" s="126"/>
      <c r="WAE22" s="126"/>
      <c r="WAF22" s="126"/>
      <c r="WAG22" s="126"/>
      <c r="WAH22" s="126"/>
      <c r="WAI22" s="126"/>
      <c r="WAJ22" s="126"/>
      <c r="WAK22" s="126"/>
      <c r="WAL22" s="126"/>
      <c r="WAM22" s="126"/>
      <c r="WAN22" s="126"/>
      <c r="WAO22" s="126"/>
      <c r="WAP22" s="126"/>
      <c r="WAQ22" s="126"/>
      <c r="WAR22" s="126"/>
      <c r="WAS22" s="126"/>
      <c r="WAT22" s="126"/>
      <c r="WAU22" s="126"/>
      <c r="WAV22" s="126"/>
      <c r="WAW22" s="126"/>
      <c r="WAX22" s="126"/>
      <c r="WAY22" s="126"/>
      <c r="WAZ22" s="126"/>
      <c r="WBA22" s="126"/>
      <c r="WBB22" s="126"/>
      <c r="WBC22" s="126"/>
      <c r="WBD22" s="126"/>
      <c r="WBE22" s="126"/>
      <c r="WBF22" s="126"/>
      <c r="WBG22" s="126"/>
      <c r="WBH22" s="126"/>
      <c r="WBI22" s="126"/>
      <c r="WBJ22" s="126"/>
      <c r="WBK22" s="126"/>
      <c r="WBL22" s="126"/>
      <c r="WBM22" s="126"/>
      <c r="WBN22" s="126"/>
      <c r="WBO22" s="126"/>
      <c r="WBP22" s="126"/>
      <c r="WBQ22" s="126"/>
      <c r="WBR22" s="126"/>
      <c r="WBS22" s="126"/>
      <c r="WBT22" s="126"/>
      <c r="WBU22" s="126"/>
      <c r="WBV22" s="126"/>
      <c r="WBW22" s="126"/>
      <c r="WBX22" s="126"/>
      <c r="WBY22" s="126"/>
      <c r="WBZ22" s="126"/>
      <c r="WCA22" s="126"/>
      <c r="WCB22" s="126"/>
      <c r="WCC22" s="126"/>
      <c r="WCD22" s="126"/>
      <c r="WCE22" s="126"/>
      <c r="WCF22" s="126"/>
      <c r="WCG22" s="126"/>
      <c r="WCH22" s="126"/>
      <c r="WCI22" s="126"/>
      <c r="WCJ22" s="126"/>
      <c r="WCK22" s="126"/>
      <c r="WCL22" s="126"/>
      <c r="WCM22" s="126"/>
      <c r="WCN22" s="126"/>
      <c r="WCO22" s="126"/>
      <c r="WCP22" s="126"/>
      <c r="WCQ22" s="126"/>
      <c r="WCR22" s="126"/>
      <c r="WCS22" s="126"/>
      <c r="WCT22" s="126"/>
      <c r="WCU22" s="126"/>
      <c r="WCV22" s="126"/>
      <c r="WCW22" s="126"/>
      <c r="WCX22" s="126"/>
      <c r="WCY22" s="126"/>
      <c r="WCZ22" s="126"/>
      <c r="WDA22" s="126"/>
      <c r="WDB22" s="126"/>
      <c r="WDC22" s="126"/>
      <c r="WDD22" s="126"/>
      <c r="WDE22" s="126"/>
      <c r="WDF22" s="126"/>
      <c r="WDG22" s="126"/>
      <c r="WDH22" s="126"/>
      <c r="WDI22" s="126"/>
      <c r="WDJ22" s="126"/>
      <c r="WDK22" s="126"/>
      <c r="WDL22" s="126"/>
      <c r="WDM22" s="126"/>
      <c r="WDN22" s="126"/>
      <c r="WDO22" s="126"/>
      <c r="WDP22" s="126"/>
      <c r="WDQ22" s="126"/>
      <c r="WDR22" s="126"/>
      <c r="WDS22" s="126"/>
      <c r="WDT22" s="126"/>
      <c r="WDU22" s="126"/>
      <c r="WDV22" s="126"/>
      <c r="WDW22" s="126"/>
      <c r="WDX22" s="126"/>
      <c r="WDY22" s="126"/>
      <c r="WDZ22" s="126"/>
      <c r="WEA22" s="126"/>
      <c r="WEB22" s="126"/>
      <c r="WEC22" s="126"/>
      <c r="WED22" s="126"/>
      <c r="WEE22" s="126"/>
      <c r="WEF22" s="126"/>
      <c r="WEG22" s="126"/>
      <c r="WEH22" s="126"/>
      <c r="WEI22" s="126"/>
      <c r="WEJ22" s="126"/>
      <c r="WEK22" s="126"/>
      <c r="WEL22" s="126"/>
      <c r="WEM22" s="126"/>
      <c r="WEN22" s="126"/>
      <c r="WEO22" s="126"/>
      <c r="WEP22" s="126"/>
      <c r="WEQ22" s="126"/>
      <c r="WER22" s="126"/>
      <c r="WES22" s="126"/>
      <c r="WET22" s="126"/>
      <c r="WEU22" s="126"/>
      <c r="WEV22" s="126"/>
      <c r="WEW22" s="126"/>
      <c r="WEX22" s="126"/>
      <c r="WEY22" s="126"/>
      <c r="WEZ22" s="126"/>
      <c r="WFA22" s="126"/>
      <c r="WFB22" s="126"/>
      <c r="WFC22" s="126"/>
      <c r="WFD22" s="126"/>
      <c r="WFE22" s="126"/>
      <c r="WFF22" s="126"/>
      <c r="WFG22" s="126"/>
      <c r="WFH22" s="126"/>
      <c r="WFI22" s="126"/>
      <c r="WFJ22" s="126"/>
      <c r="WFK22" s="126"/>
      <c r="WFL22" s="126"/>
      <c r="WFM22" s="126"/>
      <c r="WFN22" s="126"/>
      <c r="WFO22" s="126"/>
      <c r="WFP22" s="126"/>
      <c r="WFQ22" s="126"/>
      <c r="WFR22" s="126"/>
      <c r="WFS22" s="126"/>
      <c r="WFT22" s="126"/>
      <c r="WFU22" s="126"/>
      <c r="WFV22" s="126"/>
      <c r="WFW22" s="126"/>
      <c r="WFX22" s="126"/>
      <c r="WFY22" s="126"/>
      <c r="WFZ22" s="126"/>
      <c r="WGA22" s="126"/>
      <c r="WGB22" s="126"/>
      <c r="WGC22" s="126"/>
      <c r="WGD22" s="126"/>
      <c r="WGE22" s="126"/>
      <c r="WGF22" s="126"/>
      <c r="WGG22" s="126"/>
      <c r="WGH22" s="126"/>
      <c r="WGI22" s="126"/>
      <c r="WGJ22" s="126"/>
      <c r="WGK22" s="126"/>
      <c r="WGL22" s="126"/>
      <c r="WGM22" s="126"/>
      <c r="WGN22" s="126"/>
      <c r="WGO22" s="126"/>
      <c r="WGP22" s="126"/>
      <c r="WGQ22" s="126"/>
      <c r="WGR22" s="126"/>
      <c r="WGS22" s="126"/>
      <c r="WGT22" s="126"/>
      <c r="WGU22" s="126"/>
      <c r="WGV22" s="126"/>
      <c r="WGW22" s="126"/>
      <c r="WGX22" s="126"/>
      <c r="WGY22" s="126"/>
      <c r="WGZ22" s="126"/>
      <c r="WHA22" s="126"/>
      <c r="WHB22" s="126"/>
      <c r="WHC22" s="126"/>
      <c r="WHD22" s="126"/>
      <c r="WHE22" s="126"/>
      <c r="WHF22" s="126"/>
      <c r="WHG22" s="126"/>
      <c r="WHH22" s="126"/>
      <c r="WHI22" s="126"/>
      <c r="WHJ22" s="126"/>
      <c r="WHK22" s="126"/>
      <c r="WHL22" s="126"/>
      <c r="WHM22" s="126"/>
      <c r="WHN22" s="126"/>
      <c r="WHO22" s="126"/>
      <c r="WHP22" s="126"/>
      <c r="WHQ22" s="126"/>
      <c r="WHR22" s="126"/>
      <c r="WHS22" s="126"/>
      <c r="WHT22" s="126"/>
      <c r="WHU22" s="126"/>
      <c r="WHV22" s="126"/>
      <c r="WHW22" s="126"/>
      <c r="WHX22" s="126"/>
      <c r="WHY22" s="126"/>
      <c r="WHZ22" s="126"/>
      <c r="WIA22" s="126"/>
      <c r="WIB22" s="126"/>
      <c r="WIC22" s="126"/>
      <c r="WID22" s="126"/>
      <c r="WIE22" s="126"/>
      <c r="WIF22" s="126"/>
      <c r="WIG22" s="126"/>
      <c r="WIH22" s="126"/>
      <c r="WII22" s="126"/>
      <c r="WIJ22" s="126"/>
      <c r="WIK22" s="126"/>
      <c r="WIL22" s="126"/>
      <c r="WIM22" s="126"/>
      <c r="WIN22" s="126"/>
      <c r="WIO22" s="126"/>
      <c r="WIP22" s="126"/>
      <c r="WIQ22" s="126"/>
      <c r="WIR22" s="126"/>
      <c r="WIS22" s="126"/>
      <c r="WIT22" s="126"/>
      <c r="WIU22" s="126"/>
      <c r="WIV22" s="126"/>
      <c r="WIW22" s="126"/>
      <c r="WIX22" s="126"/>
      <c r="WIY22" s="126"/>
      <c r="WIZ22" s="126"/>
      <c r="WJA22" s="126"/>
      <c r="WJB22" s="126"/>
      <c r="WJC22" s="126"/>
      <c r="WJD22" s="126"/>
      <c r="WJE22" s="126"/>
      <c r="WJF22" s="126"/>
      <c r="WJG22" s="126"/>
      <c r="WJH22" s="126"/>
      <c r="WJI22" s="126"/>
      <c r="WJJ22" s="126"/>
      <c r="WJK22" s="126"/>
      <c r="WJL22" s="126"/>
      <c r="WJM22" s="126"/>
      <c r="WJN22" s="126"/>
      <c r="WJO22" s="126"/>
      <c r="WJP22" s="126"/>
      <c r="WJQ22" s="126"/>
      <c r="WJR22" s="126"/>
      <c r="WJS22" s="126"/>
      <c r="WJT22" s="126"/>
      <c r="WJU22" s="126"/>
      <c r="WJV22" s="126"/>
      <c r="WJW22" s="126"/>
      <c r="WJX22" s="126"/>
      <c r="WJY22" s="126"/>
      <c r="WJZ22" s="126"/>
      <c r="WKA22" s="126"/>
      <c r="WKB22" s="126"/>
      <c r="WKC22" s="126"/>
      <c r="WKD22" s="126"/>
      <c r="WKE22" s="126"/>
      <c r="WKF22" s="126"/>
      <c r="WKG22" s="126"/>
      <c r="WKH22" s="126"/>
      <c r="WKI22" s="126"/>
      <c r="WKJ22" s="126"/>
      <c r="WKK22" s="126"/>
      <c r="WKL22" s="126"/>
      <c r="WKM22" s="126"/>
      <c r="WKN22" s="126"/>
      <c r="WKO22" s="126"/>
      <c r="WKP22" s="126"/>
      <c r="WKQ22" s="126"/>
      <c r="WKR22" s="126"/>
      <c r="WKS22" s="126"/>
      <c r="WKT22" s="126"/>
      <c r="WKU22" s="126"/>
      <c r="WKV22" s="126"/>
      <c r="WKW22" s="126"/>
      <c r="WKX22" s="126"/>
      <c r="WKY22" s="126"/>
      <c r="WKZ22" s="126"/>
      <c r="WLA22" s="126"/>
      <c r="WLB22" s="126"/>
      <c r="WLC22" s="126"/>
      <c r="WLD22" s="126"/>
      <c r="WLE22" s="126"/>
      <c r="WLF22" s="126"/>
      <c r="WLG22" s="126"/>
      <c r="WLH22" s="126"/>
      <c r="WLI22" s="126"/>
      <c r="WLJ22" s="126"/>
      <c r="WLK22" s="126"/>
      <c r="WLL22" s="126"/>
      <c r="WLM22" s="126"/>
      <c r="WLN22" s="126"/>
      <c r="WLO22" s="126"/>
      <c r="WLP22" s="126"/>
      <c r="WLQ22" s="126"/>
      <c r="WLR22" s="126"/>
      <c r="WLS22" s="126"/>
      <c r="WLT22" s="126"/>
      <c r="WLU22" s="126"/>
      <c r="WLV22" s="126"/>
      <c r="WLW22" s="126"/>
      <c r="WLX22" s="126"/>
      <c r="WLY22" s="126"/>
      <c r="WLZ22" s="126"/>
      <c r="WMA22" s="126"/>
      <c r="WMB22" s="126"/>
      <c r="WMC22" s="126"/>
      <c r="WMD22" s="126"/>
      <c r="WME22" s="126"/>
      <c r="WMF22" s="126"/>
      <c r="WMG22" s="126"/>
      <c r="WMH22" s="126"/>
      <c r="WMI22" s="126"/>
      <c r="WMJ22" s="126"/>
      <c r="WMK22" s="126"/>
      <c r="WML22" s="126"/>
      <c r="WMM22" s="126"/>
      <c r="WMN22" s="126"/>
      <c r="WMO22" s="126"/>
      <c r="WMP22" s="126"/>
      <c r="WMQ22" s="126"/>
      <c r="WMR22" s="126"/>
      <c r="WMS22" s="126"/>
      <c r="WMT22" s="126"/>
      <c r="WMU22" s="126"/>
      <c r="WMV22" s="126"/>
      <c r="WMW22" s="126"/>
      <c r="WMX22" s="126"/>
      <c r="WMY22" s="126"/>
      <c r="WMZ22" s="126"/>
      <c r="WNA22" s="126"/>
      <c r="WNB22" s="126"/>
      <c r="WNC22" s="126"/>
      <c r="WND22" s="126"/>
      <c r="WNE22" s="126"/>
      <c r="WNF22" s="126"/>
      <c r="WNG22" s="126"/>
      <c r="WNH22" s="126"/>
      <c r="WNI22" s="126"/>
      <c r="WNJ22" s="126"/>
      <c r="WNK22" s="126"/>
      <c r="WNL22" s="126"/>
      <c r="WNM22" s="126"/>
      <c r="WNN22" s="126"/>
      <c r="WNO22" s="126"/>
      <c r="WNP22" s="126"/>
      <c r="WNQ22" s="126"/>
      <c r="WNR22" s="126"/>
      <c r="WNS22" s="126"/>
      <c r="WNT22" s="126"/>
      <c r="WNU22" s="126"/>
      <c r="WNV22" s="126"/>
      <c r="WNW22" s="126"/>
      <c r="WNX22" s="126"/>
      <c r="WNY22" s="126"/>
      <c r="WNZ22" s="126"/>
      <c r="WOA22" s="126"/>
      <c r="WOB22" s="126"/>
      <c r="WOC22" s="126"/>
      <c r="WOD22" s="126"/>
      <c r="WOE22" s="126"/>
      <c r="WOF22" s="126"/>
      <c r="WOG22" s="126"/>
      <c r="WOH22" s="126"/>
      <c r="WOI22" s="126"/>
      <c r="WOJ22" s="126"/>
      <c r="WOK22" s="126"/>
      <c r="WOL22" s="126"/>
      <c r="WOM22" s="126"/>
      <c r="WON22" s="126"/>
      <c r="WOO22" s="126"/>
      <c r="WOP22" s="126"/>
      <c r="WOQ22" s="126"/>
      <c r="WOR22" s="126"/>
      <c r="WOS22" s="126"/>
      <c r="WOT22" s="126"/>
      <c r="WOU22" s="126"/>
      <c r="WOV22" s="126"/>
      <c r="WOW22" s="126"/>
      <c r="WOX22" s="126"/>
      <c r="WOY22" s="126"/>
      <c r="WOZ22" s="126"/>
      <c r="WPA22" s="126"/>
      <c r="WPB22" s="126"/>
      <c r="WPC22" s="126"/>
      <c r="WPD22" s="126"/>
      <c r="WPE22" s="126"/>
      <c r="WPF22" s="126"/>
      <c r="WPG22" s="126"/>
      <c r="WPH22" s="126"/>
      <c r="WPI22" s="126"/>
      <c r="WPJ22" s="126"/>
      <c r="WPK22" s="126"/>
      <c r="WPL22" s="126"/>
      <c r="WPM22" s="126"/>
      <c r="WPN22" s="126"/>
      <c r="WPO22" s="126"/>
      <c r="WPP22" s="126"/>
      <c r="WPQ22" s="126"/>
      <c r="WPR22" s="126"/>
      <c r="WPS22" s="126"/>
      <c r="WPT22" s="126"/>
      <c r="WPU22" s="126"/>
      <c r="WPV22" s="126"/>
      <c r="WPW22" s="126"/>
      <c r="WPX22" s="126"/>
      <c r="WPY22" s="126"/>
      <c r="WPZ22" s="126"/>
      <c r="WQA22" s="126"/>
      <c r="WQB22" s="126"/>
      <c r="WQC22" s="126"/>
      <c r="WQD22" s="126"/>
      <c r="WQE22" s="126"/>
      <c r="WQF22" s="126"/>
      <c r="WQG22" s="126"/>
      <c r="WQH22" s="126"/>
      <c r="WQI22" s="126"/>
      <c r="WQJ22" s="126"/>
      <c r="WQK22" s="126"/>
      <c r="WQL22" s="126"/>
      <c r="WQM22" s="126"/>
      <c r="WQN22" s="126"/>
      <c r="WQO22" s="126"/>
      <c r="WQP22" s="126"/>
      <c r="WQQ22" s="126"/>
      <c r="WQR22" s="126"/>
      <c r="WQS22" s="126"/>
      <c r="WQT22" s="126"/>
      <c r="WQU22" s="126"/>
      <c r="WQV22" s="126"/>
      <c r="WQW22" s="126"/>
      <c r="WQX22" s="126"/>
      <c r="WQY22" s="126"/>
      <c r="WQZ22" s="126"/>
      <c r="WRA22" s="126"/>
      <c r="WRB22" s="126"/>
      <c r="WRC22" s="126"/>
      <c r="WRD22" s="126"/>
      <c r="WRE22" s="126"/>
      <c r="WRF22" s="126"/>
      <c r="WRG22" s="126"/>
      <c r="WRH22" s="126"/>
      <c r="WRI22" s="126"/>
      <c r="WRJ22" s="126"/>
      <c r="WRK22" s="126"/>
      <c r="WRL22" s="126"/>
      <c r="WRM22" s="126"/>
      <c r="WRN22" s="126"/>
      <c r="WRO22" s="126"/>
      <c r="WRP22" s="126"/>
      <c r="WRQ22" s="126"/>
      <c r="WRR22" s="126"/>
      <c r="WRS22" s="126"/>
      <c r="WRT22" s="126"/>
      <c r="WRU22" s="126"/>
      <c r="WRV22" s="126"/>
      <c r="WRW22" s="126"/>
      <c r="WRX22" s="126"/>
      <c r="WRY22" s="126"/>
      <c r="WRZ22" s="126"/>
      <c r="WSA22" s="126"/>
      <c r="WSB22" s="126"/>
      <c r="WSC22" s="126"/>
      <c r="WSD22" s="126"/>
      <c r="WSE22" s="126"/>
      <c r="WSF22" s="126"/>
      <c r="WSG22" s="126"/>
      <c r="WSH22" s="126"/>
      <c r="WSI22" s="126"/>
      <c r="WSJ22" s="126"/>
      <c r="WSK22" s="126"/>
      <c r="WSL22" s="126"/>
      <c r="WSM22" s="126"/>
      <c r="WSN22" s="126"/>
      <c r="WSO22" s="126"/>
      <c r="WSP22" s="126"/>
      <c r="WSQ22" s="126"/>
      <c r="WSR22" s="126"/>
      <c r="WSS22" s="126"/>
      <c r="WST22" s="126"/>
      <c r="WSU22" s="126"/>
      <c r="WSV22" s="126"/>
      <c r="WSW22" s="126"/>
      <c r="WSX22" s="126"/>
      <c r="WSY22" s="126"/>
      <c r="WSZ22" s="126"/>
      <c r="WTA22" s="126"/>
      <c r="WTB22" s="126"/>
      <c r="WTC22" s="126"/>
      <c r="WTD22" s="126"/>
      <c r="WTE22" s="126"/>
      <c r="WTF22" s="126"/>
      <c r="WTG22" s="126"/>
      <c r="WTH22" s="126"/>
      <c r="WTI22" s="126"/>
      <c r="WTJ22" s="126"/>
      <c r="WTK22" s="126"/>
      <c r="WTL22" s="126"/>
      <c r="WTM22" s="126"/>
      <c r="WTN22" s="126"/>
      <c r="WTO22" s="126"/>
      <c r="WTP22" s="126"/>
      <c r="WTQ22" s="126"/>
      <c r="WTR22" s="126"/>
      <c r="WTS22" s="126"/>
      <c r="WTT22" s="126"/>
      <c r="WTU22" s="126"/>
      <c r="WTV22" s="126"/>
      <c r="WTW22" s="126"/>
      <c r="WTX22" s="126"/>
      <c r="WTY22" s="126"/>
      <c r="WTZ22" s="126"/>
      <c r="WUA22" s="126"/>
      <c r="WUB22" s="126"/>
      <c r="WUC22" s="126"/>
      <c r="WUD22" s="126"/>
      <c r="WUE22" s="126"/>
      <c r="WUF22" s="126"/>
      <c r="WUG22" s="126"/>
      <c r="WUH22" s="126"/>
      <c r="WUI22" s="126"/>
      <c r="WUJ22" s="126"/>
      <c r="WUK22" s="126"/>
      <c r="WUL22" s="126"/>
      <c r="WUM22" s="126"/>
      <c r="WUN22" s="126"/>
      <c r="WUO22" s="126"/>
      <c r="WUP22" s="126"/>
      <c r="WUQ22" s="126"/>
      <c r="WUR22" s="126"/>
      <c r="WUS22" s="126"/>
      <c r="WUT22" s="126"/>
      <c r="WUU22" s="126"/>
      <c r="WUV22" s="126"/>
      <c r="WUW22" s="126"/>
      <c r="WUX22" s="126"/>
      <c r="WUY22" s="126"/>
      <c r="WUZ22" s="126"/>
      <c r="WVA22" s="126"/>
      <c r="WVB22" s="126"/>
      <c r="WVC22" s="126"/>
      <c r="WVD22" s="126"/>
      <c r="WVE22" s="126"/>
      <c r="WVF22" s="126"/>
      <c r="WVG22" s="126"/>
      <c r="WVH22" s="126"/>
      <c r="WVI22" s="126"/>
      <c r="WVJ22" s="126"/>
      <c r="WVK22" s="126"/>
      <c r="WVL22" s="126"/>
      <c r="WVM22" s="126"/>
      <c r="WVN22" s="126"/>
      <c r="WVO22" s="126"/>
      <c r="WVP22" s="126"/>
      <c r="WVQ22" s="126"/>
      <c r="WVR22" s="126"/>
      <c r="WVS22" s="126"/>
      <c r="WVT22" s="126"/>
      <c r="WVU22" s="126"/>
      <c r="WVV22" s="126"/>
      <c r="WVW22" s="126"/>
      <c r="WVX22" s="126"/>
      <c r="WVY22" s="126"/>
      <c r="WVZ22" s="126"/>
      <c r="WWA22" s="126"/>
      <c r="WWB22" s="126"/>
      <c r="WWC22" s="126"/>
      <c r="WWD22" s="126"/>
      <c r="WWE22" s="126"/>
      <c r="WWF22" s="126"/>
      <c r="WWG22" s="126"/>
      <c r="WWH22" s="126"/>
      <c r="WWI22" s="126"/>
      <c r="WWJ22" s="126"/>
      <c r="WWK22" s="126"/>
      <c r="WWL22" s="126"/>
      <c r="WWM22" s="126"/>
      <c r="WWN22" s="126"/>
      <c r="WWO22" s="126"/>
      <c r="WWP22" s="126"/>
      <c r="WWQ22" s="126"/>
      <c r="WWR22" s="126"/>
      <c r="WWS22" s="126"/>
      <c r="WWT22" s="126"/>
      <c r="WWU22" s="126"/>
      <c r="WWV22" s="126"/>
      <c r="WWW22" s="126"/>
      <c r="WWX22" s="126"/>
      <c r="WWY22" s="126"/>
      <c r="WWZ22" s="126"/>
      <c r="WXA22" s="126"/>
      <c r="WXB22" s="126"/>
      <c r="WXC22" s="126"/>
      <c r="WXD22" s="126"/>
      <c r="WXE22" s="126"/>
      <c r="WXF22" s="126"/>
      <c r="WXG22" s="126"/>
      <c r="WXH22" s="126"/>
      <c r="WXI22" s="126"/>
      <c r="WXJ22" s="126"/>
      <c r="WXK22" s="126"/>
      <c r="WXL22" s="126"/>
      <c r="WXM22" s="126"/>
      <c r="WXN22" s="126"/>
      <c r="WXO22" s="126"/>
      <c r="WXP22" s="126"/>
      <c r="WXQ22" s="126"/>
      <c r="WXR22" s="126"/>
      <c r="WXS22" s="126"/>
      <c r="WXT22" s="126"/>
      <c r="WXU22" s="126"/>
      <c r="WXV22" s="126"/>
      <c r="WXW22" s="126"/>
      <c r="WXX22" s="126"/>
      <c r="WXY22" s="126"/>
      <c r="WXZ22" s="126"/>
      <c r="WYA22" s="126"/>
      <c r="WYB22" s="126"/>
      <c r="WYC22" s="126"/>
      <c r="WYD22" s="126"/>
      <c r="WYE22" s="126"/>
      <c r="WYF22" s="126"/>
      <c r="WYG22" s="126"/>
      <c r="WYH22" s="126"/>
      <c r="WYI22" s="126"/>
      <c r="WYJ22" s="126"/>
      <c r="WYK22" s="126"/>
      <c r="WYL22" s="126"/>
      <c r="WYM22" s="126"/>
      <c r="WYN22" s="126"/>
      <c r="WYO22" s="126"/>
      <c r="WYP22" s="126"/>
      <c r="WYQ22" s="126"/>
      <c r="WYR22" s="126"/>
      <c r="WYS22" s="126"/>
      <c r="WYT22" s="126"/>
      <c r="WYU22" s="126"/>
      <c r="WYV22" s="126"/>
      <c r="WYW22" s="126"/>
      <c r="WYX22" s="126"/>
      <c r="WYY22" s="126"/>
      <c r="WYZ22" s="126"/>
      <c r="WZA22" s="126"/>
      <c r="WZB22" s="126"/>
      <c r="WZC22" s="126"/>
      <c r="WZD22" s="126"/>
      <c r="WZE22" s="126"/>
      <c r="WZF22" s="126"/>
      <c r="WZG22" s="126"/>
      <c r="WZH22" s="126"/>
      <c r="WZI22" s="126"/>
      <c r="WZJ22" s="126"/>
      <c r="WZK22" s="126"/>
      <c r="WZL22" s="126"/>
      <c r="WZM22" s="126"/>
      <c r="WZN22" s="126"/>
      <c r="WZO22" s="126"/>
      <c r="WZP22" s="126"/>
      <c r="WZQ22" s="126"/>
      <c r="WZR22" s="126"/>
      <c r="WZS22" s="126"/>
      <c r="WZT22" s="126"/>
      <c r="WZU22" s="126"/>
      <c r="WZV22" s="126"/>
      <c r="WZW22" s="126"/>
      <c r="WZX22" s="126"/>
      <c r="WZY22" s="126"/>
      <c r="WZZ22" s="126"/>
      <c r="XAA22" s="126"/>
      <c r="XAB22" s="126"/>
      <c r="XAC22" s="126"/>
      <c r="XAD22" s="126"/>
      <c r="XAE22" s="126"/>
      <c r="XAF22" s="126"/>
      <c r="XAG22" s="126"/>
      <c r="XAH22" s="126"/>
      <c r="XAI22" s="126"/>
      <c r="XAJ22" s="126"/>
      <c r="XAK22" s="126"/>
      <c r="XAL22" s="126"/>
      <c r="XAM22" s="126"/>
      <c r="XAN22" s="126"/>
      <c r="XAO22" s="126"/>
      <c r="XAP22" s="126"/>
      <c r="XAQ22" s="126"/>
      <c r="XAR22" s="126"/>
      <c r="XAS22" s="126"/>
      <c r="XAT22" s="126"/>
      <c r="XAU22" s="126"/>
      <c r="XAV22" s="126"/>
      <c r="XAW22" s="126"/>
      <c r="XAX22" s="126"/>
      <c r="XAY22" s="126"/>
      <c r="XAZ22" s="126"/>
      <c r="XBA22" s="126"/>
      <c r="XBB22" s="126"/>
      <c r="XBC22" s="126"/>
      <c r="XBD22" s="126"/>
      <c r="XBE22" s="126"/>
      <c r="XBF22" s="126"/>
      <c r="XBG22" s="126"/>
      <c r="XBH22" s="126"/>
      <c r="XBI22" s="126"/>
      <c r="XBJ22" s="126"/>
      <c r="XBK22" s="126"/>
      <c r="XBL22" s="126"/>
      <c r="XBM22" s="126"/>
      <c r="XBN22" s="126"/>
      <c r="XBO22" s="126"/>
      <c r="XBP22" s="126"/>
      <c r="XBQ22" s="126"/>
      <c r="XBR22" s="126"/>
      <c r="XBS22" s="126"/>
      <c r="XBT22" s="126"/>
      <c r="XBU22" s="126"/>
      <c r="XBV22" s="126"/>
      <c r="XBW22" s="126"/>
      <c r="XBX22" s="126"/>
      <c r="XBY22" s="126"/>
      <c r="XBZ22" s="126"/>
      <c r="XCA22" s="126"/>
      <c r="XCB22" s="126"/>
      <c r="XCC22" s="126"/>
      <c r="XCD22" s="126"/>
      <c r="XCE22" s="126"/>
      <c r="XCF22" s="126"/>
      <c r="XCG22" s="126"/>
      <c r="XCH22" s="126"/>
      <c r="XCI22" s="126"/>
      <c r="XCJ22" s="126"/>
      <c r="XCK22" s="126"/>
      <c r="XCL22" s="126"/>
      <c r="XCM22" s="126"/>
      <c r="XCN22" s="126"/>
      <c r="XCO22" s="126"/>
      <c r="XCP22" s="126"/>
      <c r="XCQ22" s="126"/>
      <c r="XCR22" s="126"/>
      <c r="XCS22" s="126"/>
      <c r="XCT22" s="126"/>
      <c r="XCU22" s="126"/>
      <c r="XCV22" s="126"/>
      <c r="XCW22" s="126"/>
      <c r="XCX22" s="126"/>
      <c r="XCY22" s="126"/>
      <c r="XCZ22" s="126"/>
      <c r="XDA22" s="126"/>
      <c r="XDB22" s="126"/>
      <c r="XDC22" s="126"/>
      <c r="XDD22" s="126"/>
      <c r="XDE22" s="126"/>
      <c r="XDF22" s="126"/>
      <c r="XDG22" s="126"/>
      <c r="XDH22" s="126"/>
      <c r="XDI22" s="126"/>
      <c r="XDJ22" s="126"/>
      <c r="XDK22" s="126"/>
      <c r="XDL22" s="126"/>
      <c r="XDM22" s="126"/>
      <c r="XDN22" s="126"/>
      <c r="XDO22" s="126"/>
      <c r="XDP22" s="126"/>
      <c r="XDQ22" s="126"/>
      <c r="XDR22" s="126"/>
      <c r="XDS22" s="126"/>
      <c r="XDT22" s="126"/>
      <c r="XDU22" s="126"/>
      <c r="XDV22" s="126"/>
      <c r="XDW22" s="126"/>
      <c r="XDX22" s="126"/>
      <c r="XDY22" s="126"/>
      <c r="XDZ22" s="126"/>
      <c r="XEA22" s="126"/>
      <c r="XEB22" s="126"/>
      <c r="XEC22" s="126"/>
      <c r="XED22" s="126"/>
      <c r="XEE22" s="126"/>
      <c r="XEF22" s="126"/>
      <c r="XEG22" s="126"/>
      <c r="XEH22" s="126"/>
      <c r="XEI22" s="126"/>
      <c r="XEJ22" s="126"/>
      <c r="XEK22" s="126"/>
      <c r="XEL22" s="126"/>
      <c r="XEM22" s="126"/>
      <c r="XEN22" s="126"/>
      <c r="XEO22" s="126"/>
      <c r="XEP22" s="126"/>
      <c r="XEQ22" s="126"/>
      <c r="XER22" s="126"/>
      <c r="XES22" s="126"/>
      <c r="XET22" s="126"/>
      <c r="XEU22" s="126"/>
      <c r="XEV22" s="126"/>
      <c r="XEW22" s="126"/>
      <c r="XEX22" s="126"/>
      <c r="XEY22" s="126"/>
      <c r="XEZ22" s="126"/>
      <c r="XFA22" s="126"/>
      <c r="XFB22" s="126"/>
      <c r="XFC22" s="126"/>
    </row>
    <row r="23" spans="1:16383">
      <c r="B23" s="262"/>
      <c r="C23" s="277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3"/>
      <c r="P23" s="135" t="s">
        <v>55</v>
      </c>
      <c r="Q23" s="142">
        <f>MATCH(P23,Validation!$15:$15,0)</f>
        <v>22</v>
      </c>
      <c r="R23" s="143" t="str">
        <f>VLOOKUP($D$6,_05preva_view43[],'Handover Notice'!Q23,FALSE)</f>
        <v>OK</v>
      </c>
    </row>
    <row r="24" spans="1:16383">
      <c r="B24" s="263"/>
      <c r="C24" s="278"/>
      <c r="D24" s="274"/>
      <c r="E24" s="274"/>
      <c r="F24" s="274"/>
      <c r="G24" s="274"/>
      <c r="H24" s="274"/>
      <c r="I24" s="274"/>
      <c r="J24" s="274"/>
      <c r="K24" s="274"/>
      <c r="L24" s="274"/>
      <c r="M24" s="274"/>
      <c r="N24" s="275"/>
      <c r="P24" s="135" t="s">
        <v>22</v>
      </c>
      <c r="Q24" s="142">
        <f>MATCH(P24,Validation!$15:$15,0)</f>
        <v>23</v>
      </c>
      <c r="R24" s="143">
        <f>VLOOKUP($D$6,_05preva_view43[],'Handover Notice'!Q24,FALSE)</f>
        <v>0</v>
      </c>
    </row>
    <row r="25" spans="1:16383">
      <c r="K25" s="48"/>
      <c r="L25" s="48"/>
      <c r="M25" s="48"/>
      <c r="N25" s="48"/>
      <c r="P25" s="135" t="s">
        <v>56</v>
      </c>
      <c r="Q25" s="142">
        <f>MATCH(P25,Validation!$15:$15,0)</f>
        <v>24</v>
      </c>
      <c r="R25" s="143" t="str">
        <f>VLOOKUP($D$6,_05preva_view43[],'Handover Notice'!Q25,FALSE)</f>
        <v>OK</v>
      </c>
    </row>
    <row r="26" spans="1:16383" ht="21" customHeight="1">
      <c r="B26" s="207" t="s">
        <v>1803</v>
      </c>
      <c r="C26" s="159"/>
      <c r="D26" s="159"/>
      <c r="E26" s="147"/>
      <c r="F26" s="147"/>
      <c r="G26" s="160"/>
      <c r="H26" s="160"/>
      <c r="I26" s="148"/>
      <c r="J26" s="147"/>
      <c r="K26" s="160"/>
      <c r="L26" s="160"/>
      <c r="M26" s="149"/>
      <c r="N26" s="150"/>
      <c r="P26" s="135" t="s">
        <v>57</v>
      </c>
      <c r="Q26" s="142">
        <f>MATCH(P26,Validation!$15:$15,0)</f>
        <v>25</v>
      </c>
      <c r="R26" s="143" t="str">
        <f>VLOOKUP($D$6,_05preva_view43[],'Handover Notice'!Q26,FALSE)</f>
        <v xml:space="preserve">Existing on tower (Actual) - OML with 9.75 sqm / MPT - 4.43 sqm / New Colocation </v>
      </c>
    </row>
    <row r="27" spans="1:16383">
      <c r="B27" s="261" t="str">
        <f>R25</f>
        <v>OK</v>
      </c>
      <c r="C27" s="252" t="str">
        <f>IF(R26&gt;0,R26,"")</f>
        <v xml:space="preserve">Existing on tower (Actual) - OML with 9.75 sqm / MPT - 4.43 sqm / New Colocation </v>
      </c>
      <c r="D27" s="253"/>
      <c r="E27" s="253"/>
      <c r="F27" s="253"/>
      <c r="G27" s="253"/>
      <c r="H27" s="253"/>
      <c r="I27" s="253"/>
      <c r="J27" s="253"/>
      <c r="K27" s="253"/>
      <c r="L27" s="253"/>
      <c r="M27" s="253"/>
      <c r="N27" s="254"/>
      <c r="P27" s="135" t="s">
        <v>58</v>
      </c>
      <c r="Q27" s="142">
        <f>MATCH(P27,Validation!$15:$15,0)</f>
        <v>26</v>
      </c>
      <c r="R27" s="143" t="str">
        <f>VLOOKUP($D$6,_05preva_view43[],'Handover Notice'!Q27,FALSE)</f>
        <v>Rejected</v>
      </c>
    </row>
    <row r="28" spans="1:16383" ht="14.5" customHeight="1">
      <c r="B28" s="262"/>
      <c r="C28" s="255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7"/>
      <c r="P28" s="135" t="s">
        <v>1735</v>
      </c>
      <c r="Q28" s="142">
        <f>MATCH(P28,Validation!$15:$15,0)</f>
        <v>27</v>
      </c>
      <c r="R28" s="143">
        <f>VLOOKUP($D$6,_05preva_view43[],'Handover Notice'!Q28,FALSE)</f>
        <v>0</v>
      </c>
    </row>
    <row r="29" spans="1:16383" ht="14.5" customHeight="1">
      <c r="B29" s="263"/>
      <c r="C29" s="258"/>
      <c r="D29" s="259"/>
      <c r="E29" s="259"/>
      <c r="F29" s="259"/>
      <c r="G29" s="259"/>
      <c r="H29" s="259"/>
      <c r="I29" s="259"/>
      <c r="J29" s="259"/>
      <c r="K29" s="259"/>
      <c r="L29" s="259"/>
      <c r="M29" s="259"/>
      <c r="N29" s="260"/>
      <c r="P29" s="135" t="s">
        <v>1736</v>
      </c>
      <c r="Q29" s="142">
        <f>MATCH(P29,Validation!$15:$15,0)</f>
        <v>28</v>
      </c>
      <c r="R29" s="143">
        <f>VLOOKUP($D$6,_05preva_view43[],'Handover Notice'!Q29,FALSE)</f>
        <v>0</v>
      </c>
    </row>
    <row r="30" spans="1:16383" ht="14.5" customHeight="1">
      <c r="P30" s="135" t="s">
        <v>28</v>
      </c>
      <c r="Q30" s="142">
        <f>MATCH(P30,Validation!$15:$15,0)</f>
        <v>29</v>
      </c>
      <c r="R30" s="143" t="str">
        <f>VLOOKUP($D$6,_05preva_view43[],'Handover Notice'!Q30,FALSE)</f>
        <v>No</v>
      </c>
    </row>
    <row r="31" spans="1:16383" ht="18.5">
      <c r="B31" s="206" t="s">
        <v>1804</v>
      </c>
      <c r="C31" s="161"/>
      <c r="D31" s="161"/>
      <c r="E31" s="128"/>
      <c r="F31" s="128"/>
      <c r="G31" s="162"/>
      <c r="H31" s="162"/>
      <c r="I31" s="129"/>
      <c r="J31" s="128"/>
      <c r="K31" s="162"/>
      <c r="L31" s="162"/>
      <c r="M31" s="130"/>
      <c r="N31" s="131"/>
      <c r="P31" s="135" t="s">
        <v>59</v>
      </c>
      <c r="Q31" s="142">
        <f>MATCH(P31,Validation!$15:$15,0)</f>
        <v>30</v>
      </c>
      <c r="R31" s="143" t="str">
        <f>VLOOKUP($D$6,_05preva_view43[],'Handover Notice'!Q31,FALSE)</f>
        <v>WIND ZONE CHANGE:
Strengthened Tower(OML+MYTEL+KSGM(NEW)):  93.7  % (old wind zone 130 kPH)
Strengthened  Tower(OML+MYTEL+KSGM(NEW)): 138.4 % (new wind zone 160 kPH)
Estimated Strengthening(Tower steel weight: 3141.647kg ,Foundation Conc; weight 5.1m3 )</v>
      </c>
    </row>
    <row r="32" spans="1:16383" ht="17.5" customHeight="1">
      <c r="B32" s="261" t="str">
        <f>R27</f>
        <v>Rejected</v>
      </c>
      <c r="C32" s="169" t="s">
        <v>1735</v>
      </c>
      <c r="D32" s="165"/>
      <c r="E32" s="166"/>
      <c r="F32" s="167" t="str">
        <f>IF(R28&gt;0,R28,"")</f>
        <v/>
      </c>
      <c r="G32" s="168"/>
      <c r="H32" s="329" t="str">
        <f>IF(R31&gt;0,R31,"")</f>
        <v>WIND ZONE CHANGE:
Strengthened Tower(OML+MYTEL+KSGM(NEW)):  93.7  % (old wind zone 130 kPH)
Strengthened  Tower(OML+MYTEL+KSGM(NEW)): 138.4 % (new wind zone 160 kPH)
Estimated Strengthening(Tower steel weight: 3141.647kg ,Foundation Conc; weight 5.1m3 )</v>
      </c>
      <c r="I32" s="321"/>
      <c r="J32" s="321"/>
      <c r="K32" s="321"/>
      <c r="L32" s="321"/>
      <c r="M32" s="321"/>
      <c r="N32" s="322"/>
      <c r="P32" s="135" t="s">
        <v>19</v>
      </c>
      <c r="Q32" s="142">
        <f>MATCH(P32,Validation!$15:$15,0)</f>
        <v>31</v>
      </c>
      <c r="R32" s="143" t="str">
        <f>VLOOKUP($D$6,_05preva_view43[],'Handover Notice'!Q32,FALSE)</f>
        <v>OK</v>
      </c>
    </row>
    <row r="33" spans="2:18" ht="17.5" customHeight="1">
      <c r="B33" s="262"/>
      <c r="C33" s="169" t="s">
        <v>1736</v>
      </c>
      <c r="D33" s="165"/>
      <c r="E33" s="166"/>
      <c r="F33" s="167" t="str">
        <f>IF(R29&gt;0,R29,"")</f>
        <v/>
      </c>
      <c r="G33" s="168"/>
      <c r="H33" s="323"/>
      <c r="I33" s="324"/>
      <c r="J33" s="324"/>
      <c r="K33" s="324"/>
      <c r="L33" s="324"/>
      <c r="M33" s="324"/>
      <c r="N33" s="325"/>
      <c r="P33" s="135" t="s">
        <v>105</v>
      </c>
      <c r="Q33" s="142">
        <f>MATCH(P33,Validation!$15:$15,0)</f>
        <v>32</v>
      </c>
      <c r="R33" s="143">
        <f>VLOOKUP($D$6,_05preva_view43[],'Handover Notice'!Q33,FALSE)</f>
        <v>0</v>
      </c>
    </row>
    <row r="34" spans="2:18" ht="17.5" customHeight="1">
      <c r="B34" s="263"/>
      <c r="C34" s="169" t="s">
        <v>28</v>
      </c>
      <c r="D34" s="165"/>
      <c r="E34" s="166"/>
      <c r="F34" s="167" t="str">
        <f>IF(R30&gt;0,R30,"")</f>
        <v>No</v>
      </c>
      <c r="G34" s="168"/>
      <c r="H34" s="326"/>
      <c r="I34" s="327"/>
      <c r="J34" s="327"/>
      <c r="K34" s="327"/>
      <c r="L34" s="327"/>
      <c r="M34" s="327"/>
      <c r="N34" s="328"/>
      <c r="P34" s="135" t="s">
        <v>103</v>
      </c>
      <c r="Q34" s="142">
        <f>MATCH(P34,Validation!$15:$15,0)</f>
        <v>33</v>
      </c>
      <c r="R34" s="143">
        <f>VLOOKUP($D$6,_05preva_view43[],'Handover Notice'!Q34,FALSE)</f>
        <v>0</v>
      </c>
    </row>
    <row r="35" spans="2:18" ht="14.5" customHeight="1">
      <c r="F35" s="48"/>
      <c r="P35" s="135" t="s">
        <v>104</v>
      </c>
      <c r="Q35" s="142">
        <f>MATCH(P35,Validation!$15:$15,0)</f>
        <v>34</v>
      </c>
      <c r="R35" s="143">
        <f>VLOOKUP($D$6,_05preva_view43[],'Handover Notice'!Q35,FALSE)</f>
        <v>0</v>
      </c>
    </row>
    <row r="36" spans="2:18" ht="18.5">
      <c r="B36" s="205" t="s">
        <v>1805</v>
      </c>
      <c r="C36" s="170"/>
      <c r="D36" s="170"/>
      <c r="E36" s="171"/>
      <c r="F36" s="172"/>
      <c r="G36" s="173"/>
      <c r="H36" s="173"/>
      <c r="I36" s="174"/>
      <c r="J36" s="171"/>
      <c r="K36" s="173"/>
      <c r="L36" s="173"/>
      <c r="M36" s="175"/>
      <c r="N36" s="176"/>
      <c r="P36" s="135" t="s">
        <v>14</v>
      </c>
      <c r="Q36" s="142">
        <f>MATCH(P36,Validation!$15:$15,0)</f>
        <v>35</v>
      </c>
      <c r="R36" s="143">
        <f>VLOOKUP($D$6,_05preva_view43[],'Handover Notice'!Q36,FALSE)</f>
        <v>0</v>
      </c>
    </row>
    <row r="37" spans="2:18">
      <c r="B37" s="261" t="str">
        <f>R32</f>
        <v>OK</v>
      </c>
      <c r="C37" s="169" t="s">
        <v>105</v>
      </c>
      <c r="D37" s="165"/>
      <c r="E37" s="166"/>
      <c r="F37" s="167" t="str">
        <f>IF(R33&gt;0,R33,"")</f>
        <v/>
      </c>
      <c r="G37" s="168"/>
      <c r="H37" s="320" t="str">
        <f>IF(R36&gt;0,R36,"")</f>
        <v/>
      </c>
      <c r="I37" s="321"/>
      <c r="J37" s="321"/>
      <c r="K37" s="321"/>
      <c r="L37" s="321"/>
      <c r="M37" s="321"/>
      <c r="N37" s="322"/>
      <c r="P37" s="135" t="s">
        <v>60</v>
      </c>
      <c r="Q37" s="142">
        <f>MATCH(P37,Validation!$15:$15,0)</f>
        <v>36</v>
      </c>
      <c r="R37" s="143" t="str">
        <f>VLOOKUP($D$6,_05preva_view43[],'Handover Notice'!Q37,FALSE)</f>
        <v>OK</v>
      </c>
    </row>
    <row r="38" spans="2:18" ht="14.5" customHeight="1">
      <c r="B38" s="262"/>
      <c r="C38" s="169" t="s">
        <v>103</v>
      </c>
      <c r="D38" s="165"/>
      <c r="E38" s="166"/>
      <c r="F38" s="167" t="str">
        <f t="shared" ref="F38:F39" si="0">IF(R34&gt;0,R34,"")</f>
        <v/>
      </c>
      <c r="G38" s="168"/>
      <c r="H38" s="323"/>
      <c r="I38" s="324"/>
      <c r="J38" s="324"/>
      <c r="K38" s="324"/>
      <c r="L38" s="324"/>
      <c r="M38" s="324"/>
      <c r="N38" s="325"/>
      <c r="P38" s="135" t="s">
        <v>29</v>
      </c>
      <c r="Q38" s="142">
        <f>MATCH(P38,Validation!$15:$15,0)</f>
        <v>37</v>
      </c>
      <c r="R38" s="143" t="str">
        <f>VLOOKUP($D$6,_05preva_view43[],'Handover Notice'!Q38,FALSE)</f>
        <v>Yes</v>
      </c>
    </row>
    <row r="39" spans="2:18" ht="14.5" customHeight="1">
      <c r="B39" s="263"/>
      <c r="C39" s="169" t="s">
        <v>104</v>
      </c>
      <c r="D39" s="165"/>
      <c r="E39" s="166"/>
      <c r="F39" s="177" t="str">
        <f t="shared" si="0"/>
        <v/>
      </c>
      <c r="G39" s="168"/>
      <c r="H39" s="326"/>
      <c r="I39" s="327"/>
      <c r="J39" s="327"/>
      <c r="K39" s="327"/>
      <c r="L39" s="327"/>
      <c r="M39" s="327"/>
      <c r="N39" s="328"/>
      <c r="P39" s="135" t="s">
        <v>61</v>
      </c>
      <c r="Q39" s="142">
        <f>MATCH(P39,Validation!$15:$15,0)</f>
        <v>38</v>
      </c>
      <c r="R39" s="143" t="str">
        <f>VLOOKUP($D$6,_05preva_view43[],'Handover Notice'!Q39,FALSE)</f>
        <v xml:space="preserve">Need new slab </v>
      </c>
    </row>
    <row r="41" spans="2:18" ht="18.5">
      <c r="B41" s="204" t="s">
        <v>1806</v>
      </c>
      <c r="C41" s="178"/>
      <c r="D41" s="178"/>
      <c r="E41" s="179"/>
      <c r="F41" s="179"/>
      <c r="G41" s="180"/>
      <c r="H41" s="180"/>
      <c r="I41" s="181"/>
      <c r="J41" s="179"/>
      <c r="K41" s="180"/>
      <c r="L41" s="180"/>
      <c r="M41" s="182"/>
      <c r="N41" s="183"/>
      <c r="P41" s="135" t="s">
        <v>107</v>
      </c>
      <c r="Q41" s="142">
        <f>MATCH(P41,Validation!$15:$15,0)</f>
        <v>42</v>
      </c>
      <c r="R41" s="143">
        <f>VLOOKUP($D$6,_05preva_view43[],'Handover Notice'!Q41,FALSE)</f>
        <v>0</v>
      </c>
    </row>
    <row r="42" spans="2:18">
      <c r="B42" s="261" t="str">
        <f>R37</f>
        <v>OK</v>
      </c>
      <c r="C42" s="264" t="s">
        <v>29</v>
      </c>
      <c r="D42" s="265"/>
      <c r="E42" s="265"/>
      <c r="F42" s="270" t="str">
        <f t="shared" ref="F42" si="1">IF(R38&gt;0,R38,"")</f>
        <v>Yes</v>
      </c>
      <c r="G42" s="271"/>
      <c r="H42" s="320" t="str">
        <f>IF(R39&gt;0,R39,"")</f>
        <v xml:space="preserve">Need new slab </v>
      </c>
      <c r="I42" s="321"/>
      <c r="J42" s="321"/>
      <c r="K42" s="321"/>
      <c r="L42" s="321"/>
      <c r="M42" s="321"/>
      <c r="N42" s="322"/>
      <c r="P42" s="135" t="s">
        <v>33</v>
      </c>
      <c r="Q42" s="142">
        <f>MATCH(P42,Validation!$15:$15,0)</f>
        <v>43</v>
      </c>
      <c r="R42" s="143">
        <f>VLOOKUP($D$6,_05preva_view43[],'Handover Notice'!Q42,FALSE)</f>
        <v>0</v>
      </c>
    </row>
    <row r="43" spans="2:18" ht="14.5" customHeight="1">
      <c r="B43" s="262"/>
      <c r="C43" s="266"/>
      <c r="D43" s="267"/>
      <c r="E43" s="267"/>
      <c r="F43" s="272"/>
      <c r="G43" s="273"/>
      <c r="H43" s="323"/>
      <c r="I43" s="324"/>
      <c r="J43" s="324"/>
      <c r="K43" s="324"/>
      <c r="L43" s="324"/>
      <c r="M43" s="324"/>
      <c r="N43" s="325"/>
      <c r="P43" s="135" t="s">
        <v>109</v>
      </c>
      <c r="Q43" s="142">
        <f>MATCH(P43,Validation!$15:$15,0)</f>
        <v>44</v>
      </c>
      <c r="R43" s="143" t="str">
        <f>VLOOKUP($D$6,_05preva_view43[],'Handover Notice'!Q43,FALSE)</f>
        <v>Approved by Management</v>
      </c>
    </row>
    <row r="44" spans="2:18" ht="14.5" customHeight="1">
      <c r="B44" s="263"/>
      <c r="C44" s="268"/>
      <c r="D44" s="269"/>
      <c r="E44" s="269"/>
      <c r="F44" s="274"/>
      <c r="G44" s="275"/>
      <c r="H44" s="326"/>
      <c r="I44" s="327"/>
      <c r="J44" s="327"/>
      <c r="K44" s="327"/>
      <c r="L44" s="327"/>
      <c r="M44" s="327"/>
      <c r="N44" s="328"/>
      <c r="P44" s="135" t="s">
        <v>84</v>
      </c>
      <c r="Q44" s="142">
        <f>MATCH(P44,Validation!$15:$15,0)</f>
        <v>45</v>
      </c>
      <c r="R44" s="143" t="str">
        <f>VLOOKUP($D$6,_05preva_view43[],'Handover Notice'!Q44,FALSE)</f>
        <v>22-Jan-2019, structural approved as per Rudy and Steve.</v>
      </c>
    </row>
    <row r="45" spans="2:18" ht="14.5" customHeight="1">
      <c r="B45" s="200"/>
      <c r="C45" s="201"/>
      <c r="D45" s="201"/>
      <c r="E45" s="201"/>
      <c r="F45" s="164"/>
      <c r="G45" s="164"/>
      <c r="H45" s="184"/>
      <c r="I45" s="184"/>
      <c r="J45" s="184"/>
      <c r="K45" s="184"/>
      <c r="L45" s="184"/>
      <c r="M45" s="184"/>
      <c r="N45" s="184"/>
      <c r="P45" s="135" t="s">
        <v>51</v>
      </c>
      <c r="Q45" s="142">
        <f>MATCH(P45,Validation!$15:$15,0)</f>
        <v>18</v>
      </c>
      <c r="R45" s="143" t="str">
        <f>VLOOKUP($D$6,_05preva_view43[],'Handover Notice'!Q45,FALSE)</f>
        <v>Prevalidated</v>
      </c>
    </row>
    <row r="46" spans="2:18" ht="18.5">
      <c r="B46" s="203" t="s">
        <v>1807</v>
      </c>
      <c r="C46" s="185"/>
      <c r="D46" s="185"/>
      <c r="E46" s="186"/>
      <c r="F46" s="186"/>
      <c r="G46" s="187"/>
      <c r="H46" s="187"/>
      <c r="I46" s="188"/>
      <c r="J46" s="186"/>
      <c r="K46" s="187"/>
      <c r="L46" s="187"/>
      <c r="M46" s="189"/>
      <c r="N46" s="190"/>
    </row>
    <row r="47" spans="2:18">
      <c r="B47" s="261" t="str">
        <f>R45</f>
        <v>Prevalidated</v>
      </c>
      <c r="C47" s="264" t="s">
        <v>1808</v>
      </c>
      <c r="D47" s="265"/>
      <c r="E47" s="265"/>
      <c r="F47" s="270" t="str">
        <f>IF(R42&gt;0,R42,"")</f>
        <v/>
      </c>
      <c r="G47" s="271"/>
      <c r="H47" s="320" t="str">
        <f>IF(R43&gt;0,R43,"")</f>
        <v>Approved by Management</v>
      </c>
      <c r="I47" s="321"/>
      <c r="J47" s="321"/>
      <c r="K47" s="321"/>
      <c r="L47" s="321"/>
      <c r="M47" s="321"/>
      <c r="N47" s="322"/>
    </row>
    <row r="48" spans="2:18" ht="14.5" customHeight="1">
      <c r="B48" s="262"/>
      <c r="C48" s="266"/>
      <c r="D48" s="267"/>
      <c r="E48" s="267"/>
      <c r="F48" s="272"/>
      <c r="G48" s="273"/>
      <c r="H48" s="323" t="str">
        <f>IF(R44&gt;0,R44,"")</f>
        <v>22-Jan-2019, structural approved as per Rudy and Steve.</v>
      </c>
      <c r="I48" s="324"/>
      <c r="J48" s="324"/>
      <c r="K48" s="324"/>
      <c r="L48" s="324"/>
      <c r="M48" s="324"/>
      <c r="N48" s="325"/>
    </row>
    <row r="49" spans="2:14" ht="14.5" customHeight="1">
      <c r="B49" s="263"/>
      <c r="C49" s="268"/>
      <c r="D49" s="269"/>
      <c r="E49" s="269"/>
      <c r="F49" s="274"/>
      <c r="G49" s="275"/>
      <c r="H49" s="326"/>
      <c r="I49" s="327"/>
      <c r="J49" s="327"/>
      <c r="K49" s="327"/>
      <c r="L49" s="327"/>
      <c r="M49" s="327"/>
      <c r="N49" s="328"/>
    </row>
    <row r="50" spans="2:14" ht="14.5" customHeight="1">
      <c r="B50" s="200"/>
      <c r="C50" s="201"/>
      <c r="D50" s="201"/>
      <c r="E50" s="201"/>
      <c r="F50" s="164"/>
      <c r="G50" s="164"/>
      <c r="H50" s="184"/>
      <c r="I50" s="184"/>
      <c r="J50" s="184"/>
      <c r="K50" s="184"/>
      <c r="L50" s="184"/>
      <c r="M50" s="184"/>
      <c r="N50" s="184"/>
    </row>
    <row r="51" spans="2:14" ht="14.5" customHeight="1">
      <c r="B51" s="200"/>
      <c r="C51" s="201"/>
      <c r="D51" s="201"/>
      <c r="E51" s="201"/>
      <c r="F51" s="164"/>
      <c r="G51" s="164"/>
      <c r="H51" s="184"/>
      <c r="I51" s="184"/>
      <c r="J51" s="184"/>
      <c r="K51" s="184"/>
      <c r="L51" s="184"/>
      <c r="M51" s="184"/>
      <c r="N51" s="184"/>
    </row>
    <row r="52" spans="2:14" ht="18.5">
      <c r="C52" s="319"/>
      <c r="D52" s="319"/>
      <c r="E52" s="319"/>
      <c r="F52" s="319"/>
      <c r="G52" s="227"/>
      <c r="H52" s="227"/>
      <c r="I52" s="249" t="s">
        <v>1809</v>
      </c>
      <c r="J52" s="250"/>
      <c r="K52" s="250"/>
      <c r="L52" s="251"/>
    </row>
    <row r="53" spans="2:14">
      <c r="C53" s="194"/>
      <c r="D53" s="194"/>
      <c r="E53" s="194"/>
      <c r="F53" s="194"/>
      <c r="I53" s="191"/>
      <c r="J53" s="192"/>
      <c r="K53" s="192"/>
      <c r="L53" s="197"/>
    </row>
    <row r="54" spans="2:14" ht="14.5" customHeight="1">
      <c r="C54" s="194"/>
      <c r="D54" s="194"/>
      <c r="E54" s="194"/>
      <c r="F54" s="194"/>
      <c r="I54" s="193"/>
      <c r="J54" s="194"/>
      <c r="K54" s="194"/>
      <c r="L54" s="198"/>
    </row>
    <row r="55" spans="2:14" ht="14.5" customHeight="1">
      <c r="C55" s="194"/>
      <c r="D55" s="194"/>
      <c r="E55" s="194"/>
      <c r="F55" s="194"/>
      <c r="I55" s="193"/>
      <c r="J55" s="194"/>
      <c r="K55" s="194"/>
      <c r="L55" s="198"/>
    </row>
    <row r="56" spans="2:14" ht="14.5" customHeight="1">
      <c r="C56" s="194"/>
      <c r="D56" s="194"/>
      <c r="E56" s="194"/>
      <c r="F56" s="194"/>
      <c r="I56" s="193"/>
      <c r="J56" s="194"/>
      <c r="K56" s="194"/>
      <c r="L56" s="198"/>
    </row>
    <row r="57" spans="2:14" ht="14.5" customHeight="1">
      <c r="C57" s="194"/>
      <c r="D57" s="194"/>
      <c r="E57" s="194"/>
      <c r="F57" s="194"/>
      <c r="I57" s="195"/>
      <c r="J57" s="196"/>
      <c r="K57" s="196"/>
      <c r="L57" s="199"/>
    </row>
  </sheetData>
  <sheetProtection selectLockedCells="1"/>
  <mergeCells count="44">
    <mergeCell ref="B2:N2"/>
    <mergeCell ref="C6:C7"/>
    <mergeCell ref="D6:D7"/>
    <mergeCell ref="F42:G44"/>
    <mergeCell ref="K17:L17"/>
    <mergeCell ref="I17:J17"/>
    <mergeCell ref="G17:H17"/>
    <mergeCell ref="B6:B7"/>
    <mergeCell ref="B37:B39"/>
    <mergeCell ref="B42:B44"/>
    <mergeCell ref="B22:B24"/>
    <mergeCell ref="C22:N24"/>
    <mergeCell ref="B27:B29"/>
    <mergeCell ref="C27:N29"/>
    <mergeCell ref="B32:B34"/>
    <mergeCell ref="H32:N34"/>
    <mergeCell ref="H37:N39"/>
    <mergeCell ref="C52:F52"/>
    <mergeCell ref="H42:N44"/>
    <mergeCell ref="B47:B49"/>
    <mergeCell ref="C47:E49"/>
    <mergeCell ref="F47:G49"/>
    <mergeCell ref="H48:N49"/>
    <mergeCell ref="H47:N47"/>
    <mergeCell ref="C42:E44"/>
    <mergeCell ref="M6:N6"/>
    <mergeCell ref="K18:L18"/>
    <mergeCell ref="M17:N17"/>
    <mergeCell ref="M18:N18"/>
    <mergeCell ref="I52:L52"/>
    <mergeCell ref="M7:N7"/>
    <mergeCell ref="C17:D17"/>
    <mergeCell ref="C18:D18"/>
    <mergeCell ref="E17:F17"/>
    <mergeCell ref="C12:D12"/>
    <mergeCell ref="C13:D13"/>
    <mergeCell ref="E12:F12"/>
    <mergeCell ref="E13:F13"/>
    <mergeCell ref="C9:D9"/>
    <mergeCell ref="E9:F9"/>
    <mergeCell ref="G9:H9"/>
    <mergeCell ref="C10:D10"/>
    <mergeCell ref="G10:H10"/>
    <mergeCell ref="E10:F10"/>
  </mergeCells>
  <dataValidations count="2">
    <dataValidation type="whole" operator="greaterThan" allowBlank="1" showInputMessage="1" showErrorMessage="1" sqref="D6" xr:uid="{3FCD7C0A-B4DE-4764-8DF6-2F5B22B29143}">
      <formula1>0</formula1>
    </dataValidation>
    <dataValidation operator="greaterThan" allowBlank="1" showInputMessage="1" showErrorMessage="1" sqref="C6" xr:uid="{89CAF0A8-BEAB-48E3-A6A0-A5852D68588C}"/>
  </dataValidations>
  <pageMargins left="0.25" right="0.25" top="0.75" bottom="0.75" header="0.3" footer="0.3"/>
  <pageSetup paperSize="9" scale="77" fitToHeight="0" orientation="portrait" horizontalDpi="300" verticalDpi="300" r:id="rId1"/>
  <colBreaks count="1" manualBreakCount="1">
    <brk id="15" max="3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theme="9" tint="0.39997558519241921"/>
    <outlinePr summaryBelow="0" summaryRight="0"/>
  </sheetPr>
  <dimension ref="A1:EV524"/>
  <sheetViews>
    <sheetView showGridLines="0" workbookViewId="0">
      <pane xSplit="6" ySplit="15" topLeftCell="K46" activePane="bottomRight" state="frozen"/>
      <selection activeCell="A12" sqref="A12"/>
      <selection pane="topRight" activeCell="G12" sqref="G12"/>
      <selection pane="bottomLeft" activeCell="A16" sqref="A16"/>
      <selection pane="bottomRight" activeCell="R16" sqref="R16"/>
    </sheetView>
  </sheetViews>
  <sheetFormatPr defaultColWidth="9.1796875" defaultRowHeight="14.5" outlineLevelCol="1"/>
  <cols>
    <col min="1" max="1" width="10.54296875" style="6" customWidth="1"/>
    <col min="2" max="2" width="16.7265625" style="3" bestFit="1" customWidth="1"/>
    <col min="3" max="4" width="14.1796875" style="3" customWidth="1" outlineLevel="1"/>
    <col min="5" max="6" width="14.1796875" style="3" customWidth="1"/>
    <col min="7" max="7" width="20.453125" style="3" customWidth="1"/>
    <col min="8" max="8" width="14.1796875" style="3" customWidth="1"/>
    <col min="9" max="9" width="23.1796875" style="3" customWidth="1"/>
    <col min="10" max="10" width="14.1796875" style="3" customWidth="1"/>
    <col min="11" max="11" width="14.1796875" style="3" customWidth="1" collapsed="1"/>
    <col min="12" max="14" width="14.1796875" style="3" hidden="1" customWidth="1" outlineLevel="1"/>
    <col min="15" max="15" width="11" style="3" hidden="1" customWidth="1" outlineLevel="1"/>
    <col min="16" max="16" width="13.54296875" style="3" hidden="1" customWidth="1" outlineLevel="1"/>
    <col min="17" max="17" width="15.1796875" style="3" hidden="1" customWidth="1" outlineLevel="1"/>
    <col min="18" max="18" width="31.1796875" style="3" customWidth="1"/>
    <col min="19" max="19" width="39.1796875" style="3" customWidth="1" outlineLevel="1"/>
    <col min="20" max="20" width="5.54296875" style="3" customWidth="1" collapsed="1"/>
    <col min="21" max="21" width="68.7265625" style="3" hidden="1" customWidth="1" outlineLevel="1"/>
    <col min="22" max="22" width="5.7265625" style="3" customWidth="1" collapsed="1"/>
    <col min="23" max="23" width="39" style="3" hidden="1" customWidth="1" outlineLevel="1"/>
    <col min="24" max="24" width="5.7265625" style="3" customWidth="1" collapsed="1"/>
    <col min="25" max="25" width="76.26953125" style="3" hidden="1" customWidth="1" outlineLevel="1"/>
    <col min="26" max="26" width="5.7265625" style="3" customWidth="1"/>
    <col min="27" max="27" width="13.54296875" style="3" customWidth="1" outlineLevel="1"/>
    <col min="28" max="28" width="12.1796875" style="3" customWidth="1" outlineLevel="1"/>
    <col min="29" max="29" width="9.1796875" style="3" customWidth="1" outlineLevel="1"/>
    <col min="30" max="30" width="18.90625" style="3" customWidth="1" outlineLevel="1"/>
    <col min="31" max="31" width="5.7265625" style="3" customWidth="1" collapsed="1"/>
    <col min="32" max="32" width="13.453125" style="3" hidden="1" customWidth="1" outlineLevel="1"/>
    <col min="33" max="33" width="11.36328125" style="3" hidden="1" customWidth="1" outlineLevel="1"/>
    <col min="34" max="34" width="12.90625" style="3" hidden="1" customWidth="1" outlineLevel="1"/>
    <col min="35" max="35" width="65" style="3" hidden="1" customWidth="1" outlineLevel="1"/>
    <col min="36" max="36" width="5.7265625" style="3" customWidth="1"/>
    <col min="37" max="37" width="12.26953125" style="3" customWidth="1" outlineLevel="1"/>
    <col min="38" max="38" width="87.26953125" style="3" customWidth="1" outlineLevel="1"/>
    <col min="39" max="39" width="7.6328125" style="3" customWidth="1"/>
    <col min="40" max="40" width="34.1796875" style="3" customWidth="1" outlineLevel="1"/>
    <col min="41" max="41" width="13.7265625" style="3" customWidth="1"/>
    <col min="42" max="42" width="13.36328125" style="8" customWidth="1" outlineLevel="1"/>
    <col min="43" max="43" width="15.1796875" style="6" customWidth="1" outlineLevel="1"/>
    <col min="44" max="44" width="10.08984375" style="6" customWidth="1"/>
    <col min="45" max="52" width="15.1796875" style="6" customWidth="1" outlineLevel="1"/>
    <col min="53" max="54" width="15.1796875" style="6" customWidth="1"/>
    <col min="55" max="55" width="15.1796875" style="6" customWidth="1" collapsed="1"/>
    <col min="56" max="56" width="48.36328125" style="6" hidden="1" customWidth="1"/>
    <col min="57" max="57" width="15.1796875" style="6" hidden="1" customWidth="1"/>
    <col min="58" max="58" width="46" style="6" hidden="1" customWidth="1"/>
    <col min="59" max="59" width="15.1796875" style="64" hidden="1" customWidth="1"/>
    <col min="60" max="60" width="16.7265625" style="63" hidden="1" customWidth="1"/>
    <col min="61" max="61" width="13.81640625" style="63" hidden="1" customWidth="1"/>
    <col min="62" max="62" width="66.453125" style="63" hidden="1" customWidth="1"/>
    <col min="63" max="64" width="13.81640625" style="63" hidden="1" customWidth="1"/>
    <col min="65" max="89" width="13.81640625" style="3" customWidth="1"/>
    <col min="90" max="90" width="51.1796875" style="5" bestFit="1" customWidth="1"/>
    <col min="91" max="91" width="5.7265625" style="5" customWidth="1"/>
    <col min="92" max="92" width="61.26953125" style="3" customWidth="1"/>
    <col min="93" max="93" width="5.7265625" style="5" customWidth="1" collapsed="1"/>
    <col min="94" max="94" width="18.1796875" style="5" customWidth="1"/>
    <col min="95" max="95" width="58.453125" style="5" customWidth="1"/>
    <col min="96" max="96" width="17" style="5" customWidth="1" collapsed="1"/>
    <col min="97" max="97" width="54.453125" style="5" customWidth="1"/>
    <col min="98" max="98" width="5.7265625" style="3" customWidth="1" collapsed="1"/>
    <col min="99" max="99" width="81.1796875" style="3" customWidth="1"/>
    <col min="100" max="100" width="17" style="5" customWidth="1" collapsed="1"/>
    <col min="101" max="101" width="15.81640625" style="3" customWidth="1"/>
    <col min="102" max="102" width="5.26953125" style="3" customWidth="1"/>
    <col min="103" max="103" width="32" style="3" customWidth="1"/>
    <col min="104" max="104" width="24.1796875" style="3" customWidth="1"/>
    <col min="105" max="105" width="6" style="3" customWidth="1"/>
    <col min="106" max="107" width="24.1796875" style="3" customWidth="1"/>
    <col min="108" max="108" width="5.7265625" style="3" customWidth="1" collapsed="1"/>
    <col min="109" max="109" width="49" style="3" customWidth="1"/>
    <col min="110" max="110" width="5.7265625" style="3" customWidth="1" collapsed="1"/>
    <col min="111" max="111" width="24.1796875" style="3" customWidth="1"/>
    <col min="112" max="112" width="8" style="3" customWidth="1"/>
    <col min="113" max="121" width="38.81640625" style="3" customWidth="1"/>
    <col min="122" max="122" width="24.1796875" style="3" customWidth="1"/>
    <col min="123" max="123" width="35" style="3" customWidth="1"/>
    <col min="124" max="124" width="4.26953125" style="5" customWidth="1" collapsed="1"/>
    <col min="125" max="125" width="31.1796875" style="3" customWidth="1"/>
    <col min="126" max="126" width="4.26953125" style="3" customWidth="1" collapsed="1"/>
    <col min="127" max="127" width="22.1796875" style="3" customWidth="1"/>
    <col min="128" max="128" width="7.7265625" style="3" customWidth="1"/>
    <col min="129" max="131" width="34.81640625" style="3" customWidth="1"/>
    <col min="132" max="132" width="20" style="3" customWidth="1"/>
    <col min="133" max="134" width="22.1796875" style="3" customWidth="1"/>
    <col min="135" max="135" width="13.26953125" style="3" bestFit="1" customWidth="1"/>
    <col min="136" max="136" width="22.1796875" style="3" customWidth="1"/>
    <col min="137" max="137" width="14.1796875" style="3" customWidth="1"/>
    <col min="138" max="141" width="4.26953125" style="7" customWidth="1"/>
    <col min="142" max="142" width="58.453125" style="4" customWidth="1"/>
    <col min="143" max="143" width="10" style="4" customWidth="1"/>
    <col min="144" max="144" width="41.81640625" style="4" customWidth="1"/>
    <col min="145" max="145" width="12.54296875" style="4" customWidth="1"/>
    <col min="146" max="146" width="19.453125" style="4" customWidth="1"/>
    <col min="147" max="147" width="57.453125" style="4" customWidth="1"/>
    <col min="148" max="148" width="22.26953125" style="4" customWidth="1"/>
    <col min="149" max="149" width="30.1796875" style="4" customWidth="1"/>
    <col min="150" max="150" width="47.7265625" style="4" customWidth="1"/>
    <col min="151" max="152" width="9.1796875" style="4"/>
    <col min="153" max="16384" width="9.1796875" style="2"/>
  </cols>
  <sheetData>
    <row r="1" spans="1:152" s="17" customFormat="1" hidden="1">
      <c r="A1" s="9" t="s">
        <v>4</v>
      </c>
      <c r="B1" s="10" t="s">
        <v>75</v>
      </c>
      <c r="C1" s="11"/>
      <c r="D1" s="11"/>
      <c r="E1" s="11"/>
      <c r="F1" s="12"/>
      <c r="G1" s="13"/>
      <c r="H1" s="14"/>
      <c r="I1" s="15"/>
      <c r="J1" s="15"/>
      <c r="K1" s="15"/>
      <c r="L1" s="15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54"/>
      <c r="BH1" s="54"/>
      <c r="BI1" s="54"/>
      <c r="BJ1" s="54"/>
      <c r="BK1" s="54"/>
      <c r="BL1" s="54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6"/>
      <c r="CY1" s="16"/>
      <c r="CZ1" s="16"/>
      <c r="DA1" s="16"/>
    </row>
    <row r="2" spans="1:152" s="17" customFormat="1" hidden="1">
      <c r="A2" s="18" t="s">
        <v>7</v>
      </c>
      <c r="B2" s="15"/>
      <c r="C2" s="11"/>
      <c r="D2" s="11"/>
      <c r="E2" s="11"/>
      <c r="F2" s="19"/>
      <c r="G2" s="20"/>
      <c r="H2" s="2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54"/>
      <c r="BH2" s="54"/>
      <c r="BI2" s="54"/>
      <c r="BJ2" s="54"/>
      <c r="BK2" s="54"/>
      <c r="BL2" s="54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6"/>
      <c r="CY2" s="16"/>
      <c r="CZ2" s="16"/>
      <c r="DA2" s="16"/>
    </row>
    <row r="3" spans="1:152" s="17" customFormat="1" hidden="1">
      <c r="A3" s="21" t="s">
        <v>2</v>
      </c>
      <c r="B3" s="22"/>
      <c r="C3" s="23"/>
      <c r="D3" s="79"/>
      <c r="E3" s="23"/>
      <c r="F3" s="22"/>
      <c r="G3" s="22"/>
      <c r="H3" s="22"/>
      <c r="I3" s="22"/>
      <c r="J3" s="22"/>
      <c r="K3" s="22"/>
      <c r="L3" s="22"/>
      <c r="M3" s="39"/>
      <c r="N3" s="22"/>
      <c r="O3" s="22"/>
      <c r="P3" s="22"/>
      <c r="Q3" s="11"/>
      <c r="R3" s="11"/>
      <c r="S3" s="39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54"/>
      <c r="BH3" s="54"/>
      <c r="BI3" s="54"/>
      <c r="BJ3" s="54"/>
      <c r="BK3" s="54"/>
      <c r="BL3" s="54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6"/>
      <c r="CV3" s="16"/>
      <c r="CW3" s="16"/>
      <c r="CX3" s="16"/>
    </row>
    <row r="4" spans="1:152" s="25" customFormat="1" hidden="1">
      <c r="A4" s="24">
        <f>MATCH(A3,10:10,0)</f>
        <v>1</v>
      </c>
      <c r="B4" s="24"/>
      <c r="C4" s="24"/>
      <c r="D4" s="80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55"/>
      <c r="BH4" s="55"/>
      <c r="BI4" s="55"/>
      <c r="BJ4" s="55"/>
      <c r="BK4" s="55"/>
      <c r="BL4" s="55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16"/>
      <c r="CV4" s="16"/>
      <c r="CW4" s="16"/>
      <c r="CX4" s="16"/>
    </row>
    <row r="5" spans="1:152" s="25" customFormat="1" hidden="1">
      <c r="A5" s="24">
        <v>22</v>
      </c>
      <c r="B5" s="24"/>
      <c r="C5" s="24"/>
      <c r="D5" s="80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55"/>
      <c r="BH5" s="55"/>
      <c r="BI5" s="55"/>
      <c r="BJ5" s="55"/>
      <c r="BK5" s="55"/>
      <c r="BL5" s="55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16"/>
      <c r="CV5" s="16"/>
      <c r="CW5" s="16"/>
      <c r="CX5" s="16"/>
    </row>
    <row r="6" spans="1:152" s="27" customFormat="1" hidden="1">
      <c r="A6" s="26" t="s">
        <v>5</v>
      </c>
      <c r="F6" s="28"/>
      <c r="G6" s="29"/>
      <c r="H6" s="29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56"/>
      <c r="BH6" s="56"/>
      <c r="BI6" s="56"/>
      <c r="BJ6" s="56"/>
      <c r="BK6" s="56"/>
      <c r="BL6" s="56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1"/>
      <c r="CY6" s="31"/>
      <c r="CZ6" s="31"/>
      <c r="DA6" s="31"/>
    </row>
    <row r="7" spans="1:152" s="27" customFormat="1" hidden="1">
      <c r="A7" s="29" t="str">
        <f>IF(A8&lt;&gt;"","Operator","")</f>
        <v/>
      </c>
      <c r="B7" s="29" t="str">
        <f>IF(B8&lt;&gt;"","Status","")</f>
        <v/>
      </c>
      <c r="C7" s="29"/>
      <c r="D7" s="29"/>
      <c r="E7" s="29"/>
      <c r="F7" s="28"/>
      <c r="G7" s="29"/>
      <c r="H7" s="32" t="s">
        <v>24</v>
      </c>
      <c r="I7" s="32" t="s">
        <v>25</v>
      </c>
      <c r="J7" s="32" t="s">
        <v>26</v>
      </c>
      <c r="K7" s="32" t="s">
        <v>27</v>
      </c>
      <c r="L7" s="32"/>
      <c r="M7" s="32"/>
      <c r="N7" s="32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5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56"/>
      <c r="BH7" s="56"/>
      <c r="BI7" s="56"/>
      <c r="BJ7" s="56"/>
      <c r="BK7" s="56"/>
      <c r="BL7" s="56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1"/>
      <c r="CY7" s="31"/>
      <c r="CZ7" s="31"/>
      <c r="DA7" s="31"/>
    </row>
    <row r="8" spans="1:152" s="27" customFormat="1" hidden="1">
      <c r="A8" s="33" t="str">
        <f>IF($C$13&lt;&gt;"",$C$13,"")</f>
        <v/>
      </c>
      <c r="B8" s="33" t="str">
        <f>IF($R$13&lt;&gt;"",$R$13,"")</f>
        <v/>
      </c>
      <c r="C8" s="29"/>
      <c r="D8" s="29"/>
      <c r="E8" s="29"/>
      <c r="F8" s="75" t="s">
        <v>38</v>
      </c>
      <c r="G8" s="76" t="s">
        <v>41</v>
      </c>
      <c r="H8" s="76" t="s">
        <v>35</v>
      </c>
      <c r="I8" s="77" t="s">
        <v>34</v>
      </c>
      <c r="J8" s="77" t="s">
        <v>40</v>
      </c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56"/>
      <c r="BH8" s="56"/>
      <c r="BI8" s="56"/>
      <c r="BJ8" s="56"/>
      <c r="BK8" s="56"/>
      <c r="BL8" s="56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1"/>
      <c r="CY8" s="31"/>
      <c r="CZ8" s="31"/>
      <c r="DA8" s="31"/>
    </row>
    <row r="9" spans="1:152" s="36" customFormat="1" hidden="1">
      <c r="A9" s="34" t="s">
        <v>6</v>
      </c>
      <c r="B9" s="29"/>
      <c r="C9" s="29"/>
      <c r="D9" s="29"/>
      <c r="E9" s="29"/>
      <c r="F9" s="76" t="str">
        <f ca="1">IFERROR(IF(FIND(F8,CELL("filename"),1)&gt;0,F8,""),"")</f>
        <v/>
      </c>
      <c r="G9" s="76" t="str">
        <f ca="1">IFERROR(IF(FIND(G8,CELL("filename"),1)&gt;0,G8,""),"")</f>
        <v/>
      </c>
      <c r="H9" s="76" t="str">
        <f t="shared" ref="H9:J9" ca="1" si="0">IFERROR(IF(FIND(H8,CELL("filename"),1)&gt;0,H8,""),"")</f>
        <v/>
      </c>
      <c r="I9" s="76" t="str">
        <f t="shared" ca="1" si="0"/>
        <v/>
      </c>
      <c r="J9" s="76" t="str">
        <f t="shared" ca="1" si="0"/>
        <v/>
      </c>
      <c r="K9" s="78" t="str">
        <f ca="1">CONCATENATE(F9,G9,H9,I9,J9)</f>
        <v/>
      </c>
      <c r="L9" s="29"/>
      <c r="M9" s="29"/>
      <c r="N9" s="29"/>
      <c r="O9" s="29"/>
      <c r="P9" s="29"/>
      <c r="Q9" s="29"/>
      <c r="R9" s="29"/>
      <c r="S9" s="29"/>
      <c r="T9" s="35">
        <v>1</v>
      </c>
      <c r="U9" s="29"/>
      <c r="V9" s="35">
        <v>1</v>
      </c>
      <c r="W9" s="29"/>
      <c r="X9" s="35">
        <v>1</v>
      </c>
      <c r="Y9" s="29"/>
      <c r="Z9" s="35">
        <v>1</v>
      </c>
      <c r="AA9" s="29"/>
      <c r="AB9" s="29"/>
      <c r="AC9" s="35">
        <v>1</v>
      </c>
      <c r="AD9" s="29"/>
      <c r="AE9" s="29"/>
      <c r="AF9" s="29"/>
      <c r="AG9" s="29"/>
      <c r="AH9" s="35">
        <v>1</v>
      </c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G9" s="57"/>
      <c r="BH9" s="57"/>
      <c r="BI9" s="57"/>
      <c r="BJ9" s="57"/>
      <c r="BK9" s="57"/>
      <c r="BL9" s="57"/>
      <c r="DA9" s="31"/>
      <c r="DB9" s="31"/>
      <c r="DC9" s="31"/>
      <c r="DD9" s="31"/>
    </row>
    <row r="10" spans="1:152" s="11" customFormat="1" hidden="1">
      <c r="A10" s="37" t="s">
        <v>2</v>
      </c>
      <c r="B10" s="38" t="s">
        <v>76</v>
      </c>
      <c r="C10" s="39" t="s">
        <v>36</v>
      </c>
      <c r="D10" s="81"/>
      <c r="E10" s="39" t="s">
        <v>74</v>
      </c>
      <c r="F10" s="23" t="s">
        <v>73</v>
      </c>
      <c r="G10" s="23" t="s">
        <v>72</v>
      </c>
      <c r="H10" s="38" t="s">
        <v>37</v>
      </c>
      <c r="I10" s="39" t="s">
        <v>0</v>
      </c>
      <c r="J10" s="39" t="s">
        <v>71</v>
      </c>
      <c r="K10" s="39" t="s">
        <v>1</v>
      </c>
      <c r="L10" s="39" t="s">
        <v>90</v>
      </c>
      <c r="M10" s="39" t="s">
        <v>91</v>
      </c>
      <c r="N10" s="23" t="s">
        <v>70</v>
      </c>
      <c r="O10" s="23" t="s">
        <v>69</v>
      </c>
      <c r="P10" s="39" t="s">
        <v>10</v>
      </c>
      <c r="Q10" s="39" t="s">
        <v>9</v>
      </c>
      <c r="R10" s="39" t="s">
        <v>23</v>
      </c>
      <c r="S10" s="39" t="s">
        <v>32</v>
      </c>
      <c r="T10" s="39" t="s">
        <v>68</v>
      </c>
      <c r="U10" s="39" t="s">
        <v>67</v>
      </c>
      <c r="V10" s="39" t="s">
        <v>20</v>
      </c>
      <c r="W10" s="39" t="s">
        <v>21</v>
      </c>
      <c r="X10" s="39" t="s">
        <v>66</v>
      </c>
      <c r="Y10" s="39" t="s">
        <v>65</v>
      </c>
      <c r="Z10" s="39" t="s">
        <v>15</v>
      </c>
      <c r="AA10" s="23" t="s">
        <v>64</v>
      </c>
      <c r="AB10" s="39" t="s">
        <v>16</v>
      </c>
      <c r="AC10" s="39" t="s">
        <v>11</v>
      </c>
      <c r="AD10" s="65" t="s">
        <v>13</v>
      </c>
      <c r="AE10" s="66" t="s">
        <v>88</v>
      </c>
      <c r="AF10" s="66" t="s">
        <v>89</v>
      </c>
      <c r="AG10" s="67" t="s">
        <v>12</v>
      </c>
      <c r="AH10" s="39" t="s">
        <v>17</v>
      </c>
      <c r="AI10" s="39" t="s">
        <v>63</v>
      </c>
      <c r="AJ10" s="39" t="s">
        <v>18</v>
      </c>
      <c r="AK10" s="39" t="s">
        <v>42</v>
      </c>
      <c r="AL10" s="39" t="s">
        <v>43</v>
      </c>
      <c r="AM10" s="39" t="s">
        <v>44</v>
      </c>
      <c r="AN10" s="39" t="s">
        <v>45</v>
      </c>
      <c r="AO10" s="39" t="s">
        <v>46</v>
      </c>
      <c r="AP10" s="39" t="s">
        <v>47</v>
      </c>
      <c r="AQ10" s="39" t="s">
        <v>48</v>
      </c>
      <c r="AR10" s="68" t="s">
        <v>94</v>
      </c>
      <c r="AS10" s="68" t="s">
        <v>95</v>
      </c>
      <c r="AT10" s="68" t="s">
        <v>96</v>
      </c>
      <c r="AU10" s="68" t="s">
        <v>97</v>
      </c>
      <c r="AV10" s="68"/>
      <c r="AW10" s="68"/>
      <c r="AX10" s="68"/>
      <c r="AY10" s="68"/>
      <c r="AZ10" s="68"/>
      <c r="BA10" s="68"/>
      <c r="BB10" s="68"/>
      <c r="BC10" s="68"/>
      <c r="BD10" s="68"/>
      <c r="BG10" s="54"/>
      <c r="BH10" s="54"/>
      <c r="BI10" s="54"/>
      <c r="BJ10" s="54"/>
      <c r="BK10" s="54"/>
      <c r="BL10" s="54"/>
      <c r="CX10" s="16"/>
      <c r="CY10" s="16"/>
      <c r="CZ10" s="16"/>
      <c r="DA10" s="16"/>
    </row>
    <row r="11" spans="1:152" s="29" customFormat="1" hidden="1">
      <c r="AP11" s="28"/>
      <c r="BG11" s="58"/>
      <c r="BH11" s="58"/>
      <c r="BI11" s="58"/>
      <c r="BJ11" s="58"/>
      <c r="BK11" s="58"/>
      <c r="BL11" s="58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36"/>
      <c r="EA11" s="36"/>
      <c r="EB11" s="36"/>
      <c r="EC11" s="36"/>
      <c r="ED11" s="36"/>
      <c r="EE11" s="36"/>
      <c r="EF11" s="36"/>
      <c r="EG11" s="31"/>
      <c r="EH11" s="31"/>
      <c r="EI11" s="31"/>
      <c r="EJ11" s="31"/>
    </row>
    <row r="12" spans="1:152" s="41" customFormat="1" hidden="1">
      <c r="A12" s="40"/>
      <c r="C12" s="82"/>
      <c r="D12" s="82"/>
      <c r="AL12" s="43"/>
      <c r="AM12" s="40"/>
      <c r="AN12" s="40"/>
      <c r="BG12" s="59"/>
      <c r="BH12" s="59"/>
      <c r="BI12" s="59"/>
      <c r="BJ12" s="59"/>
      <c r="BK12" s="59"/>
      <c r="BL12" s="59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  <c r="EB12" s="44"/>
      <c r="EC12" s="45"/>
      <c r="ED12" s="45"/>
      <c r="EE12" s="45"/>
      <c r="EF12" s="45"/>
    </row>
    <row r="13" spans="1:152" s="41" customFormat="1" ht="21">
      <c r="A13" s="46" t="s">
        <v>1032</v>
      </c>
      <c r="B13" s="47"/>
      <c r="C13" s="83"/>
      <c r="D13" s="83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101"/>
      <c r="R13" s="84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6"/>
      <c r="AP13" s="46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58"/>
      <c r="BH13" s="59"/>
      <c r="BI13" s="59"/>
      <c r="BJ13" s="59"/>
      <c r="BK13" s="59"/>
      <c r="BL13" s="59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9"/>
      <c r="EH13" s="49"/>
      <c r="EI13" s="49"/>
      <c r="EJ13" s="49"/>
    </row>
    <row r="14" spans="1:152" s="52" customFormat="1" ht="15" customHeight="1">
      <c r="A14" s="50"/>
      <c r="B14" s="50" t="str">
        <f>IFERROR(IF(HLOOKUP(B10,$3:$3,1,FALSE)&lt;&gt;"",".",""),"")</f>
        <v/>
      </c>
      <c r="C14" s="50" t="str">
        <f>IFERROR(IF(HLOOKUP(C10,$3:$3,1,FALSE)&lt;&gt;"",".",""),"")</f>
        <v/>
      </c>
      <c r="D14" s="50"/>
      <c r="E14" s="50" t="str">
        <f t="shared" ref="E14:AW14" si="1">IFERROR(IF(HLOOKUP(E10,$3:$3,1,FALSE)&lt;&gt;"",".",""),"")</f>
        <v/>
      </c>
      <c r="F14" s="50" t="str">
        <f t="shared" si="1"/>
        <v/>
      </c>
      <c r="G14" s="50" t="str">
        <f t="shared" si="1"/>
        <v/>
      </c>
      <c r="H14" s="50" t="str">
        <f t="shared" si="1"/>
        <v/>
      </c>
      <c r="I14" s="50" t="str">
        <f t="shared" si="1"/>
        <v/>
      </c>
      <c r="J14" s="50" t="str">
        <f t="shared" si="1"/>
        <v/>
      </c>
      <c r="K14" s="50" t="str">
        <f t="shared" si="1"/>
        <v/>
      </c>
      <c r="L14" s="50" t="str">
        <f t="shared" si="1"/>
        <v/>
      </c>
      <c r="M14" s="50" t="str">
        <f t="shared" si="1"/>
        <v/>
      </c>
      <c r="N14" s="50" t="str">
        <f t="shared" si="1"/>
        <v/>
      </c>
      <c r="O14" s="50" t="str">
        <f t="shared" si="1"/>
        <v/>
      </c>
      <c r="P14" s="50" t="str">
        <f t="shared" si="1"/>
        <v/>
      </c>
      <c r="Q14" s="50" t="str">
        <f t="shared" si="1"/>
        <v/>
      </c>
      <c r="R14" s="50" t="str">
        <f t="shared" si="1"/>
        <v/>
      </c>
      <c r="S14" s="50" t="str">
        <f t="shared" si="1"/>
        <v/>
      </c>
      <c r="T14" s="50" t="str">
        <f t="shared" si="1"/>
        <v/>
      </c>
      <c r="U14" s="50" t="str">
        <f t="shared" si="1"/>
        <v/>
      </c>
      <c r="V14" s="50" t="str">
        <f t="shared" si="1"/>
        <v/>
      </c>
      <c r="W14" s="50" t="str">
        <f t="shared" si="1"/>
        <v/>
      </c>
      <c r="X14" s="50" t="str">
        <f t="shared" si="1"/>
        <v/>
      </c>
      <c r="Y14" s="50" t="str">
        <f t="shared" si="1"/>
        <v/>
      </c>
      <c r="Z14" s="50" t="str">
        <f t="shared" si="1"/>
        <v/>
      </c>
      <c r="AA14" s="50" t="str">
        <f t="shared" si="1"/>
        <v/>
      </c>
      <c r="AB14" s="50" t="str">
        <f t="shared" si="1"/>
        <v/>
      </c>
      <c r="AC14" s="50" t="str">
        <f t="shared" si="1"/>
        <v/>
      </c>
      <c r="AD14" s="50" t="str">
        <f t="shared" si="1"/>
        <v/>
      </c>
      <c r="AE14" s="50" t="str">
        <f t="shared" si="1"/>
        <v/>
      </c>
      <c r="AF14" s="50" t="str">
        <f t="shared" si="1"/>
        <v/>
      </c>
      <c r="AG14" s="50" t="str">
        <f t="shared" si="1"/>
        <v/>
      </c>
      <c r="AH14" s="50" t="str">
        <f t="shared" si="1"/>
        <v/>
      </c>
      <c r="AI14" s="50" t="str">
        <f t="shared" si="1"/>
        <v/>
      </c>
      <c r="AJ14" s="50" t="str">
        <f t="shared" si="1"/>
        <v/>
      </c>
      <c r="AK14" s="50" t="str">
        <f t="shared" si="1"/>
        <v/>
      </c>
      <c r="AL14" s="50" t="str">
        <f t="shared" si="1"/>
        <v/>
      </c>
      <c r="AM14" s="50" t="str">
        <f t="shared" si="1"/>
        <v/>
      </c>
      <c r="AN14" s="50" t="str">
        <f t="shared" si="1"/>
        <v/>
      </c>
      <c r="AO14" s="50" t="str">
        <f t="shared" si="1"/>
        <v/>
      </c>
      <c r="AP14" s="50" t="str">
        <f t="shared" si="1"/>
        <v/>
      </c>
      <c r="AQ14" s="50" t="str">
        <f t="shared" si="1"/>
        <v/>
      </c>
      <c r="AR14" s="50" t="str">
        <f t="shared" si="1"/>
        <v/>
      </c>
      <c r="AS14" s="50" t="str">
        <f t="shared" si="1"/>
        <v/>
      </c>
      <c r="AT14" s="50" t="str">
        <f t="shared" si="1"/>
        <v/>
      </c>
      <c r="AU14" s="50" t="str">
        <f t="shared" si="1"/>
        <v/>
      </c>
      <c r="AV14" s="50" t="str">
        <f t="shared" si="1"/>
        <v/>
      </c>
      <c r="AW14" s="50" t="str">
        <f t="shared" si="1"/>
        <v/>
      </c>
      <c r="AX14" s="50"/>
      <c r="AY14" s="50"/>
      <c r="AZ14" s="50"/>
      <c r="BA14" s="50"/>
      <c r="BB14" s="50"/>
      <c r="BC14" s="50"/>
      <c r="BD14" s="50"/>
      <c r="BE14" s="50"/>
      <c r="BF14" s="50"/>
      <c r="BG14" s="60"/>
      <c r="BH14" s="60"/>
      <c r="BI14" s="60"/>
      <c r="BJ14" s="60"/>
      <c r="BK14" s="60"/>
      <c r="BL14" s="6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51"/>
      <c r="EI14" s="51"/>
      <c r="EJ14" s="51"/>
    </row>
    <row r="15" spans="1:152" ht="60.5" customHeight="1">
      <c r="A15" s="85" t="s">
        <v>8</v>
      </c>
      <c r="B15" s="86" t="s">
        <v>39</v>
      </c>
      <c r="C15" s="86" t="s">
        <v>36</v>
      </c>
      <c r="D15" s="86" t="s">
        <v>101</v>
      </c>
      <c r="E15" s="87" t="s">
        <v>102</v>
      </c>
      <c r="F15" s="87" t="s">
        <v>0</v>
      </c>
      <c r="G15" s="87" t="s">
        <v>77</v>
      </c>
      <c r="H15" s="88" t="s">
        <v>78</v>
      </c>
      <c r="I15" s="88" t="s">
        <v>99</v>
      </c>
      <c r="J15" s="88" t="s">
        <v>79</v>
      </c>
      <c r="K15" s="88" t="s">
        <v>3</v>
      </c>
      <c r="L15" s="74" t="s">
        <v>92</v>
      </c>
      <c r="M15" s="74" t="s">
        <v>93</v>
      </c>
      <c r="N15" s="74" t="s">
        <v>49</v>
      </c>
      <c r="O15" s="74" t="s">
        <v>50</v>
      </c>
      <c r="P15" s="74" t="s">
        <v>30</v>
      </c>
      <c r="Q15" s="74" t="s">
        <v>31</v>
      </c>
      <c r="R15" s="74" t="s">
        <v>51</v>
      </c>
      <c r="S15" s="74" t="s">
        <v>52</v>
      </c>
      <c r="T15" s="89" t="s">
        <v>53</v>
      </c>
      <c r="U15" s="90" t="s">
        <v>54</v>
      </c>
      <c r="V15" s="91" t="s">
        <v>55</v>
      </c>
      <c r="W15" s="92" t="s">
        <v>22</v>
      </c>
      <c r="X15" s="93" t="s">
        <v>56</v>
      </c>
      <c r="Y15" s="94" t="s">
        <v>57</v>
      </c>
      <c r="Z15" s="95" t="s">
        <v>58</v>
      </c>
      <c r="AA15" s="96" t="s">
        <v>1735</v>
      </c>
      <c r="AB15" s="96" t="s">
        <v>1736</v>
      </c>
      <c r="AC15" s="96" t="s">
        <v>28</v>
      </c>
      <c r="AD15" s="96" t="s">
        <v>59</v>
      </c>
      <c r="AE15" s="97" t="s">
        <v>19</v>
      </c>
      <c r="AF15" s="98" t="s">
        <v>105</v>
      </c>
      <c r="AG15" s="98" t="s">
        <v>103</v>
      </c>
      <c r="AH15" s="98" t="s">
        <v>104</v>
      </c>
      <c r="AI15" s="98" t="s">
        <v>14</v>
      </c>
      <c r="AJ15" s="99" t="s">
        <v>60</v>
      </c>
      <c r="AK15" s="100" t="s">
        <v>29</v>
      </c>
      <c r="AL15" s="100" t="s">
        <v>61</v>
      </c>
      <c r="AM15" s="86" t="s">
        <v>106</v>
      </c>
      <c r="AN15" s="86" t="s">
        <v>62</v>
      </c>
      <c r="AO15" s="86" t="s">
        <v>108</v>
      </c>
      <c r="AP15" s="86" t="s">
        <v>107</v>
      </c>
      <c r="AQ15" s="86" t="s">
        <v>33</v>
      </c>
      <c r="AR15" s="86" t="s">
        <v>109</v>
      </c>
      <c r="AS15" s="86" t="s">
        <v>84</v>
      </c>
      <c r="AT15" s="69" t="s">
        <v>110</v>
      </c>
      <c r="AU15" s="70" t="s">
        <v>111</v>
      </c>
      <c r="AV15" s="71" t="s">
        <v>112</v>
      </c>
      <c r="AW15" s="72" t="s">
        <v>113</v>
      </c>
      <c r="AX15" s="73" t="s">
        <v>114</v>
      </c>
      <c r="AY15" s="106" t="s">
        <v>115</v>
      </c>
      <c r="AZ15" s="108" t="s">
        <v>1258</v>
      </c>
      <c r="BA15" s="107" t="s">
        <v>98</v>
      </c>
      <c r="BB15" s="74" t="s">
        <v>1033</v>
      </c>
      <c r="BC15" s="53" t="s">
        <v>80</v>
      </c>
      <c r="BD15" s="103" t="s">
        <v>85</v>
      </c>
      <c r="BE15" s="102" t="s">
        <v>87</v>
      </c>
      <c r="BF15" s="61" t="s">
        <v>81</v>
      </c>
      <c r="BG15" s="62" t="s">
        <v>82</v>
      </c>
      <c r="BH15" s="62" t="s">
        <v>83</v>
      </c>
      <c r="BI15" s="62" t="s">
        <v>86</v>
      </c>
      <c r="BJ15" s="74" t="s">
        <v>100</v>
      </c>
      <c r="BK15" s="3"/>
      <c r="BL15" s="3"/>
      <c r="CJ15" s="5"/>
      <c r="CK15" s="5"/>
      <c r="CL15" s="3"/>
      <c r="CN15" s="5"/>
      <c r="CR15" s="3"/>
      <c r="CS15" s="3"/>
      <c r="CT15" s="5"/>
      <c r="CV15" s="3"/>
      <c r="DR15" s="5"/>
      <c r="DT15" s="3"/>
      <c r="EF15" s="7"/>
      <c r="EG15" s="7"/>
      <c r="EJ15" s="4"/>
      <c r="EK15" s="4"/>
      <c r="EU15" s="2"/>
      <c r="EV15" s="2"/>
    </row>
    <row r="16" spans="1:152">
      <c r="A16" s="105">
        <v>3664</v>
      </c>
      <c r="B16" s="111" t="s">
        <v>1810</v>
      </c>
      <c r="C16" s="111" t="s">
        <v>116</v>
      </c>
      <c r="D16" s="111" t="s">
        <v>117</v>
      </c>
      <c r="E16" s="111" t="s">
        <v>1811</v>
      </c>
      <c r="F16" s="111" t="s">
        <v>35</v>
      </c>
      <c r="G16" s="111" t="s">
        <v>1586</v>
      </c>
      <c r="H16" s="111" t="s">
        <v>1328</v>
      </c>
      <c r="I16" s="111" t="s">
        <v>1029</v>
      </c>
      <c r="J16" s="111" t="s">
        <v>677</v>
      </c>
      <c r="K16" s="112">
        <v>43490</v>
      </c>
      <c r="L16" s="113">
        <v>0.72</v>
      </c>
      <c r="M16" s="113">
        <v>0.9</v>
      </c>
      <c r="N16" s="111">
        <v>6</v>
      </c>
      <c r="O16" s="111" t="s">
        <v>119</v>
      </c>
      <c r="P16" s="114" t="s">
        <v>284</v>
      </c>
      <c r="Q16" s="114" t="s">
        <v>240</v>
      </c>
      <c r="R16" s="111" t="s">
        <v>24</v>
      </c>
      <c r="S16" s="111"/>
      <c r="T16" s="115" t="s">
        <v>615</v>
      </c>
      <c r="U16" s="111"/>
      <c r="V16" s="115" t="s">
        <v>120</v>
      </c>
      <c r="W16" s="111"/>
      <c r="X16" s="115" t="s">
        <v>120</v>
      </c>
      <c r="Y16" s="111" t="s">
        <v>1587</v>
      </c>
      <c r="Z16" s="116" t="s">
        <v>120</v>
      </c>
      <c r="AA16" s="117" t="s">
        <v>1746</v>
      </c>
      <c r="AB16" s="117" t="s">
        <v>1747</v>
      </c>
      <c r="AC16" s="118" t="s">
        <v>123</v>
      </c>
      <c r="AD16" s="111" t="s">
        <v>1812</v>
      </c>
      <c r="AE16" s="115" t="s">
        <v>120</v>
      </c>
      <c r="AF16" s="112"/>
      <c r="AG16" s="119"/>
      <c r="AH16" s="119"/>
      <c r="AI16" s="111"/>
      <c r="AJ16" s="115" t="s">
        <v>120</v>
      </c>
      <c r="AK16" s="111" t="s">
        <v>123</v>
      </c>
      <c r="AL16" s="111" t="s">
        <v>1207</v>
      </c>
      <c r="AM16" s="115"/>
      <c r="AN16" s="111"/>
      <c r="AO16" s="111"/>
      <c r="AP16" s="120"/>
      <c r="AQ16" s="111"/>
      <c r="AR16" s="115"/>
      <c r="AS16" s="111"/>
      <c r="AT16" s="112">
        <v>43490.471107523103</v>
      </c>
      <c r="AU16" s="112">
        <v>43493.390373726797</v>
      </c>
      <c r="AV16" s="112"/>
      <c r="AW16" s="112">
        <v>43490.471107523103</v>
      </c>
      <c r="AX16" s="112"/>
      <c r="AY16" s="112">
        <v>43490.680299074098</v>
      </c>
      <c r="AZ16" s="121">
        <v>43493.678976967603</v>
      </c>
      <c r="BA16" s="122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3.6789769676033757</v>
      </c>
      <c r="BB16" s="123">
        <f>COUNTIFS(_05preva_view43[Site ID],_05preva_view43[[#This Row],[Site ID]],_05preva_view43[Prevalidation Status],"Under Prevalidation")</f>
        <v>0</v>
      </c>
      <c r="BC16" s="124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" s="125" t="str">
        <f>CONCATENATE(_05preva_view43[[#This Row],[Site ID]]," (",_05preva_view43[[#This Row],[tenant id]],") Application",IF(_05preva_view43[[#This Row],[Colo Rev]]&gt;0," Rev "&amp;_05preva_view43[[#This Row],[Colo Rev]],""),".xlsx")</f>
        <v>ARKH00020 (RKE01056) Application Rev 0.xlsx</v>
      </c>
      <c r="BE16" s="64">
        <f t="shared" ref="BE16:BE79" ca="1" si="2">FIND("Process &amp; Database\",CELL("filename",$A$1))</f>
        <v>50</v>
      </c>
      <c r="BF16" s="104" t="str">
        <f ca="1">LEFT(CELL("filename",A1),_05preva_view43[[#This Row],[Find Process &amp; Database]]-1)</f>
        <v>D:\OneDrive - apollo-towers.com\Apollo Towers\00-</v>
      </c>
      <c r="BG16" s="104" t="str">
        <f ca="1">_05preva_view43[Folder Path1]&amp;"Process &amp; Database\Documentation\Colo Applications"</f>
        <v>D:\OneDrive - apollo-towers.com\Apollo Towers\00-Process &amp; Database\Documentation\Colo Applications</v>
      </c>
      <c r="BH1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" s="63" t="str">
        <f ca="1">_05preva_view43[[#This Row],[Folder Path3]]&amp;_05preva_view43[[#This Row],[File Name]]</f>
        <v>D:\OneDrive - apollo-towers.com\Apollo Towers\00-Process &amp; Database\Documentation\Colo Applications\Colo App MPT\ARKH00020 (RKE01056) Application Rev 0.xlsx</v>
      </c>
      <c r="BJ16" s="104"/>
      <c r="BK16" s="3"/>
      <c r="BL16" s="3"/>
      <c r="CJ16" s="5"/>
      <c r="CK16" s="5"/>
      <c r="CL16" s="3"/>
      <c r="CN16" s="5"/>
      <c r="CR16" s="3"/>
      <c r="CS16" s="3"/>
      <c r="CT16" s="5"/>
      <c r="CV16" s="3"/>
      <c r="DR16" s="5"/>
      <c r="DT16" s="3"/>
      <c r="EF16" s="7"/>
      <c r="EG16" s="7"/>
      <c r="EJ16" s="4"/>
      <c r="EK16" s="4"/>
      <c r="EU16" s="2"/>
      <c r="EV16" s="2"/>
    </row>
    <row r="17" spans="1:152">
      <c r="A17" s="287">
        <v>3666</v>
      </c>
      <c r="B17" s="288" t="s">
        <v>1767</v>
      </c>
      <c r="C17" s="288" t="s">
        <v>116</v>
      </c>
      <c r="D17" s="288" t="s">
        <v>127</v>
      </c>
      <c r="E17" s="288" t="s">
        <v>1768</v>
      </c>
      <c r="F17" s="288" t="s">
        <v>35</v>
      </c>
      <c r="G17" s="288" t="s">
        <v>1586</v>
      </c>
      <c r="H17" s="288" t="s">
        <v>1328</v>
      </c>
      <c r="I17" s="288" t="s">
        <v>1029</v>
      </c>
      <c r="J17" s="288" t="s">
        <v>677</v>
      </c>
      <c r="K17" s="289">
        <v>43490</v>
      </c>
      <c r="L17" s="290">
        <v>1</v>
      </c>
      <c r="M17" s="290">
        <v>1.4</v>
      </c>
      <c r="N17" s="288">
        <v>6</v>
      </c>
      <c r="O17" s="288" t="s">
        <v>119</v>
      </c>
      <c r="P17" s="291" t="s">
        <v>248</v>
      </c>
      <c r="Q17" s="291" t="s">
        <v>249</v>
      </c>
      <c r="R17" s="288" t="s">
        <v>24</v>
      </c>
      <c r="S17" s="288"/>
      <c r="T17" s="292" t="s">
        <v>615</v>
      </c>
      <c r="U17" s="288"/>
      <c r="V17" s="292" t="s">
        <v>120</v>
      </c>
      <c r="W17" s="288"/>
      <c r="X17" s="292" t="s">
        <v>120</v>
      </c>
      <c r="Y17" s="288" t="s">
        <v>1587</v>
      </c>
      <c r="Z17" s="293" t="s">
        <v>120</v>
      </c>
      <c r="AA17" s="294" t="s">
        <v>1746</v>
      </c>
      <c r="AB17" s="294" t="s">
        <v>1747</v>
      </c>
      <c r="AC17" s="295" t="s">
        <v>123</v>
      </c>
      <c r="AD17" s="288" t="s">
        <v>1787</v>
      </c>
      <c r="AE17" s="292" t="s">
        <v>120</v>
      </c>
      <c r="AF17" s="289"/>
      <c r="AG17" s="296"/>
      <c r="AH17" s="296"/>
      <c r="AI17" s="288"/>
      <c r="AJ17" s="292" t="s">
        <v>120</v>
      </c>
      <c r="AK17" s="288" t="s">
        <v>123</v>
      </c>
      <c r="AL17" s="288" t="s">
        <v>1207</v>
      </c>
      <c r="AM17" s="292"/>
      <c r="AN17" s="288"/>
      <c r="AO17" s="288"/>
      <c r="AP17" s="297"/>
      <c r="AQ17" s="288"/>
      <c r="AR17" s="292"/>
      <c r="AS17" s="288"/>
      <c r="AT17" s="289">
        <v>43490.4711082176</v>
      </c>
      <c r="AU17" s="289">
        <v>43493.390378472199</v>
      </c>
      <c r="AV17" s="289">
        <v>43493.491761458303</v>
      </c>
      <c r="AW17" s="289">
        <v>43490.4711082176</v>
      </c>
      <c r="AX17" s="289"/>
      <c r="AY17" s="289">
        <v>43490.680300462998</v>
      </c>
      <c r="AZ17" s="298">
        <v>43493.591327893497</v>
      </c>
      <c r="BA1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3.5913278934967821</v>
      </c>
      <c r="BB17" s="300">
        <f>COUNTIFS(_05preva_view43[Site ID],_05preva_view43[[#This Row],[Site ID]],_05preva_view43[Prevalidation Status],"Under Prevalidation")</f>
        <v>0</v>
      </c>
      <c r="BC1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" s="302" t="str">
        <f>CONCATENATE(_05preva_view43[[#This Row],[Site ID]]," (",_05preva_view43[[#This Row],[tenant id]],") Application",IF(_05preva_view43[[#This Row],[Colo Rev]]&gt;0," Rev "&amp;_05preva_view43[[#This Row],[Colo Rev]],""),".xlsx")</f>
        <v>ASHN00023 (SHN00997) Application Rev 0.xlsx</v>
      </c>
      <c r="BE17" s="64">
        <f t="shared" ca="1" si="2"/>
        <v>50</v>
      </c>
      <c r="BF17" s="104" t="str">
        <f ca="1">LEFT(CELL("filename",A2),_05preva_view43[[#This Row],[Find Process &amp; Database]]-1)</f>
        <v>D:\OneDrive - apollo-towers.com\Apollo Towers\00-</v>
      </c>
      <c r="BG17" s="104" t="str">
        <f ca="1">_05preva_view43[Folder Path1]&amp;"Process &amp; Database\Documentation\Colo Applications"</f>
        <v>D:\OneDrive - apollo-towers.com\Apollo Towers\00-Process &amp; Database\Documentation\Colo Applications</v>
      </c>
      <c r="BH1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" s="63" t="str">
        <f ca="1">_05preva_view43[[#This Row],[Folder Path3]]&amp;_05preva_view43[[#This Row],[File Name]]</f>
        <v>D:\OneDrive - apollo-towers.com\Apollo Towers\00-Process &amp; Database\Documentation\Colo Applications\Colo App MPT\ASHN00023 (SHN00997) Application Rev 0.xlsx</v>
      </c>
      <c r="BJ17" s="104"/>
      <c r="BK17" s="3"/>
      <c r="BL17" s="3"/>
      <c r="CJ17" s="5"/>
      <c r="CK17" s="5"/>
      <c r="CL17" s="3"/>
      <c r="CN17" s="5"/>
      <c r="CR17" s="3"/>
      <c r="CS17" s="3"/>
      <c r="CT17" s="5"/>
      <c r="CV17" s="3"/>
      <c r="DR17" s="5"/>
      <c r="DT17" s="3"/>
      <c r="EF17" s="7"/>
      <c r="EG17" s="7"/>
      <c r="EJ17" s="4"/>
      <c r="EK17" s="4"/>
      <c r="EU17" s="2"/>
      <c r="EV17" s="2"/>
    </row>
    <row r="18" spans="1:152">
      <c r="A18" s="287">
        <v>3650</v>
      </c>
      <c r="B18" s="288" t="s">
        <v>1769</v>
      </c>
      <c r="C18" s="288" t="s">
        <v>278</v>
      </c>
      <c r="D18" s="288" t="s">
        <v>117</v>
      </c>
      <c r="E18" s="288" t="s">
        <v>1770</v>
      </c>
      <c r="F18" s="288" t="s">
        <v>38</v>
      </c>
      <c r="G18" s="288" t="s">
        <v>1295</v>
      </c>
      <c r="H18" s="288" t="s">
        <v>1285</v>
      </c>
      <c r="I18" s="288" t="s">
        <v>1227</v>
      </c>
      <c r="J18" s="288" t="s">
        <v>727</v>
      </c>
      <c r="K18" s="289">
        <v>43489</v>
      </c>
      <c r="L18" s="290"/>
      <c r="M18" s="290"/>
      <c r="N18" s="288">
        <v>7.11</v>
      </c>
      <c r="O18" s="288" t="s">
        <v>687</v>
      </c>
      <c r="P18" s="291" t="s">
        <v>695</v>
      </c>
      <c r="Q18" s="291" t="s">
        <v>696</v>
      </c>
      <c r="R18" s="288" t="s">
        <v>24</v>
      </c>
      <c r="S18" s="288"/>
      <c r="T18" s="292" t="s">
        <v>615</v>
      </c>
      <c r="U18" s="288"/>
      <c r="V18" s="292" t="s">
        <v>615</v>
      </c>
      <c r="W18" s="288"/>
      <c r="X18" s="292" t="s">
        <v>120</v>
      </c>
      <c r="Y18" s="288" t="s">
        <v>1771</v>
      </c>
      <c r="Z18" s="293" t="s">
        <v>120</v>
      </c>
      <c r="AA18" s="294" t="s">
        <v>1746</v>
      </c>
      <c r="AB18" s="294" t="s">
        <v>1747</v>
      </c>
      <c r="AC18" s="295" t="s">
        <v>123</v>
      </c>
      <c r="AD18" s="288" t="s">
        <v>1772</v>
      </c>
      <c r="AE18" s="292" t="s">
        <v>615</v>
      </c>
      <c r="AF18" s="289"/>
      <c r="AG18" s="296"/>
      <c r="AH18" s="296"/>
      <c r="AI18" s="288"/>
      <c r="AJ18" s="292" t="s">
        <v>120</v>
      </c>
      <c r="AK18" s="288" t="s">
        <v>123</v>
      </c>
      <c r="AL18" s="288" t="s">
        <v>935</v>
      </c>
      <c r="AM18" s="292"/>
      <c r="AN18" s="288"/>
      <c r="AO18" s="288"/>
      <c r="AP18" s="297"/>
      <c r="AQ18" s="288"/>
      <c r="AR18" s="292"/>
      <c r="AS18" s="288"/>
      <c r="AT18" s="289">
        <v>43489.494934722199</v>
      </c>
      <c r="AU18" s="289"/>
      <c r="AV18" s="289">
        <v>43490.451861574104</v>
      </c>
      <c r="AW18" s="289">
        <v>43489.494934722199</v>
      </c>
      <c r="AX18" s="289"/>
      <c r="AY18" s="289"/>
      <c r="AZ18" s="298">
        <v>43490.4564209491</v>
      </c>
      <c r="BA1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1.4564209490999929</v>
      </c>
      <c r="BB18" s="300">
        <f>COUNTIFS(_05preva_view43[Site ID],_05preva_view43[[#This Row],[Site ID]],_05preva_view43[Prevalidation Status],"Under Prevalidation")</f>
        <v>0</v>
      </c>
      <c r="BC1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" s="302" t="str">
        <f>CONCATENATE(_05preva_view43[[#This Row],[Site ID]]," (",_05preva_view43[[#This Row],[tenant id]],") Application",IF(_05preva_view43[[#This Row],[Colo Rev]]&gt;0," Rev "&amp;_05preva_view43[[#This Row],[Colo Rev]],""),".xlsx")</f>
        <v>1-01-09016-007 (MG0458) Application Rev 3.xlsx</v>
      </c>
      <c r="BE18" s="64">
        <f t="shared" ca="1" si="2"/>
        <v>50</v>
      </c>
      <c r="BF18" s="104" t="str">
        <f ca="1">LEFT(CELL("filename",A3),_05preva_view43[[#This Row],[Find Process &amp; Database]]-1)</f>
        <v>D:\OneDrive - apollo-towers.com\Apollo Towers\00-</v>
      </c>
      <c r="BG18" s="104" t="str">
        <f ca="1">_05preva_view43[Folder Path1]&amp;"Process &amp; Database\Documentation\Colo Applications"</f>
        <v>D:\OneDrive - apollo-towers.com\Apollo Towers\00-Process &amp; Database\Documentation\Colo Applications</v>
      </c>
      <c r="BH18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8" s="63" t="str">
        <f ca="1">_05preva_view43[[#This Row],[Folder Path3]]&amp;_05preva_view43[[#This Row],[File Name]]</f>
        <v>D:\OneDrive - apollo-towers.com\Apollo Towers\00-Process &amp; Database\Documentation\Colo Applications\Colo App Telenor\1-01-09016-007 (MG0458) Application Rev 3.xlsx</v>
      </c>
      <c r="BJ18" s="104"/>
      <c r="BK18" s="3"/>
      <c r="BL18" s="3"/>
      <c r="CJ18" s="5"/>
      <c r="CK18" s="5"/>
      <c r="CL18" s="3"/>
      <c r="CN18" s="5"/>
      <c r="CR18" s="3"/>
      <c r="CS18" s="3"/>
      <c r="CT18" s="5"/>
      <c r="CV18" s="3"/>
      <c r="DR18" s="5"/>
      <c r="DT18" s="3"/>
      <c r="EF18" s="7"/>
      <c r="EG18" s="7"/>
      <c r="EJ18" s="4"/>
      <c r="EK18" s="4"/>
      <c r="EU18" s="2"/>
      <c r="EV18" s="2"/>
    </row>
    <row r="19" spans="1:152">
      <c r="A19" s="287">
        <v>3660</v>
      </c>
      <c r="B19" s="288" t="s">
        <v>1813</v>
      </c>
      <c r="C19" s="288" t="s">
        <v>278</v>
      </c>
      <c r="D19" s="288" t="s">
        <v>153</v>
      </c>
      <c r="E19" s="288" t="s">
        <v>1814</v>
      </c>
      <c r="F19" s="288" t="s">
        <v>35</v>
      </c>
      <c r="G19" s="288" t="s">
        <v>1586</v>
      </c>
      <c r="H19" s="288" t="s">
        <v>1328</v>
      </c>
      <c r="I19" s="288" t="s">
        <v>1029</v>
      </c>
      <c r="J19" s="288" t="s">
        <v>677</v>
      </c>
      <c r="K19" s="289">
        <v>43489</v>
      </c>
      <c r="L19" s="290">
        <v>0.72</v>
      </c>
      <c r="M19" s="290">
        <v>0.9</v>
      </c>
      <c r="N19" s="288">
        <v>5</v>
      </c>
      <c r="O19" s="288" t="s">
        <v>687</v>
      </c>
      <c r="P19" s="291" t="s">
        <v>284</v>
      </c>
      <c r="Q19" s="291" t="s">
        <v>240</v>
      </c>
      <c r="R19" s="288" t="s">
        <v>24</v>
      </c>
      <c r="S19" s="288"/>
      <c r="T19" s="292" t="s">
        <v>615</v>
      </c>
      <c r="U19" s="288"/>
      <c r="V19" s="292" t="s">
        <v>120</v>
      </c>
      <c r="W19" s="288"/>
      <c r="X19" s="292" t="s">
        <v>120</v>
      </c>
      <c r="Y19" s="288" t="s">
        <v>1587</v>
      </c>
      <c r="Z19" s="293" t="s">
        <v>120</v>
      </c>
      <c r="AA19" s="294" t="s">
        <v>1746</v>
      </c>
      <c r="AB19" s="294" t="s">
        <v>1747</v>
      </c>
      <c r="AC19" s="295" t="s">
        <v>123</v>
      </c>
      <c r="AD19" s="288" t="s">
        <v>1815</v>
      </c>
      <c r="AE19" s="292" t="s">
        <v>120</v>
      </c>
      <c r="AF19" s="289"/>
      <c r="AG19" s="296"/>
      <c r="AH19" s="296"/>
      <c r="AI19" s="288" t="s">
        <v>1773</v>
      </c>
      <c r="AJ19" s="292" t="s">
        <v>120</v>
      </c>
      <c r="AK19" s="288" t="s">
        <v>123</v>
      </c>
      <c r="AL19" s="288" t="s">
        <v>1207</v>
      </c>
      <c r="AM19" s="292"/>
      <c r="AN19" s="288"/>
      <c r="AO19" s="288"/>
      <c r="AP19" s="297"/>
      <c r="AQ19" s="288"/>
      <c r="AR19" s="292"/>
      <c r="AS19" s="288"/>
      <c r="AT19" s="289">
        <v>43490.4711046296</v>
      </c>
      <c r="AU19" s="289">
        <v>43493.390365046303</v>
      </c>
      <c r="AV19" s="289"/>
      <c r="AW19" s="289">
        <v>43490.4711046296</v>
      </c>
      <c r="AX19" s="289"/>
      <c r="AY19" s="289">
        <v>43489.874588078703</v>
      </c>
      <c r="AZ19" s="298">
        <v>43493.678974074101</v>
      </c>
      <c r="BA1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4.6789740741005517</v>
      </c>
      <c r="BB19" s="300">
        <f>COUNTIFS(_05preva_view43[Site ID],_05preva_view43[[#This Row],[Site ID]],_05preva_view43[Prevalidation Status],"Under Prevalidation")</f>
        <v>0</v>
      </c>
      <c r="BC1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" s="302" t="str">
        <f>CONCATENATE(_05preva_view43[[#This Row],[Site ID]]," (",_05preva_view43[[#This Row],[tenant id]],") Application",IF(_05preva_view43[[#This Row],[Colo Rev]]&gt;0," Rev "&amp;_05preva_view43[[#This Row],[Colo Rev]],""),".xlsx")</f>
        <v>PYGN00062 (YGN03417) Application Rev 0.xlsx</v>
      </c>
      <c r="BE19" s="64">
        <f t="shared" ca="1" si="2"/>
        <v>50</v>
      </c>
      <c r="BF19" s="104" t="str">
        <f ca="1">LEFT(CELL("filename",A4),_05preva_view43[[#This Row],[Find Process &amp; Database]]-1)</f>
        <v>D:\OneDrive - apollo-towers.com\Apollo Towers\00-</v>
      </c>
      <c r="BG19" s="104" t="str">
        <f ca="1">_05preva_view43[Folder Path1]&amp;"Process &amp; Database\Documentation\Colo Applications"</f>
        <v>D:\OneDrive - apollo-towers.com\Apollo Towers\00-Process &amp; Database\Documentation\Colo Applications</v>
      </c>
      <c r="BH1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" s="63" t="str">
        <f ca="1">_05preva_view43[[#This Row],[Folder Path3]]&amp;_05preva_view43[[#This Row],[File Name]]</f>
        <v>D:\OneDrive - apollo-towers.com\Apollo Towers\00-Process &amp; Database\Documentation\Colo Applications\Colo App MPT\PYGN00062 (YGN03417) Application Rev 0.xlsx</v>
      </c>
      <c r="BJ19" s="104"/>
      <c r="BK19" s="3"/>
      <c r="BL19" s="3"/>
      <c r="CJ19" s="5"/>
      <c r="CK19" s="5"/>
      <c r="CL19" s="3"/>
      <c r="CN19" s="5"/>
      <c r="CR19" s="3"/>
      <c r="CS19" s="3"/>
      <c r="CT19" s="5"/>
      <c r="CV19" s="3"/>
      <c r="DR19" s="5"/>
      <c r="DT19" s="3"/>
      <c r="EF19" s="7"/>
      <c r="EG19" s="7"/>
      <c r="EJ19" s="4"/>
      <c r="EK19" s="4"/>
      <c r="EU19" s="2"/>
      <c r="EV19" s="2"/>
    </row>
    <row r="20" spans="1:152">
      <c r="A20" s="287">
        <v>3661</v>
      </c>
      <c r="B20" s="288" t="s">
        <v>1816</v>
      </c>
      <c r="C20" s="288" t="s">
        <v>278</v>
      </c>
      <c r="D20" s="288" t="s">
        <v>153</v>
      </c>
      <c r="E20" s="288" t="s">
        <v>1817</v>
      </c>
      <c r="F20" s="288" t="s">
        <v>35</v>
      </c>
      <c r="G20" s="288" t="s">
        <v>1586</v>
      </c>
      <c r="H20" s="288" t="s">
        <v>1328</v>
      </c>
      <c r="I20" s="288" t="s">
        <v>1029</v>
      </c>
      <c r="J20" s="288" t="s">
        <v>677</v>
      </c>
      <c r="K20" s="289">
        <v>43489</v>
      </c>
      <c r="L20" s="290">
        <v>0.72</v>
      </c>
      <c r="M20" s="290">
        <v>0.9</v>
      </c>
      <c r="N20" s="288">
        <v>5</v>
      </c>
      <c r="O20" s="288" t="s">
        <v>687</v>
      </c>
      <c r="P20" s="291" t="s">
        <v>284</v>
      </c>
      <c r="Q20" s="291" t="s">
        <v>240</v>
      </c>
      <c r="R20" s="288" t="s">
        <v>24</v>
      </c>
      <c r="S20" s="288"/>
      <c r="T20" s="292" t="s">
        <v>615</v>
      </c>
      <c r="U20" s="288"/>
      <c r="V20" s="292" t="s">
        <v>120</v>
      </c>
      <c r="W20" s="288"/>
      <c r="X20" s="292" t="s">
        <v>120</v>
      </c>
      <c r="Y20" s="288" t="s">
        <v>1587</v>
      </c>
      <c r="Z20" s="293" t="s">
        <v>120</v>
      </c>
      <c r="AA20" s="294" t="s">
        <v>1746</v>
      </c>
      <c r="AB20" s="294" t="s">
        <v>1747</v>
      </c>
      <c r="AC20" s="295" t="s">
        <v>123</v>
      </c>
      <c r="AD20" s="288" t="s">
        <v>1818</v>
      </c>
      <c r="AE20" s="292" t="s">
        <v>120</v>
      </c>
      <c r="AF20" s="289"/>
      <c r="AG20" s="296"/>
      <c r="AH20" s="296"/>
      <c r="AI20" s="288" t="s">
        <v>1773</v>
      </c>
      <c r="AJ20" s="292" t="s">
        <v>120</v>
      </c>
      <c r="AK20" s="288" t="s">
        <v>123</v>
      </c>
      <c r="AL20" s="288" t="s">
        <v>1207</v>
      </c>
      <c r="AM20" s="292"/>
      <c r="AN20" s="288"/>
      <c r="AO20" s="288"/>
      <c r="AP20" s="297"/>
      <c r="AQ20" s="288"/>
      <c r="AR20" s="292"/>
      <c r="AS20" s="288"/>
      <c r="AT20" s="289">
        <v>43490.471105555604</v>
      </c>
      <c r="AU20" s="289">
        <v>43493.390368055603</v>
      </c>
      <c r="AV20" s="289"/>
      <c r="AW20" s="289">
        <v>43490.471105555604</v>
      </c>
      <c r="AX20" s="289"/>
      <c r="AY20" s="289">
        <v>43489.874593287001</v>
      </c>
      <c r="AZ20" s="298">
        <v>43493.6789748843</v>
      </c>
      <c r="BA2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4.6789748843002599</v>
      </c>
      <c r="BB20" s="300">
        <f>COUNTIFS(_05preva_view43[Site ID],_05preva_view43[[#This Row],[Site ID]],_05preva_view43[Prevalidation Status],"Under Prevalidation")</f>
        <v>0</v>
      </c>
      <c r="BC2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" s="302" t="str">
        <f>CONCATENATE(_05preva_view43[[#This Row],[Site ID]]," (",_05preva_view43[[#This Row],[tenant id]],") Application",IF(_05preva_view43[[#This Row],[Colo Rev]]&gt;0," Rev "&amp;_05preva_view43[[#This Row],[Colo Rev]],""),".xlsx")</f>
        <v>PYGN00063 (YGN03457) Application Rev 0.xlsx</v>
      </c>
      <c r="BE20" s="64">
        <f t="shared" ca="1" si="2"/>
        <v>50</v>
      </c>
      <c r="BF20" s="104" t="str">
        <f ca="1">LEFT(CELL("filename",A5),_05preva_view43[[#This Row],[Find Process &amp; Database]]-1)</f>
        <v>D:\OneDrive - apollo-towers.com\Apollo Towers\00-</v>
      </c>
      <c r="BG20" s="104" t="str">
        <f ca="1">_05preva_view43[Folder Path1]&amp;"Process &amp; Database\Documentation\Colo Applications"</f>
        <v>D:\OneDrive - apollo-towers.com\Apollo Towers\00-Process &amp; Database\Documentation\Colo Applications</v>
      </c>
      <c r="BH2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" s="63" t="str">
        <f ca="1">_05preva_view43[[#This Row],[Folder Path3]]&amp;_05preva_view43[[#This Row],[File Name]]</f>
        <v>D:\OneDrive - apollo-towers.com\Apollo Towers\00-Process &amp; Database\Documentation\Colo Applications\Colo App MPT\PYGN00063 (YGN03457) Application Rev 0.xlsx</v>
      </c>
      <c r="BJ20" s="104"/>
      <c r="BK20" s="3"/>
      <c r="BL20" s="3"/>
      <c r="CJ20" s="5"/>
      <c r="CK20" s="5"/>
      <c r="CL20" s="3"/>
      <c r="CN20" s="5"/>
      <c r="CR20" s="3"/>
      <c r="CS20" s="3"/>
      <c r="CT20" s="5"/>
      <c r="CV20" s="3"/>
      <c r="DR20" s="5"/>
      <c r="DT20" s="3"/>
      <c r="EF20" s="7"/>
      <c r="EG20" s="7"/>
      <c r="EJ20" s="4"/>
      <c r="EK20" s="4"/>
      <c r="EU20" s="2"/>
      <c r="EV20" s="2"/>
    </row>
    <row r="21" spans="1:152">
      <c r="A21" s="287">
        <v>3645</v>
      </c>
      <c r="B21" s="288" t="s">
        <v>1737</v>
      </c>
      <c r="C21" s="288" t="s">
        <v>116</v>
      </c>
      <c r="D21" s="288" t="s">
        <v>117</v>
      </c>
      <c r="E21" s="288" t="s">
        <v>1738</v>
      </c>
      <c r="F21" s="288" t="s">
        <v>35</v>
      </c>
      <c r="G21" s="288" t="s">
        <v>1586</v>
      </c>
      <c r="H21" s="288" t="s">
        <v>1328</v>
      </c>
      <c r="I21" s="288" t="s">
        <v>1029</v>
      </c>
      <c r="J21" s="288" t="s">
        <v>677</v>
      </c>
      <c r="K21" s="289">
        <v>43488</v>
      </c>
      <c r="L21" s="290">
        <v>0.72</v>
      </c>
      <c r="M21" s="290">
        <v>0.9</v>
      </c>
      <c r="N21" s="288">
        <v>6</v>
      </c>
      <c r="O21" s="288" t="s">
        <v>119</v>
      </c>
      <c r="P21" s="291" t="s">
        <v>964</v>
      </c>
      <c r="Q21" s="291" t="s">
        <v>1739</v>
      </c>
      <c r="R21" s="288" t="s">
        <v>24</v>
      </c>
      <c r="S21" s="288"/>
      <c r="T21" s="292" t="s">
        <v>615</v>
      </c>
      <c r="U21" s="288"/>
      <c r="V21" s="292" t="s">
        <v>120</v>
      </c>
      <c r="W21" s="288"/>
      <c r="X21" s="292" t="s">
        <v>120</v>
      </c>
      <c r="Y21" s="288" t="s">
        <v>1587</v>
      </c>
      <c r="Z21" s="293" t="s">
        <v>120</v>
      </c>
      <c r="AA21" s="294" t="s">
        <v>1746</v>
      </c>
      <c r="AB21" s="294" t="s">
        <v>1747</v>
      </c>
      <c r="AC21" s="295" t="s">
        <v>123</v>
      </c>
      <c r="AD21" s="288" t="s">
        <v>1774</v>
      </c>
      <c r="AE21" s="292" t="s">
        <v>120</v>
      </c>
      <c r="AF21" s="289"/>
      <c r="AG21" s="296"/>
      <c r="AH21" s="296"/>
      <c r="AI21" s="288" t="s">
        <v>1773</v>
      </c>
      <c r="AJ21" s="292" t="s">
        <v>120</v>
      </c>
      <c r="AK21" s="288" t="s">
        <v>123</v>
      </c>
      <c r="AL21" s="288" t="s">
        <v>1207</v>
      </c>
      <c r="AM21" s="292"/>
      <c r="AN21" s="288"/>
      <c r="AO21" s="288"/>
      <c r="AP21" s="297"/>
      <c r="AQ21" s="288"/>
      <c r="AR21" s="292"/>
      <c r="AS21" s="288"/>
      <c r="AT21" s="289">
        <v>43488.658751388903</v>
      </c>
      <c r="AU21" s="289">
        <v>43490.623618171303</v>
      </c>
      <c r="AV21" s="289"/>
      <c r="AW21" s="289">
        <v>43488.681577661999</v>
      </c>
      <c r="AX21" s="289"/>
      <c r="AY21" s="289">
        <v>43488.558570138899</v>
      </c>
      <c r="AZ21" s="298">
        <v>43490.708622685197</v>
      </c>
      <c r="BA2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2.7086226851970423</v>
      </c>
      <c r="BB21" s="300">
        <f>COUNTIFS(_05preva_view43[Site ID],_05preva_view43[[#This Row],[Site ID]],_05preva_view43[Prevalidation Status],"Under Prevalidation")</f>
        <v>0</v>
      </c>
      <c r="BC2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" s="302" t="str">
        <f>CONCATENATE(_05preva_view43[[#This Row],[Site ID]]," (",_05preva_view43[[#This Row],[tenant id]],") Application",IF(_05preva_view43[[#This Row],[Colo Rev]]&gt;0," Rev "&amp;_05preva_view43[[#This Row],[Colo Rev]],""),".xlsx")</f>
        <v>ANPT00018 (NPT00540) Application Rev 0.xlsx</v>
      </c>
      <c r="BE21" s="64">
        <f t="shared" ca="1" si="2"/>
        <v>50</v>
      </c>
      <c r="BF21" s="104" t="str">
        <f ca="1">LEFT(CELL("filename",A6),_05preva_view43[[#This Row],[Find Process &amp; Database]]-1)</f>
        <v>D:\OneDrive - apollo-towers.com\Apollo Towers\00-</v>
      </c>
      <c r="BG21" s="104" t="str">
        <f ca="1">_05preva_view43[Folder Path1]&amp;"Process &amp; Database\Documentation\Colo Applications"</f>
        <v>D:\OneDrive - apollo-towers.com\Apollo Towers\00-Process &amp; Database\Documentation\Colo Applications</v>
      </c>
      <c r="BH2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" s="63" t="str">
        <f ca="1">_05preva_view43[[#This Row],[Folder Path3]]&amp;_05preva_view43[[#This Row],[File Name]]</f>
        <v>D:\OneDrive - apollo-towers.com\Apollo Towers\00-Process &amp; Database\Documentation\Colo Applications\Colo App MPT\ANPT00018 (NPT00540) Application Rev 0.xlsx</v>
      </c>
      <c r="BJ21" s="104"/>
      <c r="BK21" s="3"/>
      <c r="BL21" s="3"/>
      <c r="CJ21" s="5"/>
      <c r="CK21" s="5"/>
      <c r="CL21" s="3"/>
      <c r="CN21" s="5"/>
      <c r="CR21" s="3"/>
      <c r="CS21" s="3"/>
      <c r="CT21" s="5"/>
      <c r="CV21" s="3"/>
      <c r="DR21" s="5"/>
      <c r="DT21" s="3"/>
      <c r="EF21" s="7"/>
      <c r="EG21" s="7"/>
      <c r="EJ21" s="4"/>
      <c r="EK21" s="4"/>
      <c r="EU21" s="2"/>
      <c r="EV21" s="2"/>
    </row>
    <row r="22" spans="1:152">
      <c r="A22" s="287">
        <v>3647</v>
      </c>
      <c r="B22" s="288" t="s">
        <v>1740</v>
      </c>
      <c r="C22" s="288" t="s">
        <v>278</v>
      </c>
      <c r="D22" s="288" t="s">
        <v>117</v>
      </c>
      <c r="E22" s="288" t="s">
        <v>1741</v>
      </c>
      <c r="F22" s="288" t="s">
        <v>35</v>
      </c>
      <c r="G22" s="288" t="s">
        <v>1586</v>
      </c>
      <c r="H22" s="288" t="s">
        <v>1328</v>
      </c>
      <c r="I22" s="288" t="s">
        <v>1029</v>
      </c>
      <c r="J22" s="288" t="s">
        <v>677</v>
      </c>
      <c r="K22" s="289">
        <v>43488</v>
      </c>
      <c r="L22" s="290">
        <v>0.72</v>
      </c>
      <c r="M22" s="290">
        <v>0.9</v>
      </c>
      <c r="N22" s="288">
        <v>6</v>
      </c>
      <c r="O22" s="288" t="s">
        <v>687</v>
      </c>
      <c r="P22" s="291" t="s">
        <v>248</v>
      </c>
      <c r="Q22" s="291" t="s">
        <v>249</v>
      </c>
      <c r="R22" s="288" t="s">
        <v>24</v>
      </c>
      <c r="S22" s="288"/>
      <c r="T22" s="292" t="s">
        <v>615</v>
      </c>
      <c r="U22" s="288"/>
      <c r="V22" s="292" t="s">
        <v>120</v>
      </c>
      <c r="W22" s="288"/>
      <c r="X22" s="292" t="s">
        <v>120</v>
      </c>
      <c r="Y22" s="288" t="s">
        <v>1587</v>
      </c>
      <c r="Z22" s="293" t="s">
        <v>120</v>
      </c>
      <c r="AA22" s="294" t="s">
        <v>1746</v>
      </c>
      <c r="AB22" s="294" t="s">
        <v>1747</v>
      </c>
      <c r="AC22" s="295" t="s">
        <v>123</v>
      </c>
      <c r="AD22" s="288" t="s">
        <v>1775</v>
      </c>
      <c r="AE22" s="292" t="s">
        <v>120</v>
      </c>
      <c r="AF22" s="289"/>
      <c r="AG22" s="296"/>
      <c r="AH22" s="296"/>
      <c r="AI22" s="288" t="s">
        <v>1773</v>
      </c>
      <c r="AJ22" s="292" t="s">
        <v>120</v>
      </c>
      <c r="AK22" s="288" t="s">
        <v>123</v>
      </c>
      <c r="AL22" s="288" t="s">
        <v>1207</v>
      </c>
      <c r="AM22" s="292"/>
      <c r="AN22" s="288"/>
      <c r="AO22" s="288"/>
      <c r="AP22" s="297"/>
      <c r="AQ22" s="288"/>
      <c r="AR22" s="292"/>
      <c r="AS22" s="288"/>
      <c r="AT22" s="289">
        <v>43488.658754976903</v>
      </c>
      <c r="AU22" s="289">
        <v>43490.655103356497</v>
      </c>
      <c r="AV22" s="289">
        <v>43490.591374768497</v>
      </c>
      <c r="AW22" s="289">
        <v>43488.658754976903</v>
      </c>
      <c r="AX22" s="289"/>
      <c r="AY22" s="289">
        <v>43488.558572453701</v>
      </c>
      <c r="AZ22" s="298">
        <v>43490.7086255787</v>
      </c>
      <c r="BA2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2.7086255786998663</v>
      </c>
      <c r="BB22" s="300">
        <f>COUNTIFS(_05preva_view43[Site ID],_05preva_view43[[#This Row],[Site ID]],_05preva_view43[Prevalidation Status],"Under Prevalidation")</f>
        <v>0</v>
      </c>
      <c r="BC2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" s="302" t="str">
        <f>CONCATENATE(_05preva_view43[[#This Row],[Site ID]]," (",_05preva_view43[[#This Row],[tenant id]],") Application",IF(_05preva_view43[[#This Row],[Colo Rev]]&gt;0," Rev "&amp;_05preva_view43[[#This Row],[Colo Rev]],""),".xlsx")</f>
        <v>PNPT00048 (NPT00548) Application Rev 0.xlsx</v>
      </c>
      <c r="BE22" s="64">
        <f t="shared" ca="1" si="2"/>
        <v>50</v>
      </c>
      <c r="BF22" s="104" t="str">
        <f ca="1">LEFT(CELL("filename",A7),_05preva_view43[[#This Row],[Find Process &amp; Database]]-1)</f>
        <v>D:\OneDrive - apollo-towers.com\Apollo Towers\00-</v>
      </c>
      <c r="BG22" s="104" t="str">
        <f ca="1">_05preva_view43[Folder Path1]&amp;"Process &amp; Database\Documentation\Colo Applications"</f>
        <v>D:\OneDrive - apollo-towers.com\Apollo Towers\00-Process &amp; Database\Documentation\Colo Applications</v>
      </c>
      <c r="BH2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" s="63" t="str">
        <f ca="1">_05preva_view43[[#This Row],[Folder Path3]]&amp;_05preva_view43[[#This Row],[File Name]]</f>
        <v>D:\OneDrive - apollo-towers.com\Apollo Towers\00-Process &amp; Database\Documentation\Colo Applications\Colo App MPT\PNPT00048 (NPT00548) Application Rev 0.xlsx</v>
      </c>
      <c r="BJ22" s="104"/>
      <c r="BK22" s="3"/>
      <c r="BL22" s="3"/>
      <c r="CJ22" s="5"/>
      <c r="CK22" s="5"/>
      <c r="CL22" s="3"/>
      <c r="CN22" s="5"/>
      <c r="CR22" s="3"/>
      <c r="CS22" s="3"/>
      <c r="CT22" s="5"/>
      <c r="CV22" s="3"/>
      <c r="DR22" s="5"/>
      <c r="DT22" s="3"/>
      <c r="EF22" s="7"/>
      <c r="EG22" s="7"/>
      <c r="EJ22" s="4"/>
      <c r="EK22" s="4"/>
      <c r="EU22" s="2"/>
      <c r="EV22" s="2"/>
    </row>
    <row r="23" spans="1:152">
      <c r="A23" s="287">
        <v>3649</v>
      </c>
      <c r="B23" s="288" t="s">
        <v>1742</v>
      </c>
      <c r="C23" s="288" t="s">
        <v>116</v>
      </c>
      <c r="D23" s="288" t="s">
        <v>117</v>
      </c>
      <c r="E23" s="288" t="s">
        <v>1743</v>
      </c>
      <c r="F23" s="288" t="s">
        <v>35</v>
      </c>
      <c r="G23" s="288" t="s">
        <v>1586</v>
      </c>
      <c r="H23" s="288" t="s">
        <v>1328</v>
      </c>
      <c r="I23" s="288" t="s">
        <v>1029</v>
      </c>
      <c r="J23" s="288" t="s">
        <v>677</v>
      </c>
      <c r="K23" s="289">
        <v>43488</v>
      </c>
      <c r="L23" s="290">
        <v>0.72</v>
      </c>
      <c r="M23" s="290">
        <v>0.9</v>
      </c>
      <c r="N23" s="288">
        <v>6</v>
      </c>
      <c r="O23" s="288" t="s">
        <v>119</v>
      </c>
      <c r="P23" s="291" t="s">
        <v>248</v>
      </c>
      <c r="Q23" s="291" t="s">
        <v>249</v>
      </c>
      <c r="R23" s="288" t="s">
        <v>24</v>
      </c>
      <c r="S23" s="288"/>
      <c r="T23" s="292" t="s">
        <v>615</v>
      </c>
      <c r="U23" s="288"/>
      <c r="V23" s="292" t="s">
        <v>120</v>
      </c>
      <c r="W23" s="288"/>
      <c r="X23" s="292" t="s">
        <v>120</v>
      </c>
      <c r="Y23" s="288" t="s">
        <v>1587</v>
      </c>
      <c r="Z23" s="293" t="s">
        <v>120</v>
      </c>
      <c r="AA23" s="294" t="s">
        <v>1746</v>
      </c>
      <c r="AB23" s="294" t="s">
        <v>1747</v>
      </c>
      <c r="AC23" s="295" t="s">
        <v>123</v>
      </c>
      <c r="AD23" s="288" t="s">
        <v>1776</v>
      </c>
      <c r="AE23" s="292" t="s">
        <v>120</v>
      </c>
      <c r="AF23" s="289"/>
      <c r="AG23" s="296"/>
      <c r="AH23" s="296"/>
      <c r="AI23" s="288"/>
      <c r="AJ23" s="292" t="s">
        <v>120</v>
      </c>
      <c r="AK23" s="288" t="s">
        <v>123</v>
      </c>
      <c r="AL23" s="288" t="s">
        <v>1207</v>
      </c>
      <c r="AM23" s="292"/>
      <c r="AN23" s="288"/>
      <c r="AO23" s="288"/>
      <c r="AP23" s="297"/>
      <c r="AQ23" s="288"/>
      <c r="AR23" s="292"/>
      <c r="AS23" s="288"/>
      <c r="AT23" s="289">
        <v>43488.658757870398</v>
      </c>
      <c r="AU23" s="289">
        <v>43490.655110648098</v>
      </c>
      <c r="AV23" s="289">
        <v>43490.591377314799</v>
      </c>
      <c r="AW23" s="289">
        <v>43488.658757870398</v>
      </c>
      <c r="AX23" s="289"/>
      <c r="AY23" s="289">
        <v>43488.5585748843</v>
      </c>
      <c r="AZ23" s="298">
        <v>43490.708628472203</v>
      </c>
      <c r="BA2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2.7086284722026903</v>
      </c>
      <c r="BB23" s="300">
        <f>COUNTIFS(_05preva_view43[Site ID],_05preva_view43[[#This Row],[Site ID]],_05preva_view43[Prevalidation Status],"Under Prevalidation")</f>
        <v>0</v>
      </c>
      <c r="BC2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" s="302" t="str">
        <f>CONCATENATE(_05preva_view43[[#This Row],[Site ID]]," (",_05preva_view43[[#This Row],[tenant id]],") Application",IF(_05preva_view43[[#This Row],[Colo Rev]]&gt;0," Rev "&amp;_05preva_view43[[#This Row],[Colo Rev]],""),".xlsx")</f>
        <v>ASHN00025 (SHS00969) Application Rev 0.xlsx</v>
      </c>
      <c r="BE23" s="64">
        <f t="shared" ca="1" si="2"/>
        <v>50</v>
      </c>
      <c r="BF23" s="104" t="str">
        <f ca="1">LEFT(CELL("filename",A8),_05preva_view43[[#This Row],[Find Process &amp; Database]]-1)</f>
        <v>D:\OneDrive - apollo-towers.com\Apollo Towers\00-</v>
      </c>
      <c r="BG23" s="104" t="str">
        <f ca="1">_05preva_view43[Folder Path1]&amp;"Process &amp; Database\Documentation\Colo Applications"</f>
        <v>D:\OneDrive - apollo-towers.com\Apollo Towers\00-Process &amp; Database\Documentation\Colo Applications</v>
      </c>
      <c r="BH2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" s="63" t="str">
        <f ca="1">_05preva_view43[[#This Row],[Folder Path3]]&amp;_05preva_view43[[#This Row],[File Name]]</f>
        <v>D:\OneDrive - apollo-towers.com\Apollo Towers\00-Process &amp; Database\Documentation\Colo Applications\Colo App MPT\ASHN00025 (SHS00969) Application Rev 0.xlsx</v>
      </c>
      <c r="BJ23" s="104"/>
      <c r="BK23" s="3"/>
      <c r="BL23" s="3"/>
      <c r="CJ23" s="5"/>
      <c r="CK23" s="5"/>
      <c r="CL23" s="3"/>
      <c r="CN23" s="5"/>
      <c r="CR23" s="3"/>
      <c r="CS23" s="3"/>
      <c r="CT23" s="5"/>
      <c r="CV23" s="3"/>
      <c r="DR23" s="5"/>
      <c r="DT23" s="3"/>
      <c r="EF23" s="7"/>
      <c r="EG23" s="7"/>
      <c r="EJ23" s="4"/>
      <c r="EK23" s="4"/>
      <c r="EU23" s="2"/>
      <c r="EV23" s="2"/>
    </row>
    <row r="24" spans="1:152">
      <c r="A24" s="287">
        <v>3642</v>
      </c>
      <c r="B24" s="288" t="s">
        <v>1744</v>
      </c>
      <c r="C24" s="288" t="s">
        <v>278</v>
      </c>
      <c r="D24" s="288" t="s">
        <v>153</v>
      </c>
      <c r="E24" s="288" t="s">
        <v>1745</v>
      </c>
      <c r="F24" s="288" t="s">
        <v>35</v>
      </c>
      <c r="G24" s="288" t="s">
        <v>1586</v>
      </c>
      <c r="H24" s="288" t="s">
        <v>1328</v>
      </c>
      <c r="I24" s="288" t="s">
        <v>1029</v>
      </c>
      <c r="J24" s="288" t="s">
        <v>677</v>
      </c>
      <c r="K24" s="289">
        <v>43487</v>
      </c>
      <c r="L24" s="290">
        <v>0.72</v>
      </c>
      <c r="M24" s="290">
        <v>0.9</v>
      </c>
      <c r="N24" s="288">
        <v>6</v>
      </c>
      <c r="O24" s="288" t="s">
        <v>687</v>
      </c>
      <c r="P24" s="291" t="s">
        <v>248</v>
      </c>
      <c r="Q24" s="291" t="s">
        <v>249</v>
      </c>
      <c r="R24" s="288" t="s">
        <v>24</v>
      </c>
      <c r="S24" s="288"/>
      <c r="T24" s="292" t="s">
        <v>615</v>
      </c>
      <c r="U24" s="288"/>
      <c r="V24" s="292" t="s">
        <v>120</v>
      </c>
      <c r="W24" s="288"/>
      <c r="X24" s="292" t="s">
        <v>120</v>
      </c>
      <c r="Y24" s="288" t="s">
        <v>1587</v>
      </c>
      <c r="Z24" s="293" t="s">
        <v>120</v>
      </c>
      <c r="AA24" s="294" t="s">
        <v>1746</v>
      </c>
      <c r="AB24" s="294" t="s">
        <v>1747</v>
      </c>
      <c r="AC24" s="295" t="s">
        <v>123</v>
      </c>
      <c r="AD24" s="288" t="s">
        <v>1777</v>
      </c>
      <c r="AE24" s="292" t="s">
        <v>120</v>
      </c>
      <c r="AF24" s="289"/>
      <c r="AG24" s="296"/>
      <c r="AH24" s="296"/>
      <c r="AI24" s="288" t="s">
        <v>1773</v>
      </c>
      <c r="AJ24" s="292" t="s">
        <v>120</v>
      </c>
      <c r="AK24" s="288" t="s">
        <v>123</v>
      </c>
      <c r="AL24" s="288" t="s">
        <v>1207</v>
      </c>
      <c r="AM24" s="292"/>
      <c r="AN24" s="288"/>
      <c r="AO24" s="288"/>
      <c r="AP24" s="297"/>
      <c r="AQ24" s="288"/>
      <c r="AR24" s="292"/>
      <c r="AS24" s="288"/>
      <c r="AT24" s="289">
        <v>43488.3801783565</v>
      </c>
      <c r="AU24" s="289">
        <v>43490.623605786997</v>
      </c>
      <c r="AV24" s="289">
        <v>43490.591370254602</v>
      </c>
      <c r="AW24" s="289">
        <v>43488.3801783565</v>
      </c>
      <c r="AX24" s="289"/>
      <c r="AY24" s="289">
        <v>43487.663643171298</v>
      </c>
      <c r="AZ24" s="298">
        <v>43490.708620023201</v>
      </c>
      <c r="BA2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3.7086200232006377</v>
      </c>
      <c r="BB24" s="300">
        <f>COUNTIFS(_05preva_view43[Site ID],_05preva_view43[[#This Row],[Site ID]],_05preva_view43[Prevalidation Status],"Under Prevalidation")</f>
        <v>0</v>
      </c>
      <c r="BC2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" s="302" t="str">
        <f>CONCATENATE(_05preva_view43[[#This Row],[Site ID]]," (",_05preva_view43[[#This Row],[tenant id]],") Application",IF(_05preva_view43[[#This Row],[Colo Rev]]&gt;0," Rev "&amp;_05preva_view43[[#This Row],[Colo Rev]],""),".xlsx")</f>
        <v>PMON00045 (MON00569) Application Rev 0.xlsx</v>
      </c>
      <c r="BE24" s="64">
        <f t="shared" ca="1" si="2"/>
        <v>50</v>
      </c>
      <c r="BF24" s="104" t="str">
        <f ca="1">LEFT(CELL("filename",A9),_05preva_view43[[#This Row],[Find Process &amp; Database]]-1)</f>
        <v>D:\OneDrive - apollo-towers.com\Apollo Towers\00-</v>
      </c>
      <c r="BG24" s="104" t="str">
        <f ca="1">_05preva_view43[Folder Path1]&amp;"Process &amp; Database\Documentation\Colo Applications"</f>
        <v>D:\OneDrive - apollo-towers.com\Apollo Towers\00-Process &amp; Database\Documentation\Colo Applications</v>
      </c>
      <c r="BH2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" s="63" t="str">
        <f ca="1">_05preva_view43[[#This Row],[Folder Path3]]&amp;_05preva_view43[[#This Row],[File Name]]</f>
        <v>D:\OneDrive - apollo-towers.com\Apollo Towers\00-Process &amp; Database\Documentation\Colo Applications\Colo App MPT\PMON00045 (MON00569) Application Rev 0.xlsx</v>
      </c>
      <c r="BJ24" s="104"/>
      <c r="BK24" s="3"/>
      <c r="BL24" s="3"/>
      <c r="CJ24" s="5"/>
      <c r="CK24" s="5"/>
      <c r="CL24" s="3"/>
      <c r="CN24" s="5"/>
      <c r="CR24" s="3"/>
      <c r="CS24" s="3"/>
      <c r="CT24" s="5"/>
      <c r="CV24" s="3"/>
      <c r="DR24" s="5"/>
      <c r="DT24" s="3"/>
      <c r="EF24" s="7"/>
      <c r="EG24" s="7"/>
      <c r="EJ24" s="4"/>
      <c r="EK24" s="4"/>
      <c r="EU24" s="2"/>
      <c r="EV24" s="2"/>
    </row>
    <row r="25" spans="1:152">
      <c r="A25" s="287">
        <v>3626</v>
      </c>
      <c r="B25" s="288" t="s">
        <v>1551</v>
      </c>
      <c r="C25" s="288" t="s">
        <v>278</v>
      </c>
      <c r="D25" s="288" t="s">
        <v>127</v>
      </c>
      <c r="E25" s="288" t="s">
        <v>1552</v>
      </c>
      <c r="F25" s="288" t="s">
        <v>35</v>
      </c>
      <c r="G25" s="288" t="s">
        <v>1292</v>
      </c>
      <c r="H25" s="288" t="s">
        <v>1285</v>
      </c>
      <c r="I25" s="288" t="s">
        <v>1006</v>
      </c>
      <c r="J25" s="288" t="s">
        <v>727</v>
      </c>
      <c r="K25" s="289">
        <v>43486</v>
      </c>
      <c r="L25" s="290">
        <v>1.399</v>
      </c>
      <c r="M25" s="290">
        <v>2.1989999999999998</v>
      </c>
      <c r="N25" s="288">
        <v>3.25</v>
      </c>
      <c r="O25" s="288" t="s">
        <v>687</v>
      </c>
      <c r="P25" s="291" t="s">
        <v>695</v>
      </c>
      <c r="Q25" s="291" t="s">
        <v>696</v>
      </c>
      <c r="R25" s="288" t="s">
        <v>24</v>
      </c>
      <c r="S25" s="288"/>
      <c r="T25" s="292" t="s">
        <v>615</v>
      </c>
      <c r="U25" s="288"/>
      <c r="V25" s="292" t="s">
        <v>120</v>
      </c>
      <c r="W25" s="288"/>
      <c r="X25" s="292" t="s">
        <v>120</v>
      </c>
      <c r="Y25" s="288" t="s">
        <v>1588</v>
      </c>
      <c r="Z25" s="293" t="s">
        <v>120</v>
      </c>
      <c r="AA25" s="294" t="s">
        <v>1746</v>
      </c>
      <c r="AB25" s="294" t="s">
        <v>1747</v>
      </c>
      <c r="AC25" s="295" t="s">
        <v>123</v>
      </c>
      <c r="AD25" s="288" t="s">
        <v>1748</v>
      </c>
      <c r="AE25" s="292" t="s">
        <v>120</v>
      </c>
      <c r="AF25" s="289" t="s">
        <v>1778</v>
      </c>
      <c r="AG25" s="296"/>
      <c r="AH25" s="296"/>
      <c r="AI25" s="288" t="s">
        <v>1779</v>
      </c>
      <c r="AJ25" s="292" t="s">
        <v>120</v>
      </c>
      <c r="AK25" s="288" t="s">
        <v>123</v>
      </c>
      <c r="AL25" s="288" t="s">
        <v>935</v>
      </c>
      <c r="AM25" s="292"/>
      <c r="AN25" s="288"/>
      <c r="AO25" s="288"/>
      <c r="AP25" s="297"/>
      <c r="AQ25" s="288"/>
      <c r="AR25" s="292"/>
      <c r="AS25" s="288"/>
      <c r="AT25" s="289">
        <v>43487.3767881944</v>
      </c>
      <c r="AU25" s="289">
        <v>43489.664874768503</v>
      </c>
      <c r="AV25" s="289">
        <v>43488.585188078701</v>
      </c>
      <c r="AW25" s="289">
        <v>43487.3767881944</v>
      </c>
      <c r="AX25" s="289"/>
      <c r="AY25" s="289">
        <v>43486.643537615702</v>
      </c>
      <c r="AZ25" s="298">
        <v>43489.677555208298</v>
      </c>
      <c r="BA2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3.6775552082981449</v>
      </c>
      <c r="BB25" s="300">
        <f>COUNTIFS(_05preva_view43[Site ID],_05preva_view43[[#This Row],[Site ID]],_05preva_view43[Prevalidation Status],"Under Prevalidation")</f>
        <v>0</v>
      </c>
      <c r="BC2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" s="302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3.xlsx</v>
      </c>
      <c r="BE25" s="64">
        <f t="shared" ca="1" si="2"/>
        <v>50</v>
      </c>
      <c r="BF25" s="104" t="str">
        <f ca="1">LEFT(CELL("filename",A10),_05preva_view43[[#This Row],[Find Process &amp; Database]]-1)</f>
        <v>D:\OneDrive - apollo-towers.com\Apollo Towers\00-</v>
      </c>
      <c r="BG25" s="104" t="str">
        <f ca="1">_05preva_view43[Folder Path1]&amp;"Process &amp; Database\Documentation\Colo Applications"</f>
        <v>D:\OneDrive - apollo-towers.com\Apollo Towers\00-Process &amp; Database\Documentation\Colo Applications</v>
      </c>
      <c r="BH2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" s="63" t="str">
        <f ca="1">_05preva_view43[[#This Row],[Folder Path3]]&amp;_05preva_view43[[#This Row],[File Name]]</f>
        <v>D:\OneDrive - apollo-towers.com\Apollo Towers\00-Process &amp; Database\Documentation\Colo Applications\Colo App MPT\1-01-10018-001 (MDY00339) Application Rev 3.xlsx</v>
      </c>
      <c r="BJ25" s="104"/>
      <c r="BK25" s="3"/>
      <c r="BL25" s="3"/>
      <c r="CJ25" s="5"/>
      <c r="CK25" s="5"/>
      <c r="CL25" s="3"/>
      <c r="CN25" s="5"/>
      <c r="CR25" s="3"/>
      <c r="CS25" s="3"/>
      <c r="CT25" s="5"/>
      <c r="CV25" s="3"/>
      <c r="DR25" s="5"/>
      <c r="DT25" s="3"/>
      <c r="EF25" s="7"/>
      <c r="EG25" s="7"/>
      <c r="EJ25" s="4"/>
      <c r="EK25" s="4"/>
      <c r="EU25" s="2"/>
      <c r="EV25" s="2"/>
    </row>
    <row r="26" spans="1:152">
      <c r="A26" s="287">
        <v>3627</v>
      </c>
      <c r="B26" s="288" t="s">
        <v>1589</v>
      </c>
      <c r="C26" s="288" t="s">
        <v>278</v>
      </c>
      <c r="D26" s="288" t="s">
        <v>127</v>
      </c>
      <c r="E26" s="288" t="s">
        <v>1590</v>
      </c>
      <c r="F26" s="288" t="s">
        <v>35</v>
      </c>
      <c r="G26" s="288" t="s">
        <v>1292</v>
      </c>
      <c r="H26" s="288" t="s">
        <v>1285</v>
      </c>
      <c r="I26" s="288" t="s">
        <v>1006</v>
      </c>
      <c r="J26" s="288" t="s">
        <v>668</v>
      </c>
      <c r="K26" s="289">
        <v>43486</v>
      </c>
      <c r="L26" s="290">
        <v>1.399</v>
      </c>
      <c r="M26" s="290">
        <v>2.1989999999999998</v>
      </c>
      <c r="N26" s="288">
        <v>5.13</v>
      </c>
      <c r="O26" s="288" t="s">
        <v>687</v>
      </c>
      <c r="P26" s="291" t="s">
        <v>695</v>
      </c>
      <c r="Q26" s="291" t="s">
        <v>696</v>
      </c>
      <c r="R26" s="288" t="s">
        <v>24</v>
      </c>
      <c r="S26" s="288"/>
      <c r="T26" s="292" t="s">
        <v>615</v>
      </c>
      <c r="U26" s="288"/>
      <c r="V26" s="292" t="s">
        <v>120</v>
      </c>
      <c r="W26" s="288"/>
      <c r="X26" s="292" t="s">
        <v>120</v>
      </c>
      <c r="Y26" s="288" t="s">
        <v>1591</v>
      </c>
      <c r="Z26" s="293" t="s">
        <v>120</v>
      </c>
      <c r="AA26" s="294" t="s">
        <v>1746</v>
      </c>
      <c r="AB26" s="294" t="s">
        <v>1747</v>
      </c>
      <c r="AC26" s="295" t="s">
        <v>123</v>
      </c>
      <c r="AD26" s="288" t="s">
        <v>1749</v>
      </c>
      <c r="AE26" s="292" t="s">
        <v>120</v>
      </c>
      <c r="AF26" s="289" t="s">
        <v>1592</v>
      </c>
      <c r="AG26" s="296"/>
      <c r="AH26" s="296"/>
      <c r="AI26" s="288" t="s">
        <v>1593</v>
      </c>
      <c r="AJ26" s="292" t="s">
        <v>120</v>
      </c>
      <c r="AK26" s="288" t="s">
        <v>123</v>
      </c>
      <c r="AL26" s="288" t="s">
        <v>935</v>
      </c>
      <c r="AM26" s="292"/>
      <c r="AN26" s="288"/>
      <c r="AO26" s="288"/>
      <c r="AP26" s="297"/>
      <c r="AQ26" s="288"/>
      <c r="AR26" s="292"/>
      <c r="AS26" s="288"/>
      <c r="AT26" s="289">
        <v>43487.376791666698</v>
      </c>
      <c r="AU26" s="289">
        <v>43486.753532754599</v>
      </c>
      <c r="AV26" s="289">
        <v>43488.650206481499</v>
      </c>
      <c r="AW26" s="289">
        <v>43487.376791666698</v>
      </c>
      <c r="AX26" s="289"/>
      <c r="AY26" s="289">
        <v>43486.643538194403</v>
      </c>
      <c r="AZ26" s="298">
        <v>43488.749118749998</v>
      </c>
      <c r="BA2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2.7491187499981606</v>
      </c>
      <c r="BB26" s="300">
        <f>COUNTIFS(_05preva_view43[Site ID],_05preva_view43[[#This Row],[Site ID]],_05preva_view43[Prevalidation Status],"Under Prevalidation")</f>
        <v>0</v>
      </c>
      <c r="BC2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" s="302" t="str">
        <f>CONCATENATE(_05preva_view43[[#This Row],[Site ID]]," (",_05preva_view43[[#This Row],[tenant id]],") Application",IF(_05preva_view43[[#This Row],[Colo Rev]]&gt;0," Rev "&amp;_05preva_view43[[#This Row],[Colo Rev]],""),".xlsx")</f>
        <v>1-01-10029-006 (MDY00358) Application Rev 1.xlsx</v>
      </c>
      <c r="BE26" s="64">
        <f t="shared" ca="1" si="2"/>
        <v>50</v>
      </c>
      <c r="BF26" s="104" t="str">
        <f ca="1">LEFT(CELL("filename",A11),_05preva_view43[[#This Row],[Find Process &amp; Database]]-1)</f>
        <v>D:\OneDrive - apollo-towers.com\Apollo Towers\00-</v>
      </c>
      <c r="BG26" s="104" t="str">
        <f ca="1">_05preva_view43[Folder Path1]&amp;"Process &amp; Database\Documentation\Colo Applications"</f>
        <v>D:\OneDrive - apollo-towers.com\Apollo Towers\00-Process &amp; Database\Documentation\Colo Applications</v>
      </c>
      <c r="BH2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" s="63" t="str">
        <f ca="1">_05preva_view43[[#This Row],[Folder Path3]]&amp;_05preva_view43[[#This Row],[File Name]]</f>
        <v>D:\OneDrive - apollo-towers.com\Apollo Towers\00-Process &amp; Database\Documentation\Colo Applications\Colo App MPT\1-01-10029-006 (MDY00358) Application Rev 1.xlsx</v>
      </c>
      <c r="BJ26" s="104"/>
      <c r="BK26" s="3"/>
      <c r="BL26" s="3"/>
      <c r="CJ26" s="5"/>
      <c r="CK26" s="5"/>
      <c r="CL26" s="3"/>
      <c r="CN26" s="5"/>
      <c r="CR26" s="3"/>
      <c r="CS26" s="3"/>
      <c r="CT26" s="5"/>
      <c r="CV26" s="3"/>
      <c r="DR26" s="5"/>
      <c r="DT26" s="3"/>
      <c r="EF26" s="7"/>
      <c r="EG26" s="7"/>
      <c r="EJ26" s="4"/>
      <c r="EK26" s="4"/>
      <c r="EU26" s="2"/>
      <c r="EV26" s="2"/>
    </row>
    <row r="27" spans="1:152">
      <c r="A27" s="287">
        <v>3628</v>
      </c>
      <c r="B27" s="288" t="s">
        <v>1594</v>
      </c>
      <c r="C27" s="288" t="s">
        <v>278</v>
      </c>
      <c r="D27" s="288" t="s">
        <v>117</v>
      </c>
      <c r="E27" s="288" t="s">
        <v>1595</v>
      </c>
      <c r="F27" s="288" t="s">
        <v>35</v>
      </c>
      <c r="G27" s="288" t="s">
        <v>1292</v>
      </c>
      <c r="H27" s="288" t="s">
        <v>1285</v>
      </c>
      <c r="I27" s="288" t="s">
        <v>1006</v>
      </c>
      <c r="J27" s="288" t="s">
        <v>668</v>
      </c>
      <c r="K27" s="289">
        <v>43486</v>
      </c>
      <c r="L27" s="290">
        <v>1.399</v>
      </c>
      <c r="M27" s="290">
        <v>2.1989999999999998</v>
      </c>
      <c r="N27" s="288">
        <v>4.3600000000000003</v>
      </c>
      <c r="O27" s="288" t="s">
        <v>687</v>
      </c>
      <c r="P27" s="291" t="s">
        <v>695</v>
      </c>
      <c r="Q27" s="291" t="s">
        <v>696</v>
      </c>
      <c r="R27" s="288" t="s">
        <v>24</v>
      </c>
      <c r="S27" s="288"/>
      <c r="T27" s="292" t="s">
        <v>615</v>
      </c>
      <c r="U27" s="288"/>
      <c r="V27" s="292" t="s">
        <v>120</v>
      </c>
      <c r="W27" s="288" t="s">
        <v>1596</v>
      </c>
      <c r="X27" s="292" t="s">
        <v>120</v>
      </c>
      <c r="Y27" s="288" t="s">
        <v>1597</v>
      </c>
      <c r="Z27" s="293" t="s">
        <v>120</v>
      </c>
      <c r="AA27" s="294" t="s">
        <v>1746</v>
      </c>
      <c r="AB27" s="294" t="s">
        <v>1747</v>
      </c>
      <c r="AC27" s="295" t="s">
        <v>123</v>
      </c>
      <c r="AD27" s="288" t="s">
        <v>1780</v>
      </c>
      <c r="AE27" s="292" t="s">
        <v>120</v>
      </c>
      <c r="AF27" s="289" t="s">
        <v>1592</v>
      </c>
      <c r="AG27" s="296"/>
      <c r="AH27" s="296"/>
      <c r="AI27" s="288" t="s">
        <v>1593</v>
      </c>
      <c r="AJ27" s="292" t="s">
        <v>120</v>
      </c>
      <c r="AK27" s="288" t="s">
        <v>123</v>
      </c>
      <c r="AL27" s="288" t="s">
        <v>935</v>
      </c>
      <c r="AM27" s="292"/>
      <c r="AN27" s="288"/>
      <c r="AO27" s="288"/>
      <c r="AP27" s="297"/>
      <c r="AQ27" s="288"/>
      <c r="AR27" s="292"/>
      <c r="AS27" s="288"/>
      <c r="AT27" s="289">
        <v>43487.376794907403</v>
      </c>
      <c r="AU27" s="289">
        <v>43486.753536574099</v>
      </c>
      <c r="AV27" s="289">
        <v>43488.731594675897</v>
      </c>
      <c r="AW27" s="289">
        <v>43487.376794907403</v>
      </c>
      <c r="AX27" s="289"/>
      <c r="AY27" s="289">
        <v>43486.6435391204</v>
      </c>
      <c r="AZ27" s="298">
        <v>43488.754418865698</v>
      </c>
      <c r="BA2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2.7544188656975166</v>
      </c>
      <c r="BB27" s="300">
        <f>COUNTIFS(_05preva_view43[Site ID],_05preva_view43[[#This Row],[Site ID]],_05preva_view43[Prevalidation Status],"Under Prevalidation")</f>
        <v>0</v>
      </c>
      <c r="BC2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" s="302" t="str">
        <f>CONCATENATE(_05preva_view43[[#This Row],[Site ID]]," (",_05preva_view43[[#This Row],[tenant id]],") Application",IF(_05preva_view43[[#This Row],[Colo Rev]]&gt;0," Rev "&amp;_05preva_view43[[#This Row],[Colo Rev]],""),".xlsx")</f>
        <v>1-01-09022-002 (MGW00204) Application Rev 1.xlsx</v>
      </c>
      <c r="BE27" s="64">
        <f t="shared" ca="1" si="2"/>
        <v>50</v>
      </c>
      <c r="BF27" s="104" t="str">
        <f ca="1">LEFT(CELL("filename",A12),_05preva_view43[[#This Row],[Find Process &amp; Database]]-1)</f>
        <v>D:\OneDrive - apollo-towers.com\Apollo Towers\00-</v>
      </c>
      <c r="BG27" s="104" t="str">
        <f ca="1">_05preva_view43[Folder Path1]&amp;"Process &amp; Database\Documentation\Colo Applications"</f>
        <v>D:\OneDrive - apollo-towers.com\Apollo Towers\00-Process &amp; Database\Documentation\Colo Applications</v>
      </c>
      <c r="BH2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7" s="63" t="str">
        <f ca="1">_05preva_view43[[#This Row],[Folder Path3]]&amp;_05preva_view43[[#This Row],[File Name]]</f>
        <v>D:\OneDrive - apollo-towers.com\Apollo Towers\00-Process &amp; Database\Documentation\Colo Applications\Colo App MPT\1-01-09022-002 (MGW00204) Application Rev 1.xlsx</v>
      </c>
      <c r="BJ27" s="104"/>
      <c r="BK27" s="3"/>
      <c r="BL27" s="3"/>
      <c r="CJ27" s="5"/>
      <c r="CK27" s="5"/>
      <c r="CL27" s="3"/>
      <c r="CN27" s="5"/>
      <c r="CR27" s="3"/>
      <c r="CS27" s="3"/>
      <c r="CT27" s="5"/>
      <c r="CV27" s="3"/>
      <c r="DR27" s="5"/>
      <c r="DT27" s="3"/>
      <c r="EF27" s="7"/>
      <c r="EG27" s="7"/>
      <c r="EJ27" s="4"/>
      <c r="EK27" s="4"/>
      <c r="EU27" s="2"/>
      <c r="EV27" s="2"/>
    </row>
    <row r="28" spans="1:152">
      <c r="A28" s="287">
        <v>3629</v>
      </c>
      <c r="B28" s="288" t="s">
        <v>1340</v>
      </c>
      <c r="C28" s="288" t="s">
        <v>278</v>
      </c>
      <c r="D28" s="288" t="s">
        <v>127</v>
      </c>
      <c r="E28" s="288" t="s">
        <v>1341</v>
      </c>
      <c r="F28" s="288" t="s">
        <v>35</v>
      </c>
      <c r="G28" s="288" t="s">
        <v>1292</v>
      </c>
      <c r="H28" s="288" t="s">
        <v>1285</v>
      </c>
      <c r="I28" s="288" t="s">
        <v>1006</v>
      </c>
      <c r="J28" s="288" t="s">
        <v>668</v>
      </c>
      <c r="K28" s="289">
        <v>43486</v>
      </c>
      <c r="L28" s="290">
        <v>1.399</v>
      </c>
      <c r="M28" s="290">
        <v>2.1989999999999998</v>
      </c>
      <c r="N28" s="288">
        <v>3.12</v>
      </c>
      <c r="O28" s="288" t="s">
        <v>687</v>
      </c>
      <c r="P28" s="291" t="s">
        <v>799</v>
      </c>
      <c r="Q28" s="291" t="s">
        <v>695</v>
      </c>
      <c r="R28" s="288" t="s">
        <v>24</v>
      </c>
      <c r="S28" s="288"/>
      <c r="T28" s="292" t="s">
        <v>615</v>
      </c>
      <c r="U28" s="288"/>
      <c r="V28" s="292" t="s">
        <v>120</v>
      </c>
      <c r="W28" s="288"/>
      <c r="X28" s="292" t="s">
        <v>120</v>
      </c>
      <c r="Y28" s="288" t="s">
        <v>1598</v>
      </c>
      <c r="Z28" s="293" t="s">
        <v>120</v>
      </c>
      <c r="AA28" s="294" t="s">
        <v>1746</v>
      </c>
      <c r="AB28" s="294" t="s">
        <v>1747</v>
      </c>
      <c r="AC28" s="295" t="s">
        <v>123</v>
      </c>
      <c r="AD28" s="288" t="s">
        <v>1750</v>
      </c>
      <c r="AE28" s="292" t="s">
        <v>120</v>
      </c>
      <c r="AF28" s="289" t="s">
        <v>1599</v>
      </c>
      <c r="AG28" s="296"/>
      <c r="AH28" s="296"/>
      <c r="AI28" s="288" t="s">
        <v>1593</v>
      </c>
      <c r="AJ28" s="292" t="s">
        <v>120</v>
      </c>
      <c r="AK28" s="288" t="s">
        <v>123</v>
      </c>
      <c r="AL28" s="288" t="s">
        <v>935</v>
      </c>
      <c r="AM28" s="292"/>
      <c r="AN28" s="288"/>
      <c r="AO28" s="288"/>
      <c r="AP28" s="297"/>
      <c r="AQ28" s="288"/>
      <c r="AR28" s="292"/>
      <c r="AS28" s="288"/>
      <c r="AT28" s="289">
        <v>43487.376798495403</v>
      </c>
      <c r="AU28" s="289">
        <v>43486.753538773097</v>
      </c>
      <c r="AV28" s="289">
        <v>43488.5851899306</v>
      </c>
      <c r="AW28" s="289">
        <v>43487.376798495403</v>
      </c>
      <c r="AX28" s="289"/>
      <c r="AY28" s="289">
        <v>43486.643539583303</v>
      </c>
      <c r="AZ28" s="298">
        <v>43488.593204166697</v>
      </c>
      <c r="BA2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2.5932041666965233</v>
      </c>
      <c r="BB28" s="300">
        <f>COUNTIFS(_05preva_view43[Site ID],_05preva_view43[[#This Row],[Site ID]],_05preva_view43[Prevalidation Status],"Under Prevalidation")</f>
        <v>0</v>
      </c>
      <c r="BC2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1.xlsx</v>
      </c>
      <c r="BE28" s="64">
        <f t="shared" ca="1" si="2"/>
        <v>50</v>
      </c>
      <c r="BF28" s="104" t="str">
        <f ca="1">LEFT(CELL("filename",A13),_05preva_view43[[#This Row],[Find Process &amp; Database]]-1)</f>
        <v>D:\OneDrive - apollo-towers.com\Apollo Towers\00-</v>
      </c>
      <c r="BG28" s="104" t="str">
        <f ca="1">_05preva_view43[Folder Path1]&amp;"Process &amp; Database\Documentation\Colo Applications"</f>
        <v>D:\OneDrive - apollo-towers.com\Apollo Towers\00-Process &amp; Database\Documentation\Colo Applications</v>
      </c>
      <c r="BH2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8" s="63" t="str">
        <f ca="1">_05preva_view43[[#This Row],[Folder Path3]]&amp;_05preva_view43[[#This Row],[File Name]]</f>
        <v>D:\OneDrive - apollo-towers.com\Apollo Towers\00-Process &amp; Database\Documentation\Colo Applications\Colo App MPT\1-01-05015-002 (SGG00199) Application Rev 1.xlsx</v>
      </c>
      <c r="BJ28" s="104"/>
      <c r="BK28" s="3"/>
      <c r="BL28" s="3"/>
      <c r="CJ28" s="5"/>
      <c r="CK28" s="5"/>
      <c r="CL28" s="3"/>
      <c r="CN28" s="5"/>
      <c r="CR28" s="3"/>
      <c r="CS28" s="3"/>
      <c r="CT28" s="5"/>
      <c r="CV28" s="3"/>
      <c r="DR28" s="5"/>
      <c r="DT28" s="3"/>
      <c r="EF28" s="7"/>
      <c r="EG28" s="7"/>
      <c r="EJ28" s="4"/>
      <c r="EK28" s="4"/>
      <c r="EU28" s="2"/>
      <c r="EV28" s="2"/>
    </row>
    <row r="29" spans="1:152">
      <c r="A29" s="287">
        <v>3630</v>
      </c>
      <c r="B29" s="288" t="s">
        <v>1553</v>
      </c>
      <c r="C29" s="288" t="s">
        <v>278</v>
      </c>
      <c r="D29" s="288" t="s">
        <v>127</v>
      </c>
      <c r="E29" s="288" t="s">
        <v>1554</v>
      </c>
      <c r="F29" s="288" t="s">
        <v>35</v>
      </c>
      <c r="G29" s="288" t="s">
        <v>1292</v>
      </c>
      <c r="H29" s="288" t="s">
        <v>1285</v>
      </c>
      <c r="I29" s="288" t="s">
        <v>1006</v>
      </c>
      <c r="J29" s="288" t="s">
        <v>686</v>
      </c>
      <c r="K29" s="289">
        <v>43486</v>
      </c>
      <c r="L29" s="290">
        <v>1.399</v>
      </c>
      <c r="M29" s="290">
        <v>2.2610000000000001</v>
      </c>
      <c r="N29" s="288">
        <v>4.04</v>
      </c>
      <c r="O29" s="288" t="s">
        <v>687</v>
      </c>
      <c r="P29" s="291" t="s">
        <v>695</v>
      </c>
      <c r="Q29" s="291" t="s">
        <v>696</v>
      </c>
      <c r="R29" s="288" t="s">
        <v>24</v>
      </c>
      <c r="S29" s="288"/>
      <c r="T29" s="292" t="s">
        <v>615</v>
      </c>
      <c r="U29" s="288"/>
      <c r="V29" s="292" t="s">
        <v>120</v>
      </c>
      <c r="W29" s="288"/>
      <c r="X29" s="292" t="s">
        <v>120</v>
      </c>
      <c r="Y29" s="288" t="s">
        <v>1751</v>
      </c>
      <c r="Z29" s="293" t="s">
        <v>120</v>
      </c>
      <c r="AA29" s="294" t="s">
        <v>1746</v>
      </c>
      <c r="AB29" s="294" t="s">
        <v>1747</v>
      </c>
      <c r="AC29" s="295" t="s">
        <v>123</v>
      </c>
      <c r="AD29" s="288" t="s">
        <v>1752</v>
      </c>
      <c r="AE29" s="292" t="s">
        <v>120</v>
      </c>
      <c r="AF29" s="289" t="s">
        <v>1600</v>
      </c>
      <c r="AG29" s="296"/>
      <c r="AH29" s="296"/>
      <c r="AI29" s="288" t="s">
        <v>1601</v>
      </c>
      <c r="AJ29" s="292" t="s">
        <v>120</v>
      </c>
      <c r="AK29" s="288" t="s">
        <v>123</v>
      </c>
      <c r="AL29" s="288" t="s">
        <v>935</v>
      </c>
      <c r="AM29" s="292"/>
      <c r="AN29" s="288"/>
      <c r="AO29" s="288"/>
      <c r="AP29" s="297"/>
      <c r="AQ29" s="288"/>
      <c r="AR29" s="292"/>
      <c r="AS29" s="288"/>
      <c r="AT29" s="289">
        <v>43487.500028935203</v>
      </c>
      <c r="AU29" s="289">
        <v>43486.753542592603</v>
      </c>
      <c r="AV29" s="289">
        <v>43488.585190856502</v>
      </c>
      <c r="AW29" s="289">
        <v>43487.500028935203</v>
      </c>
      <c r="AX29" s="289"/>
      <c r="AY29" s="289">
        <v>43486.643540972203</v>
      </c>
      <c r="AZ29" s="298">
        <v>43488.593205092599</v>
      </c>
      <c r="BA2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2.5932050925985095</v>
      </c>
      <c r="BB29" s="300">
        <f>COUNTIFS(_05preva_view43[Site ID],_05preva_view43[[#This Row],[Site ID]],_05preva_view43[Prevalidation Status],"Under Prevalidation")</f>
        <v>0</v>
      </c>
      <c r="BC2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2.xlsx</v>
      </c>
      <c r="BE29" s="64">
        <f t="shared" ca="1" si="2"/>
        <v>50</v>
      </c>
      <c r="BF29" s="104" t="str">
        <f ca="1">LEFT(CELL("filename",A14),_05preva_view43[[#This Row],[Find Process &amp; Database]]-1)</f>
        <v>D:\OneDrive - apollo-towers.com\Apollo Towers\00-</v>
      </c>
      <c r="BG29" s="104" t="str">
        <f ca="1">_05preva_view43[Folder Path1]&amp;"Process &amp; Database\Documentation\Colo Applications"</f>
        <v>D:\OneDrive - apollo-towers.com\Apollo Towers\00-Process &amp; Database\Documentation\Colo Applications</v>
      </c>
      <c r="BH2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9" s="63" t="str">
        <f ca="1">_05preva_view43[[#This Row],[Folder Path3]]&amp;_05preva_view43[[#This Row],[File Name]]</f>
        <v>D:\OneDrive - apollo-towers.com\Apollo Towers\00-Process &amp; Database\Documentation\Colo Applications\Colo App MPT\1-01-15013-009 (SHN00040) Application Rev 2.xlsx</v>
      </c>
      <c r="BJ29" s="104"/>
      <c r="BK29" s="3"/>
      <c r="BL29" s="3"/>
      <c r="CJ29" s="5"/>
      <c r="CK29" s="5"/>
      <c r="CL29" s="3"/>
      <c r="CN29" s="5"/>
      <c r="CR29" s="3"/>
      <c r="CS29" s="3"/>
      <c r="CT29" s="5"/>
      <c r="CV29" s="3"/>
      <c r="DR29" s="5"/>
      <c r="DT29" s="3"/>
      <c r="EF29" s="7"/>
      <c r="EG29" s="7"/>
      <c r="EJ29" s="4"/>
      <c r="EK29" s="4"/>
      <c r="EU29" s="2"/>
      <c r="EV29" s="2"/>
    </row>
    <row r="30" spans="1:152">
      <c r="A30" s="287">
        <v>3631</v>
      </c>
      <c r="B30" s="288" t="s">
        <v>1602</v>
      </c>
      <c r="C30" s="288" t="s">
        <v>278</v>
      </c>
      <c r="D30" s="288" t="s">
        <v>127</v>
      </c>
      <c r="E30" s="288" t="s">
        <v>1603</v>
      </c>
      <c r="F30" s="288" t="s">
        <v>35</v>
      </c>
      <c r="G30" s="288" t="s">
        <v>1292</v>
      </c>
      <c r="H30" s="288" t="s">
        <v>1285</v>
      </c>
      <c r="I30" s="288" t="s">
        <v>1006</v>
      </c>
      <c r="J30" s="288" t="s">
        <v>727</v>
      </c>
      <c r="K30" s="289">
        <v>43486</v>
      </c>
      <c r="L30" s="290">
        <v>1.399</v>
      </c>
      <c r="M30" s="290">
        <v>2.2610000000000001</v>
      </c>
      <c r="N30" s="288">
        <v>6.63</v>
      </c>
      <c r="O30" s="288" t="s">
        <v>687</v>
      </c>
      <c r="P30" s="291" t="s">
        <v>695</v>
      </c>
      <c r="Q30" s="291" t="s">
        <v>696</v>
      </c>
      <c r="R30" s="288" t="s">
        <v>24</v>
      </c>
      <c r="S30" s="288"/>
      <c r="T30" s="292" t="s">
        <v>615</v>
      </c>
      <c r="U30" s="288"/>
      <c r="V30" s="292" t="s">
        <v>120</v>
      </c>
      <c r="W30" s="288"/>
      <c r="X30" s="292" t="s">
        <v>120</v>
      </c>
      <c r="Y30" s="288" t="s">
        <v>1753</v>
      </c>
      <c r="Z30" s="293" t="s">
        <v>120</v>
      </c>
      <c r="AA30" s="294" t="s">
        <v>1746</v>
      </c>
      <c r="AB30" s="294" t="s">
        <v>1747</v>
      </c>
      <c r="AC30" s="295" t="s">
        <v>206</v>
      </c>
      <c r="AD30" s="288" t="s">
        <v>1754</v>
      </c>
      <c r="AE30" s="292" t="s">
        <v>120</v>
      </c>
      <c r="AF30" s="289" t="s">
        <v>1599</v>
      </c>
      <c r="AG30" s="296"/>
      <c r="AH30" s="296"/>
      <c r="AI30" s="288" t="s">
        <v>1593</v>
      </c>
      <c r="AJ30" s="292" t="s">
        <v>120</v>
      </c>
      <c r="AK30" s="288" t="s">
        <v>123</v>
      </c>
      <c r="AL30" s="288" t="s">
        <v>935</v>
      </c>
      <c r="AM30" s="292"/>
      <c r="AN30" s="288"/>
      <c r="AO30" s="288"/>
      <c r="AP30" s="297"/>
      <c r="AQ30" s="288"/>
      <c r="AR30" s="292"/>
      <c r="AS30" s="288"/>
      <c r="AT30" s="289">
        <v>43487.500029745403</v>
      </c>
      <c r="AU30" s="289">
        <v>43486.753544791703</v>
      </c>
      <c r="AV30" s="289"/>
      <c r="AW30" s="289">
        <v>43487.500029745403</v>
      </c>
      <c r="AX30" s="289"/>
      <c r="AY30" s="289">
        <v>43486.643543634302</v>
      </c>
      <c r="AZ30" s="298">
        <v>43488.593206365702</v>
      </c>
      <c r="BA3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2.5932063657019171</v>
      </c>
      <c r="BB30" s="300">
        <f>COUNTIFS(_05preva_view43[Site ID],_05preva_view43[[#This Row],[Site ID]],_05preva_view43[Prevalidation Status],"Under Prevalidation")</f>
        <v>0</v>
      </c>
      <c r="BC3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1-01-15018-003 (SHN00063) Application Rev 3.xlsx</v>
      </c>
      <c r="BE30" s="64">
        <f t="shared" ca="1" si="2"/>
        <v>50</v>
      </c>
      <c r="BF30" s="104" t="str">
        <f ca="1">LEFT(CELL("filename",A15),_05preva_view43[[#This Row],[Find Process &amp; Database]]-1)</f>
        <v>D:\OneDrive - apollo-towers.com\Apollo Towers\00-</v>
      </c>
      <c r="BG30" s="104" t="str">
        <f ca="1">_05preva_view43[Folder Path1]&amp;"Process &amp; Database\Documentation\Colo Applications"</f>
        <v>D:\OneDrive - apollo-towers.com\Apollo Towers\00-Process &amp; Database\Documentation\Colo Applications</v>
      </c>
      <c r="BH3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" s="63" t="str">
        <f ca="1">_05preva_view43[[#This Row],[Folder Path3]]&amp;_05preva_view43[[#This Row],[File Name]]</f>
        <v>D:\OneDrive - apollo-towers.com\Apollo Towers\00-Process &amp; Database\Documentation\Colo Applications\Colo App MPT\1-01-15018-003 (SHN00063) Application Rev 3.xlsx</v>
      </c>
      <c r="BJ30" s="104"/>
      <c r="BK30" s="3"/>
      <c r="BL30" s="3"/>
      <c r="CJ30" s="5"/>
      <c r="CK30" s="5"/>
      <c r="CL30" s="3"/>
      <c r="CN30" s="5"/>
      <c r="CR30" s="3"/>
      <c r="CS30" s="3"/>
      <c r="CT30" s="5"/>
      <c r="CV30" s="3"/>
      <c r="DR30" s="5"/>
      <c r="DT30" s="3"/>
      <c r="EF30" s="7"/>
      <c r="EG30" s="7"/>
      <c r="EJ30" s="4"/>
      <c r="EK30" s="4"/>
      <c r="EU30" s="2"/>
      <c r="EV30" s="2"/>
    </row>
    <row r="31" spans="1:152">
      <c r="A31" s="287">
        <v>3632</v>
      </c>
      <c r="B31" s="288" t="s">
        <v>1604</v>
      </c>
      <c r="C31" s="288" t="s">
        <v>278</v>
      </c>
      <c r="D31" s="288" t="s">
        <v>153</v>
      </c>
      <c r="E31" s="288" t="s">
        <v>1605</v>
      </c>
      <c r="F31" s="288" t="s">
        <v>35</v>
      </c>
      <c r="G31" s="288" t="s">
        <v>1586</v>
      </c>
      <c r="H31" s="288" t="s">
        <v>1328</v>
      </c>
      <c r="I31" s="288" t="s">
        <v>1029</v>
      </c>
      <c r="J31" s="288" t="s">
        <v>677</v>
      </c>
      <c r="K31" s="289">
        <v>43486</v>
      </c>
      <c r="L31" s="290">
        <v>0.72</v>
      </c>
      <c r="M31" s="290">
        <v>0.9</v>
      </c>
      <c r="N31" s="288">
        <v>6</v>
      </c>
      <c r="O31" s="288" t="s">
        <v>687</v>
      </c>
      <c r="P31" s="291" t="s">
        <v>248</v>
      </c>
      <c r="Q31" s="291" t="s">
        <v>249</v>
      </c>
      <c r="R31" s="288" t="s">
        <v>24</v>
      </c>
      <c r="S31" s="288"/>
      <c r="T31" s="292" t="s">
        <v>615</v>
      </c>
      <c r="U31" s="288"/>
      <c r="V31" s="292" t="s">
        <v>120</v>
      </c>
      <c r="W31" s="288"/>
      <c r="X31" s="292" t="s">
        <v>120</v>
      </c>
      <c r="Y31" s="288" t="s">
        <v>1587</v>
      </c>
      <c r="Z31" s="293" t="s">
        <v>120</v>
      </c>
      <c r="AA31" s="294" t="s">
        <v>1746</v>
      </c>
      <c r="AB31" s="294" t="s">
        <v>1747</v>
      </c>
      <c r="AC31" s="295" t="s">
        <v>123</v>
      </c>
      <c r="AD31" s="288" t="s">
        <v>1755</v>
      </c>
      <c r="AE31" s="292" t="s">
        <v>120</v>
      </c>
      <c r="AF31" s="289"/>
      <c r="AG31" s="296"/>
      <c r="AH31" s="296"/>
      <c r="AI31" s="288"/>
      <c r="AJ31" s="292" t="s">
        <v>120</v>
      </c>
      <c r="AK31" s="288" t="s">
        <v>123</v>
      </c>
      <c r="AL31" s="288" t="s">
        <v>1207</v>
      </c>
      <c r="AM31" s="292"/>
      <c r="AN31" s="288"/>
      <c r="AO31" s="288"/>
      <c r="AP31" s="297"/>
      <c r="AQ31" s="288"/>
      <c r="AR31" s="292"/>
      <c r="AS31" s="288"/>
      <c r="AT31" s="289">
        <v>43487.376804629603</v>
      </c>
      <c r="AU31" s="289">
        <v>43486.753548495399</v>
      </c>
      <c r="AV31" s="289">
        <v>43488.585192476901</v>
      </c>
      <c r="AW31" s="289">
        <v>43487.376804629603</v>
      </c>
      <c r="AX31" s="289"/>
      <c r="AY31" s="289">
        <v>43486.718662152802</v>
      </c>
      <c r="AZ31" s="298">
        <v>43488.593207060199</v>
      </c>
      <c r="BA3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2.5932070601993473</v>
      </c>
      <c r="BB31" s="300">
        <f>COUNTIFS(_05preva_view43[Site ID],_05preva_view43[[#This Row],[Site ID]],_05preva_view43[Prevalidation Status],"Under Prevalidation")</f>
        <v>0</v>
      </c>
      <c r="BC3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" s="302" t="str">
        <f>CONCATENATE(_05preva_view43[[#This Row],[Site ID]]," (",_05preva_view43[[#This Row],[tenant id]],") Application",IF(_05preva_view43[[#This Row],[Colo Rev]]&gt;0," Rev "&amp;_05preva_view43[[#This Row],[Colo Rev]],""),".xlsx")</f>
        <v>PBAG00032 (BGE00825) Application Rev 0.xlsx</v>
      </c>
      <c r="BE31" s="64">
        <f t="shared" ca="1" si="2"/>
        <v>50</v>
      </c>
      <c r="BF31" s="104" t="str">
        <f ca="1">LEFT(CELL("filename",A16),_05preva_view43[[#This Row],[Find Process &amp; Database]]-1)</f>
        <v>D:\OneDrive - apollo-towers.com\Apollo Towers\00-</v>
      </c>
      <c r="BG31" s="104" t="str">
        <f ca="1">_05preva_view43[Folder Path1]&amp;"Process &amp; Database\Documentation\Colo Applications"</f>
        <v>D:\OneDrive - apollo-towers.com\Apollo Towers\00-Process &amp; Database\Documentation\Colo Applications</v>
      </c>
      <c r="BH3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1" s="63" t="str">
        <f ca="1">_05preva_view43[[#This Row],[Folder Path3]]&amp;_05preva_view43[[#This Row],[File Name]]</f>
        <v>D:\OneDrive - apollo-towers.com\Apollo Towers\00-Process &amp; Database\Documentation\Colo Applications\Colo App MPT\PBAG00032 (BGE00825) Application Rev 0.xlsx</v>
      </c>
      <c r="BJ31" s="104"/>
      <c r="BK31" s="3"/>
      <c r="BL31" s="3"/>
      <c r="CJ31" s="5"/>
      <c r="CK31" s="5"/>
      <c r="CL31" s="3"/>
      <c r="CN31" s="5"/>
      <c r="CR31" s="3"/>
      <c r="CS31" s="3"/>
      <c r="CT31" s="5"/>
      <c r="CV31" s="3"/>
      <c r="DR31" s="5"/>
      <c r="DT31" s="3"/>
      <c r="EF31" s="7"/>
      <c r="EG31" s="7"/>
      <c r="EJ31" s="4"/>
      <c r="EK31" s="4"/>
      <c r="EU31" s="2"/>
      <c r="EV31" s="2"/>
    </row>
    <row r="32" spans="1:152">
      <c r="A32" s="287">
        <v>3633</v>
      </c>
      <c r="B32" s="288" t="s">
        <v>1606</v>
      </c>
      <c r="C32" s="288" t="s">
        <v>278</v>
      </c>
      <c r="D32" s="288" t="s">
        <v>117</v>
      </c>
      <c r="E32" s="288" t="s">
        <v>1607</v>
      </c>
      <c r="F32" s="288" t="s">
        <v>35</v>
      </c>
      <c r="G32" s="288" t="s">
        <v>1292</v>
      </c>
      <c r="H32" s="288" t="s">
        <v>1285</v>
      </c>
      <c r="I32" s="288" t="s">
        <v>785</v>
      </c>
      <c r="J32" s="288" t="s">
        <v>727</v>
      </c>
      <c r="K32" s="289">
        <v>43486</v>
      </c>
      <c r="L32" s="290">
        <v>3.548</v>
      </c>
      <c r="M32" s="290">
        <v>5.5259999999999998</v>
      </c>
      <c r="N32" s="288">
        <v>4.6219999999999999</v>
      </c>
      <c r="O32" s="288" t="s">
        <v>687</v>
      </c>
      <c r="P32" s="291" t="s">
        <v>1608</v>
      </c>
      <c r="Q32" s="291" t="s">
        <v>1609</v>
      </c>
      <c r="R32" s="288" t="s">
        <v>24</v>
      </c>
      <c r="S32" s="288"/>
      <c r="T32" s="292" t="s">
        <v>615</v>
      </c>
      <c r="U32" s="288"/>
      <c r="V32" s="292" t="s">
        <v>120</v>
      </c>
      <c r="W32" s="288"/>
      <c r="X32" s="292" t="s">
        <v>120</v>
      </c>
      <c r="Y32" s="288" t="s">
        <v>1756</v>
      </c>
      <c r="Z32" s="293" t="s">
        <v>1757</v>
      </c>
      <c r="AA32" s="294" t="s">
        <v>1758</v>
      </c>
      <c r="AB32" s="294" t="s">
        <v>1747</v>
      </c>
      <c r="AC32" s="295" t="s">
        <v>123</v>
      </c>
      <c r="AD32" s="288" t="s">
        <v>1759</v>
      </c>
      <c r="AE32" s="292" t="s">
        <v>120</v>
      </c>
      <c r="AF32" s="289"/>
      <c r="AG32" s="296"/>
      <c r="AH32" s="296"/>
      <c r="AI32" s="288"/>
      <c r="AJ32" s="292" t="s">
        <v>120</v>
      </c>
      <c r="AK32" s="288" t="s">
        <v>123</v>
      </c>
      <c r="AL32" s="288" t="s">
        <v>935</v>
      </c>
      <c r="AM32" s="292"/>
      <c r="AN32" s="288"/>
      <c r="AO32" s="288"/>
      <c r="AP32" s="297"/>
      <c r="AQ32" s="288"/>
      <c r="AR32" s="292"/>
      <c r="AS32" s="288"/>
      <c r="AT32" s="289">
        <v>43487.500030787</v>
      </c>
      <c r="AU32" s="289">
        <v>43486.753550694397</v>
      </c>
      <c r="AV32" s="289">
        <v>43488.690378587999</v>
      </c>
      <c r="AW32" s="289">
        <v>43487.500030787</v>
      </c>
      <c r="AX32" s="289"/>
      <c r="AY32" s="289">
        <v>43486.643544907398</v>
      </c>
      <c r="AZ32" s="298">
        <v>43488.762617013897</v>
      </c>
      <c r="BA3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2.7626170138973976</v>
      </c>
      <c r="BB32" s="300">
        <f>COUNTIFS(_05preva_view43[Site ID],_05preva_view43[[#This Row],[Site ID]],_05preva_view43[Prevalidation Status],"Under Prevalidation")</f>
        <v>0</v>
      </c>
      <c r="BC3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" s="302" t="str">
        <f>CONCATENATE(_05preva_view43[[#This Row],[Site ID]]," (",_05preva_view43[[#This Row],[tenant id]],") Application",IF(_05preva_view43[[#This Row],[Colo Rev]]&gt;0," Rev "&amp;_05preva_view43[[#This Row],[Colo Rev]],""),".xlsx")</f>
        <v>1-01-04002-007 (CHN00140) Application Rev 3.xlsx</v>
      </c>
      <c r="BE32" s="64">
        <f t="shared" ca="1" si="2"/>
        <v>50</v>
      </c>
      <c r="BF32" s="104" t="str">
        <f ca="1">LEFT(CELL("filename",A17),_05preva_view43[[#This Row],[Find Process &amp; Database]]-1)</f>
        <v>D:\OneDrive - apollo-towers.com\Apollo Towers\00-</v>
      </c>
      <c r="BG32" s="104" t="str">
        <f ca="1">_05preva_view43[Folder Path1]&amp;"Process &amp; Database\Documentation\Colo Applications"</f>
        <v>D:\OneDrive - apollo-towers.com\Apollo Towers\00-Process &amp; Database\Documentation\Colo Applications</v>
      </c>
      <c r="BH3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2" s="63" t="str">
        <f ca="1">_05preva_view43[[#This Row],[Folder Path3]]&amp;_05preva_view43[[#This Row],[File Name]]</f>
        <v>D:\OneDrive - apollo-towers.com\Apollo Towers\00-Process &amp; Database\Documentation\Colo Applications\Colo App MPT\1-01-04002-007 (CHN00140) Application Rev 3.xlsx</v>
      </c>
      <c r="BJ32" s="104"/>
      <c r="BK32" s="3"/>
      <c r="BL32" s="3"/>
      <c r="CJ32" s="5"/>
      <c r="CK32" s="5"/>
      <c r="CL32" s="3"/>
      <c r="CN32" s="5"/>
      <c r="CR32" s="3"/>
      <c r="CS32" s="3"/>
      <c r="CT32" s="5"/>
      <c r="CV32" s="3"/>
      <c r="DR32" s="5"/>
      <c r="DT32" s="3"/>
      <c r="EF32" s="7"/>
      <c r="EG32" s="7"/>
      <c r="EJ32" s="4"/>
      <c r="EK32" s="4"/>
      <c r="EU32" s="2"/>
      <c r="EV32" s="2"/>
    </row>
    <row r="33" spans="1:152">
      <c r="A33" s="287">
        <v>3634</v>
      </c>
      <c r="B33" s="288" t="s">
        <v>1610</v>
      </c>
      <c r="C33" s="288" t="s">
        <v>278</v>
      </c>
      <c r="D33" s="288" t="s">
        <v>117</v>
      </c>
      <c r="E33" s="288" t="s">
        <v>1611</v>
      </c>
      <c r="F33" s="288" t="s">
        <v>35</v>
      </c>
      <c r="G33" s="288" t="s">
        <v>1292</v>
      </c>
      <c r="H33" s="288" t="s">
        <v>1285</v>
      </c>
      <c r="I33" s="288" t="s">
        <v>790</v>
      </c>
      <c r="J33" s="288" t="s">
        <v>668</v>
      </c>
      <c r="K33" s="289">
        <v>43486</v>
      </c>
      <c r="L33" s="290">
        <v>2.0590000000000002</v>
      </c>
      <c r="M33" s="290">
        <v>3.5489999999999999</v>
      </c>
      <c r="N33" s="288">
        <v>4.0999999999999996</v>
      </c>
      <c r="O33" s="288" t="s">
        <v>687</v>
      </c>
      <c r="P33" s="291" t="s">
        <v>695</v>
      </c>
      <c r="Q33" s="291" t="s">
        <v>696</v>
      </c>
      <c r="R33" s="288" t="s">
        <v>24</v>
      </c>
      <c r="S33" s="288"/>
      <c r="T33" s="292" t="s">
        <v>615</v>
      </c>
      <c r="U33" s="288"/>
      <c r="V33" s="292" t="s">
        <v>120</v>
      </c>
      <c r="W33" s="288"/>
      <c r="X33" s="292" t="s">
        <v>120</v>
      </c>
      <c r="Y33" s="288" t="s">
        <v>1760</v>
      </c>
      <c r="Z33" s="293" t="s">
        <v>120</v>
      </c>
      <c r="AA33" s="294" t="s">
        <v>1746</v>
      </c>
      <c r="AB33" s="294" t="s">
        <v>1747</v>
      </c>
      <c r="AC33" s="295" t="s">
        <v>123</v>
      </c>
      <c r="AD33" s="288" t="s">
        <v>1781</v>
      </c>
      <c r="AE33" s="292" t="s">
        <v>120</v>
      </c>
      <c r="AF33" s="289" t="s">
        <v>1612</v>
      </c>
      <c r="AG33" s="296"/>
      <c r="AH33" s="296"/>
      <c r="AI33" s="288" t="s">
        <v>1613</v>
      </c>
      <c r="AJ33" s="292" t="s">
        <v>120</v>
      </c>
      <c r="AK33" s="288" t="s">
        <v>123</v>
      </c>
      <c r="AL33" s="288" t="s">
        <v>935</v>
      </c>
      <c r="AM33" s="292"/>
      <c r="AN33" s="288"/>
      <c r="AO33" s="288"/>
      <c r="AP33" s="297"/>
      <c r="AQ33" s="288"/>
      <c r="AR33" s="292"/>
      <c r="AS33" s="288"/>
      <c r="AT33" s="289">
        <v>43487.500031249998</v>
      </c>
      <c r="AU33" s="289">
        <v>43486.753554513904</v>
      </c>
      <c r="AV33" s="289">
        <v>43488.725009143498</v>
      </c>
      <c r="AW33" s="289">
        <v>43487.500031249998</v>
      </c>
      <c r="AX33" s="289"/>
      <c r="AY33" s="289">
        <v>43486.643545370403</v>
      </c>
      <c r="AZ33" s="298">
        <v>43488.754427546301</v>
      </c>
      <c r="BA3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2.7544275463005761</v>
      </c>
      <c r="BB33" s="300">
        <f>COUNTIFS(_05preva_view43[Site ID],_05preva_view43[[#This Row],[Site ID]],_05preva_view43[Prevalidation Status],"Under Prevalidation")</f>
        <v>0</v>
      </c>
      <c r="BC3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" s="302" t="str">
        <f>CONCATENATE(_05preva_view43[[#This Row],[Site ID]]," (",_05preva_view43[[#This Row],[tenant id]],") Application",IF(_05preva_view43[[#This Row],[Colo Rev]]&gt;0," Rev "&amp;_05preva_view43[[#This Row],[Colo Rev]],""),".xlsx")</f>
        <v>1-01-09021-002 (MGW00156) Application Rev 1.xlsx</v>
      </c>
      <c r="BE33" s="64">
        <f t="shared" ca="1" si="2"/>
        <v>50</v>
      </c>
      <c r="BF33" s="104" t="str">
        <f ca="1">LEFT(CELL("filename",A18),_05preva_view43[[#This Row],[Find Process &amp; Database]]-1)</f>
        <v>D:\OneDrive - apollo-towers.com\Apollo Towers\00-</v>
      </c>
      <c r="BG33" s="104" t="str">
        <f ca="1">_05preva_view43[Folder Path1]&amp;"Process &amp; Database\Documentation\Colo Applications"</f>
        <v>D:\OneDrive - apollo-towers.com\Apollo Towers\00-Process &amp; Database\Documentation\Colo Applications</v>
      </c>
      <c r="BH3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3" s="63" t="str">
        <f ca="1">_05preva_view43[[#This Row],[Folder Path3]]&amp;_05preva_view43[[#This Row],[File Name]]</f>
        <v>D:\OneDrive - apollo-towers.com\Apollo Towers\00-Process &amp; Database\Documentation\Colo Applications\Colo App MPT\1-01-09021-002 (MGW00156) Application Rev 1.xlsx</v>
      </c>
      <c r="BJ33" s="104"/>
      <c r="BK33" s="3"/>
      <c r="BL33" s="3"/>
      <c r="CJ33" s="5"/>
      <c r="CK33" s="5"/>
      <c r="CL33" s="3"/>
      <c r="CN33" s="5"/>
      <c r="CR33" s="3"/>
      <c r="CS33" s="3"/>
      <c r="CT33" s="5"/>
      <c r="CV33" s="3"/>
      <c r="DR33" s="5"/>
      <c r="DT33" s="3"/>
      <c r="EF33" s="7"/>
      <c r="EG33" s="7"/>
      <c r="EJ33" s="4"/>
      <c r="EK33" s="4"/>
      <c r="EU33" s="2"/>
      <c r="EV33" s="2"/>
    </row>
    <row r="34" spans="1:152">
      <c r="A34" s="287">
        <v>3635</v>
      </c>
      <c r="B34" s="288" t="s">
        <v>1614</v>
      </c>
      <c r="C34" s="288" t="s">
        <v>278</v>
      </c>
      <c r="D34" s="288" t="s">
        <v>127</v>
      </c>
      <c r="E34" s="288" t="s">
        <v>1615</v>
      </c>
      <c r="F34" s="288" t="s">
        <v>35</v>
      </c>
      <c r="G34" s="288" t="s">
        <v>1292</v>
      </c>
      <c r="H34" s="288" t="s">
        <v>1285</v>
      </c>
      <c r="I34" s="288" t="s">
        <v>785</v>
      </c>
      <c r="J34" s="288" t="s">
        <v>668</v>
      </c>
      <c r="K34" s="289">
        <v>43486</v>
      </c>
      <c r="L34" s="290">
        <v>2.1970000000000001</v>
      </c>
      <c r="M34" s="290">
        <v>3.7970000000000002</v>
      </c>
      <c r="N34" s="288">
        <v>3.3519999999999999</v>
      </c>
      <c r="O34" s="288" t="s">
        <v>687</v>
      </c>
      <c r="P34" s="291" t="s">
        <v>799</v>
      </c>
      <c r="Q34" s="291" t="s">
        <v>695</v>
      </c>
      <c r="R34" s="288" t="s">
        <v>24</v>
      </c>
      <c r="S34" s="288"/>
      <c r="T34" s="292" t="s">
        <v>615</v>
      </c>
      <c r="U34" s="288"/>
      <c r="V34" s="292" t="s">
        <v>120</v>
      </c>
      <c r="W34" s="288"/>
      <c r="X34" s="292" t="s">
        <v>120</v>
      </c>
      <c r="Y34" s="288" t="s">
        <v>1761</v>
      </c>
      <c r="Z34" s="293" t="s">
        <v>120</v>
      </c>
      <c r="AA34" s="294" t="s">
        <v>1746</v>
      </c>
      <c r="AB34" s="294" t="s">
        <v>1747</v>
      </c>
      <c r="AC34" s="295" t="s">
        <v>123</v>
      </c>
      <c r="AD34" s="288" t="s">
        <v>1782</v>
      </c>
      <c r="AE34" s="292" t="s">
        <v>120</v>
      </c>
      <c r="AF34" s="289" t="s">
        <v>1616</v>
      </c>
      <c r="AG34" s="296"/>
      <c r="AH34" s="296"/>
      <c r="AI34" s="288" t="s">
        <v>1617</v>
      </c>
      <c r="AJ34" s="292" t="s">
        <v>120</v>
      </c>
      <c r="AK34" s="288" t="s">
        <v>123</v>
      </c>
      <c r="AL34" s="288" t="s">
        <v>935</v>
      </c>
      <c r="AM34" s="292"/>
      <c r="AN34" s="288"/>
      <c r="AO34" s="288"/>
      <c r="AP34" s="297"/>
      <c r="AQ34" s="288"/>
      <c r="AR34" s="292"/>
      <c r="AS34" s="288"/>
      <c r="AT34" s="289">
        <v>43487.500031828698</v>
      </c>
      <c r="AU34" s="289">
        <v>43486.753556713003</v>
      </c>
      <c r="AV34" s="289">
        <v>43488.731595601901</v>
      </c>
      <c r="AW34" s="289">
        <v>43487.500031828698</v>
      </c>
      <c r="AX34" s="289"/>
      <c r="AY34" s="289">
        <v>43486.643546296298</v>
      </c>
      <c r="AZ34" s="298">
        <v>43488.754432175898</v>
      </c>
      <c r="BA3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2.7544321758978185</v>
      </c>
      <c r="BB34" s="300">
        <f>COUNTIFS(_05preva_view43[Site ID],_05preva_view43[[#This Row],[Site ID]],_05preva_view43[Prevalidation Status],"Under Prevalidation")</f>
        <v>0</v>
      </c>
      <c r="BC3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1-01-05027-007 (SGG00242) Application Rev 1.xlsx</v>
      </c>
      <c r="BE34" s="64">
        <f t="shared" ca="1" si="2"/>
        <v>50</v>
      </c>
      <c r="BF34" s="104" t="str">
        <f ca="1">LEFT(CELL("filename",A19),_05preva_view43[[#This Row],[Find Process &amp; Database]]-1)</f>
        <v>D:\OneDrive - apollo-towers.com\Apollo Towers\00-</v>
      </c>
      <c r="BG34" s="104" t="str">
        <f ca="1">_05preva_view43[Folder Path1]&amp;"Process &amp; Database\Documentation\Colo Applications"</f>
        <v>D:\OneDrive - apollo-towers.com\Apollo Towers\00-Process &amp; Database\Documentation\Colo Applications</v>
      </c>
      <c r="BH3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4" s="63" t="str">
        <f ca="1">_05preva_view43[[#This Row],[Folder Path3]]&amp;_05preva_view43[[#This Row],[File Name]]</f>
        <v>D:\OneDrive - apollo-towers.com\Apollo Towers\00-Process &amp; Database\Documentation\Colo Applications\Colo App MPT\1-01-05027-007 (SGG00242) Application Rev 1.xlsx</v>
      </c>
      <c r="BJ34" s="104"/>
      <c r="BK34" s="3"/>
      <c r="BL34" s="3"/>
      <c r="CJ34" s="5"/>
      <c r="CK34" s="5"/>
      <c r="CL34" s="3"/>
      <c r="CN34" s="5"/>
      <c r="CR34" s="3"/>
      <c r="CS34" s="3"/>
      <c r="CT34" s="5"/>
      <c r="CV34" s="3"/>
      <c r="DR34" s="5"/>
      <c r="DT34" s="3"/>
      <c r="EF34" s="7"/>
      <c r="EG34" s="7"/>
      <c r="EJ34" s="4"/>
      <c r="EK34" s="4"/>
      <c r="EU34" s="2"/>
      <c r="EV34" s="2"/>
    </row>
    <row r="35" spans="1:152">
      <c r="A35" s="287">
        <v>3636</v>
      </c>
      <c r="B35" s="288" t="s">
        <v>1080</v>
      </c>
      <c r="C35" s="288" t="s">
        <v>278</v>
      </c>
      <c r="D35" s="288" t="s">
        <v>153</v>
      </c>
      <c r="E35" s="288" t="s">
        <v>1081</v>
      </c>
      <c r="F35" s="288" t="s">
        <v>35</v>
      </c>
      <c r="G35" s="288" t="s">
        <v>1292</v>
      </c>
      <c r="H35" s="288" t="s">
        <v>1285</v>
      </c>
      <c r="I35" s="288" t="s">
        <v>1618</v>
      </c>
      <c r="J35" s="288" t="s">
        <v>1022</v>
      </c>
      <c r="K35" s="289">
        <v>43486</v>
      </c>
      <c r="L35" s="290">
        <v>1.92</v>
      </c>
      <c r="M35" s="290">
        <v>4</v>
      </c>
      <c r="N35" s="288">
        <v>4.4400000000000004</v>
      </c>
      <c r="O35" s="288" t="s">
        <v>687</v>
      </c>
      <c r="P35" s="291" t="s">
        <v>526</v>
      </c>
      <c r="Q35" s="291" t="s">
        <v>629</v>
      </c>
      <c r="R35" s="288" t="s">
        <v>24</v>
      </c>
      <c r="S35" s="288"/>
      <c r="T35" s="292" t="s">
        <v>615</v>
      </c>
      <c r="U35" s="288"/>
      <c r="V35" s="292" t="s">
        <v>120</v>
      </c>
      <c r="W35" s="288"/>
      <c r="X35" s="292" t="s">
        <v>120</v>
      </c>
      <c r="Y35" s="288" t="s">
        <v>1762</v>
      </c>
      <c r="Z35" s="293" t="s">
        <v>120</v>
      </c>
      <c r="AA35" s="294" t="s">
        <v>1746</v>
      </c>
      <c r="AB35" s="294" t="s">
        <v>1747</v>
      </c>
      <c r="AC35" s="295" t="s">
        <v>123</v>
      </c>
      <c r="AD35" s="288" t="s">
        <v>1783</v>
      </c>
      <c r="AE35" s="292" t="s">
        <v>120</v>
      </c>
      <c r="AF35" s="289" t="s">
        <v>1619</v>
      </c>
      <c r="AG35" s="296"/>
      <c r="AH35" s="296"/>
      <c r="AI35" s="288" t="s">
        <v>1617</v>
      </c>
      <c r="AJ35" s="292" t="s">
        <v>120</v>
      </c>
      <c r="AK35" s="288" t="s">
        <v>123</v>
      </c>
      <c r="AL35" s="288" t="s">
        <v>935</v>
      </c>
      <c r="AM35" s="292"/>
      <c r="AN35" s="288"/>
      <c r="AO35" s="288"/>
      <c r="AP35" s="297"/>
      <c r="AQ35" s="288"/>
      <c r="AR35" s="292"/>
      <c r="AS35" s="288"/>
      <c r="AT35" s="289">
        <v>43487.500032523101</v>
      </c>
      <c r="AU35" s="289">
        <v>43486.753560532401</v>
      </c>
      <c r="AV35" s="289">
        <v>43489.405415277797</v>
      </c>
      <c r="AW35" s="289">
        <v>43487.500032523101</v>
      </c>
      <c r="AX35" s="289"/>
      <c r="AY35" s="289">
        <v>43486.643546874999</v>
      </c>
      <c r="AZ35" s="298">
        <v>43489.445720023097</v>
      </c>
      <c r="BA3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3.4457200230972376</v>
      </c>
      <c r="BB35" s="300">
        <f>COUNTIFS(_05preva_view43[Site ID],_05preva_view43[[#This Row],[Site ID]],_05preva_view43[Prevalidation Status],"Under Prevalidation")</f>
        <v>0</v>
      </c>
      <c r="BC3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5.xlsx</v>
      </c>
      <c r="BE35" s="64">
        <f t="shared" ca="1" si="2"/>
        <v>50</v>
      </c>
      <c r="BF35" s="104" t="str">
        <f ca="1">LEFT(CELL("filename",A20),_05preva_view43[[#This Row],[Find Process &amp; Database]]-1)</f>
        <v>D:\OneDrive - apollo-towers.com\Apollo Towers\00-</v>
      </c>
      <c r="BG35" s="104" t="str">
        <f ca="1">_05preva_view43[Folder Path1]&amp;"Process &amp; Database\Documentation\Colo Applications"</f>
        <v>D:\OneDrive - apollo-towers.com\Apollo Towers\00-Process &amp; Database\Documentation\Colo Applications</v>
      </c>
      <c r="BH3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5" s="63" t="str">
        <f ca="1">_05preva_view43[[#This Row],[Folder Path3]]&amp;_05preva_view43[[#This Row],[File Name]]</f>
        <v>D:\OneDrive - apollo-towers.com\Apollo Towers\00-Process &amp; Database\Documentation\Colo Applications\Colo App MPT\1-01-06001-002 (TNY00288) Application Rev 5.xlsx</v>
      </c>
      <c r="BJ35" s="104"/>
      <c r="BK35" s="3"/>
      <c r="BL35" s="3"/>
      <c r="CJ35" s="5"/>
      <c r="CK35" s="5"/>
      <c r="CL35" s="3"/>
      <c r="CN35" s="5"/>
      <c r="CR35" s="3"/>
      <c r="CS35" s="3"/>
      <c r="CT35" s="5"/>
      <c r="CV35" s="3"/>
      <c r="DR35" s="5"/>
      <c r="DT35" s="3"/>
      <c r="EF35" s="7"/>
      <c r="EG35" s="7"/>
      <c r="EJ35" s="4"/>
      <c r="EK35" s="4"/>
      <c r="EU35" s="2"/>
      <c r="EV35" s="2"/>
    </row>
    <row r="36" spans="1:152">
      <c r="A36" s="287">
        <v>3637</v>
      </c>
      <c r="B36" s="288" t="s">
        <v>1620</v>
      </c>
      <c r="C36" s="288" t="s">
        <v>278</v>
      </c>
      <c r="D36" s="288" t="s">
        <v>153</v>
      </c>
      <c r="E36" s="288" t="s">
        <v>1621</v>
      </c>
      <c r="F36" s="288" t="s">
        <v>35</v>
      </c>
      <c r="G36" s="288" t="s">
        <v>1586</v>
      </c>
      <c r="H36" s="288" t="s">
        <v>1328</v>
      </c>
      <c r="I36" s="288" t="s">
        <v>1029</v>
      </c>
      <c r="J36" s="288" t="s">
        <v>677</v>
      </c>
      <c r="K36" s="289">
        <v>43486</v>
      </c>
      <c r="L36" s="290">
        <v>0.72</v>
      </c>
      <c r="M36" s="290">
        <v>0.9</v>
      </c>
      <c r="N36" s="288">
        <v>6</v>
      </c>
      <c r="O36" s="288" t="s">
        <v>687</v>
      </c>
      <c r="P36" s="291" t="s">
        <v>248</v>
      </c>
      <c r="Q36" s="291" t="s">
        <v>249</v>
      </c>
      <c r="R36" s="288" t="s">
        <v>24</v>
      </c>
      <c r="S36" s="288"/>
      <c r="T36" s="292" t="s">
        <v>615</v>
      </c>
      <c r="U36" s="288"/>
      <c r="V36" s="292" t="s">
        <v>120</v>
      </c>
      <c r="W36" s="288"/>
      <c r="X36" s="292" t="s">
        <v>120</v>
      </c>
      <c r="Y36" s="288" t="s">
        <v>1587</v>
      </c>
      <c r="Z36" s="293" t="s">
        <v>120</v>
      </c>
      <c r="AA36" s="294" t="s">
        <v>1746</v>
      </c>
      <c r="AB36" s="294" t="s">
        <v>1747</v>
      </c>
      <c r="AC36" s="295" t="s">
        <v>123</v>
      </c>
      <c r="AD36" s="288" t="s">
        <v>1784</v>
      </c>
      <c r="AE36" s="292" t="s">
        <v>120</v>
      </c>
      <c r="AF36" s="289"/>
      <c r="AG36" s="296"/>
      <c r="AH36" s="296"/>
      <c r="AI36" s="288"/>
      <c r="AJ36" s="292" t="s">
        <v>120</v>
      </c>
      <c r="AK36" s="288" t="s">
        <v>123</v>
      </c>
      <c r="AL36" s="288" t="s">
        <v>1207</v>
      </c>
      <c r="AM36" s="292"/>
      <c r="AN36" s="288"/>
      <c r="AO36" s="288"/>
      <c r="AP36" s="297"/>
      <c r="AQ36" s="288"/>
      <c r="AR36" s="292"/>
      <c r="AS36" s="288"/>
      <c r="AT36" s="289">
        <v>43487.376810763897</v>
      </c>
      <c r="AU36" s="289">
        <v>43486.753572916699</v>
      </c>
      <c r="AV36" s="289">
        <v>43489.600092245397</v>
      </c>
      <c r="AW36" s="289">
        <v>43487.376810763897</v>
      </c>
      <c r="AX36" s="289"/>
      <c r="AY36" s="289">
        <v>43486.718663310203</v>
      </c>
      <c r="AZ36" s="298">
        <v>43489.677556249997</v>
      </c>
      <c r="BA3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3.6775562499969965</v>
      </c>
      <c r="BB36" s="300">
        <f>COUNTIFS(_05preva_view43[Site ID],_05preva_view43[[#This Row],[Site ID]],_05preva_view43[Prevalidation Status],"Under Prevalidation")</f>
        <v>0</v>
      </c>
      <c r="BC3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" s="302" t="str">
        <f>CONCATENATE(_05preva_view43[[#This Row],[Site ID]]," (",_05preva_view43[[#This Row],[tenant id]],") Application",IF(_05preva_view43[[#This Row],[Colo Rev]]&gt;0," Rev "&amp;_05preva_view43[[#This Row],[Colo Rev]],""),".xlsx")</f>
        <v>PTNT00059 (TNY00789) Application Rev 0.xlsx</v>
      </c>
      <c r="BE36" s="64">
        <f t="shared" ca="1" si="2"/>
        <v>50</v>
      </c>
      <c r="BF36" s="104" t="str">
        <f ca="1">LEFT(CELL("filename",A21),_05preva_view43[[#This Row],[Find Process &amp; Database]]-1)</f>
        <v>D:\OneDrive - apollo-towers.com\Apollo Towers\00-</v>
      </c>
      <c r="BG36" s="104" t="str">
        <f ca="1">_05preva_view43[Folder Path1]&amp;"Process &amp; Database\Documentation\Colo Applications"</f>
        <v>D:\OneDrive - apollo-towers.com\Apollo Towers\00-Process &amp; Database\Documentation\Colo Applications</v>
      </c>
      <c r="BH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6" s="63" t="str">
        <f ca="1">_05preva_view43[[#This Row],[Folder Path3]]&amp;_05preva_view43[[#This Row],[File Name]]</f>
        <v>D:\OneDrive - apollo-towers.com\Apollo Towers\00-Process &amp; Database\Documentation\Colo Applications\Colo App MPT\PTNT00059 (TNY00789) Application Rev 0.xlsx</v>
      </c>
      <c r="BJ36" s="104"/>
      <c r="BK36" s="3"/>
      <c r="BL36" s="3"/>
      <c r="CJ36" s="5"/>
      <c r="CK36" s="5"/>
      <c r="CL36" s="3"/>
      <c r="CN36" s="5"/>
      <c r="CR36" s="3"/>
      <c r="CS36" s="3"/>
      <c r="CT36" s="5"/>
      <c r="CV36" s="3"/>
      <c r="DR36" s="5"/>
      <c r="DT36" s="3"/>
      <c r="EF36" s="7"/>
      <c r="EG36" s="7"/>
      <c r="EJ36" s="4"/>
      <c r="EK36" s="4"/>
      <c r="EU36" s="2"/>
      <c r="EV36" s="2"/>
    </row>
    <row r="37" spans="1:152">
      <c r="A37" s="287">
        <v>3638</v>
      </c>
      <c r="B37" s="288" t="s">
        <v>1622</v>
      </c>
      <c r="C37" s="288" t="s">
        <v>278</v>
      </c>
      <c r="D37" s="288" t="s">
        <v>127</v>
      </c>
      <c r="E37" s="288" t="s">
        <v>1623</v>
      </c>
      <c r="F37" s="288" t="s">
        <v>35</v>
      </c>
      <c r="G37" s="288" t="s">
        <v>1292</v>
      </c>
      <c r="H37" s="288" t="s">
        <v>1285</v>
      </c>
      <c r="I37" s="288" t="s">
        <v>1006</v>
      </c>
      <c r="J37" s="288" t="s">
        <v>686</v>
      </c>
      <c r="K37" s="289">
        <v>43486</v>
      </c>
      <c r="L37" s="290">
        <v>1.399</v>
      </c>
      <c r="M37" s="290">
        <v>2.2989999999999999</v>
      </c>
      <c r="N37" s="288">
        <v>3.72</v>
      </c>
      <c r="O37" s="288" t="s">
        <v>687</v>
      </c>
      <c r="P37" s="291" t="s">
        <v>695</v>
      </c>
      <c r="Q37" s="291" t="s">
        <v>696</v>
      </c>
      <c r="R37" s="288" t="s">
        <v>24</v>
      </c>
      <c r="S37" s="288"/>
      <c r="T37" s="292" t="s">
        <v>615</v>
      </c>
      <c r="U37" s="288"/>
      <c r="V37" s="292" t="s">
        <v>120</v>
      </c>
      <c r="W37" s="288"/>
      <c r="X37" s="292" t="s">
        <v>120</v>
      </c>
      <c r="Y37" s="288" t="s">
        <v>1763</v>
      </c>
      <c r="Z37" s="293" t="s">
        <v>120</v>
      </c>
      <c r="AA37" s="294" t="s">
        <v>1746</v>
      </c>
      <c r="AB37" s="294" t="s">
        <v>1747</v>
      </c>
      <c r="AC37" s="295" t="s">
        <v>123</v>
      </c>
      <c r="AD37" s="288" t="s">
        <v>1785</v>
      </c>
      <c r="AE37" s="292" t="s">
        <v>120</v>
      </c>
      <c r="AF37" s="289" t="s">
        <v>1624</v>
      </c>
      <c r="AG37" s="296"/>
      <c r="AH37" s="296"/>
      <c r="AI37" s="288" t="s">
        <v>1593</v>
      </c>
      <c r="AJ37" s="292" t="s">
        <v>120</v>
      </c>
      <c r="AK37" s="288" t="s">
        <v>123</v>
      </c>
      <c r="AL37" s="288" t="s">
        <v>935</v>
      </c>
      <c r="AM37" s="292"/>
      <c r="AN37" s="288"/>
      <c r="AO37" s="288"/>
      <c r="AP37" s="297"/>
      <c r="AQ37" s="288"/>
      <c r="AR37" s="292"/>
      <c r="AS37" s="288"/>
      <c r="AT37" s="289">
        <v>43487.500033333301</v>
      </c>
      <c r="AU37" s="289">
        <v>43486.753575000002</v>
      </c>
      <c r="AV37" s="289"/>
      <c r="AW37" s="289">
        <v>43487.500033333301</v>
      </c>
      <c r="AX37" s="289"/>
      <c r="AY37" s="289">
        <v>43486.717576967603</v>
      </c>
      <c r="AZ37" s="298">
        <v>43489.445722338001</v>
      </c>
      <c r="BA3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3.4457223380013602</v>
      </c>
      <c r="BB37" s="300">
        <f>COUNTIFS(_05preva_view43[Site ID],_05preva_view43[[#This Row],[Site ID]],_05preva_view43[Prevalidation Status],"Under Prevalidation")</f>
        <v>0</v>
      </c>
      <c r="BC3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1-01-05027-016 (SGG00226) Application Rev 2.xlsx</v>
      </c>
      <c r="BE37" s="64">
        <f t="shared" ca="1" si="2"/>
        <v>50</v>
      </c>
      <c r="BF37" s="104" t="str">
        <f ca="1">LEFT(CELL("filename",A22),_05preva_view43[[#This Row],[Find Process &amp; Database]]-1)</f>
        <v>D:\OneDrive - apollo-towers.com\Apollo Towers\00-</v>
      </c>
      <c r="BG37" s="104" t="str">
        <f ca="1">_05preva_view43[Folder Path1]&amp;"Process &amp; Database\Documentation\Colo Applications"</f>
        <v>D:\OneDrive - apollo-towers.com\Apollo Towers\00-Process &amp; Database\Documentation\Colo Applications</v>
      </c>
      <c r="BH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7" s="63" t="str">
        <f ca="1">_05preva_view43[[#This Row],[Folder Path3]]&amp;_05preva_view43[[#This Row],[File Name]]</f>
        <v>D:\OneDrive - apollo-towers.com\Apollo Towers\00-Process &amp; Database\Documentation\Colo Applications\Colo App MPT\1-01-05027-016 (SGG00226) Application Rev 2.xlsx</v>
      </c>
      <c r="BJ37" s="104"/>
      <c r="BK37" s="3"/>
      <c r="BL37" s="3"/>
      <c r="CJ37" s="5"/>
      <c r="CK37" s="5"/>
      <c r="CL37" s="3"/>
      <c r="CN37" s="5"/>
      <c r="CR37" s="3"/>
      <c r="CS37" s="3"/>
      <c r="CT37" s="5"/>
      <c r="CV37" s="3"/>
      <c r="DR37" s="5"/>
      <c r="DT37" s="3"/>
      <c r="EF37" s="7"/>
      <c r="EG37" s="7"/>
      <c r="EJ37" s="4"/>
      <c r="EK37" s="4"/>
      <c r="EU37" s="2"/>
      <c r="EV37" s="2"/>
    </row>
    <row r="38" spans="1:152">
      <c r="A38" s="287">
        <v>3639</v>
      </c>
      <c r="B38" s="288" t="s">
        <v>1278</v>
      </c>
      <c r="C38" s="288" t="s">
        <v>278</v>
      </c>
      <c r="D38" s="288" t="s">
        <v>127</v>
      </c>
      <c r="E38" s="288" t="s">
        <v>1279</v>
      </c>
      <c r="F38" s="288" t="s">
        <v>35</v>
      </c>
      <c r="G38" s="288" t="s">
        <v>1292</v>
      </c>
      <c r="H38" s="288" t="s">
        <v>1285</v>
      </c>
      <c r="I38" s="288" t="s">
        <v>1280</v>
      </c>
      <c r="J38" s="288" t="s">
        <v>1022</v>
      </c>
      <c r="K38" s="289">
        <v>43486</v>
      </c>
      <c r="L38" s="290">
        <v>1.399</v>
      </c>
      <c r="M38" s="290">
        <v>2.1989999999999998</v>
      </c>
      <c r="N38" s="288"/>
      <c r="O38" s="288" t="s">
        <v>687</v>
      </c>
      <c r="P38" s="291" t="s">
        <v>695</v>
      </c>
      <c r="Q38" s="291" t="s">
        <v>696</v>
      </c>
      <c r="R38" s="288" t="s">
        <v>24</v>
      </c>
      <c r="S38" s="288"/>
      <c r="T38" s="292" t="s">
        <v>615</v>
      </c>
      <c r="U38" s="288"/>
      <c r="V38" s="292" t="s">
        <v>615</v>
      </c>
      <c r="W38" s="288"/>
      <c r="X38" s="292" t="s">
        <v>615</v>
      </c>
      <c r="Y38" s="288"/>
      <c r="Z38" s="293" t="s">
        <v>615</v>
      </c>
      <c r="AA38" s="294"/>
      <c r="AB38" s="294"/>
      <c r="AC38" s="295"/>
      <c r="AD38" s="288"/>
      <c r="AE38" s="292" t="s">
        <v>120</v>
      </c>
      <c r="AF38" s="289" t="s">
        <v>1625</v>
      </c>
      <c r="AG38" s="296"/>
      <c r="AH38" s="296"/>
      <c r="AI38" s="288" t="s">
        <v>1601</v>
      </c>
      <c r="AJ38" s="292" t="s">
        <v>615</v>
      </c>
      <c r="AK38" s="288"/>
      <c r="AL38" s="288"/>
      <c r="AM38" s="292"/>
      <c r="AN38" s="288"/>
      <c r="AO38" s="288"/>
      <c r="AP38" s="297"/>
      <c r="AQ38" s="288"/>
      <c r="AR38" s="292"/>
      <c r="AS38" s="288"/>
      <c r="AT38" s="289"/>
      <c r="AU38" s="289">
        <v>43486.753569212997</v>
      </c>
      <c r="AV38" s="289"/>
      <c r="AW38" s="289"/>
      <c r="AX38" s="289"/>
      <c r="AY38" s="289"/>
      <c r="AZ38" s="298">
        <v>43487.432190972198</v>
      </c>
      <c r="BA3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1.4321909721984412</v>
      </c>
      <c r="BB38" s="300">
        <f>COUNTIFS(_05preva_view43[Site ID],_05preva_view43[[#This Row],[Site ID]],_05preva_view43[Prevalidation Status],"Under Prevalidation")</f>
        <v>0</v>
      </c>
      <c r="BC3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38" s="64">
        <f t="shared" ca="1" si="2"/>
        <v>50</v>
      </c>
      <c r="BF38" s="104" t="str">
        <f ca="1">LEFT(CELL("filename",A23),_05preva_view43[[#This Row],[Find Process &amp; Database]]-1)</f>
        <v>D:\OneDrive - apollo-towers.com\Apollo Towers\00-</v>
      </c>
      <c r="BG38" s="104" t="str">
        <f ca="1">_05preva_view43[Folder Path1]&amp;"Process &amp; Database\Documentation\Colo Applications"</f>
        <v>D:\OneDrive - apollo-towers.com\Apollo Towers\00-Process &amp; Database\Documentation\Colo Applications</v>
      </c>
      <c r="BH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8" s="63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5.xlsx</v>
      </c>
      <c r="BJ38" s="104"/>
      <c r="BK38" s="3"/>
      <c r="BL38" s="3"/>
      <c r="CJ38" s="5"/>
      <c r="CK38" s="5"/>
      <c r="CL38" s="3"/>
      <c r="CN38" s="5"/>
      <c r="CR38" s="3"/>
      <c r="CS38" s="3"/>
      <c r="CT38" s="5"/>
      <c r="CV38" s="3"/>
      <c r="DR38" s="5"/>
      <c r="DT38" s="3"/>
      <c r="EF38" s="7"/>
      <c r="EG38" s="7"/>
      <c r="EJ38" s="4"/>
      <c r="EK38" s="4"/>
      <c r="EU38" s="2"/>
      <c r="EV38" s="2"/>
    </row>
    <row r="39" spans="1:152">
      <c r="A39" s="287">
        <v>3619</v>
      </c>
      <c r="B39" s="288" t="s">
        <v>1136</v>
      </c>
      <c r="C39" s="288" t="s">
        <v>116</v>
      </c>
      <c r="D39" s="288" t="s">
        <v>127</v>
      </c>
      <c r="E39" s="288" t="s">
        <v>1137</v>
      </c>
      <c r="F39" s="288" t="s">
        <v>41</v>
      </c>
      <c r="G39" s="288" t="s">
        <v>1129</v>
      </c>
      <c r="H39" s="288" t="s">
        <v>1037</v>
      </c>
      <c r="I39" s="288" t="s">
        <v>970</v>
      </c>
      <c r="J39" s="288" t="s">
        <v>668</v>
      </c>
      <c r="K39" s="289">
        <v>43483</v>
      </c>
      <c r="L39" s="290"/>
      <c r="M39" s="290">
        <v>1.9</v>
      </c>
      <c r="N39" s="288">
        <v>3</v>
      </c>
      <c r="O39" s="288" t="s">
        <v>119</v>
      </c>
      <c r="P39" s="291" t="s">
        <v>246</v>
      </c>
      <c r="Q39" s="291" t="s">
        <v>247</v>
      </c>
      <c r="R39" s="288" t="s">
        <v>24</v>
      </c>
      <c r="S39" s="288"/>
      <c r="T39" s="292" t="s">
        <v>615</v>
      </c>
      <c r="U39" s="288"/>
      <c r="V39" s="292" t="s">
        <v>615</v>
      </c>
      <c r="W39" s="288"/>
      <c r="X39" s="292" t="s">
        <v>120</v>
      </c>
      <c r="Y39" s="288" t="s">
        <v>1626</v>
      </c>
      <c r="Z39" s="293" t="s">
        <v>615</v>
      </c>
      <c r="AA39" s="294"/>
      <c r="AB39" s="294"/>
      <c r="AC39" s="295"/>
      <c r="AD39" s="288"/>
      <c r="AE39" s="292" t="s">
        <v>615</v>
      </c>
      <c r="AF39" s="289"/>
      <c r="AG39" s="296"/>
      <c r="AH39" s="296"/>
      <c r="AI39" s="288"/>
      <c r="AJ39" s="292" t="s">
        <v>615</v>
      </c>
      <c r="AK39" s="288"/>
      <c r="AL39" s="288"/>
      <c r="AM39" s="292"/>
      <c r="AN39" s="288"/>
      <c r="AO39" s="288"/>
      <c r="AP39" s="297"/>
      <c r="AQ39" s="288"/>
      <c r="AR39" s="292"/>
      <c r="AS39" s="288"/>
      <c r="AT39" s="289">
        <v>43486.724100115702</v>
      </c>
      <c r="AU39" s="289"/>
      <c r="AV39" s="289"/>
      <c r="AW39" s="289"/>
      <c r="AX39" s="289"/>
      <c r="AY39" s="289"/>
      <c r="AZ39" s="298">
        <v>43486.939399189803</v>
      </c>
      <c r="BA3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3.9393991898032255</v>
      </c>
      <c r="BB39" s="300">
        <f>COUNTIFS(_05preva_view43[Site ID],_05preva_view43[[#This Row],[Site ID]],_05preva_view43[Prevalidation Status],"Under Prevalidation")</f>
        <v>0</v>
      </c>
      <c r="BC3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" s="302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1.xlsx</v>
      </c>
      <c r="BE39" s="64">
        <f t="shared" ca="1" si="2"/>
        <v>50</v>
      </c>
      <c r="BF39" s="104" t="str">
        <f ca="1">LEFT(CELL("filename",A24),_05preva_view43[[#This Row],[Find Process &amp; Database]]-1)</f>
        <v>D:\OneDrive - apollo-towers.com\Apollo Towers\00-</v>
      </c>
      <c r="BG39" s="104" t="str">
        <f ca="1">_05preva_view43[Folder Path1]&amp;"Process &amp; Database\Documentation\Colo Applications"</f>
        <v>D:\OneDrive - apollo-towers.com\Apollo Towers\00-Process &amp; Database\Documentation\Colo Applications</v>
      </c>
      <c r="BH3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39" s="63" t="str">
        <f ca="1">_05preva_view43[[#This Row],[Folder Path3]]&amp;_05preva_view43[[#This Row],[File Name]]</f>
        <v>D:\OneDrive - apollo-towers.com\Apollo Towers\00-Process &amp; Database\Documentation\Colo Applications\Colo App Amara\ANMD_0066 (MDYAMPR011) Application Rev 1.xlsx</v>
      </c>
      <c r="BJ39" s="104"/>
      <c r="BK39" s="3"/>
      <c r="BL39" s="3"/>
      <c r="CJ39" s="5"/>
      <c r="CK39" s="5"/>
      <c r="CL39" s="3"/>
      <c r="CN39" s="5"/>
      <c r="CR39" s="3"/>
      <c r="CS39" s="3"/>
      <c r="CT39" s="5"/>
      <c r="CV39" s="3"/>
      <c r="DR39" s="5"/>
      <c r="DT39" s="3"/>
      <c r="EF39" s="7"/>
      <c r="EG39" s="7"/>
      <c r="EJ39" s="4"/>
      <c r="EK39" s="4"/>
      <c r="EU39" s="2"/>
      <c r="EV39" s="2"/>
    </row>
    <row r="40" spans="1:152">
      <c r="A40" s="287">
        <v>3620</v>
      </c>
      <c r="B40" s="288" t="s">
        <v>1140</v>
      </c>
      <c r="C40" s="288" t="s">
        <v>116</v>
      </c>
      <c r="D40" s="288" t="s">
        <v>127</v>
      </c>
      <c r="E40" s="288" t="s">
        <v>1141</v>
      </c>
      <c r="F40" s="288" t="s">
        <v>41</v>
      </c>
      <c r="G40" s="288" t="s">
        <v>1129</v>
      </c>
      <c r="H40" s="288" t="s">
        <v>1037</v>
      </c>
      <c r="I40" s="288" t="s">
        <v>970</v>
      </c>
      <c r="J40" s="288" t="s">
        <v>668</v>
      </c>
      <c r="K40" s="289">
        <v>43483</v>
      </c>
      <c r="L40" s="290"/>
      <c r="M40" s="290">
        <v>2</v>
      </c>
      <c r="N40" s="288">
        <v>3</v>
      </c>
      <c r="O40" s="288" t="s">
        <v>119</v>
      </c>
      <c r="P40" s="291" t="s">
        <v>246</v>
      </c>
      <c r="Q40" s="291" t="s">
        <v>247</v>
      </c>
      <c r="R40" s="288" t="s">
        <v>24</v>
      </c>
      <c r="S40" s="288"/>
      <c r="T40" s="292" t="s">
        <v>615</v>
      </c>
      <c r="U40" s="288"/>
      <c r="V40" s="292" t="s">
        <v>615</v>
      </c>
      <c r="W40" s="288"/>
      <c r="X40" s="292" t="s">
        <v>120</v>
      </c>
      <c r="Y40" s="288" t="s">
        <v>1627</v>
      </c>
      <c r="Z40" s="293" t="s">
        <v>615</v>
      </c>
      <c r="AA40" s="294"/>
      <c r="AB40" s="294"/>
      <c r="AC40" s="295"/>
      <c r="AD40" s="288"/>
      <c r="AE40" s="292" t="s">
        <v>615</v>
      </c>
      <c r="AF40" s="289"/>
      <c r="AG40" s="296"/>
      <c r="AH40" s="296"/>
      <c r="AI40" s="288"/>
      <c r="AJ40" s="292" t="s">
        <v>615</v>
      </c>
      <c r="AK40" s="288"/>
      <c r="AL40" s="288"/>
      <c r="AM40" s="292"/>
      <c r="AN40" s="288"/>
      <c r="AO40" s="288"/>
      <c r="AP40" s="297"/>
      <c r="AQ40" s="288"/>
      <c r="AR40" s="292"/>
      <c r="AS40" s="288"/>
      <c r="AT40" s="289">
        <v>43486.7241013889</v>
      </c>
      <c r="AU40" s="289"/>
      <c r="AV40" s="289"/>
      <c r="AW40" s="289"/>
      <c r="AX40" s="289"/>
      <c r="AY40" s="289"/>
      <c r="AZ40" s="298">
        <v>43486.939403703698</v>
      </c>
      <c r="BA4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3.9394037036981899</v>
      </c>
      <c r="BB40" s="300">
        <f>COUNTIFS(_05preva_view43[Site ID],_05preva_view43[[#This Row],[Site ID]],_05preva_view43[Prevalidation Status],"Under Prevalidation")</f>
        <v>0</v>
      </c>
      <c r="BC4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" s="302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1.xlsx</v>
      </c>
      <c r="BE40" s="64">
        <f t="shared" ca="1" si="2"/>
        <v>50</v>
      </c>
      <c r="BF40" s="104" t="str">
        <f ca="1">LEFT(CELL("filename",A25),_05preva_view43[[#This Row],[Find Process &amp; Database]]-1)</f>
        <v>D:\OneDrive - apollo-towers.com\Apollo Towers\00-</v>
      </c>
      <c r="BG40" s="104" t="str">
        <f ca="1">_05preva_view43[Folder Path1]&amp;"Process &amp; Database\Documentation\Colo Applications"</f>
        <v>D:\OneDrive - apollo-towers.com\Apollo Towers\00-Process &amp; Database\Documentation\Colo Applications</v>
      </c>
      <c r="BH4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40" s="63" t="str">
        <f ca="1">_05preva_view43[[#This Row],[Folder Path3]]&amp;_05preva_view43[[#This Row],[File Name]]</f>
        <v>D:\OneDrive - apollo-towers.com\Apollo Towers\00-Process &amp; Database\Documentation\Colo Applications\Colo App Amara\ANMD_0067 (MDYAMPR012) Application Rev 1.xlsx</v>
      </c>
      <c r="BJ40" s="104"/>
      <c r="BK40" s="3"/>
      <c r="BL40" s="3"/>
      <c r="CJ40" s="5"/>
      <c r="CK40" s="5"/>
      <c r="CL40" s="3"/>
      <c r="CN40" s="5"/>
      <c r="CR40" s="3"/>
      <c r="CS40" s="3"/>
      <c r="CT40" s="5"/>
      <c r="CV40" s="3"/>
      <c r="DR40" s="5"/>
      <c r="DT40" s="3"/>
      <c r="EF40" s="7"/>
      <c r="EG40" s="7"/>
      <c r="EJ40" s="4"/>
      <c r="EK40" s="4"/>
      <c r="EU40" s="2"/>
      <c r="EV40" s="2"/>
    </row>
    <row r="41" spans="1:152">
      <c r="A41" s="287">
        <v>3621</v>
      </c>
      <c r="B41" s="288" t="s">
        <v>1162</v>
      </c>
      <c r="C41" s="288" t="s">
        <v>116</v>
      </c>
      <c r="D41" s="288" t="s">
        <v>127</v>
      </c>
      <c r="E41" s="288" t="s">
        <v>1163</v>
      </c>
      <c r="F41" s="288" t="s">
        <v>41</v>
      </c>
      <c r="G41" s="288" t="s">
        <v>1129</v>
      </c>
      <c r="H41" s="288" t="s">
        <v>1037</v>
      </c>
      <c r="I41" s="288" t="s">
        <v>970</v>
      </c>
      <c r="J41" s="288" t="s">
        <v>668</v>
      </c>
      <c r="K41" s="289">
        <v>43483</v>
      </c>
      <c r="L41" s="290"/>
      <c r="M41" s="290">
        <v>2</v>
      </c>
      <c r="N41" s="288">
        <v>3</v>
      </c>
      <c r="O41" s="288" t="s">
        <v>119</v>
      </c>
      <c r="P41" s="291" t="s">
        <v>1164</v>
      </c>
      <c r="Q41" s="291" t="s">
        <v>533</v>
      </c>
      <c r="R41" s="288" t="s">
        <v>24</v>
      </c>
      <c r="S41" s="288"/>
      <c r="T41" s="292" t="s">
        <v>615</v>
      </c>
      <c r="U41" s="288"/>
      <c r="V41" s="292" t="s">
        <v>615</v>
      </c>
      <c r="W41" s="288"/>
      <c r="X41" s="292" t="s">
        <v>120</v>
      </c>
      <c r="Y41" s="288" t="s">
        <v>1628</v>
      </c>
      <c r="Z41" s="293" t="s">
        <v>615</v>
      </c>
      <c r="AA41" s="294"/>
      <c r="AB41" s="294"/>
      <c r="AC41" s="295"/>
      <c r="AD41" s="288"/>
      <c r="AE41" s="292" t="s">
        <v>615</v>
      </c>
      <c r="AF41" s="289"/>
      <c r="AG41" s="296"/>
      <c r="AH41" s="296"/>
      <c r="AI41" s="288"/>
      <c r="AJ41" s="292" t="s">
        <v>615</v>
      </c>
      <c r="AK41" s="288"/>
      <c r="AL41" s="288"/>
      <c r="AM41" s="292"/>
      <c r="AN41" s="288"/>
      <c r="AO41" s="288"/>
      <c r="AP41" s="297"/>
      <c r="AQ41" s="288"/>
      <c r="AR41" s="292"/>
      <c r="AS41" s="288"/>
      <c r="AT41" s="289">
        <v>43486.724102662003</v>
      </c>
      <c r="AU41" s="289"/>
      <c r="AV41" s="289"/>
      <c r="AW41" s="289"/>
      <c r="AX41" s="289"/>
      <c r="AY41" s="289"/>
      <c r="AZ41" s="298">
        <v>43486.939407870399</v>
      </c>
      <c r="BA4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3.939407870399009</v>
      </c>
      <c r="BB41" s="300">
        <f>COUNTIFS(_05preva_view43[Site ID],_05preva_view43[[#This Row],[Site ID]],_05preva_view43[Prevalidation Status],"Under Prevalidation")</f>
        <v>0</v>
      </c>
      <c r="BC4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" s="302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1.xlsx</v>
      </c>
      <c r="BE41" s="64">
        <f t="shared" ca="1" si="2"/>
        <v>50</v>
      </c>
      <c r="BF41" s="104" t="str">
        <f ca="1">LEFT(CELL("filename",A26),_05preva_view43[[#This Row],[Find Process &amp; Database]]-1)</f>
        <v>D:\OneDrive - apollo-towers.com\Apollo Towers\00-</v>
      </c>
      <c r="BG41" s="104" t="str">
        <f ca="1">_05preva_view43[Folder Path1]&amp;"Process &amp; Database\Documentation\Colo Applications"</f>
        <v>D:\OneDrive - apollo-towers.com\Apollo Towers\00-Process &amp; Database\Documentation\Colo Applications</v>
      </c>
      <c r="BH4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41" s="63" t="str">
        <f ca="1">_05preva_view43[[#This Row],[Folder Path3]]&amp;_05preva_view43[[#This Row],[File Name]]</f>
        <v>D:\OneDrive - apollo-towers.com\Apollo Towers\00-Process &amp; Database\Documentation\Colo Applications\Colo App Amara\ANMD_0165 (MDYPGTG033) Application Rev 1.xlsx</v>
      </c>
      <c r="BJ41" s="104"/>
      <c r="BK41" s="3"/>
      <c r="BL41" s="3"/>
      <c r="CJ41" s="5"/>
      <c r="CK41" s="5"/>
      <c r="CL41" s="3"/>
      <c r="CN41" s="5"/>
      <c r="CR41" s="3"/>
      <c r="CS41" s="3"/>
      <c r="CT41" s="5"/>
      <c r="CV41" s="3"/>
      <c r="DR41" s="5"/>
      <c r="DT41" s="3"/>
      <c r="EF41" s="7"/>
      <c r="EG41" s="7"/>
      <c r="EJ41" s="4"/>
      <c r="EK41" s="4"/>
      <c r="EU41" s="2"/>
      <c r="EV41" s="2"/>
    </row>
    <row r="42" spans="1:152">
      <c r="A42" s="287">
        <v>3622</v>
      </c>
      <c r="B42" s="288" t="s">
        <v>1170</v>
      </c>
      <c r="C42" s="288" t="s">
        <v>116</v>
      </c>
      <c r="D42" s="288" t="s">
        <v>127</v>
      </c>
      <c r="E42" s="288" t="s">
        <v>1171</v>
      </c>
      <c r="F42" s="288" t="s">
        <v>41</v>
      </c>
      <c r="G42" s="288" t="s">
        <v>1129</v>
      </c>
      <c r="H42" s="288" t="s">
        <v>1037</v>
      </c>
      <c r="I42" s="288" t="s">
        <v>970</v>
      </c>
      <c r="J42" s="288" t="s">
        <v>668</v>
      </c>
      <c r="K42" s="289">
        <v>43483</v>
      </c>
      <c r="L42" s="290"/>
      <c r="M42" s="290">
        <v>2</v>
      </c>
      <c r="N42" s="288">
        <v>3</v>
      </c>
      <c r="O42" s="288" t="s">
        <v>119</v>
      </c>
      <c r="P42" s="291" t="s">
        <v>1172</v>
      </c>
      <c r="Q42" s="291" t="s">
        <v>292</v>
      </c>
      <c r="R42" s="288" t="s">
        <v>24</v>
      </c>
      <c r="S42" s="288"/>
      <c r="T42" s="292" t="s">
        <v>615</v>
      </c>
      <c r="U42" s="288"/>
      <c r="V42" s="292" t="s">
        <v>615</v>
      </c>
      <c r="W42" s="288"/>
      <c r="X42" s="292" t="s">
        <v>120</v>
      </c>
      <c r="Y42" s="288" t="s">
        <v>1629</v>
      </c>
      <c r="Z42" s="293" t="s">
        <v>615</v>
      </c>
      <c r="AA42" s="294"/>
      <c r="AB42" s="294"/>
      <c r="AC42" s="295"/>
      <c r="AD42" s="288"/>
      <c r="AE42" s="292" t="s">
        <v>615</v>
      </c>
      <c r="AF42" s="289"/>
      <c r="AG42" s="296"/>
      <c r="AH42" s="296"/>
      <c r="AI42" s="288"/>
      <c r="AJ42" s="292" t="s">
        <v>615</v>
      </c>
      <c r="AK42" s="288"/>
      <c r="AL42" s="288"/>
      <c r="AM42" s="292"/>
      <c r="AN42" s="288"/>
      <c r="AO42" s="288"/>
      <c r="AP42" s="297"/>
      <c r="AQ42" s="288"/>
      <c r="AR42" s="292"/>
      <c r="AS42" s="288"/>
      <c r="AT42" s="289">
        <v>43486.724104861103</v>
      </c>
      <c r="AU42" s="289"/>
      <c r="AV42" s="289"/>
      <c r="AW42" s="289"/>
      <c r="AX42" s="289"/>
      <c r="AY42" s="289"/>
      <c r="AZ42" s="298">
        <v>43486.939411921303</v>
      </c>
      <c r="BA4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3.9394119213029626</v>
      </c>
      <c r="BB42" s="300">
        <f>COUNTIFS(_05preva_view43[Site ID],_05preva_view43[[#This Row],[Site ID]],_05preva_view43[Prevalidation Status],"Under Prevalidation")</f>
        <v>0</v>
      </c>
      <c r="BC4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2" s="302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1.xlsx</v>
      </c>
      <c r="BE42" s="64">
        <f t="shared" ca="1" si="2"/>
        <v>50</v>
      </c>
      <c r="BF42" s="104" t="str">
        <f ca="1">LEFT(CELL("filename",A27),_05preva_view43[[#This Row],[Find Process &amp; Database]]-1)</f>
        <v>D:\OneDrive - apollo-towers.com\Apollo Towers\00-</v>
      </c>
      <c r="BG42" s="104" t="str">
        <f ca="1">_05preva_view43[Folder Path1]&amp;"Process &amp; Database\Documentation\Colo Applications"</f>
        <v>D:\OneDrive - apollo-towers.com\Apollo Towers\00-Process &amp; Database\Documentation\Colo Applications</v>
      </c>
      <c r="BH4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42" s="63" t="str">
        <f ca="1">_05preva_view43[[#This Row],[Folder Path3]]&amp;_05preva_view43[[#This Row],[File Name]]</f>
        <v>D:\OneDrive - apollo-towers.com\Apollo Towers\00-Process &amp; Database\Documentation\Colo Applications\Colo App Amara\ANMD_0172 (MDYPGTG039) Application Rev 1.xlsx</v>
      </c>
      <c r="BJ42" s="104"/>
      <c r="BK42" s="3"/>
      <c r="BL42" s="3"/>
      <c r="CJ42" s="5"/>
      <c r="CK42" s="5"/>
      <c r="CL42" s="3"/>
      <c r="CN42" s="5"/>
      <c r="CR42" s="3"/>
      <c r="CS42" s="3"/>
      <c r="CT42" s="5"/>
      <c r="CV42" s="3"/>
      <c r="DR42" s="5"/>
      <c r="DT42" s="3"/>
      <c r="EF42" s="7"/>
      <c r="EG42" s="7"/>
      <c r="EJ42" s="4"/>
      <c r="EK42" s="4"/>
      <c r="EU42" s="2"/>
      <c r="EV42" s="2"/>
    </row>
    <row r="43" spans="1:152">
      <c r="A43" s="287">
        <v>3614</v>
      </c>
      <c r="B43" s="288" t="s">
        <v>1630</v>
      </c>
      <c r="C43" s="288" t="s">
        <v>116</v>
      </c>
      <c r="D43" s="288" t="s">
        <v>153</v>
      </c>
      <c r="E43" s="288" t="s">
        <v>1631</v>
      </c>
      <c r="F43" s="288" t="s">
        <v>35</v>
      </c>
      <c r="G43" s="288" t="s">
        <v>1586</v>
      </c>
      <c r="H43" s="288" t="s">
        <v>1328</v>
      </c>
      <c r="I43" s="288" t="s">
        <v>1029</v>
      </c>
      <c r="J43" s="288" t="s">
        <v>677</v>
      </c>
      <c r="K43" s="289">
        <v>43482</v>
      </c>
      <c r="L43" s="290">
        <v>0.72</v>
      </c>
      <c r="M43" s="290">
        <v>0.9</v>
      </c>
      <c r="N43" s="288">
        <v>3.18</v>
      </c>
      <c r="O43" s="288" t="s">
        <v>119</v>
      </c>
      <c r="P43" s="291" t="s">
        <v>240</v>
      </c>
      <c r="Q43" s="291" t="s">
        <v>241</v>
      </c>
      <c r="R43" s="288" t="s">
        <v>24</v>
      </c>
      <c r="S43" s="288"/>
      <c r="T43" s="292" t="s">
        <v>615</v>
      </c>
      <c r="U43" s="288"/>
      <c r="V43" s="292" t="s">
        <v>120</v>
      </c>
      <c r="W43" s="288"/>
      <c r="X43" s="292" t="s">
        <v>120</v>
      </c>
      <c r="Y43" s="288" t="s">
        <v>1632</v>
      </c>
      <c r="Z43" s="293" t="s">
        <v>120</v>
      </c>
      <c r="AA43" s="294"/>
      <c r="AB43" s="294"/>
      <c r="AC43" s="295" t="s">
        <v>123</v>
      </c>
      <c r="AD43" s="288" t="s">
        <v>1633</v>
      </c>
      <c r="AE43" s="292" t="s">
        <v>120</v>
      </c>
      <c r="AF43" s="289"/>
      <c r="AG43" s="296"/>
      <c r="AH43" s="296"/>
      <c r="AI43" s="288"/>
      <c r="AJ43" s="292" t="s">
        <v>120</v>
      </c>
      <c r="AK43" s="288" t="s">
        <v>206</v>
      </c>
      <c r="AL43" s="288" t="s">
        <v>1207</v>
      </c>
      <c r="AM43" s="292"/>
      <c r="AN43" s="288"/>
      <c r="AO43" s="288"/>
      <c r="AP43" s="297"/>
      <c r="AQ43" s="288"/>
      <c r="AR43" s="292"/>
      <c r="AS43" s="288"/>
      <c r="AT43" s="289">
        <v>43482.654079976899</v>
      </c>
      <c r="AU43" s="289">
        <v>43483.4762885417</v>
      </c>
      <c r="AV43" s="289">
        <v>43486.662597569397</v>
      </c>
      <c r="AW43" s="289">
        <v>43482.654079976899</v>
      </c>
      <c r="AX43" s="289"/>
      <c r="AY43" s="289">
        <v>43483.471711458304</v>
      </c>
      <c r="AZ43" s="298">
        <v>43486.693751967599</v>
      </c>
      <c r="BA4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4.6937519675993826</v>
      </c>
      <c r="BB43" s="300">
        <f>COUNTIFS(_05preva_view43[Site ID],_05preva_view43[[#This Row],[Site ID]],_05preva_view43[Prevalidation Status],"Under Prevalidation")</f>
        <v>0</v>
      </c>
      <c r="BC4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3" s="302" t="str">
        <f>CONCATENATE(_05preva_view43[[#This Row],[Site ID]]," (",_05preva_view43[[#This Row],[tenant id]],") Application",IF(_05preva_view43[[#This Row],[Colo Rev]]&gt;0," Rev "&amp;_05preva_view43[[#This Row],[Colo Rev]],""),".xlsx")</f>
        <v>ABAG00003 (BGE00821) Application Rev 0.xlsx</v>
      </c>
      <c r="BE43" s="64">
        <f t="shared" ca="1" si="2"/>
        <v>50</v>
      </c>
      <c r="BF43" s="104" t="str">
        <f ca="1">LEFT(CELL("filename",A28),_05preva_view43[[#This Row],[Find Process &amp; Database]]-1)</f>
        <v>D:\OneDrive - apollo-towers.com\Apollo Towers\00-</v>
      </c>
      <c r="BG43" s="104" t="str">
        <f ca="1">_05preva_view43[Folder Path1]&amp;"Process &amp; Database\Documentation\Colo Applications"</f>
        <v>D:\OneDrive - apollo-towers.com\Apollo Towers\00-Process &amp; Database\Documentation\Colo Applications</v>
      </c>
      <c r="BH4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3" s="63" t="str">
        <f ca="1">_05preva_view43[[#This Row],[Folder Path3]]&amp;_05preva_view43[[#This Row],[File Name]]</f>
        <v>D:\OneDrive - apollo-towers.com\Apollo Towers\00-Process &amp; Database\Documentation\Colo Applications\Colo App MPT\ABAG00003 (BGE00821) Application Rev 0.xlsx</v>
      </c>
      <c r="BJ43" s="104"/>
      <c r="BK43" s="3"/>
      <c r="BL43" s="3"/>
      <c r="CJ43" s="5"/>
      <c r="CK43" s="5"/>
      <c r="CL43" s="3"/>
      <c r="CN43" s="5"/>
      <c r="CR43" s="3"/>
      <c r="CS43" s="3"/>
      <c r="CT43" s="5"/>
      <c r="CV43" s="3"/>
      <c r="DR43" s="5"/>
      <c r="DT43" s="3"/>
      <c r="EF43" s="7"/>
      <c r="EG43" s="7"/>
      <c r="EJ43" s="4"/>
      <c r="EK43" s="4"/>
      <c r="EU43" s="2"/>
      <c r="EV43" s="2"/>
    </row>
    <row r="44" spans="1:152">
      <c r="A44" s="287">
        <v>3616</v>
      </c>
      <c r="B44" s="288" t="s">
        <v>1634</v>
      </c>
      <c r="C44" s="288" t="s">
        <v>278</v>
      </c>
      <c r="D44" s="288" t="s">
        <v>127</v>
      </c>
      <c r="E44" s="288" t="s">
        <v>1635</v>
      </c>
      <c r="F44" s="288" t="s">
        <v>35</v>
      </c>
      <c r="G44" s="288" t="s">
        <v>1292</v>
      </c>
      <c r="H44" s="288" t="s">
        <v>1285</v>
      </c>
      <c r="I44" s="288" t="s">
        <v>981</v>
      </c>
      <c r="J44" s="288" t="s">
        <v>727</v>
      </c>
      <c r="K44" s="289">
        <v>43482</v>
      </c>
      <c r="L44" s="290">
        <v>1.054</v>
      </c>
      <c r="M44" s="290">
        <v>1.46</v>
      </c>
      <c r="N44" s="288">
        <v>3.52</v>
      </c>
      <c r="O44" s="288" t="s">
        <v>687</v>
      </c>
      <c r="P44" s="291" t="s">
        <v>695</v>
      </c>
      <c r="Q44" s="291" t="s">
        <v>696</v>
      </c>
      <c r="R44" s="288" t="s">
        <v>24</v>
      </c>
      <c r="S44" s="288"/>
      <c r="T44" s="292" t="s">
        <v>615</v>
      </c>
      <c r="U44" s="288"/>
      <c r="V44" s="292" t="s">
        <v>120</v>
      </c>
      <c r="W44" s="288"/>
      <c r="X44" s="292" t="s">
        <v>120</v>
      </c>
      <c r="Y44" s="288" t="s">
        <v>1636</v>
      </c>
      <c r="Z44" s="293" t="s">
        <v>120</v>
      </c>
      <c r="AA44" s="294"/>
      <c r="AB44" s="294"/>
      <c r="AC44" s="295" t="s">
        <v>123</v>
      </c>
      <c r="AD44" s="288" t="s">
        <v>1637</v>
      </c>
      <c r="AE44" s="292" t="s">
        <v>120</v>
      </c>
      <c r="AF44" s="289"/>
      <c r="AG44" s="296"/>
      <c r="AH44" s="296"/>
      <c r="AI44" s="288"/>
      <c r="AJ44" s="292" t="s">
        <v>120</v>
      </c>
      <c r="AK44" s="288" t="s">
        <v>123</v>
      </c>
      <c r="AL44" s="288" t="s">
        <v>935</v>
      </c>
      <c r="AM44" s="292"/>
      <c r="AN44" s="288"/>
      <c r="AO44" s="288"/>
      <c r="AP44" s="297"/>
      <c r="AQ44" s="288"/>
      <c r="AR44" s="292"/>
      <c r="AS44" s="288"/>
      <c r="AT44" s="289">
        <v>43483.472496759299</v>
      </c>
      <c r="AU44" s="289">
        <v>43483.476301273098</v>
      </c>
      <c r="AV44" s="289">
        <v>43486.590974305604</v>
      </c>
      <c r="AW44" s="289">
        <v>43483.472496759299</v>
      </c>
      <c r="AX44" s="289"/>
      <c r="AY44" s="289">
        <v>43483.387676851897</v>
      </c>
      <c r="AZ44" s="298">
        <v>43486.6937533565</v>
      </c>
      <c r="BA4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4.6937533564996556</v>
      </c>
      <c r="BB44" s="300">
        <f>COUNTIFS(_05preva_view43[Site ID],_05preva_view43[[#This Row],[Site ID]],_05preva_view43[Prevalidation Status],"Under Prevalidation")</f>
        <v>0</v>
      </c>
      <c r="BC4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4" s="302" t="str">
        <f>CONCATENATE(_05preva_view43[[#This Row],[Site ID]]," (",_05preva_view43[[#This Row],[tenant id]],") Application",IF(_05preva_view43[[#This Row],[Colo Rev]]&gt;0," Rev "&amp;_05preva_view43[[#This Row],[Colo Rev]],""),".xlsx")</f>
        <v>3-00-01014-001 (KCN00056) Application Rev 3.xlsx</v>
      </c>
      <c r="BE44" s="64">
        <f t="shared" ca="1" si="2"/>
        <v>50</v>
      </c>
      <c r="BF44" s="104" t="str">
        <f ca="1">LEFT(CELL("filename",A29),_05preva_view43[[#This Row],[Find Process &amp; Database]]-1)</f>
        <v>D:\OneDrive - apollo-towers.com\Apollo Towers\00-</v>
      </c>
      <c r="BG44" s="104" t="str">
        <f ca="1">_05preva_view43[Folder Path1]&amp;"Process &amp; Database\Documentation\Colo Applications"</f>
        <v>D:\OneDrive - apollo-towers.com\Apollo Towers\00-Process &amp; Database\Documentation\Colo Applications</v>
      </c>
      <c r="BH4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4" s="63" t="str">
        <f ca="1">_05preva_view43[[#This Row],[Folder Path3]]&amp;_05preva_view43[[#This Row],[File Name]]</f>
        <v>D:\OneDrive - apollo-towers.com\Apollo Towers\00-Process &amp; Database\Documentation\Colo Applications\Colo App MPT\3-00-01014-001 (KCN00056) Application Rev 3.xlsx</v>
      </c>
      <c r="BJ44" s="104"/>
      <c r="BK44" s="3"/>
      <c r="BL44" s="3"/>
      <c r="CJ44" s="5"/>
      <c r="CK44" s="5"/>
      <c r="CL44" s="3"/>
      <c r="CN44" s="5"/>
      <c r="CR44" s="3"/>
      <c r="CS44" s="3"/>
      <c r="CT44" s="5"/>
      <c r="CV44" s="3"/>
      <c r="DR44" s="5"/>
      <c r="DT44" s="3"/>
      <c r="EF44" s="7"/>
      <c r="EG44" s="7"/>
      <c r="EJ44" s="4"/>
      <c r="EK44" s="4"/>
      <c r="EU44" s="2"/>
      <c r="EV44" s="2"/>
    </row>
    <row r="45" spans="1:152">
      <c r="A45" s="287">
        <v>3617</v>
      </c>
      <c r="B45" s="288" t="s">
        <v>1638</v>
      </c>
      <c r="C45" s="288" t="s">
        <v>116</v>
      </c>
      <c r="D45" s="288" t="s">
        <v>127</v>
      </c>
      <c r="E45" s="288" t="s">
        <v>1639</v>
      </c>
      <c r="F45" s="288" t="s">
        <v>35</v>
      </c>
      <c r="G45" s="288" t="s">
        <v>1287</v>
      </c>
      <c r="H45" s="288" t="s">
        <v>1285</v>
      </c>
      <c r="I45" s="288" t="s">
        <v>981</v>
      </c>
      <c r="J45" s="288" t="s">
        <v>686</v>
      </c>
      <c r="K45" s="289">
        <v>43482</v>
      </c>
      <c r="L45" s="290">
        <v>1.054</v>
      </c>
      <c r="M45" s="290">
        <v>1.46</v>
      </c>
      <c r="N45" s="288">
        <v>6</v>
      </c>
      <c r="O45" s="288" t="s">
        <v>119</v>
      </c>
      <c r="P45" s="291" t="s">
        <v>705</v>
      </c>
      <c r="Q45" s="291" t="s">
        <v>706</v>
      </c>
      <c r="R45" s="288" t="s">
        <v>24</v>
      </c>
      <c r="S45" s="288"/>
      <c r="T45" s="292" t="s">
        <v>615</v>
      </c>
      <c r="U45" s="288"/>
      <c r="V45" s="292" t="s">
        <v>120</v>
      </c>
      <c r="W45" s="288"/>
      <c r="X45" s="292" t="s">
        <v>120</v>
      </c>
      <c r="Y45" s="288" t="s">
        <v>1640</v>
      </c>
      <c r="Z45" s="293" t="s">
        <v>120</v>
      </c>
      <c r="AA45" s="294" t="s">
        <v>1746</v>
      </c>
      <c r="AB45" s="294" t="s">
        <v>1747</v>
      </c>
      <c r="AC45" s="295" t="s">
        <v>123</v>
      </c>
      <c r="AD45" s="288" t="s">
        <v>1764</v>
      </c>
      <c r="AE45" s="292" t="s">
        <v>120</v>
      </c>
      <c r="AF45" s="289"/>
      <c r="AG45" s="296"/>
      <c r="AH45" s="296"/>
      <c r="AI45" s="288"/>
      <c r="AJ45" s="292" t="s">
        <v>120</v>
      </c>
      <c r="AK45" s="288" t="s">
        <v>123</v>
      </c>
      <c r="AL45" s="288" t="s">
        <v>935</v>
      </c>
      <c r="AM45" s="292"/>
      <c r="AN45" s="288"/>
      <c r="AO45" s="288"/>
      <c r="AP45" s="297"/>
      <c r="AQ45" s="288"/>
      <c r="AR45" s="292"/>
      <c r="AS45" s="288"/>
      <c r="AT45" s="289">
        <v>43483.472498495401</v>
      </c>
      <c r="AU45" s="289">
        <v>43483.476307523102</v>
      </c>
      <c r="AV45" s="289">
        <v>43488.5851861111</v>
      </c>
      <c r="AW45" s="289">
        <v>43483.472498495401</v>
      </c>
      <c r="AX45" s="289"/>
      <c r="AY45" s="289">
        <v>43482.844667708297</v>
      </c>
      <c r="AZ45" s="298">
        <v>43488.591693750001</v>
      </c>
      <c r="BA4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6.5916937500005588</v>
      </c>
      <c r="BB45" s="300">
        <f>COUNTIFS(_05preva_view43[Site ID],_05preva_view43[[#This Row],[Site ID]],_05preva_view43[Prevalidation Status],"Under Prevalidation")</f>
        <v>0</v>
      </c>
      <c r="BC4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5" s="302" t="str">
        <f>CONCATENATE(_05preva_view43[[#This Row],[Site ID]]," (",_05preva_view43[[#This Row],[tenant id]],") Application",IF(_05preva_view43[[#This Row],[Colo Rev]]&gt;0," Rev "&amp;_05preva_view43[[#This Row],[Colo Rev]],""),".xlsx")</f>
        <v>ANMD_0236 (MDY00844) Application Rev 2.xlsx</v>
      </c>
      <c r="BE45" s="64">
        <f t="shared" ca="1" si="2"/>
        <v>50</v>
      </c>
      <c r="BF45" s="104" t="str">
        <f ca="1">LEFT(CELL("filename",A30),_05preva_view43[[#This Row],[Find Process &amp; Database]]-1)</f>
        <v>D:\OneDrive - apollo-towers.com\Apollo Towers\00-</v>
      </c>
      <c r="BG45" s="104" t="str">
        <f ca="1">_05preva_view43[Folder Path1]&amp;"Process &amp; Database\Documentation\Colo Applications"</f>
        <v>D:\OneDrive - apollo-towers.com\Apollo Towers\00-Process &amp; Database\Documentation\Colo Applications</v>
      </c>
      <c r="BH4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5" s="63" t="str">
        <f ca="1">_05preva_view43[[#This Row],[Folder Path3]]&amp;_05preva_view43[[#This Row],[File Name]]</f>
        <v>D:\OneDrive - apollo-towers.com\Apollo Towers\00-Process &amp; Database\Documentation\Colo Applications\Colo App MPT\ANMD_0236 (MDY00844) Application Rev 2.xlsx</v>
      </c>
      <c r="BJ45" s="104"/>
      <c r="BK45" s="3"/>
      <c r="BL45" s="3"/>
      <c r="CJ45" s="5"/>
      <c r="CK45" s="5"/>
      <c r="CL45" s="3"/>
      <c r="CN45" s="5"/>
      <c r="CR45" s="3"/>
      <c r="CS45" s="3"/>
      <c r="CT45" s="5"/>
      <c r="CV45" s="3"/>
      <c r="DR45" s="5"/>
      <c r="DT45" s="3"/>
      <c r="EF45" s="7"/>
      <c r="EG45" s="7"/>
      <c r="EJ45" s="4"/>
      <c r="EK45" s="4"/>
      <c r="EU45" s="2"/>
      <c r="EV45" s="2"/>
    </row>
    <row r="46" spans="1:152">
      <c r="A46" s="287">
        <v>3618</v>
      </c>
      <c r="B46" s="288" t="s">
        <v>1641</v>
      </c>
      <c r="C46" s="288" t="s">
        <v>278</v>
      </c>
      <c r="D46" s="288" t="s">
        <v>127</v>
      </c>
      <c r="E46" s="288" t="s">
        <v>1642</v>
      </c>
      <c r="F46" s="288" t="s">
        <v>35</v>
      </c>
      <c r="G46" s="288" t="s">
        <v>1292</v>
      </c>
      <c r="H46" s="288" t="s">
        <v>1285</v>
      </c>
      <c r="I46" s="288" t="s">
        <v>1643</v>
      </c>
      <c r="J46" s="288" t="s">
        <v>668</v>
      </c>
      <c r="K46" s="289">
        <v>43482</v>
      </c>
      <c r="L46" s="290">
        <v>1.6579999999999999</v>
      </c>
      <c r="M46" s="290">
        <v>3.06</v>
      </c>
      <c r="N46" s="288">
        <v>3.07</v>
      </c>
      <c r="O46" s="288" t="s">
        <v>687</v>
      </c>
      <c r="P46" s="291" t="s">
        <v>695</v>
      </c>
      <c r="Q46" s="291" t="s">
        <v>696</v>
      </c>
      <c r="R46" s="288" t="s">
        <v>24</v>
      </c>
      <c r="S46" s="288"/>
      <c r="T46" s="292" t="s">
        <v>615</v>
      </c>
      <c r="U46" s="288"/>
      <c r="V46" s="292" t="s">
        <v>120</v>
      </c>
      <c r="W46" s="288"/>
      <c r="X46" s="292" t="s">
        <v>120</v>
      </c>
      <c r="Y46" s="288" t="s">
        <v>1644</v>
      </c>
      <c r="Z46" s="293" t="s">
        <v>120</v>
      </c>
      <c r="AA46" s="294"/>
      <c r="AB46" s="294"/>
      <c r="AC46" s="295" t="s">
        <v>123</v>
      </c>
      <c r="AD46" s="288" t="s">
        <v>1645</v>
      </c>
      <c r="AE46" s="292" t="s">
        <v>120</v>
      </c>
      <c r="AF46" s="289"/>
      <c r="AG46" s="296"/>
      <c r="AH46" s="296"/>
      <c r="AI46" s="288"/>
      <c r="AJ46" s="292" t="s">
        <v>120</v>
      </c>
      <c r="AK46" s="288" t="s">
        <v>123</v>
      </c>
      <c r="AL46" s="288" t="s">
        <v>935</v>
      </c>
      <c r="AM46" s="292"/>
      <c r="AN46" s="288"/>
      <c r="AO46" s="288"/>
      <c r="AP46" s="297"/>
      <c r="AQ46" s="288"/>
      <c r="AR46" s="292"/>
      <c r="AS46" s="288"/>
      <c r="AT46" s="289">
        <v>43483.472500231503</v>
      </c>
      <c r="AU46" s="289">
        <v>43483.476314004598</v>
      </c>
      <c r="AV46" s="289">
        <v>43486.590976041698</v>
      </c>
      <c r="AW46" s="289">
        <v>43483.472500231503</v>
      </c>
      <c r="AX46" s="289"/>
      <c r="AY46" s="289">
        <v>43483.387680439802</v>
      </c>
      <c r="AZ46" s="298">
        <v>43486.693754513901</v>
      </c>
      <c r="BA4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4.6937545139007852</v>
      </c>
      <c r="BB46" s="300">
        <f>COUNTIFS(_05preva_view43[Site ID],_05preva_view43[[#This Row],[Site ID]],_05preva_view43[Prevalidation Status],"Under Prevalidation")</f>
        <v>0</v>
      </c>
      <c r="BC4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6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1-01-15014-008 (SHN00175) Application Rev 1.xlsx</v>
      </c>
      <c r="BE46" s="64">
        <f t="shared" ca="1" si="2"/>
        <v>50</v>
      </c>
      <c r="BF46" s="104" t="str">
        <f ca="1">LEFT(CELL("filename",A31),_05preva_view43[[#This Row],[Find Process &amp; Database]]-1)</f>
        <v>D:\OneDrive - apollo-towers.com\Apollo Towers\00-</v>
      </c>
      <c r="BG46" s="104" t="str">
        <f ca="1">_05preva_view43[Folder Path1]&amp;"Process &amp; Database\Documentation\Colo Applications"</f>
        <v>D:\OneDrive - apollo-towers.com\Apollo Towers\00-Process &amp; Database\Documentation\Colo Applications</v>
      </c>
      <c r="BH4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6" s="63" t="str">
        <f ca="1">_05preva_view43[[#This Row],[Folder Path3]]&amp;_05preva_view43[[#This Row],[File Name]]</f>
        <v>D:\OneDrive - apollo-towers.com\Apollo Towers\00-Process &amp; Database\Documentation\Colo Applications\Colo App MPT\1-01-15014-008 (SHN00175) Application Rev 1.xlsx</v>
      </c>
      <c r="BJ46" s="104"/>
      <c r="BK46" s="3"/>
      <c r="BL46" s="3"/>
      <c r="CJ46" s="5"/>
      <c r="CK46" s="5"/>
      <c r="CL46" s="3"/>
      <c r="CN46" s="5"/>
      <c r="CR46" s="3"/>
      <c r="CS46" s="3"/>
      <c r="CT46" s="5"/>
      <c r="CV46" s="3"/>
      <c r="DR46" s="5"/>
      <c r="DT46" s="3"/>
      <c r="EF46" s="7"/>
      <c r="EG46" s="7"/>
      <c r="EJ46" s="4"/>
      <c r="EK46" s="4"/>
      <c r="EU46" s="2"/>
      <c r="EV46" s="2"/>
    </row>
    <row r="47" spans="1:152">
      <c r="A47" s="287">
        <v>3613</v>
      </c>
      <c r="B47" s="288" t="s">
        <v>699</v>
      </c>
      <c r="C47" s="288" t="s">
        <v>278</v>
      </c>
      <c r="D47" s="288" t="s">
        <v>117</v>
      </c>
      <c r="E47" s="288" t="s">
        <v>700</v>
      </c>
      <c r="F47" s="288" t="s">
        <v>35</v>
      </c>
      <c r="G47" s="288" t="s">
        <v>1292</v>
      </c>
      <c r="H47" s="288" t="s">
        <v>1285</v>
      </c>
      <c r="I47" s="288" t="s">
        <v>790</v>
      </c>
      <c r="J47" s="288" t="s">
        <v>694</v>
      </c>
      <c r="K47" s="289">
        <v>43481</v>
      </c>
      <c r="L47" s="290">
        <v>2.72</v>
      </c>
      <c r="M47" s="290">
        <v>3.4</v>
      </c>
      <c r="N47" s="288"/>
      <c r="O47" s="288" t="s">
        <v>687</v>
      </c>
      <c r="P47" s="291" t="s">
        <v>695</v>
      </c>
      <c r="Q47" s="291" t="s">
        <v>696</v>
      </c>
      <c r="R47" s="288" t="s">
        <v>24</v>
      </c>
      <c r="S47" s="288"/>
      <c r="T47" s="292" t="s">
        <v>615</v>
      </c>
      <c r="U47" s="288"/>
      <c r="V47" s="292" t="s">
        <v>615</v>
      </c>
      <c r="W47" s="288"/>
      <c r="X47" s="292" t="s">
        <v>615</v>
      </c>
      <c r="Y47" s="288"/>
      <c r="Z47" s="293" t="s">
        <v>615</v>
      </c>
      <c r="AA47" s="294"/>
      <c r="AB47" s="294"/>
      <c r="AC47" s="295"/>
      <c r="AD47" s="288"/>
      <c r="AE47" s="292" t="s">
        <v>120</v>
      </c>
      <c r="AF47" s="289"/>
      <c r="AG47" s="296"/>
      <c r="AH47" s="296"/>
      <c r="AI47" s="288"/>
      <c r="AJ47" s="292" t="s">
        <v>615</v>
      </c>
      <c r="AK47" s="288"/>
      <c r="AL47" s="288"/>
      <c r="AM47" s="292"/>
      <c r="AN47" s="288"/>
      <c r="AO47" s="288"/>
      <c r="AP47" s="297"/>
      <c r="AQ47" s="288"/>
      <c r="AR47" s="292"/>
      <c r="AS47" s="288"/>
      <c r="AT47" s="289"/>
      <c r="AU47" s="289">
        <v>43483.476281828698</v>
      </c>
      <c r="AV47" s="289"/>
      <c r="AW47" s="289"/>
      <c r="AX47" s="289"/>
      <c r="AY47" s="289"/>
      <c r="AZ47" s="298">
        <v>43486.428173611101</v>
      </c>
      <c r="BA4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5.4281736111006467</v>
      </c>
      <c r="BB47" s="300">
        <f>COUNTIFS(_05preva_view43[Site ID],_05preva_view43[[#This Row],[Site ID]],_05preva_view43[Prevalidation Status],"Under Prevalidation")</f>
        <v>0</v>
      </c>
      <c r="BC4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7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47" s="64">
        <f t="shared" ca="1" si="2"/>
        <v>50</v>
      </c>
      <c r="BF47" s="104" t="str">
        <f ca="1">LEFT(CELL("filename",A32),_05preva_view43[[#This Row],[Find Process &amp; Database]]-1)</f>
        <v>D:\OneDrive - apollo-towers.com\Apollo Towers\00-</v>
      </c>
      <c r="BG47" s="104" t="str">
        <f ca="1">_05preva_view43[Folder Path1]&amp;"Process &amp; Database\Documentation\Colo Applications"</f>
        <v>D:\OneDrive - apollo-towers.com\Apollo Towers\00-Process &amp; Database\Documentation\Colo Applications</v>
      </c>
      <c r="BH4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7" s="63" t="str">
        <f ca="1">_05preva_view43[[#This Row],[Folder Path3]]&amp;_05preva_view43[[#This Row],[File Name]]</f>
        <v>D:\OneDrive - apollo-towers.com\Apollo Towers\00-Process &amp; Database\Documentation\Colo Applications\Colo App MPT\1-01-14003-002 (SHS00117) Application Rev 4.xlsx</v>
      </c>
      <c r="BJ47" s="104"/>
      <c r="BK47" s="3"/>
      <c r="BL47" s="3"/>
      <c r="CJ47" s="5"/>
      <c r="CK47" s="5"/>
      <c r="CL47" s="3"/>
      <c r="CN47" s="5"/>
      <c r="CR47" s="3"/>
      <c r="CS47" s="3"/>
      <c r="CT47" s="5"/>
      <c r="CV47" s="3"/>
      <c r="DR47" s="5"/>
      <c r="DT47" s="3"/>
      <c r="EF47" s="7"/>
      <c r="EG47" s="7"/>
      <c r="EJ47" s="4"/>
      <c r="EK47" s="4"/>
      <c r="EU47" s="2"/>
      <c r="EV47" s="2"/>
    </row>
    <row r="48" spans="1:152">
      <c r="A48" s="287">
        <v>3599</v>
      </c>
      <c r="B48" s="288" t="s">
        <v>1646</v>
      </c>
      <c r="C48" s="288" t="s">
        <v>116</v>
      </c>
      <c r="D48" s="288" t="s">
        <v>127</v>
      </c>
      <c r="E48" s="288" t="s">
        <v>1647</v>
      </c>
      <c r="F48" s="288" t="s">
        <v>35</v>
      </c>
      <c r="G48" s="288" t="s">
        <v>1287</v>
      </c>
      <c r="H48" s="288" t="s">
        <v>1285</v>
      </c>
      <c r="I48" s="288" t="s">
        <v>981</v>
      </c>
      <c r="J48" s="288" t="s">
        <v>686</v>
      </c>
      <c r="K48" s="289">
        <v>43480</v>
      </c>
      <c r="L48" s="290">
        <v>1.079</v>
      </c>
      <c r="M48" s="290">
        <v>1.4950000000000001</v>
      </c>
      <c r="N48" s="288">
        <v>7.56</v>
      </c>
      <c r="O48" s="288" t="s">
        <v>119</v>
      </c>
      <c r="P48" s="291" t="s">
        <v>227</v>
      </c>
      <c r="Q48" s="291" t="s">
        <v>228</v>
      </c>
      <c r="R48" s="288" t="s">
        <v>24</v>
      </c>
      <c r="S48" s="288"/>
      <c r="T48" s="292" t="s">
        <v>615</v>
      </c>
      <c r="U48" s="288" t="s">
        <v>1648</v>
      </c>
      <c r="V48" s="292" t="s">
        <v>120</v>
      </c>
      <c r="W48" s="288"/>
      <c r="X48" s="292" t="s">
        <v>120</v>
      </c>
      <c r="Y48" s="288" t="s">
        <v>1649</v>
      </c>
      <c r="Z48" s="293" t="s">
        <v>120</v>
      </c>
      <c r="AA48" s="294"/>
      <c r="AB48" s="294"/>
      <c r="AC48" s="295" t="s">
        <v>123</v>
      </c>
      <c r="AD48" s="288" t="s">
        <v>1650</v>
      </c>
      <c r="AE48" s="292" t="s">
        <v>120</v>
      </c>
      <c r="AF48" s="289"/>
      <c r="AG48" s="296"/>
      <c r="AH48" s="296"/>
      <c r="AI48" s="288"/>
      <c r="AJ48" s="292" t="s">
        <v>120</v>
      </c>
      <c r="AK48" s="288" t="s">
        <v>123</v>
      </c>
      <c r="AL48" s="288" t="s">
        <v>935</v>
      </c>
      <c r="AM48" s="292"/>
      <c r="AN48" s="288"/>
      <c r="AO48" s="288"/>
      <c r="AP48" s="297"/>
      <c r="AQ48" s="288"/>
      <c r="AR48" s="292"/>
      <c r="AS48" s="288"/>
      <c r="AT48" s="289">
        <v>43482.624717245402</v>
      </c>
      <c r="AU48" s="289">
        <v>43481.365416203698</v>
      </c>
      <c r="AV48" s="289">
        <v>43483.561056365703</v>
      </c>
      <c r="AW48" s="289">
        <v>43482.624717245402</v>
      </c>
      <c r="AX48" s="289">
        <v>43480.7145789352</v>
      </c>
      <c r="AY48" s="289">
        <v>43480.621084143502</v>
      </c>
      <c r="AZ48" s="298">
        <v>43486.402932175901</v>
      </c>
      <c r="BA4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6.4029321759007871</v>
      </c>
      <c r="BB48" s="300">
        <f>COUNTIFS(_05preva_view43[Site ID],_05preva_view43[[#This Row],[Site ID]],_05preva_view43[Prevalidation Status],"Under Prevalidation")</f>
        <v>0</v>
      </c>
      <c r="BC4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8" s="302" t="str">
        <f>CONCATENATE(_05preva_view43[[#This Row],[Site ID]]," (",_05preva_view43[[#This Row],[tenant id]],") Application",IF(_05preva_view43[[#This Row],[Colo Rev]]&gt;0," Rev "&amp;_05preva_view43[[#This Row],[Colo Rev]],""),".xlsx")</f>
        <v>ANMD_0220 (MDY00991) Application Rev 2.xlsx</v>
      </c>
      <c r="BE48" s="64">
        <f t="shared" ca="1" si="2"/>
        <v>50</v>
      </c>
      <c r="BF48" s="104" t="str">
        <f ca="1">LEFT(CELL("filename",A33),_05preva_view43[[#This Row],[Find Process &amp; Database]]-1)</f>
        <v>D:\OneDrive - apollo-towers.com\Apollo Towers\00-</v>
      </c>
      <c r="BG48" s="104" t="str">
        <f ca="1">_05preva_view43[Folder Path1]&amp;"Process &amp; Database\Documentation\Colo Applications"</f>
        <v>D:\OneDrive - apollo-towers.com\Apollo Towers\00-Process &amp; Database\Documentation\Colo Applications</v>
      </c>
      <c r="BH4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8" s="63" t="str">
        <f ca="1">_05preva_view43[[#This Row],[Folder Path3]]&amp;_05preva_view43[[#This Row],[File Name]]</f>
        <v>D:\OneDrive - apollo-towers.com\Apollo Towers\00-Process &amp; Database\Documentation\Colo Applications\Colo App MPT\ANMD_0220 (MDY00991) Application Rev 2.xlsx</v>
      </c>
      <c r="BJ48" s="104"/>
      <c r="BK48" s="3"/>
      <c r="BL48" s="3"/>
      <c r="CJ48" s="5"/>
      <c r="CK48" s="5"/>
      <c r="CL48" s="3"/>
      <c r="CN48" s="5"/>
      <c r="CR48" s="3"/>
      <c r="CS48" s="3"/>
      <c r="CT48" s="5"/>
      <c r="CV48" s="3"/>
      <c r="DR48" s="5"/>
      <c r="DT48" s="3"/>
      <c r="EF48" s="7"/>
      <c r="EG48" s="7"/>
      <c r="EJ48" s="4"/>
      <c r="EK48" s="4"/>
      <c r="EU48" s="2"/>
      <c r="EV48" s="2"/>
    </row>
    <row r="49" spans="1:152">
      <c r="A49" s="287">
        <v>3600</v>
      </c>
      <c r="B49" s="288" t="s">
        <v>1651</v>
      </c>
      <c r="C49" s="288" t="s">
        <v>278</v>
      </c>
      <c r="D49" s="288" t="s">
        <v>127</v>
      </c>
      <c r="E49" s="288" t="s">
        <v>1652</v>
      </c>
      <c r="F49" s="288" t="s">
        <v>35</v>
      </c>
      <c r="G49" s="288" t="s">
        <v>1292</v>
      </c>
      <c r="H49" s="288" t="s">
        <v>1285</v>
      </c>
      <c r="I49" s="288" t="s">
        <v>981</v>
      </c>
      <c r="J49" s="288" t="s">
        <v>668</v>
      </c>
      <c r="K49" s="289">
        <v>43480</v>
      </c>
      <c r="L49" s="290">
        <v>1.1080000000000001</v>
      </c>
      <c r="M49" s="290">
        <v>1.52</v>
      </c>
      <c r="N49" s="288">
        <v>4.62</v>
      </c>
      <c r="O49" s="288" t="s">
        <v>687</v>
      </c>
      <c r="P49" s="291" t="s">
        <v>695</v>
      </c>
      <c r="Q49" s="291" t="s">
        <v>696</v>
      </c>
      <c r="R49" s="288" t="s">
        <v>24</v>
      </c>
      <c r="S49" s="288"/>
      <c r="T49" s="292" t="s">
        <v>615</v>
      </c>
      <c r="U49" s="288"/>
      <c r="V49" s="292" t="s">
        <v>120</v>
      </c>
      <c r="W49" s="288"/>
      <c r="X49" s="292" t="s">
        <v>120</v>
      </c>
      <c r="Y49" s="288" t="s">
        <v>1653</v>
      </c>
      <c r="Z49" s="293" t="s">
        <v>120</v>
      </c>
      <c r="AA49" s="294"/>
      <c r="AB49" s="294"/>
      <c r="AC49" s="295" t="s">
        <v>123</v>
      </c>
      <c r="AD49" s="288" t="s">
        <v>1654</v>
      </c>
      <c r="AE49" s="292" t="s">
        <v>120</v>
      </c>
      <c r="AF49" s="289"/>
      <c r="AG49" s="296"/>
      <c r="AH49" s="296"/>
      <c r="AI49" s="288" t="s">
        <v>1655</v>
      </c>
      <c r="AJ49" s="292" t="s">
        <v>120</v>
      </c>
      <c r="AK49" s="288" t="s">
        <v>123</v>
      </c>
      <c r="AL49" s="288" t="s">
        <v>935</v>
      </c>
      <c r="AM49" s="292"/>
      <c r="AN49" s="288"/>
      <c r="AO49" s="288"/>
      <c r="AP49" s="297"/>
      <c r="AQ49" s="288"/>
      <c r="AR49" s="292"/>
      <c r="AS49" s="288"/>
      <c r="AT49" s="289">
        <v>43482.624718981497</v>
      </c>
      <c r="AU49" s="289">
        <v>43481.365416782399</v>
      </c>
      <c r="AV49" s="289">
        <v>43483.6958936343</v>
      </c>
      <c r="AW49" s="289">
        <v>43482.624718981497</v>
      </c>
      <c r="AX49" s="289"/>
      <c r="AY49" s="289">
        <v>43480.6210460648</v>
      </c>
      <c r="AZ49" s="298">
        <v>43486.402934375001</v>
      </c>
      <c r="BA4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6.4029343750007683</v>
      </c>
      <c r="BB49" s="300">
        <f>COUNTIFS(_05preva_view43[Site ID],_05preva_view43[[#This Row],[Site ID]],_05preva_view43[Prevalidation Status],"Under Prevalidation")</f>
        <v>0</v>
      </c>
      <c r="BC4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9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1-01-05005-001 (SGG00218) Application Rev 1.xlsx</v>
      </c>
      <c r="BE49" s="64">
        <f t="shared" ca="1" si="2"/>
        <v>50</v>
      </c>
      <c r="BF49" s="104" t="str">
        <f ca="1">LEFT(CELL("filename",A34),_05preva_view43[[#This Row],[Find Process &amp; Database]]-1)</f>
        <v>D:\OneDrive - apollo-towers.com\Apollo Towers\00-</v>
      </c>
      <c r="BG49" s="104" t="str">
        <f ca="1">_05preva_view43[Folder Path1]&amp;"Process &amp; Database\Documentation\Colo Applications"</f>
        <v>D:\OneDrive - apollo-towers.com\Apollo Towers\00-Process &amp; Database\Documentation\Colo Applications</v>
      </c>
      <c r="BH4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9" s="63" t="str">
        <f ca="1">_05preva_view43[[#This Row],[Folder Path3]]&amp;_05preva_view43[[#This Row],[File Name]]</f>
        <v>D:\OneDrive - apollo-towers.com\Apollo Towers\00-Process &amp; Database\Documentation\Colo Applications\Colo App MPT\1-01-05005-001 (SGG00218) Application Rev 1.xlsx</v>
      </c>
      <c r="BJ49" s="104"/>
      <c r="BK49" s="3"/>
      <c r="BL49" s="3"/>
      <c r="CJ49" s="5"/>
      <c r="CK49" s="5"/>
      <c r="CL49" s="3"/>
      <c r="CN49" s="5"/>
      <c r="CR49" s="3"/>
      <c r="CS49" s="3"/>
      <c r="CT49" s="5"/>
      <c r="CV49" s="3"/>
      <c r="DR49" s="5"/>
      <c r="DT49" s="3"/>
      <c r="EF49" s="7"/>
      <c r="EG49" s="7"/>
      <c r="EJ49" s="4"/>
      <c r="EK49" s="4"/>
      <c r="EU49" s="2"/>
      <c r="EV49" s="2"/>
    </row>
    <row r="50" spans="1:152">
      <c r="A50" s="287">
        <v>3601</v>
      </c>
      <c r="B50" s="288" t="s">
        <v>1656</v>
      </c>
      <c r="C50" s="288" t="s">
        <v>116</v>
      </c>
      <c r="D50" s="288" t="s">
        <v>127</v>
      </c>
      <c r="E50" s="288" t="s">
        <v>1657</v>
      </c>
      <c r="F50" s="288" t="s">
        <v>35</v>
      </c>
      <c r="G50" s="288" t="s">
        <v>1287</v>
      </c>
      <c r="H50" s="288" t="s">
        <v>1285</v>
      </c>
      <c r="I50" s="288" t="s">
        <v>981</v>
      </c>
      <c r="J50" s="288" t="s">
        <v>686</v>
      </c>
      <c r="K50" s="289">
        <v>43480</v>
      </c>
      <c r="L50" s="290">
        <v>1</v>
      </c>
      <c r="M50" s="290">
        <v>1.4</v>
      </c>
      <c r="N50" s="288">
        <v>5.83</v>
      </c>
      <c r="O50" s="288" t="s">
        <v>119</v>
      </c>
      <c r="P50" s="291" t="s">
        <v>220</v>
      </c>
      <c r="Q50" s="291" t="s">
        <v>221</v>
      </c>
      <c r="R50" s="288" t="s">
        <v>24</v>
      </c>
      <c r="S50" s="288"/>
      <c r="T50" s="292" t="s">
        <v>615</v>
      </c>
      <c r="U50" s="288" t="s">
        <v>1658</v>
      </c>
      <c r="V50" s="292" t="s">
        <v>120</v>
      </c>
      <c r="W50" s="288"/>
      <c r="X50" s="292" t="s">
        <v>120</v>
      </c>
      <c r="Y50" s="288" t="s">
        <v>1659</v>
      </c>
      <c r="Z50" s="293" t="s">
        <v>120</v>
      </c>
      <c r="AA50" s="294"/>
      <c r="AB50" s="294"/>
      <c r="AC50" s="295" t="s">
        <v>206</v>
      </c>
      <c r="AD50" s="288" t="s">
        <v>1660</v>
      </c>
      <c r="AE50" s="292" t="s">
        <v>120</v>
      </c>
      <c r="AF50" s="289"/>
      <c r="AG50" s="296"/>
      <c r="AH50" s="296"/>
      <c r="AI50" s="288"/>
      <c r="AJ50" s="292" t="s">
        <v>120</v>
      </c>
      <c r="AK50" s="288" t="s">
        <v>123</v>
      </c>
      <c r="AL50" s="288" t="s">
        <v>935</v>
      </c>
      <c r="AM50" s="292"/>
      <c r="AN50" s="288"/>
      <c r="AO50" s="288"/>
      <c r="AP50" s="297"/>
      <c r="AQ50" s="288"/>
      <c r="AR50" s="292"/>
      <c r="AS50" s="288"/>
      <c r="AT50" s="289">
        <v>43482.624720601903</v>
      </c>
      <c r="AU50" s="289">
        <v>43481.365418171299</v>
      </c>
      <c r="AV50" s="289">
        <v>43486.4284436343</v>
      </c>
      <c r="AW50" s="289">
        <v>43482.624720601903</v>
      </c>
      <c r="AX50" s="289">
        <v>43480.714581828703</v>
      </c>
      <c r="AY50" s="289">
        <v>43480.621086226798</v>
      </c>
      <c r="AZ50" s="298">
        <v>43486.723548032402</v>
      </c>
      <c r="BA5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6.7235480324015953</v>
      </c>
      <c r="BB50" s="300">
        <f>COUNTIFS(_05preva_view43[Site ID],_05preva_view43[[#This Row],[Site ID]],_05preva_view43[Prevalidation Status],"Under Prevalidation")</f>
        <v>0</v>
      </c>
      <c r="BC5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0" s="302" t="str">
        <f>CONCATENATE(_05preva_view43[[#This Row],[Site ID]]," (",_05preva_view43[[#This Row],[tenant id]],") Application",IF(_05preva_view43[[#This Row],[Colo Rev]]&gt;0," Rev "&amp;_05preva_view43[[#This Row],[Colo Rev]],""),".xlsx")</f>
        <v>ANSG_0498 (SGG00255) Application Rev 2.xlsx</v>
      </c>
      <c r="BE50" s="64">
        <f t="shared" ca="1" si="2"/>
        <v>50</v>
      </c>
      <c r="BF50" s="104" t="str">
        <f ca="1">LEFT(CELL("filename",A35),_05preva_view43[[#This Row],[Find Process &amp; Database]]-1)</f>
        <v>D:\OneDrive - apollo-towers.com\Apollo Towers\00-</v>
      </c>
      <c r="BG50" s="104" t="str">
        <f ca="1">_05preva_view43[Folder Path1]&amp;"Process &amp; Database\Documentation\Colo Applications"</f>
        <v>D:\OneDrive - apollo-towers.com\Apollo Towers\00-Process &amp; Database\Documentation\Colo Applications</v>
      </c>
      <c r="BH5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0" s="63" t="str">
        <f ca="1">_05preva_view43[[#This Row],[Folder Path3]]&amp;_05preva_view43[[#This Row],[File Name]]</f>
        <v>D:\OneDrive - apollo-towers.com\Apollo Towers\00-Process &amp; Database\Documentation\Colo Applications\Colo App MPT\ANSG_0498 (SGG00255) Application Rev 2.xlsx</v>
      </c>
      <c r="BJ50" s="104"/>
      <c r="BK50" s="3"/>
      <c r="BL50" s="3"/>
      <c r="CJ50" s="5"/>
      <c r="CK50" s="5"/>
      <c r="CL50" s="3"/>
      <c r="CN50" s="5"/>
      <c r="CR50" s="3"/>
      <c r="CS50" s="3"/>
      <c r="CT50" s="5"/>
      <c r="CV50" s="3"/>
      <c r="DR50" s="5"/>
      <c r="DT50" s="3"/>
      <c r="EF50" s="7"/>
      <c r="EG50" s="7"/>
      <c r="EJ50" s="4"/>
      <c r="EK50" s="4"/>
      <c r="EU50" s="2"/>
      <c r="EV50" s="2"/>
    </row>
    <row r="51" spans="1:152">
      <c r="A51" s="287">
        <v>3602</v>
      </c>
      <c r="B51" s="288" t="s">
        <v>1661</v>
      </c>
      <c r="C51" s="288" t="s">
        <v>278</v>
      </c>
      <c r="D51" s="288" t="s">
        <v>127</v>
      </c>
      <c r="E51" s="288" t="s">
        <v>1662</v>
      </c>
      <c r="F51" s="288" t="s">
        <v>35</v>
      </c>
      <c r="G51" s="288" t="s">
        <v>1292</v>
      </c>
      <c r="H51" s="288" t="s">
        <v>1285</v>
      </c>
      <c r="I51" s="288" t="s">
        <v>888</v>
      </c>
      <c r="J51" s="288" t="s">
        <v>686</v>
      </c>
      <c r="K51" s="289">
        <v>43480</v>
      </c>
      <c r="L51" s="290">
        <v>1</v>
      </c>
      <c r="M51" s="290">
        <v>1.4</v>
      </c>
      <c r="N51" s="288">
        <v>2.5</v>
      </c>
      <c r="O51" s="288" t="s">
        <v>687</v>
      </c>
      <c r="P51" s="291" t="s">
        <v>508</v>
      </c>
      <c r="Q51" s="291" t="s">
        <v>509</v>
      </c>
      <c r="R51" s="288" t="s">
        <v>24</v>
      </c>
      <c r="S51" s="288"/>
      <c r="T51" s="292" t="s">
        <v>615</v>
      </c>
      <c r="U51" s="288"/>
      <c r="V51" s="292" t="s">
        <v>120</v>
      </c>
      <c r="W51" s="288" t="s">
        <v>1663</v>
      </c>
      <c r="X51" s="292" t="s">
        <v>120</v>
      </c>
      <c r="Y51" s="288" t="s">
        <v>1664</v>
      </c>
      <c r="Z51" s="293" t="s">
        <v>120</v>
      </c>
      <c r="AA51" s="294"/>
      <c r="AB51" s="294"/>
      <c r="AC51" s="295" t="s">
        <v>123</v>
      </c>
      <c r="AD51" s="288" t="s">
        <v>1665</v>
      </c>
      <c r="AE51" s="292" t="s">
        <v>120</v>
      </c>
      <c r="AF51" s="289"/>
      <c r="AG51" s="296"/>
      <c r="AH51" s="296"/>
      <c r="AI51" s="288"/>
      <c r="AJ51" s="292" t="s">
        <v>120</v>
      </c>
      <c r="AK51" s="288" t="s">
        <v>123</v>
      </c>
      <c r="AL51" s="288" t="s">
        <v>935</v>
      </c>
      <c r="AM51" s="292"/>
      <c r="AN51" s="288"/>
      <c r="AO51" s="288"/>
      <c r="AP51" s="297"/>
      <c r="AQ51" s="288"/>
      <c r="AR51" s="292"/>
      <c r="AS51" s="288"/>
      <c r="AT51" s="289">
        <v>43482.624721875</v>
      </c>
      <c r="AU51" s="289">
        <v>43481.365418865702</v>
      </c>
      <c r="AV51" s="289">
        <v>43483.695895486097</v>
      </c>
      <c r="AW51" s="289">
        <v>43482.624721875</v>
      </c>
      <c r="AX51" s="289"/>
      <c r="AY51" s="289">
        <v>43480.628352083302</v>
      </c>
      <c r="AZ51" s="298">
        <v>43486.402937731502</v>
      </c>
      <c r="BA5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6.4029377315018792</v>
      </c>
      <c r="BB51" s="300">
        <f>COUNTIFS(_05preva_view43[Site ID],_05preva_view43[[#This Row],[Site ID]],_05preva_view43[Prevalidation Status],"Under Prevalidation")</f>
        <v>0</v>
      </c>
      <c r="BC5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1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1-01-05027-001 (SGG00562) Application Rev 2.xlsx</v>
      </c>
      <c r="BE51" s="64">
        <f t="shared" ca="1" si="2"/>
        <v>50</v>
      </c>
      <c r="BF51" s="104" t="str">
        <f ca="1">LEFT(CELL("filename",A36),_05preva_view43[[#This Row],[Find Process &amp; Database]]-1)</f>
        <v>D:\OneDrive - apollo-towers.com\Apollo Towers\00-</v>
      </c>
      <c r="BG51" s="104" t="str">
        <f ca="1">_05preva_view43[Folder Path1]&amp;"Process &amp; Database\Documentation\Colo Applications"</f>
        <v>D:\OneDrive - apollo-towers.com\Apollo Towers\00-Process &amp; Database\Documentation\Colo Applications</v>
      </c>
      <c r="BH5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1" s="63" t="str">
        <f ca="1">_05preva_view43[[#This Row],[Folder Path3]]&amp;_05preva_view43[[#This Row],[File Name]]</f>
        <v>D:\OneDrive - apollo-towers.com\Apollo Towers\00-Process &amp; Database\Documentation\Colo Applications\Colo App MPT\1-01-05027-001 (SGG00562) Application Rev 2.xlsx</v>
      </c>
      <c r="BJ51" s="104"/>
      <c r="BK51" s="3"/>
      <c r="BL51" s="3"/>
      <c r="CJ51" s="5"/>
      <c r="CK51" s="5"/>
      <c r="CL51" s="3"/>
      <c r="CN51" s="5"/>
      <c r="CR51" s="3"/>
      <c r="CS51" s="3"/>
      <c r="CT51" s="5"/>
      <c r="CV51" s="3"/>
      <c r="DR51" s="5"/>
      <c r="DT51" s="3"/>
      <c r="EF51" s="7"/>
      <c r="EG51" s="7"/>
      <c r="EJ51" s="4"/>
      <c r="EK51" s="4"/>
      <c r="EU51" s="2"/>
      <c r="EV51" s="2"/>
    </row>
    <row r="52" spans="1:152">
      <c r="A52" s="287">
        <v>3603</v>
      </c>
      <c r="B52" s="288" t="s">
        <v>252</v>
      </c>
      <c r="C52" s="288" t="s">
        <v>116</v>
      </c>
      <c r="D52" s="288" t="s">
        <v>127</v>
      </c>
      <c r="E52" s="288" t="s">
        <v>1666</v>
      </c>
      <c r="F52" s="288" t="s">
        <v>35</v>
      </c>
      <c r="G52" s="288" t="s">
        <v>1287</v>
      </c>
      <c r="H52" s="288" t="s">
        <v>1285</v>
      </c>
      <c r="I52" s="288" t="s">
        <v>1068</v>
      </c>
      <c r="J52" s="288" t="s">
        <v>686</v>
      </c>
      <c r="K52" s="289">
        <v>43480</v>
      </c>
      <c r="L52" s="290">
        <v>2.5950000000000002</v>
      </c>
      <c r="M52" s="290">
        <v>3.7069999999999999</v>
      </c>
      <c r="N52" s="288">
        <v>6.0579999999999998</v>
      </c>
      <c r="O52" s="288" t="s">
        <v>119</v>
      </c>
      <c r="P52" s="291" t="s">
        <v>246</v>
      </c>
      <c r="Q52" s="291" t="s">
        <v>247</v>
      </c>
      <c r="R52" s="288" t="s">
        <v>24</v>
      </c>
      <c r="S52" s="288"/>
      <c r="T52" s="292" t="s">
        <v>615</v>
      </c>
      <c r="U52" s="288" t="s">
        <v>1667</v>
      </c>
      <c r="V52" s="292" t="s">
        <v>120</v>
      </c>
      <c r="W52" s="288"/>
      <c r="X52" s="292" t="s">
        <v>120</v>
      </c>
      <c r="Y52" s="288" t="s">
        <v>1668</v>
      </c>
      <c r="Z52" s="293" t="s">
        <v>120</v>
      </c>
      <c r="AA52" s="294"/>
      <c r="AB52" s="294"/>
      <c r="AC52" s="295" t="s">
        <v>123</v>
      </c>
      <c r="AD52" s="288" t="s">
        <v>1669</v>
      </c>
      <c r="AE52" s="292" t="s">
        <v>120</v>
      </c>
      <c r="AF52" s="289"/>
      <c r="AG52" s="296"/>
      <c r="AH52" s="296"/>
      <c r="AI52" s="288"/>
      <c r="AJ52" s="292" t="s">
        <v>120</v>
      </c>
      <c r="AK52" s="288" t="s">
        <v>123</v>
      </c>
      <c r="AL52" s="288" t="s">
        <v>935</v>
      </c>
      <c r="AM52" s="292"/>
      <c r="AN52" s="288"/>
      <c r="AO52" s="288"/>
      <c r="AP52" s="297"/>
      <c r="AQ52" s="288"/>
      <c r="AR52" s="292"/>
      <c r="AS52" s="288"/>
      <c r="AT52" s="289">
        <v>43482.6247232639</v>
      </c>
      <c r="AU52" s="289">
        <v>43481.373435416703</v>
      </c>
      <c r="AV52" s="289">
        <v>43486.492915509298</v>
      </c>
      <c r="AW52" s="289">
        <v>43482.6247232639</v>
      </c>
      <c r="AX52" s="289">
        <v>43480.714584838002</v>
      </c>
      <c r="AY52" s="289">
        <v>43480.621087847197</v>
      </c>
      <c r="AZ52" s="298">
        <v>43486.723548842601</v>
      </c>
      <c r="BA5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6.7235488426013035</v>
      </c>
      <c r="BB52" s="300">
        <f>COUNTIFS(_05preva_view43[Site ID],_05preva_view43[[#This Row],[Site ID]],_05preva_view43[Prevalidation Status],"Under Prevalidation")</f>
        <v>0</v>
      </c>
      <c r="BC5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2" s="302" t="str">
        <f>CONCATENATE(_05preva_view43[[#This Row],[Site ID]]," (",_05preva_view43[[#This Row],[tenant id]],") Application",IF(_05preva_view43[[#This Row],[Colo Rev]]&gt;0," Rev "&amp;_05preva_view43[[#This Row],[Colo Rev]],""),".xlsx")</f>
        <v>ANSH_0034 (SHN00207) Application Rev 2.xlsx</v>
      </c>
      <c r="BE52" s="64">
        <f t="shared" ca="1" si="2"/>
        <v>50</v>
      </c>
      <c r="BF52" s="104" t="str">
        <f ca="1">LEFT(CELL("filename",A37),_05preva_view43[[#This Row],[Find Process &amp; Database]]-1)</f>
        <v>D:\OneDrive - apollo-towers.com\Apollo Towers\00-</v>
      </c>
      <c r="BG52" s="104" t="str">
        <f ca="1">_05preva_view43[Folder Path1]&amp;"Process &amp; Database\Documentation\Colo Applications"</f>
        <v>D:\OneDrive - apollo-towers.com\Apollo Towers\00-Process &amp; Database\Documentation\Colo Applications</v>
      </c>
      <c r="BH5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2" s="63" t="str">
        <f ca="1">_05preva_view43[[#This Row],[Folder Path3]]&amp;_05preva_view43[[#This Row],[File Name]]</f>
        <v>D:\OneDrive - apollo-towers.com\Apollo Towers\00-Process &amp; Database\Documentation\Colo Applications\Colo App MPT\ANSH_0034 (SHN00207) Application Rev 2.xlsx</v>
      </c>
      <c r="BJ52" s="104"/>
      <c r="BK52" s="3"/>
      <c r="BL52" s="3"/>
      <c r="CJ52" s="5"/>
      <c r="CK52" s="5"/>
      <c r="CL52" s="3"/>
      <c r="CN52" s="5"/>
      <c r="CR52" s="3"/>
      <c r="CS52" s="3"/>
      <c r="CT52" s="5"/>
      <c r="CV52" s="3"/>
      <c r="DR52" s="5"/>
      <c r="DT52" s="3"/>
      <c r="EF52" s="7"/>
      <c r="EG52" s="7"/>
      <c r="EJ52" s="4"/>
      <c r="EK52" s="4"/>
      <c r="EU52" s="2"/>
      <c r="EV52" s="2"/>
    </row>
    <row r="53" spans="1:152">
      <c r="A53" s="287">
        <v>3604</v>
      </c>
      <c r="B53" s="288" t="s">
        <v>906</v>
      </c>
      <c r="C53" s="288" t="s">
        <v>278</v>
      </c>
      <c r="D53" s="288" t="s">
        <v>153</v>
      </c>
      <c r="E53" s="288" t="s">
        <v>907</v>
      </c>
      <c r="F53" s="288" t="s">
        <v>35</v>
      </c>
      <c r="G53" s="288" t="s">
        <v>1293</v>
      </c>
      <c r="H53" s="288" t="s">
        <v>1290</v>
      </c>
      <c r="I53" s="288" t="s">
        <v>1670</v>
      </c>
      <c r="J53" s="288" t="s">
        <v>668</v>
      </c>
      <c r="K53" s="289">
        <v>43480</v>
      </c>
      <c r="L53" s="290">
        <v>2.64</v>
      </c>
      <c r="M53" s="290">
        <v>3.3</v>
      </c>
      <c r="N53" s="288">
        <v>4.8499999999999996</v>
      </c>
      <c r="O53" s="288" t="s">
        <v>687</v>
      </c>
      <c r="P53" s="291" t="s">
        <v>695</v>
      </c>
      <c r="Q53" s="291" t="s">
        <v>696</v>
      </c>
      <c r="R53" s="288" t="s">
        <v>24</v>
      </c>
      <c r="S53" s="288"/>
      <c r="T53" s="292" t="s">
        <v>615</v>
      </c>
      <c r="U53" s="288"/>
      <c r="V53" s="292" t="s">
        <v>120</v>
      </c>
      <c r="W53" s="288"/>
      <c r="X53" s="292" t="s">
        <v>120</v>
      </c>
      <c r="Y53" s="288" t="s">
        <v>1671</v>
      </c>
      <c r="Z53" s="293" t="s">
        <v>120</v>
      </c>
      <c r="AA53" s="294"/>
      <c r="AB53" s="294"/>
      <c r="AC53" s="295" t="s">
        <v>123</v>
      </c>
      <c r="AD53" s="288" t="s">
        <v>1672</v>
      </c>
      <c r="AE53" s="292" t="s">
        <v>120</v>
      </c>
      <c r="AF53" s="289"/>
      <c r="AG53" s="296"/>
      <c r="AH53" s="296"/>
      <c r="AI53" s="288"/>
      <c r="AJ53" s="292" t="s">
        <v>120</v>
      </c>
      <c r="AK53" s="288" t="s">
        <v>123</v>
      </c>
      <c r="AL53" s="288" t="s">
        <v>935</v>
      </c>
      <c r="AM53" s="292"/>
      <c r="AN53" s="288"/>
      <c r="AO53" s="288"/>
      <c r="AP53" s="297"/>
      <c r="AQ53" s="288"/>
      <c r="AR53" s="292"/>
      <c r="AS53" s="288"/>
      <c r="AT53" s="289">
        <v>43482.6247246528</v>
      </c>
      <c r="AU53" s="289">
        <v>43481.3734364583</v>
      </c>
      <c r="AV53" s="289">
        <v>43486.422618865698</v>
      </c>
      <c r="AW53" s="289">
        <v>43482.6247246528</v>
      </c>
      <c r="AX53" s="289"/>
      <c r="AY53" s="289">
        <v>43480.621048958303</v>
      </c>
      <c r="AZ53" s="298">
        <v>43486.723549652801</v>
      </c>
      <c r="BA5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6.7235496528010117</v>
      </c>
      <c r="BB53" s="300">
        <f>COUNTIFS(_05preva_view43[Site ID],_05preva_view43[[#This Row],[Site ID]],_05preva_view43[Prevalidation Status],"Under Prevalidation")</f>
        <v>0</v>
      </c>
      <c r="BC5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3" s="302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1.xlsx</v>
      </c>
      <c r="BE53" s="64">
        <f t="shared" ca="1" si="2"/>
        <v>50</v>
      </c>
      <c r="BF53" s="104" t="str">
        <f ca="1">LEFT(CELL("filename",A38),_05preva_view43[[#This Row],[Find Process &amp; Database]]-1)</f>
        <v>D:\OneDrive - apollo-towers.com\Apollo Towers\00-</v>
      </c>
      <c r="BG53" s="104" t="str">
        <f ca="1">_05preva_view43[Folder Path1]&amp;"Process &amp; Database\Documentation\Colo Applications"</f>
        <v>D:\OneDrive - apollo-towers.com\Apollo Towers\00-Process &amp; Database\Documentation\Colo Applications</v>
      </c>
      <c r="BH5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3" s="63" t="str">
        <f ca="1">_05preva_view43[[#This Row],[Folder Path3]]&amp;_05preva_view43[[#This Row],[File Name]]</f>
        <v>D:\OneDrive - apollo-towers.com\Apollo Towers\00-Process &amp; Database\Documentation\Colo Applications\Colo App MPT\1-01-17023-009 (AWD01309) Application Rev 1.xlsx</v>
      </c>
      <c r="BJ53" s="104"/>
      <c r="BK53" s="3"/>
      <c r="BL53" s="3"/>
      <c r="CJ53" s="5"/>
      <c r="CK53" s="5"/>
      <c r="CL53" s="3"/>
      <c r="CN53" s="5"/>
      <c r="CR53" s="3"/>
      <c r="CS53" s="3"/>
      <c r="CT53" s="5"/>
      <c r="CV53" s="3"/>
      <c r="DR53" s="5"/>
      <c r="DT53" s="3"/>
      <c r="EF53" s="7"/>
      <c r="EG53" s="7"/>
      <c r="EJ53" s="4"/>
      <c r="EK53" s="4"/>
      <c r="EU53" s="2"/>
      <c r="EV53" s="2"/>
    </row>
    <row r="54" spans="1:152">
      <c r="A54" s="287">
        <v>3605</v>
      </c>
      <c r="B54" s="288" t="s">
        <v>1107</v>
      </c>
      <c r="C54" s="288" t="s">
        <v>278</v>
      </c>
      <c r="D54" s="288" t="s">
        <v>127</v>
      </c>
      <c r="E54" s="288" t="s">
        <v>1108</v>
      </c>
      <c r="F54" s="288" t="s">
        <v>35</v>
      </c>
      <c r="G54" s="288" t="s">
        <v>1292</v>
      </c>
      <c r="H54" s="288" t="s">
        <v>1285</v>
      </c>
      <c r="I54" s="288" t="s">
        <v>1006</v>
      </c>
      <c r="J54" s="288" t="s">
        <v>727</v>
      </c>
      <c r="K54" s="289">
        <v>43480</v>
      </c>
      <c r="L54" s="290">
        <v>1.399</v>
      </c>
      <c r="M54" s="290">
        <v>2.2610000000000001</v>
      </c>
      <c r="N54" s="288">
        <v>4.2</v>
      </c>
      <c r="O54" s="288" t="s">
        <v>687</v>
      </c>
      <c r="P54" s="291" t="s">
        <v>695</v>
      </c>
      <c r="Q54" s="291" t="s">
        <v>696</v>
      </c>
      <c r="R54" s="288" t="s">
        <v>24</v>
      </c>
      <c r="S54" s="288"/>
      <c r="T54" s="292" t="s">
        <v>615</v>
      </c>
      <c r="U54" s="288"/>
      <c r="V54" s="292" t="s">
        <v>120</v>
      </c>
      <c r="W54" s="288"/>
      <c r="X54" s="292" t="s">
        <v>120</v>
      </c>
      <c r="Y54" s="288" t="s">
        <v>1673</v>
      </c>
      <c r="Z54" s="293" t="s">
        <v>120</v>
      </c>
      <c r="AA54" s="294"/>
      <c r="AB54" s="294"/>
      <c r="AC54" s="295" t="s">
        <v>123</v>
      </c>
      <c r="AD54" s="288" t="s">
        <v>1674</v>
      </c>
      <c r="AE54" s="292" t="s">
        <v>120</v>
      </c>
      <c r="AF54" s="289"/>
      <c r="AG54" s="296"/>
      <c r="AH54" s="296"/>
      <c r="AI54" s="288"/>
      <c r="AJ54" s="292" t="s">
        <v>120</v>
      </c>
      <c r="AK54" s="288" t="s">
        <v>123</v>
      </c>
      <c r="AL54" s="288" t="s">
        <v>935</v>
      </c>
      <c r="AM54" s="292"/>
      <c r="AN54" s="288"/>
      <c r="AO54" s="288"/>
      <c r="AP54" s="297"/>
      <c r="AQ54" s="288"/>
      <c r="AR54" s="292"/>
      <c r="AS54" s="288"/>
      <c r="AT54" s="289">
        <v>43482.624726157403</v>
      </c>
      <c r="AU54" s="289">
        <v>43481.365421759299</v>
      </c>
      <c r="AV54" s="289">
        <v>43483.695897453697</v>
      </c>
      <c r="AW54" s="289">
        <v>43482.624726157403</v>
      </c>
      <c r="AX54" s="289"/>
      <c r="AY54" s="289">
        <v>43480.621049305599</v>
      </c>
      <c r="AZ54" s="298">
        <v>43486.402940856497</v>
      </c>
      <c r="BA5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6.4029408564965706</v>
      </c>
      <c r="BB54" s="300">
        <f>COUNTIFS(_05preva_view43[Site ID],_05preva_view43[[#This Row],[Site ID]],_05preva_view43[Prevalidation Status],"Under Prevalidation")</f>
        <v>0</v>
      </c>
      <c r="BC5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4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3.xlsx</v>
      </c>
      <c r="BE54" s="64">
        <f t="shared" ca="1" si="2"/>
        <v>50</v>
      </c>
      <c r="BF54" s="104" t="str">
        <f ca="1">LEFT(CELL("filename",A39),_05preva_view43[[#This Row],[Find Process &amp; Database]]-1)</f>
        <v>D:\OneDrive - apollo-towers.com\Apollo Towers\00-</v>
      </c>
      <c r="BG54" s="104" t="str">
        <f ca="1">_05preva_view43[Folder Path1]&amp;"Process &amp; Database\Documentation\Colo Applications"</f>
        <v>D:\OneDrive - apollo-towers.com\Apollo Towers\00-Process &amp; Database\Documentation\Colo Applications</v>
      </c>
      <c r="BH5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4" s="63" t="str">
        <f ca="1">_05preva_view43[[#This Row],[Folder Path3]]&amp;_05preva_view43[[#This Row],[File Name]]</f>
        <v>D:\OneDrive - apollo-towers.com\Apollo Towers\00-Process &amp; Database\Documentation\Colo Applications\Colo App MPT\1-01-05005-002 (SGG00219) Application Rev 3.xlsx</v>
      </c>
      <c r="BJ54" s="104"/>
      <c r="BK54" s="3"/>
      <c r="BL54" s="3"/>
      <c r="CJ54" s="5"/>
      <c r="CK54" s="5"/>
      <c r="CL54" s="3"/>
      <c r="CN54" s="5"/>
      <c r="CR54" s="3"/>
      <c r="CS54" s="3"/>
      <c r="CT54" s="5"/>
      <c r="CV54" s="3"/>
      <c r="DR54" s="5"/>
      <c r="DT54" s="3"/>
      <c r="EF54" s="7"/>
      <c r="EG54" s="7"/>
      <c r="EJ54" s="4"/>
      <c r="EK54" s="4"/>
      <c r="EU54" s="2"/>
      <c r="EV54" s="2"/>
    </row>
    <row r="55" spans="1:152">
      <c r="A55" s="287">
        <v>3606</v>
      </c>
      <c r="B55" s="288" t="s">
        <v>1675</v>
      </c>
      <c r="C55" s="288" t="s">
        <v>278</v>
      </c>
      <c r="D55" s="288" t="s">
        <v>127</v>
      </c>
      <c r="E55" s="288" t="s">
        <v>1676</v>
      </c>
      <c r="F55" s="288" t="s">
        <v>35</v>
      </c>
      <c r="G55" s="288" t="s">
        <v>1292</v>
      </c>
      <c r="H55" s="288" t="s">
        <v>1285</v>
      </c>
      <c r="I55" s="288" t="s">
        <v>1006</v>
      </c>
      <c r="J55" s="288" t="s">
        <v>668</v>
      </c>
      <c r="K55" s="289">
        <v>43480</v>
      </c>
      <c r="L55" s="290">
        <v>1.4530000000000001</v>
      </c>
      <c r="M55" s="290">
        <v>2.3210000000000002</v>
      </c>
      <c r="N55" s="288">
        <v>3.95</v>
      </c>
      <c r="O55" s="288" t="s">
        <v>687</v>
      </c>
      <c r="P55" s="291" t="s">
        <v>695</v>
      </c>
      <c r="Q55" s="291" t="s">
        <v>696</v>
      </c>
      <c r="R55" s="288" t="s">
        <v>24</v>
      </c>
      <c r="S55" s="288"/>
      <c r="T55" s="292" t="s">
        <v>615</v>
      </c>
      <c r="U55" s="288"/>
      <c r="V55" s="292" t="s">
        <v>120</v>
      </c>
      <c r="W55" s="288"/>
      <c r="X55" s="292" t="s">
        <v>120</v>
      </c>
      <c r="Y55" s="288" t="s">
        <v>1677</v>
      </c>
      <c r="Z55" s="293" t="s">
        <v>120</v>
      </c>
      <c r="AA55" s="294"/>
      <c r="AB55" s="294"/>
      <c r="AC55" s="295" t="s">
        <v>123</v>
      </c>
      <c r="AD55" s="288" t="s">
        <v>1678</v>
      </c>
      <c r="AE55" s="292" t="s">
        <v>120</v>
      </c>
      <c r="AF55" s="289"/>
      <c r="AG55" s="296"/>
      <c r="AH55" s="296"/>
      <c r="AI55" s="288"/>
      <c r="AJ55" s="292" t="s">
        <v>120</v>
      </c>
      <c r="AK55" s="288" t="s">
        <v>123</v>
      </c>
      <c r="AL55" s="288" t="s">
        <v>935</v>
      </c>
      <c r="AM55" s="292"/>
      <c r="AN55" s="288"/>
      <c r="AO55" s="288"/>
      <c r="AP55" s="297"/>
      <c r="AQ55" s="288"/>
      <c r="AR55" s="292"/>
      <c r="AS55" s="288"/>
      <c r="AT55" s="289">
        <v>43482.624727777802</v>
      </c>
      <c r="AU55" s="289">
        <v>43481.365422222203</v>
      </c>
      <c r="AV55" s="289">
        <v>43483.695898263897</v>
      </c>
      <c r="AW55" s="289">
        <v>43482.624727777802</v>
      </c>
      <c r="AX55" s="289"/>
      <c r="AY55" s="289">
        <v>43480.621050578702</v>
      </c>
      <c r="AZ55" s="298">
        <v>43486.402942013898</v>
      </c>
      <c r="BA5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6.4029420138977002</v>
      </c>
      <c r="BB55" s="300">
        <f>COUNTIFS(_05preva_view43[Site ID],_05preva_view43[[#This Row],[Site ID]],_05preva_view43[Prevalidation Status],"Under Prevalidation")</f>
        <v>0</v>
      </c>
      <c r="BC5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1-01-05007-010 (SGG00223) Application Rev 1.xlsx</v>
      </c>
      <c r="BE55" s="64">
        <f t="shared" ca="1" si="2"/>
        <v>50</v>
      </c>
      <c r="BF55" s="104" t="str">
        <f ca="1">LEFT(CELL("filename",A40),_05preva_view43[[#This Row],[Find Process &amp; Database]]-1)</f>
        <v>D:\OneDrive - apollo-towers.com\Apollo Towers\00-</v>
      </c>
      <c r="BG55" s="104" t="str">
        <f ca="1">_05preva_view43[Folder Path1]&amp;"Process &amp; Database\Documentation\Colo Applications"</f>
        <v>D:\OneDrive - apollo-towers.com\Apollo Towers\00-Process &amp; Database\Documentation\Colo Applications</v>
      </c>
      <c r="BH5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5" s="63" t="str">
        <f ca="1">_05preva_view43[[#This Row],[Folder Path3]]&amp;_05preva_view43[[#This Row],[File Name]]</f>
        <v>D:\OneDrive - apollo-towers.com\Apollo Towers\00-Process &amp; Database\Documentation\Colo Applications\Colo App MPT\1-01-05007-010 (SGG00223) Application Rev 1.xlsx</v>
      </c>
      <c r="BJ55" s="104"/>
      <c r="BK55" s="3"/>
      <c r="BL55" s="3"/>
      <c r="CJ55" s="5"/>
      <c r="CK55" s="5"/>
      <c r="CL55" s="3"/>
      <c r="CN55" s="5"/>
      <c r="CR55" s="3"/>
      <c r="CS55" s="3"/>
      <c r="CT55" s="5"/>
      <c r="CV55" s="3"/>
      <c r="DR55" s="5"/>
      <c r="DT55" s="3"/>
      <c r="EF55" s="7"/>
      <c r="EG55" s="7"/>
      <c r="EJ55" s="4"/>
      <c r="EK55" s="4"/>
      <c r="EU55" s="2"/>
      <c r="EV55" s="2"/>
    </row>
    <row r="56" spans="1:152">
      <c r="A56" s="287">
        <v>3607</v>
      </c>
      <c r="B56" s="288" t="s">
        <v>1679</v>
      </c>
      <c r="C56" s="288" t="s">
        <v>278</v>
      </c>
      <c r="D56" s="288" t="s">
        <v>153</v>
      </c>
      <c r="E56" s="288" t="s">
        <v>1680</v>
      </c>
      <c r="F56" s="288" t="s">
        <v>35</v>
      </c>
      <c r="G56" s="288" t="s">
        <v>880</v>
      </c>
      <c r="H56" s="288" t="s">
        <v>1328</v>
      </c>
      <c r="I56" s="288" t="s">
        <v>814</v>
      </c>
      <c r="J56" s="288" t="s">
        <v>677</v>
      </c>
      <c r="K56" s="289">
        <v>43480</v>
      </c>
      <c r="L56" s="290">
        <v>0.72</v>
      </c>
      <c r="M56" s="290">
        <v>0.9</v>
      </c>
      <c r="N56" s="288">
        <v>2.2509999999999999</v>
      </c>
      <c r="O56" s="288" t="s">
        <v>687</v>
      </c>
      <c r="P56" s="291" t="s">
        <v>705</v>
      </c>
      <c r="Q56" s="291" t="s">
        <v>706</v>
      </c>
      <c r="R56" s="288" t="s">
        <v>24</v>
      </c>
      <c r="S56" s="288"/>
      <c r="T56" s="292" t="s">
        <v>615</v>
      </c>
      <c r="U56" s="288"/>
      <c r="V56" s="292" t="s">
        <v>120</v>
      </c>
      <c r="W56" s="288"/>
      <c r="X56" s="292" t="s">
        <v>120</v>
      </c>
      <c r="Y56" s="288" t="s">
        <v>1681</v>
      </c>
      <c r="Z56" s="293" t="s">
        <v>141</v>
      </c>
      <c r="AA56" s="294"/>
      <c r="AB56" s="294"/>
      <c r="AC56" s="295" t="s">
        <v>123</v>
      </c>
      <c r="AD56" s="288" t="s">
        <v>1682</v>
      </c>
      <c r="AE56" s="292" t="s">
        <v>120</v>
      </c>
      <c r="AF56" s="289"/>
      <c r="AG56" s="296"/>
      <c r="AH56" s="296"/>
      <c r="AI56" s="288"/>
      <c r="AJ56" s="292" t="s">
        <v>120</v>
      </c>
      <c r="AK56" s="288" t="s">
        <v>206</v>
      </c>
      <c r="AL56" s="288" t="s">
        <v>1207</v>
      </c>
      <c r="AM56" s="292"/>
      <c r="AN56" s="288"/>
      <c r="AO56" s="288"/>
      <c r="AP56" s="297"/>
      <c r="AQ56" s="288"/>
      <c r="AR56" s="292" t="s">
        <v>1548</v>
      </c>
      <c r="AS56" s="288" t="s">
        <v>1765</v>
      </c>
      <c r="AT56" s="289">
        <v>43482.624728935203</v>
      </c>
      <c r="AU56" s="289">
        <v>43481.365423842602</v>
      </c>
      <c r="AV56" s="289"/>
      <c r="AW56" s="289">
        <v>43482.624728935203</v>
      </c>
      <c r="AX56" s="289"/>
      <c r="AY56" s="289">
        <v>43480.623007175898</v>
      </c>
      <c r="AZ56" s="298">
        <v>43488.480395601902</v>
      </c>
      <c r="BA5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8.4803956019022735</v>
      </c>
      <c r="BB56" s="300">
        <f>COUNTIFS(_05preva_view43[Site ID],_05preva_view43[[#This Row],[Site ID]],_05preva_view43[Prevalidation Status],"Under Prevalidation")</f>
        <v>0</v>
      </c>
      <c r="BC5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6" s="302" t="str">
        <f>CONCATENATE(_05preva_view43[[#This Row],[Site ID]]," (",_05preva_view43[[#This Row],[tenant id]],") Application",IF(_05preva_view43[[#This Row],[Colo Rev]]&gt;0," Rev "&amp;_05preva_view43[[#This Row],[Colo Rev]],""),".xlsx")</f>
        <v>1-01-11002-003 (MON00623) Application Rev 0.xlsx</v>
      </c>
      <c r="BE56" s="64">
        <f t="shared" ca="1" si="2"/>
        <v>50</v>
      </c>
      <c r="BF56" s="104" t="str">
        <f ca="1">LEFT(CELL("filename",A41),_05preva_view43[[#This Row],[Find Process &amp; Database]]-1)</f>
        <v>D:\OneDrive - apollo-towers.com\Apollo Towers\00-</v>
      </c>
      <c r="BG56" s="104" t="str">
        <f ca="1">_05preva_view43[Folder Path1]&amp;"Process &amp; Database\Documentation\Colo Applications"</f>
        <v>D:\OneDrive - apollo-towers.com\Apollo Towers\00-Process &amp; Database\Documentation\Colo Applications</v>
      </c>
      <c r="BH5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6" s="63" t="str">
        <f ca="1">_05preva_view43[[#This Row],[Folder Path3]]&amp;_05preva_view43[[#This Row],[File Name]]</f>
        <v>D:\OneDrive - apollo-towers.com\Apollo Towers\00-Process &amp; Database\Documentation\Colo Applications\Colo App MPT\1-01-11002-003 (MON00623) Application Rev 0.xlsx</v>
      </c>
      <c r="BJ56" s="104"/>
      <c r="BK56" s="3"/>
      <c r="BL56" s="3"/>
      <c r="CJ56" s="5"/>
      <c r="CK56" s="5"/>
      <c r="CL56" s="3"/>
      <c r="CN56" s="5"/>
      <c r="CR56" s="3"/>
      <c r="CS56" s="3"/>
      <c r="CT56" s="5"/>
      <c r="CV56" s="3"/>
      <c r="DR56" s="5"/>
      <c r="DT56" s="3"/>
      <c r="EF56" s="7"/>
      <c r="EG56" s="7"/>
      <c r="EJ56" s="4"/>
      <c r="EK56" s="4"/>
      <c r="EU56" s="2"/>
      <c r="EV56" s="2"/>
    </row>
    <row r="57" spans="1:152">
      <c r="A57" s="287">
        <v>3597</v>
      </c>
      <c r="B57" s="288" t="s">
        <v>1683</v>
      </c>
      <c r="C57" s="288" t="s">
        <v>278</v>
      </c>
      <c r="D57" s="288" t="s">
        <v>153</v>
      </c>
      <c r="E57" s="288" t="s">
        <v>1684</v>
      </c>
      <c r="F57" s="288" t="s">
        <v>38</v>
      </c>
      <c r="G57" s="288" t="s">
        <v>1295</v>
      </c>
      <c r="H57" s="288" t="s">
        <v>1290</v>
      </c>
      <c r="I57" s="288" t="s">
        <v>1227</v>
      </c>
      <c r="J57" s="288" t="s">
        <v>668</v>
      </c>
      <c r="K57" s="289">
        <v>43479</v>
      </c>
      <c r="L57" s="290"/>
      <c r="M57" s="290"/>
      <c r="N57" s="288"/>
      <c r="O57" s="288" t="s">
        <v>687</v>
      </c>
      <c r="P57" s="291" t="s">
        <v>765</v>
      </c>
      <c r="Q57" s="291" t="s">
        <v>766</v>
      </c>
      <c r="R57" s="288" t="s">
        <v>24</v>
      </c>
      <c r="S57" s="288"/>
      <c r="T57" s="292" t="s">
        <v>615</v>
      </c>
      <c r="U57" s="288"/>
      <c r="V57" s="292" t="s">
        <v>120</v>
      </c>
      <c r="W57" s="288"/>
      <c r="X57" s="292" t="s">
        <v>615</v>
      </c>
      <c r="Y57" s="288" t="s">
        <v>1685</v>
      </c>
      <c r="Z57" s="293" t="s">
        <v>615</v>
      </c>
      <c r="AA57" s="294"/>
      <c r="AB57" s="294"/>
      <c r="AC57" s="295"/>
      <c r="AD57" s="288"/>
      <c r="AE57" s="292" t="s">
        <v>615</v>
      </c>
      <c r="AF57" s="289"/>
      <c r="AG57" s="296"/>
      <c r="AH57" s="296"/>
      <c r="AI57" s="288"/>
      <c r="AJ57" s="292" t="s">
        <v>120</v>
      </c>
      <c r="AK57" s="288" t="s">
        <v>123</v>
      </c>
      <c r="AL57" s="288" t="s">
        <v>1686</v>
      </c>
      <c r="AM57" s="292"/>
      <c r="AN57" s="288"/>
      <c r="AO57" s="288"/>
      <c r="AP57" s="297"/>
      <c r="AQ57" s="288"/>
      <c r="AR57" s="292"/>
      <c r="AS57" s="288"/>
      <c r="AT57" s="289"/>
      <c r="AU57" s="289"/>
      <c r="AV57" s="289"/>
      <c r="AW57" s="289">
        <v>43479.570675347197</v>
      </c>
      <c r="AX57" s="289"/>
      <c r="AY57" s="289">
        <v>43479.4089978009</v>
      </c>
      <c r="AZ57" s="298">
        <v>43479.572372338</v>
      </c>
      <c r="BA5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0.57237233799969545</v>
      </c>
      <c r="BB57" s="300">
        <f>COUNTIFS(_05preva_view43[Site ID],_05preva_view43[[#This Row],[Site ID]],_05preva_view43[Prevalidation Status],"Under Prevalidation")</f>
        <v>0</v>
      </c>
      <c r="BC5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7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1-01-06005-005 (TN0624) Application Rev 1.xlsx</v>
      </c>
      <c r="BE57" s="64">
        <f t="shared" ca="1" si="2"/>
        <v>50</v>
      </c>
      <c r="BF57" s="104" t="str">
        <f ca="1">LEFT(CELL("filename",A42),_05preva_view43[[#This Row],[Find Process &amp; Database]]-1)</f>
        <v>D:\OneDrive - apollo-towers.com\Apollo Towers\00-</v>
      </c>
      <c r="BG57" s="104" t="str">
        <f ca="1">_05preva_view43[Folder Path1]&amp;"Process &amp; Database\Documentation\Colo Applications"</f>
        <v>D:\OneDrive - apollo-towers.com\Apollo Towers\00-Process &amp; Database\Documentation\Colo Applications</v>
      </c>
      <c r="BH57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57" s="63" t="str">
        <f ca="1">_05preva_view43[[#This Row],[Folder Path3]]&amp;_05preva_view43[[#This Row],[File Name]]</f>
        <v>D:\OneDrive - apollo-towers.com\Apollo Towers\00-Process &amp; Database\Documentation\Colo Applications\Colo App Telenor\1-01-06005-005 (TN0624) Application Rev 1.xlsx</v>
      </c>
      <c r="BJ57" s="104"/>
      <c r="BK57" s="3"/>
      <c r="BL57" s="3"/>
      <c r="CJ57" s="5"/>
      <c r="CK57" s="5"/>
      <c r="CL57" s="3"/>
      <c r="CN57" s="5"/>
      <c r="CR57" s="3"/>
      <c r="CS57" s="3"/>
      <c r="CT57" s="5"/>
      <c r="CV57" s="3"/>
      <c r="DR57" s="5"/>
      <c r="DT57" s="3"/>
      <c r="EF57" s="7"/>
      <c r="EG57" s="7"/>
      <c r="EJ57" s="4"/>
      <c r="EK57" s="4"/>
      <c r="EU57" s="2"/>
      <c r="EV57" s="2"/>
    </row>
    <row r="58" spans="1:152">
      <c r="A58" s="287">
        <v>3598</v>
      </c>
      <c r="B58" s="288" t="s">
        <v>1687</v>
      </c>
      <c r="C58" s="288" t="s">
        <v>278</v>
      </c>
      <c r="D58" s="288" t="s">
        <v>127</v>
      </c>
      <c r="E58" s="288" t="s">
        <v>1688</v>
      </c>
      <c r="F58" s="288" t="s">
        <v>35</v>
      </c>
      <c r="G58" s="288" t="s">
        <v>1292</v>
      </c>
      <c r="H58" s="288" t="s">
        <v>1285</v>
      </c>
      <c r="I58" s="288" t="s">
        <v>1689</v>
      </c>
      <c r="J58" s="288" t="s">
        <v>686</v>
      </c>
      <c r="K58" s="289">
        <v>43479</v>
      </c>
      <c r="L58" s="290">
        <v>2.1970000000000001</v>
      </c>
      <c r="M58" s="290">
        <v>3.7970000000000002</v>
      </c>
      <c r="N58" s="288">
        <v>5.6920000000000002</v>
      </c>
      <c r="O58" s="288" t="s">
        <v>687</v>
      </c>
      <c r="P58" s="291" t="s">
        <v>1690</v>
      </c>
      <c r="Q58" s="291" t="s">
        <v>1691</v>
      </c>
      <c r="R58" s="288" t="s">
        <v>24</v>
      </c>
      <c r="S58" s="288"/>
      <c r="T58" s="292" t="s">
        <v>615</v>
      </c>
      <c r="U58" s="288"/>
      <c r="V58" s="292" t="s">
        <v>120</v>
      </c>
      <c r="W58" s="288"/>
      <c r="X58" s="292" t="s">
        <v>120</v>
      </c>
      <c r="Y58" s="288" t="s">
        <v>1692</v>
      </c>
      <c r="Z58" s="293" t="s">
        <v>120</v>
      </c>
      <c r="AA58" s="294"/>
      <c r="AB58" s="294"/>
      <c r="AC58" s="295" t="s">
        <v>123</v>
      </c>
      <c r="AD58" s="288" t="s">
        <v>1693</v>
      </c>
      <c r="AE58" s="292" t="s">
        <v>120</v>
      </c>
      <c r="AF58" s="289"/>
      <c r="AG58" s="296"/>
      <c r="AH58" s="296"/>
      <c r="AI58" s="288"/>
      <c r="AJ58" s="292" t="s">
        <v>120</v>
      </c>
      <c r="AK58" s="288" t="s">
        <v>123</v>
      </c>
      <c r="AL58" s="288" t="s">
        <v>935</v>
      </c>
      <c r="AM58" s="292"/>
      <c r="AN58" s="288"/>
      <c r="AO58" s="288"/>
      <c r="AP58" s="297"/>
      <c r="AQ58" s="288"/>
      <c r="AR58" s="292"/>
      <c r="AS58" s="288"/>
      <c r="AT58" s="289">
        <v>43479.694298032402</v>
      </c>
      <c r="AU58" s="289">
        <v>43481.373427777798</v>
      </c>
      <c r="AV58" s="289">
        <v>43480.663217476897</v>
      </c>
      <c r="AW58" s="289">
        <v>43479.694298032402</v>
      </c>
      <c r="AX58" s="289"/>
      <c r="AY58" s="289">
        <v>43479.624757060199</v>
      </c>
      <c r="AZ58" s="298">
        <v>43486.402930555603</v>
      </c>
      <c r="BA5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7.4029305556032341</v>
      </c>
      <c r="BB58" s="300">
        <f>COUNTIFS(_05preva_view43[Site ID],_05preva_view43[[#This Row],[Site ID]],_05preva_view43[Prevalidation Status],"Under Prevalidation")</f>
        <v>0</v>
      </c>
      <c r="BC5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8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1-01-14007-015 (KCN00508) Application Rev 2.xlsx</v>
      </c>
      <c r="BE58" s="64">
        <f t="shared" ca="1" si="2"/>
        <v>50</v>
      </c>
      <c r="BF58" s="104" t="str">
        <f ca="1">LEFT(CELL("filename",A43),_05preva_view43[[#This Row],[Find Process &amp; Database]]-1)</f>
        <v>D:\OneDrive - apollo-towers.com\Apollo Towers\00-</v>
      </c>
      <c r="BG58" s="104" t="str">
        <f ca="1">_05preva_view43[Folder Path1]&amp;"Process &amp; Database\Documentation\Colo Applications"</f>
        <v>D:\OneDrive - apollo-towers.com\Apollo Towers\00-Process &amp; Database\Documentation\Colo Applications</v>
      </c>
      <c r="BH5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8" s="63" t="str">
        <f ca="1">_05preva_view43[[#This Row],[Folder Path3]]&amp;_05preva_view43[[#This Row],[File Name]]</f>
        <v>D:\OneDrive - apollo-towers.com\Apollo Towers\00-Process &amp; Database\Documentation\Colo Applications\Colo App MPT\1-01-14007-015 (KCN00508) Application Rev 2.xlsx</v>
      </c>
      <c r="BJ58" s="104"/>
      <c r="BK58" s="3"/>
      <c r="BL58" s="3"/>
      <c r="CJ58" s="5"/>
      <c r="CK58" s="5"/>
      <c r="CL58" s="3"/>
      <c r="CN58" s="5"/>
      <c r="CR58" s="3"/>
      <c r="CS58" s="3"/>
      <c r="CT58" s="5"/>
      <c r="CV58" s="3"/>
      <c r="DR58" s="5"/>
      <c r="DT58" s="3"/>
      <c r="EF58" s="7"/>
      <c r="EG58" s="7"/>
      <c r="EJ58" s="4"/>
      <c r="EK58" s="4"/>
      <c r="EU58" s="2"/>
      <c r="EV58" s="2"/>
    </row>
    <row r="59" spans="1:152">
      <c r="A59" s="287">
        <v>3588</v>
      </c>
      <c r="B59" s="288" t="s">
        <v>1575</v>
      </c>
      <c r="C59" s="288" t="s">
        <v>278</v>
      </c>
      <c r="D59" s="288" t="s">
        <v>117</v>
      </c>
      <c r="E59" s="288" t="s">
        <v>1576</v>
      </c>
      <c r="F59" s="288" t="s">
        <v>35</v>
      </c>
      <c r="G59" s="288" t="s">
        <v>880</v>
      </c>
      <c r="H59" s="288" t="s">
        <v>1328</v>
      </c>
      <c r="I59" s="288" t="s">
        <v>814</v>
      </c>
      <c r="J59" s="288" t="s">
        <v>677</v>
      </c>
      <c r="K59" s="289">
        <v>43476</v>
      </c>
      <c r="L59" s="290">
        <v>0.72</v>
      </c>
      <c r="M59" s="290">
        <v>0.9</v>
      </c>
      <c r="N59" s="288"/>
      <c r="O59" s="288" t="s">
        <v>687</v>
      </c>
      <c r="P59" s="291" t="s">
        <v>765</v>
      </c>
      <c r="Q59" s="291" t="s">
        <v>766</v>
      </c>
      <c r="R59" s="288" t="s">
        <v>24</v>
      </c>
      <c r="S59" s="288"/>
      <c r="T59" s="292" t="s">
        <v>120</v>
      </c>
      <c r="U59" s="288"/>
      <c r="V59" s="292" t="s">
        <v>120</v>
      </c>
      <c r="W59" s="288"/>
      <c r="X59" s="292" t="s">
        <v>120</v>
      </c>
      <c r="Y59" s="288" t="s">
        <v>1694</v>
      </c>
      <c r="Z59" s="293" t="s">
        <v>120</v>
      </c>
      <c r="AA59" s="294"/>
      <c r="AB59" s="294"/>
      <c r="AC59" s="295" t="s">
        <v>123</v>
      </c>
      <c r="AD59" s="288" t="s">
        <v>1695</v>
      </c>
      <c r="AE59" s="292" t="s">
        <v>120</v>
      </c>
      <c r="AF59" s="289"/>
      <c r="AG59" s="296"/>
      <c r="AH59" s="296"/>
      <c r="AI59" s="288"/>
      <c r="AJ59" s="292" t="s">
        <v>120</v>
      </c>
      <c r="AK59" s="288" t="s">
        <v>206</v>
      </c>
      <c r="AL59" s="288" t="s">
        <v>1207</v>
      </c>
      <c r="AM59" s="292"/>
      <c r="AN59" s="288"/>
      <c r="AO59" s="288"/>
      <c r="AP59" s="297"/>
      <c r="AQ59" s="288"/>
      <c r="AR59" s="292"/>
      <c r="AS59" s="288"/>
      <c r="AT59" s="289">
        <v>43479.567123379602</v>
      </c>
      <c r="AU59" s="289">
        <v>43481.373414120397</v>
      </c>
      <c r="AV59" s="289">
        <v>43480.481593750003</v>
      </c>
      <c r="AW59" s="289">
        <v>43479.567123379602</v>
      </c>
      <c r="AX59" s="289">
        <v>43480.7322405093</v>
      </c>
      <c r="AY59" s="289">
        <v>43479.408520370402</v>
      </c>
      <c r="AZ59" s="298">
        <v>43481.412556597199</v>
      </c>
      <c r="BA5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5.412556597199</v>
      </c>
      <c r="BB59" s="300">
        <f>COUNTIFS(_05preva_view43[Site ID],_05preva_view43[[#This Row],[Site ID]],_05preva_view43[Prevalidation Status],"Under Prevalidation")</f>
        <v>0</v>
      </c>
      <c r="BC5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59" s="302" t="str">
        <f>CONCATENATE(_05preva_view43[[#This Row],[Site ID]]," (",_05preva_view43[[#This Row],[tenant id]],") Application",IF(_05preva_view43[[#This Row],[Colo Rev]]&gt;0," Rev "&amp;_05preva_view43[[#This Row],[Colo Rev]],""),".xlsx")</f>
        <v>1-01-08008-001 (BGW00539) Application Rev 0.xlsx</v>
      </c>
      <c r="BE59" s="64">
        <f t="shared" ca="1" si="2"/>
        <v>50</v>
      </c>
      <c r="BF59" s="104" t="str">
        <f ca="1">LEFT(CELL("filename",A44),_05preva_view43[[#This Row],[Find Process &amp; Database]]-1)</f>
        <v>D:\OneDrive - apollo-towers.com\Apollo Towers\00-</v>
      </c>
      <c r="BG59" s="104" t="str">
        <f ca="1">_05preva_view43[Folder Path1]&amp;"Process &amp; Database\Documentation\Colo Applications"</f>
        <v>D:\OneDrive - apollo-towers.com\Apollo Towers\00-Process &amp; Database\Documentation\Colo Applications</v>
      </c>
      <c r="BH5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59" s="63" t="str">
        <f ca="1">_05preva_view43[[#This Row],[Folder Path3]]&amp;_05preva_view43[[#This Row],[File Name]]</f>
        <v>D:\OneDrive - apollo-towers.com\Apollo Towers\00-Process &amp; Database\Documentation\Colo Applications\Colo App MPT\1-01-08008-001 (BGW00539) Application Rev 0.xlsx</v>
      </c>
      <c r="BJ59" s="104"/>
      <c r="BK59" s="3"/>
      <c r="BL59" s="3"/>
      <c r="CJ59" s="5"/>
      <c r="CK59" s="5"/>
      <c r="CL59" s="3"/>
      <c r="CN59" s="5"/>
      <c r="CR59" s="3"/>
      <c r="CS59" s="3"/>
      <c r="CT59" s="5"/>
      <c r="CV59" s="3"/>
      <c r="DR59" s="5"/>
      <c r="DT59" s="3"/>
      <c r="EF59" s="7"/>
      <c r="EG59" s="7"/>
      <c r="EJ59" s="4"/>
      <c r="EK59" s="4"/>
      <c r="EU59" s="2"/>
      <c r="EV59" s="2"/>
    </row>
    <row r="60" spans="1:152">
      <c r="A60" s="287">
        <v>3589</v>
      </c>
      <c r="B60" s="288" t="s">
        <v>1230</v>
      </c>
      <c r="C60" s="288" t="s">
        <v>278</v>
      </c>
      <c r="D60" s="288" t="s">
        <v>127</v>
      </c>
      <c r="E60" s="288" t="s">
        <v>1231</v>
      </c>
      <c r="F60" s="288" t="s">
        <v>35</v>
      </c>
      <c r="G60" s="288" t="s">
        <v>1292</v>
      </c>
      <c r="H60" s="288" t="s">
        <v>1290</v>
      </c>
      <c r="I60" s="288" t="s">
        <v>814</v>
      </c>
      <c r="J60" s="288" t="s">
        <v>668</v>
      </c>
      <c r="K60" s="289">
        <v>43476</v>
      </c>
      <c r="L60" s="290">
        <v>1.621</v>
      </c>
      <c r="M60" s="290">
        <v>3.6989999999999998</v>
      </c>
      <c r="N60" s="288"/>
      <c r="O60" s="288" t="s">
        <v>687</v>
      </c>
      <c r="P60" s="291" t="s">
        <v>279</v>
      </c>
      <c r="Q60" s="291" t="s">
        <v>526</v>
      </c>
      <c r="R60" s="288" t="s">
        <v>24</v>
      </c>
      <c r="S60" s="288"/>
      <c r="T60" s="292" t="s">
        <v>120</v>
      </c>
      <c r="U60" s="288" t="s">
        <v>1696</v>
      </c>
      <c r="V60" s="292" t="s">
        <v>120</v>
      </c>
      <c r="W60" s="288"/>
      <c r="X60" s="292" t="s">
        <v>120</v>
      </c>
      <c r="Y60" s="288" t="s">
        <v>1697</v>
      </c>
      <c r="Z60" s="293" t="s">
        <v>120</v>
      </c>
      <c r="AA60" s="294"/>
      <c r="AB60" s="294"/>
      <c r="AC60" s="295" t="s">
        <v>123</v>
      </c>
      <c r="AD60" s="288" t="s">
        <v>1698</v>
      </c>
      <c r="AE60" s="292" t="s">
        <v>120</v>
      </c>
      <c r="AF60" s="289"/>
      <c r="AG60" s="296"/>
      <c r="AH60" s="296"/>
      <c r="AI60" s="288"/>
      <c r="AJ60" s="292" t="s">
        <v>120</v>
      </c>
      <c r="AK60" s="288" t="s">
        <v>123</v>
      </c>
      <c r="AL60" s="288" t="s">
        <v>935</v>
      </c>
      <c r="AM60" s="292"/>
      <c r="AN60" s="288"/>
      <c r="AO60" s="288"/>
      <c r="AP60" s="297"/>
      <c r="AQ60" s="288"/>
      <c r="AR60" s="292"/>
      <c r="AS60" s="288"/>
      <c r="AT60" s="289">
        <v>43479.567131481497</v>
      </c>
      <c r="AU60" s="289">
        <v>43481.373415046299</v>
      </c>
      <c r="AV60" s="289">
        <v>43480.481594560202</v>
      </c>
      <c r="AW60" s="289">
        <v>43479.567131481497</v>
      </c>
      <c r="AX60" s="289">
        <v>43480.732241088001</v>
      </c>
      <c r="AY60" s="289">
        <v>43479.408520949102</v>
      </c>
      <c r="AZ60" s="298">
        <v>43481.412557060197</v>
      </c>
      <c r="BA6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5.4125570601972868</v>
      </c>
      <c r="BB60" s="300">
        <f>COUNTIFS(_05preva_view43[Site ID],_05preva_view43[[#This Row],[Site ID]],_05preva_view43[Prevalidation Status],"Under Prevalidation")</f>
        <v>0</v>
      </c>
      <c r="BC6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0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1.xlsx</v>
      </c>
      <c r="BE60" s="64">
        <f t="shared" ca="1" si="2"/>
        <v>50</v>
      </c>
      <c r="BF60" s="104" t="str">
        <f ca="1">LEFT(CELL("filename",A45),_05preva_view43[[#This Row],[Find Process &amp; Database]]-1)</f>
        <v>D:\OneDrive - apollo-towers.com\Apollo Towers\00-</v>
      </c>
      <c r="BG60" s="104" t="str">
        <f ca="1">_05preva_view43[Folder Path1]&amp;"Process &amp; Database\Documentation\Colo Applications"</f>
        <v>D:\OneDrive - apollo-towers.com\Apollo Towers\00-Process &amp; Database\Documentation\Colo Applications</v>
      </c>
      <c r="BH6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0" s="63" t="str">
        <f ca="1">_05preva_view43[[#This Row],[Folder Path3]]&amp;_05preva_view43[[#This Row],[File Name]]</f>
        <v>D:\OneDrive - apollo-towers.com\Apollo Towers\00-Process &amp; Database\Documentation\Colo Applications\Colo App MPT\1-01-01010-013 (KCN00442) Application Rev 1.xlsx</v>
      </c>
      <c r="BJ60" s="104"/>
      <c r="BK60" s="3"/>
      <c r="BL60" s="3"/>
      <c r="CJ60" s="5"/>
      <c r="CK60" s="5"/>
      <c r="CL60" s="3"/>
      <c r="CN60" s="5"/>
      <c r="CR60" s="3"/>
      <c r="CS60" s="3"/>
      <c r="CT60" s="5"/>
      <c r="CV60" s="3"/>
      <c r="DR60" s="5"/>
      <c r="DT60" s="3"/>
      <c r="EF60" s="7"/>
      <c r="EG60" s="7"/>
      <c r="EJ60" s="4"/>
      <c r="EK60" s="4"/>
      <c r="EU60" s="2"/>
      <c r="EV60" s="2"/>
    </row>
    <row r="61" spans="1:152">
      <c r="A61" s="287">
        <v>3590</v>
      </c>
      <c r="B61" s="288" t="s">
        <v>1584</v>
      </c>
      <c r="C61" s="288" t="s">
        <v>278</v>
      </c>
      <c r="D61" s="288" t="s">
        <v>117</v>
      </c>
      <c r="E61" s="288" t="s">
        <v>1585</v>
      </c>
      <c r="F61" s="288" t="s">
        <v>35</v>
      </c>
      <c r="G61" s="288" t="s">
        <v>1292</v>
      </c>
      <c r="H61" s="288" t="s">
        <v>1285</v>
      </c>
      <c r="I61" s="288" t="s">
        <v>790</v>
      </c>
      <c r="J61" s="288" t="s">
        <v>694</v>
      </c>
      <c r="K61" s="289">
        <v>43476</v>
      </c>
      <c r="L61" s="290">
        <v>1.9890000000000001</v>
      </c>
      <c r="M61" s="290">
        <v>3.5489999999999999</v>
      </c>
      <c r="N61" s="288"/>
      <c r="O61" s="288" t="s">
        <v>687</v>
      </c>
      <c r="P61" s="291" t="s">
        <v>695</v>
      </c>
      <c r="Q61" s="291" t="s">
        <v>696</v>
      </c>
      <c r="R61" s="288" t="s">
        <v>24</v>
      </c>
      <c r="S61" s="288"/>
      <c r="T61" s="292" t="s">
        <v>120</v>
      </c>
      <c r="U61" s="288"/>
      <c r="V61" s="292" t="s">
        <v>120</v>
      </c>
      <c r="W61" s="288"/>
      <c r="X61" s="292" t="s">
        <v>120</v>
      </c>
      <c r="Y61" s="288" t="s">
        <v>1699</v>
      </c>
      <c r="Z61" s="293" t="s">
        <v>120</v>
      </c>
      <c r="AA61" s="294"/>
      <c r="AB61" s="294"/>
      <c r="AC61" s="295" t="s">
        <v>123</v>
      </c>
      <c r="AD61" s="288" t="s">
        <v>1700</v>
      </c>
      <c r="AE61" s="292" t="s">
        <v>120</v>
      </c>
      <c r="AF61" s="289"/>
      <c r="AG61" s="296"/>
      <c r="AH61" s="296"/>
      <c r="AI61" s="288" t="s">
        <v>1701</v>
      </c>
      <c r="AJ61" s="292" t="s">
        <v>120</v>
      </c>
      <c r="AK61" s="288" t="s">
        <v>123</v>
      </c>
      <c r="AL61" s="288" t="s">
        <v>935</v>
      </c>
      <c r="AM61" s="292"/>
      <c r="AN61" s="288"/>
      <c r="AO61" s="288"/>
      <c r="AP61" s="297"/>
      <c r="AQ61" s="288"/>
      <c r="AR61" s="292"/>
      <c r="AS61" s="288"/>
      <c r="AT61" s="289">
        <v>43479.567132407399</v>
      </c>
      <c r="AU61" s="289">
        <v>43481.373417939802</v>
      </c>
      <c r="AV61" s="289">
        <v>43480.441032291703</v>
      </c>
      <c r="AW61" s="289">
        <v>43479.567132407399</v>
      </c>
      <c r="AX61" s="289">
        <v>43480.732241666701</v>
      </c>
      <c r="AY61" s="289">
        <v>43479.408521990699</v>
      </c>
      <c r="AZ61" s="298">
        <v>43481.412558217598</v>
      </c>
      <c r="BA6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5.4125582175984164</v>
      </c>
      <c r="BB61" s="300">
        <f>COUNTIFS(_05preva_view43[Site ID],_05preva_view43[[#This Row],[Site ID]],_05preva_view43[Prevalidation Status],"Under Prevalidation")</f>
        <v>0</v>
      </c>
      <c r="BC6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1" s="302" t="str">
        <f>CONCATENATE(_05preva_view43[[#This Row],[Site ID]]," (",_05preva_view43[[#This Row],[tenant id]],") Application",IF(_05preva_view43[[#This Row],[Colo Rev]]&gt;0," Rev "&amp;_05preva_view43[[#This Row],[Colo Rev]],""),".xlsx")</f>
        <v>1-01-09018-009 (MGW00506) Application Rev 4.xlsx</v>
      </c>
      <c r="BE61" s="64">
        <f t="shared" ca="1" si="2"/>
        <v>50</v>
      </c>
      <c r="BF61" s="104" t="str">
        <f ca="1">LEFT(CELL("filename",A46),_05preva_view43[[#This Row],[Find Process &amp; Database]]-1)</f>
        <v>D:\OneDrive - apollo-towers.com\Apollo Towers\00-</v>
      </c>
      <c r="BG61" s="104" t="str">
        <f ca="1">_05preva_view43[Folder Path1]&amp;"Process &amp; Database\Documentation\Colo Applications"</f>
        <v>D:\OneDrive - apollo-towers.com\Apollo Towers\00-Process &amp; Database\Documentation\Colo Applications</v>
      </c>
      <c r="BH6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1" s="63" t="str">
        <f ca="1">_05preva_view43[[#This Row],[Folder Path3]]&amp;_05preva_view43[[#This Row],[File Name]]</f>
        <v>D:\OneDrive - apollo-towers.com\Apollo Towers\00-Process &amp; Database\Documentation\Colo Applications\Colo App MPT\1-01-09018-009 (MGW00506) Application Rev 4.xlsx</v>
      </c>
      <c r="BJ61" s="104"/>
      <c r="BK61" s="3"/>
      <c r="BL61" s="3"/>
      <c r="CJ61" s="5"/>
      <c r="CK61" s="5"/>
      <c r="CL61" s="3"/>
      <c r="CN61" s="5"/>
      <c r="CR61" s="3"/>
      <c r="CS61" s="3"/>
      <c r="CT61" s="5"/>
      <c r="CV61" s="3"/>
      <c r="DR61" s="5"/>
      <c r="DT61" s="3"/>
      <c r="EF61" s="7"/>
      <c r="EG61" s="7"/>
      <c r="EJ61" s="4"/>
      <c r="EK61" s="4"/>
      <c r="EU61" s="2"/>
      <c r="EV61" s="2"/>
    </row>
    <row r="62" spans="1:152">
      <c r="A62" s="287">
        <v>3591</v>
      </c>
      <c r="B62" s="288" t="s">
        <v>1702</v>
      </c>
      <c r="C62" s="288" t="s">
        <v>278</v>
      </c>
      <c r="D62" s="288" t="s">
        <v>127</v>
      </c>
      <c r="E62" s="288" t="s">
        <v>1703</v>
      </c>
      <c r="F62" s="288" t="s">
        <v>35</v>
      </c>
      <c r="G62" s="288" t="s">
        <v>1292</v>
      </c>
      <c r="H62" s="288" t="s">
        <v>1285</v>
      </c>
      <c r="I62" s="288" t="s">
        <v>1006</v>
      </c>
      <c r="J62" s="288" t="s">
        <v>686</v>
      </c>
      <c r="K62" s="289">
        <v>43476</v>
      </c>
      <c r="L62" s="290">
        <v>1.399</v>
      </c>
      <c r="M62" s="290">
        <v>2.2989999999999999</v>
      </c>
      <c r="N62" s="288"/>
      <c r="O62" s="288" t="s">
        <v>687</v>
      </c>
      <c r="P62" s="291" t="s">
        <v>695</v>
      </c>
      <c r="Q62" s="291" t="s">
        <v>696</v>
      </c>
      <c r="R62" s="288" t="s">
        <v>24</v>
      </c>
      <c r="S62" s="288"/>
      <c r="T62" s="292" t="s">
        <v>120</v>
      </c>
      <c r="U62" s="288"/>
      <c r="V62" s="292" t="s">
        <v>120</v>
      </c>
      <c r="W62" s="288"/>
      <c r="X62" s="292" t="s">
        <v>120</v>
      </c>
      <c r="Y62" s="288" t="s">
        <v>1704</v>
      </c>
      <c r="Z62" s="293" t="s">
        <v>120</v>
      </c>
      <c r="AA62" s="294"/>
      <c r="AB62" s="294"/>
      <c r="AC62" s="295" t="s">
        <v>123</v>
      </c>
      <c r="AD62" s="288" t="s">
        <v>1705</v>
      </c>
      <c r="AE62" s="292" t="s">
        <v>120</v>
      </c>
      <c r="AF62" s="289"/>
      <c r="AG62" s="296"/>
      <c r="AH62" s="296"/>
      <c r="AI62" s="288" t="s">
        <v>1706</v>
      </c>
      <c r="AJ62" s="292" t="s">
        <v>120</v>
      </c>
      <c r="AK62" s="288" t="s">
        <v>123</v>
      </c>
      <c r="AL62" s="288" t="s">
        <v>935</v>
      </c>
      <c r="AM62" s="292"/>
      <c r="AN62" s="288"/>
      <c r="AO62" s="288"/>
      <c r="AP62" s="297"/>
      <c r="AQ62" s="288"/>
      <c r="AR62" s="292"/>
      <c r="AS62" s="288"/>
      <c r="AT62" s="289">
        <v>43479.567141203697</v>
      </c>
      <c r="AU62" s="289">
        <v>43481.373419213</v>
      </c>
      <c r="AV62" s="289">
        <v>43480.481596643498</v>
      </c>
      <c r="AW62" s="289">
        <v>43479.567141203697</v>
      </c>
      <c r="AX62" s="289">
        <v>43480.732245023202</v>
      </c>
      <c r="AY62" s="289">
        <v>43479.4085225694</v>
      </c>
      <c r="AZ62" s="298">
        <v>43481.412558912001</v>
      </c>
      <c r="BA6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5.4125589120012592</v>
      </c>
      <c r="BB62" s="300">
        <f>COUNTIFS(_05preva_view43[Site ID],_05preva_view43[[#This Row],[Site ID]],_05preva_view43[Prevalidation Status],"Under Prevalidation")</f>
        <v>0</v>
      </c>
      <c r="BC6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2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1-01-05004-001 (SGG00208) Application Rev 2.xlsx</v>
      </c>
      <c r="BE62" s="64">
        <f t="shared" ca="1" si="2"/>
        <v>50</v>
      </c>
      <c r="BF62" s="104" t="str">
        <f ca="1">LEFT(CELL("filename",A47),_05preva_view43[[#This Row],[Find Process &amp; Database]]-1)</f>
        <v>D:\OneDrive - apollo-towers.com\Apollo Towers\00-</v>
      </c>
      <c r="BG62" s="104" t="str">
        <f ca="1">_05preva_view43[Folder Path1]&amp;"Process &amp; Database\Documentation\Colo Applications"</f>
        <v>D:\OneDrive - apollo-towers.com\Apollo Towers\00-Process &amp; Database\Documentation\Colo Applications</v>
      </c>
      <c r="BH6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2" s="63" t="str">
        <f ca="1">_05preva_view43[[#This Row],[Folder Path3]]&amp;_05preva_view43[[#This Row],[File Name]]</f>
        <v>D:\OneDrive - apollo-towers.com\Apollo Towers\00-Process &amp; Database\Documentation\Colo Applications\Colo App MPT\1-01-05004-001 (SGG00208) Application Rev 2.xlsx</v>
      </c>
      <c r="BJ62" s="104"/>
      <c r="BK62" s="3"/>
      <c r="BL62" s="3"/>
      <c r="CJ62" s="5"/>
      <c r="CK62" s="5"/>
      <c r="CL62" s="3"/>
      <c r="CN62" s="5"/>
      <c r="CR62" s="3"/>
      <c r="CS62" s="3"/>
      <c r="CT62" s="5"/>
      <c r="CV62" s="3"/>
      <c r="DR62" s="5"/>
      <c r="DT62" s="3"/>
      <c r="EF62" s="7"/>
      <c r="EG62" s="7"/>
      <c r="EJ62" s="4"/>
      <c r="EK62" s="4"/>
      <c r="EU62" s="2"/>
      <c r="EV62" s="2"/>
    </row>
    <row r="63" spans="1:152">
      <c r="A63" s="287">
        <v>3573</v>
      </c>
      <c r="B63" s="288" t="s">
        <v>283</v>
      </c>
      <c r="C63" s="288" t="s">
        <v>116</v>
      </c>
      <c r="D63" s="288" t="s">
        <v>127</v>
      </c>
      <c r="E63" s="288" t="s">
        <v>1502</v>
      </c>
      <c r="F63" s="288" t="s">
        <v>41</v>
      </c>
      <c r="G63" s="288" t="s">
        <v>1129</v>
      </c>
      <c r="H63" s="288" t="s">
        <v>1037</v>
      </c>
      <c r="I63" s="288" t="s">
        <v>880</v>
      </c>
      <c r="J63" s="288" t="s">
        <v>828</v>
      </c>
      <c r="K63" s="289">
        <v>43475</v>
      </c>
      <c r="L63" s="290">
        <v>2</v>
      </c>
      <c r="M63" s="290"/>
      <c r="N63" s="288">
        <v>5</v>
      </c>
      <c r="O63" s="288" t="s">
        <v>119</v>
      </c>
      <c r="P63" s="291" t="s">
        <v>246</v>
      </c>
      <c r="Q63" s="291" t="s">
        <v>247</v>
      </c>
      <c r="R63" s="288" t="s">
        <v>24</v>
      </c>
      <c r="S63" s="288"/>
      <c r="T63" s="292" t="s">
        <v>120</v>
      </c>
      <c r="U63" s="288" t="s">
        <v>1550</v>
      </c>
      <c r="V63" s="292" t="s">
        <v>120</v>
      </c>
      <c r="W63" s="288"/>
      <c r="X63" s="292" t="s">
        <v>120</v>
      </c>
      <c r="Y63" s="288" t="s">
        <v>1577</v>
      </c>
      <c r="Z63" s="293" t="s">
        <v>120</v>
      </c>
      <c r="AA63" s="294"/>
      <c r="AB63" s="294"/>
      <c r="AC63" s="295"/>
      <c r="AD63" s="288" t="s">
        <v>1707</v>
      </c>
      <c r="AE63" s="292" t="s">
        <v>120</v>
      </c>
      <c r="AF63" s="289" t="s">
        <v>904</v>
      </c>
      <c r="AG63" s="296"/>
      <c r="AH63" s="296"/>
      <c r="AI63" s="288" t="s">
        <v>1134</v>
      </c>
      <c r="AJ63" s="292" t="s">
        <v>120</v>
      </c>
      <c r="AK63" s="288" t="s">
        <v>123</v>
      </c>
      <c r="AL63" s="288" t="s">
        <v>1135</v>
      </c>
      <c r="AM63" s="292"/>
      <c r="AN63" s="288"/>
      <c r="AO63" s="288"/>
      <c r="AP63" s="297"/>
      <c r="AQ63" s="288"/>
      <c r="AR63" s="292"/>
      <c r="AS63" s="288"/>
      <c r="AT63" s="289">
        <v>43476.450465509297</v>
      </c>
      <c r="AU63" s="289">
        <v>43479.6432277778</v>
      </c>
      <c r="AV63" s="289">
        <v>43479.390733911998</v>
      </c>
      <c r="AW63" s="289">
        <v>43476.450465509297</v>
      </c>
      <c r="AX63" s="289">
        <v>43475.646661226798</v>
      </c>
      <c r="AY63" s="289">
        <v>43475.965515972202</v>
      </c>
      <c r="AZ63" s="298">
        <v>43479.6894686343</v>
      </c>
      <c r="BA6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4.6894686343002832</v>
      </c>
      <c r="BB63" s="300">
        <f>COUNTIFS(_05preva_view43[Site ID],_05preva_view43[[#This Row],[Site ID]],_05preva_view43[Prevalidation Status],"Under Prevalidation")</f>
        <v>0</v>
      </c>
      <c r="BC6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3" s="302" t="str">
        <f>CONCATENATE(_05preva_view43[[#This Row],[Site ID]]," (",_05preva_view43[[#This Row],[tenant id]],") Application",IF(_05preva_view43[[#This Row],[Colo Rev]]&gt;0," Rev "&amp;_05preva_view43[[#This Row],[Colo Rev]],""),".xlsx")</f>
        <v>ANMD_0166 (MDYAMPR003) Application Rev .xlsx</v>
      </c>
      <c r="BE63" s="64">
        <f t="shared" ca="1" si="2"/>
        <v>50</v>
      </c>
      <c r="BF63" s="104" t="str">
        <f ca="1">LEFT(CELL("filename",A48),_05preva_view43[[#This Row],[Find Process &amp; Database]]-1)</f>
        <v>D:\OneDrive - apollo-towers.com\Apollo Towers\00-</v>
      </c>
      <c r="BG63" s="104" t="str">
        <f ca="1">_05preva_view43[Folder Path1]&amp;"Process &amp; Database\Documentation\Colo Applications"</f>
        <v>D:\OneDrive - apollo-towers.com\Apollo Towers\00-Process &amp; Database\Documentation\Colo Applications</v>
      </c>
      <c r="BH6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63" s="63" t="str">
        <f ca="1">_05preva_view43[[#This Row],[Folder Path3]]&amp;_05preva_view43[[#This Row],[File Name]]</f>
        <v>D:\OneDrive - apollo-towers.com\Apollo Towers\00-Process &amp; Database\Documentation\Colo Applications\Colo App Amara\ANMD_0166 (MDYAMPR003) Application Rev .xlsx</v>
      </c>
      <c r="BJ63" s="104"/>
      <c r="BK63" s="3"/>
      <c r="BL63" s="3"/>
      <c r="CJ63" s="5"/>
      <c r="CK63" s="5"/>
      <c r="CL63" s="3"/>
      <c r="CN63" s="5"/>
      <c r="CR63" s="3"/>
      <c r="CS63" s="3"/>
      <c r="CT63" s="5"/>
      <c r="CV63" s="3"/>
      <c r="DR63" s="5"/>
      <c r="DT63" s="3"/>
      <c r="EF63" s="7"/>
      <c r="EG63" s="7"/>
      <c r="EJ63" s="4"/>
      <c r="EK63" s="4"/>
      <c r="EU63" s="2"/>
      <c r="EV63" s="2"/>
    </row>
    <row r="64" spans="1:152">
      <c r="A64" s="287">
        <v>3581</v>
      </c>
      <c r="B64" s="288" t="s">
        <v>1551</v>
      </c>
      <c r="C64" s="288" t="s">
        <v>278</v>
      </c>
      <c r="D64" s="288" t="s">
        <v>127</v>
      </c>
      <c r="E64" s="288" t="s">
        <v>1552</v>
      </c>
      <c r="F64" s="288" t="s">
        <v>35</v>
      </c>
      <c r="G64" s="288" t="s">
        <v>1292</v>
      </c>
      <c r="H64" s="288" t="s">
        <v>1285</v>
      </c>
      <c r="I64" s="288" t="s">
        <v>981</v>
      </c>
      <c r="J64" s="288" t="s">
        <v>686</v>
      </c>
      <c r="K64" s="289">
        <v>43475</v>
      </c>
      <c r="L64" s="290">
        <v>1</v>
      </c>
      <c r="M64" s="290">
        <v>1.4</v>
      </c>
      <c r="N64" s="288"/>
      <c r="O64" s="288" t="s">
        <v>687</v>
      </c>
      <c r="P64" s="291" t="s">
        <v>695</v>
      </c>
      <c r="Q64" s="291" t="s">
        <v>696</v>
      </c>
      <c r="R64" s="288" t="s">
        <v>24</v>
      </c>
      <c r="S64" s="288"/>
      <c r="T64" s="292" t="s">
        <v>120</v>
      </c>
      <c r="U64" s="288"/>
      <c r="V64" s="292" t="s">
        <v>120</v>
      </c>
      <c r="W64" s="288"/>
      <c r="X64" s="292" t="s">
        <v>120</v>
      </c>
      <c r="Y64" s="288" t="s">
        <v>1578</v>
      </c>
      <c r="Z64" s="293" t="s">
        <v>120</v>
      </c>
      <c r="AA64" s="294"/>
      <c r="AB64" s="294"/>
      <c r="AC64" s="295" t="s">
        <v>123</v>
      </c>
      <c r="AD64" s="288" t="s">
        <v>1708</v>
      </c>
      <c r="AE64" s="292" t="s">
        <v>120</v>
      </c>
      <c r="AF64" s="289"/>
      <c r="AG64" s="296"/>
      <c r="AH64" s="296"/>
      <c r="AI64" s="288"/>
      <c r="AJ64" s="292" t="s">
        <v>120</v>
      </c>
      <c r="AK64" s="288" t="s">
        <v>123</v>
      </c>
      <c r="AL64" s="288" t="s">
        <v>935</v>
      </c>
      <c r="AM64" s="292"/>
      <c r="AN64" s="288"/>
      <c r="AO64" s="288"/>
      <c r="AP64" s="297"/>
      <c r="AQ64" s="288"/>
      <c r="AR64" s="292"/>
      <c r="AS64" s="288"/>
      <c r="AT64" s="289">
        <v>43476.450474189798</v>
      </c>
      <c r="AU64" s="289">
        <v>43481.373403240701</v>
      </c>
      <c r="AV64" s="289">
        <v>43479.656267245402</v>
      </c>
      <c r="AW64" s="289">
        <v>43476.450474189798</v>
      </c>
      <c r="AX64" s="289">
        <v>43480.732231828697</v>
      </c>
      <c r="AY64" s="289">
        <v>43475.972906828698</v>
      </c>
      <c r="AZ64" s="298">
        <v>43481.412553356502</v>
      </c>
      <c r="BA6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6.4125533565020305</v>
      </c>
      <c r="BB64" s="300">
        <f>COUNTIFS(_05preva_view43[Site ID],_05preva_view43[[#This Row],[Site ID]],_05preva_view43[Prevalidation Status],"Under Prevalidation")</f>
        <v>0</v>
      </c>
      <c r="BC6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4" s="302" t="str">
        <f>CONCATENATE(_05preva_view43[[#This Row],[Site ID]]," (",_05preva_view43[[#This Row],[tenant id]],") Application",IF(_05preva_view43[[#This Row],[Colo Rev]]&gt;0," Rev "&amp;_05preva_view43[[#This Row],[Colo Rev]],""),".xlsx")</f>
        <v>1-01-10018-001 (MDY00339) Application Rev 2.xlsx</v>
      </c>
      <c r="BE64" s="64">
        <f t="shared" ca="1" si="2"/>
        <v>50</v>
      </c>
      <c r="BF64" s="104" t="str">
        <f ca="1">LEFT(CELL("filename",A49),_05preva_view43[[#This Row],[Find Process &amp; Database]]-1)</f>
        <v>D:\OneDrive - apollo-towers.com\Apollo Towers\00-</v>
      </c>
      <c r="BG64" s="104" t="str">
        <f ca="1">_05preva_view43[Folder Path1]&amp;"Process &amp; Database\Documentation\Colo Applications"</f>
        <v>D:\OneDrive - apollo-towers.com\Apollo Towers\00-Process &amp; Database\Documentation\Colo Applications</v>
      </c>
      <c r="BH6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4" s="63" t="str">
        <f ca="1">_05preva_view43[[#This Row],[Folder Path3]]&amp;_05preva_view43[[#This Row],[File Name]]</f>
        <v>D:\OneDrive - apollo-towers.com\Apollo Towers\00-Process &amp; Database\Documentation\Colo Applications\Colo App MPT\1-01-10018-001 (MDY00339) Application Rev 2.xlsx</v>
      </c>
      <c r="BJ64" s="104"/>
      <c r="BK64" s="3"/>
      <c r="BL64" s="3"/>
      <c r="CJ64" s="5"/>
      <c r="CK64" s="5"/>
      <c r="CL64" s="3"/>
      <c r="CN64" s="5"/>
      <c r="CR64" s="3"/>
      <c r="CS64" s="3"/>
      <c r="CT64" s="5"/>
      <c r="CV64" s="3"/>
      <c r="DR64" s="5"/>
      <c r="DT64" s="3"/>
      <c r="EF64" s="7"/>
      <c r="EG64" s="7"/>
      <c r="EJ64" s="4"/>
      <c r="EK64" s="4"/>
      <c r="EU64" s="2"/>
      <c r="EV64" s="2"/>
    </row>
    <row r="65" spans="1:152">
      <c r="A65" s="287">
        <v>3582</v>
      </c>
      <c r="B65" s="288" t="s">
        <v>1553</v>
      </c>
      <c r="C65" s="288" t="s">
        <v>278</v>
      </c>
      <c r="D65" s="288" t="s">
        <v>127</v>
      </c>
      <c r="E65" s="288" t="s">
        <v>1554</v>
      </c>
      <c r="F65" s="288" t="s">
        <v>35</v>
      </c>
      <c r="G65" s="288" t="s">
        <v>1292</v>
      </c>
      <c r="H65" s="288" t="s">
        <v>1285</v>
      </c>
      <c r="I65" s="288" t="s">
        <v>981</v>
      </c>
      <c r="J65" s="288" t="s">
        <v>668</v>
      </c>
      <c r="K65" s="289">
        <v>43475</v>
      </c>
      <c r="L65" s="290">
        <v>1.054</v>
      </c>
      <c r="M65" s="290">
        <v>1.522</v>
      </c>
      <c r="N65" s="288"/>
      <c r="O65" s="288" t="s">
        <v>687</v>
      </c>
      <c r="P65" s="291" t="s">
        <v>695</v>
      </c>
      <c r="Q65" s="291" t="s">
        <v>696</v>
      </c>
      <c r="R65" s="288" t="s">
        <v>24</v>
      </c>
      <c r="S65" s="288"/>
      <c r="T65" s="292" t="s">
        <v>120</v>
      </c>
      <c r="U65" s="288"/>
      <c r="V65" s="292" t="s">
        <v>120</v>
      </c>
      <c r="W65" s="288"/>
      <c r="X65" s="292" t="s">
        <v>120</v>
      </c>
      <c r="Y65" s="288" t="s">
        <v>1579</v>
      </c>
      <c r="Z65" s="293" t="s">
        <v>120</v>
      </c>
      <c r="AA65" s="294"/>
      <c r="AB65" s="294"/>
      <c r="AC65" s="295" t="s">
        <v>123</v>
      </c>
      <c r="AD65" s="288" t="s">
        <v>1709</v>
      </c>
      <c r="AE65" s="292" t="s">
        <v>120</v>
      </c>
      <c r="AF65" s="289"/>
      <c r="AG65" s="296"/>
      <c r="AH65" s="296"/>
      <c r="AI65" s="288"/>
      <c r="AJ65" s="292" t="s">
        <v>120</v>
      </c>
      <c r="AK65" s="288" t="s">
        <v>123</v>
      </c>
      <c r="AL65" s="288" t="s">
        <v>935</v>
      </c>
      <c r="AM65" s="292"/>
      <c r="AN65" s="288"/>
      <c r="AO65" s="288"/>
      <c r="AP65" s="297"/>
      <c r="AQ65" s="288"/>
      <c r="AR65" s="292"/>
      <c r="AS65" s="288"/>
      <c r="AT65" s="289">
        <v>43476.450476157399</v>
      </c>
      <c r="AU65" s="289">
        <v>43481.373406944404</v>
      </c>
      <c r="AV65" s="289">
        <v>43479.656268286999</v>
      </c>
      <c r="AW65" s="289">
        <v>43476.472692476898</v>
      </c>
      <c r="AX65" s="289">
        <v>43480.732232754599</v>
      </c>
      <c r="AY65" s="289">
        <v>43475.972908680596</v>
      </c>
      <c r="AZ65" s="298">
        <v>43481.412554282397</v>
      </c>
      <c r="BA6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6.4125542823967407</v>
      </c>
      <c r="BB65" s="300">
        <f>COUNTIFS(_05preva_view43[Site ID],_05preva_view43[[#This Row],[Site ID]],_05preva_view43[Prevalidation Status],"Under Prevalidation")</f>
        <v>0</v>
      </c>
      <c r="BC6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5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1-01-15013-009 (SHN00040) Application Rev 1.xlsx</v>
      </c>
      <c r="BE65" s="64">
        <f t="shared" ca="1" si="2"/>
        <v>50</v>
      </c>
      <c r="BF65" s="104" t="str">
        <f ca="1">LEFT(CELL("filename",A50),_05preva_view43[[#This Row],[Find Process &amp; Database]]-1)</f>
        <v>D:\OneDrive - apollo-towers.com\Apollo Towers\00-</v>
      </c>
      <c r="BG65" s="104" t="str">
        <f ca="1">_05preva_view43[Folder Path1]&amp;"Process &amp; Database\Documentation\Colo Applications"</f>
        <v>D:\OneDrive - apollo-towers.com\Apollo Towers\00-Process &amp; Database\Documentation\Colo Applications</v>
      </c>
      <c r="BH6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5" s="63" t="str">
        <f ca="1">_05preva_view43[[#This Row],[Folder Path3]]&amp;_05preva_view43[[#This Row],[File Name]]</f>
        <v>D:\OneDrive - apollo-towers.com\Apollo Towers\00-Process &amp; Database\Documentation\Colo Applications\Colo App MPT\1-01-15013-009 (SHN00040) Application Rev 1.xlsx</v>
      </c>
      <c r="BJ65" s="104"/>
      <c r="BK65" s="3"/>
      <c r="BL65" s="3"/>
      <c r="CJ65" s="5"/>
      <c r="CK65" s="5"/>
      <c r="CL65" s="3"/>
      <c r="CN65" s="5"/>
      <c r="CR65" s="3"/>
      <c r="CS65" s="3"/>
      <c r="CT65" s="5"/>
      <c r="CV65" s="3"/>
      <c r="DR65" s="5"/>
      <c r="DT65" s="3"/>
      <c r="EF65" s="7"/>
      <c r="EG65" s="7"/>
      <c r="EJ65" s="4"/>
      <c r="EK65" s="4"/>
      <c r="EU65" s="2"/>
      <c r="EV65" s="2"/>
    </row>
    <row r="66" spans="1:152">
      <c r="A66" s="287">
        <v>3583</v>
      </c>
      <c r="B66" s="288" t="s">
        <v>1061</v>
      </c>
      <c r="C66" s="288" t="s">
        <v>278</v>
      </c>
      <c r="D66" s="288" t="s">
        <v>127</v>
      </c>
      <c r="E66" s="288" t="s">
        <v>1062</v>
      </c>
      <c r="F66" s="288" t="s">
        <v>35</v>
      </c>
      <c r="G66" s="288" t="s">
        <v>1292</v>
      </c>
      <c r="H66" s="288" t="s">
        <v>1285</v>
      </c>
      <c r="I66" s="288" t="s">
        <v>1006</v>
      </c>
      <c r="J66" s="288" t="s">
        <v>727</v>
      </c>
      <c r="K66" s="289">
        <v>43475</v>
      </c>
      <c r="L66" s="290">
        <v>1.399</v>
      </c>
      <c r="M66" s="290">
        <v>2.1989999999999998</v>
      </c>
      <c r="N66" s="288"/>
      <c r="O66" s="288" t="s">
        <v>687</v>
      </c>
      <c r="P66" s="291" t="s">
        <v>993</v>
      </c>
      <c r="Q66" s="291" t="s">
        <v>994</v>
      </c>
      <c r="R66" s="288" t="s">
        <v>24</v>
      </c>
      <c r="S66" s="288"/>
      <c r="T66" s="292" t="s">
        <v>120</v>
      </c>
      <c r="U66" s="288"/>
      <c r="V66" s="292" t="s">
        <v>120</v>
      </c>
      <c r="W66" s="288"/>
      <c r="X66" s="292" t="s">
        <v>120</v>
      </c>
      <c r="Y66" s="288" t="s">
        <v>1580</v>
      </c>
      <c r="Z66" s="293" t="s">
        <v>120</v>
      </c>
      <c r="AA66" s="294"/>
      <c r="AB66" s="294"/>
      <c r="AC66" s="295" t="s">
        <v>123</v>
      </c>
      <c r="AD66" s="288" t="s">
        <v>1710</v>
      </c>
      <c r="AE66" s="292" t="s">
        <v>120</v>
      </c>
      <c r="AF66" s="289"/>
      <c r="AG66" s="296"/>
      <c r="AH66" s="296"/>
      <c r="AI66" s="288"/>
      <c r="AJ66" s="292" t="s">
        <v>120</v>
      </c>
      <c r="AK66" s="288" t="s">
        <v>123</v>
      </c>
      <c r="AL66" s="288" t="s">
        <v>935</v>
      </c>
      <c r="AM66" s="292"/>
      <c r="AN66" s="288"/>
      <c r="AO66" s="288"/>
      <c r="AP66" s="297"/>
      <c r="AQ66" s="288"/>
      <c r="AR66" s="292"/>
      <c r="AS66" s="288"/>
      <c r="AT66" s="289">
        <v>43476.450479282401</v>
      </c>
      <c r="AU66" s="289">
        <v>43481.373410763903</v>
      </c>
      <c r="AV66" s="289">
        <v>43479.705827777798</v>
      </c>
      <c r="AW66" s="289">
        <v>43476.472693981501</v>
      </c>
      <c r="AX66" s="289">
        <v>43480.732239236102</v>
      </c>
      <c r="AY66" s="289">
        <v>43475.9729113426</v>
      </c>
      <c r="AZ66" s="298">
        <v>43481.412555324103</v>
      </c>
      <c r="BA6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6.4125553241028683</v>
      </c>
      <c r="BB66" s="300">
        <f>COUNTIFS(_05preva_view43[Site ID],_05preva_view43[[#This Row],[Site ID]],_05preva_view43[Prevalidation Status],"Under Prevalidation")</f>
        <v>0</v>
      </c>
      <c r="BC6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6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3.xlsx</v>
      </c>
      <c r="BE66" s="64">
        <f t="shared" ca="1" si="2"/>
        <v>50</v>
      </c>
      <c r="BF66" s="104" t="str">
        <f ca="1">LEFT(CELL("filename",A51),_05preva_view43[[#This Row],[Find Process &amp; Database]]-1)</f>
        <v>D:\OneDrive - apollo-towers.com\Apollo Towers\00-</v>
      </c>
      <c r="BG66" s="104" t="str">
        <f ca="1">_05preva_view43[Folder Path1]&amp;"Process &amp; Database\Documentation\Colo Applications"</f>
        <v>D:\OneDrive - apollo-towers.com\Apollo Towers\00-Process &amp; Database\Documentation\Colo Applications</v>
      </c>
      <c r="BH6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6" s="63" t="str">
        <f ca="1">_05preva_view43[[#This Row],[Folder Path3]]&amp;_05preva_view43[[#This Row],[File Name]]</f>
        <v>D:\OneDrive - apollo-towers.com\Apollo Towers\00-Process &amp; Database\Documentation\Colo Applications\Colo App MPT\1-01-15013-004 (SHN00327) Application Rev 3.xlsx</v>
      </c>
      <c r="BJ66" s="104"/>
      <c r="BK66" s="3"/>
      <c r="BL66" s="3"/>
      <c r="CJ66" s="5"/>
      <c r="CK66" s="5"/>
      <c r="CL66" s="3"/>
      <c r="CN66" s="5"/>
      <c r="CR66" s="3"/>
      <c r="CS66" s="3"/>
      <c r="CT66" s="5"/>
      <c r="CV66" s="3"/>
      <c r="DR66" s="5"/>
      <c r="DT66" s="3"/>
      <c r="EF66" s="7"/>
      <c r="EG66" s="7"/>
      <c r="EJ66" s="4"/>
      <c r="EK66" s="4"/>
      <c r="EU66" s="2"/>
      <c r="EV66" s="2"/>
    </row>
    <row r="67" spans="1:152">
      <c r="A67" s="287">
        <v>3572</v>
      </c>
      <c r="B67" s="288" t="s">
        <v>1503</v>
      </c>
      <c r="C67" s="288" t="s">
        <v>116</v>
      </c>
      <c r="D67" s="288" t="s">
        <v>117</v>
      </c>
      <c r="E67" s="288" t="s">
        <v>1504</v>
      </c>
      <c r="F67" s="288" t="s">
        <v>35</v>
      </c>
      <c r="G67" s="288" t="s">
        <v>1287</v>
      </c>
      <c r="H67" s="288" t="s">
        <v>1285</v>
      </c>
      <c r="I67" s="288" t="s">
        <v>790</v>
      </c>
      <c r="J67" s="288" t="s">
        <v>686</v>
      </c>
      <c r="K67" s="289">
        <v>43474</v>
      </c>
      <c r="L67" s="290">
        <v>1.9890000000000001</v>
      </c>
      <c r="M67" s="290">
        <v>3.5489999999999999</v>
      </c>
      <c r="N67" s="288">
        <v>6</v>
      </c>
      <c r="O67" s="288" t="s">
        <v>119</v>
      </c>
      <c r="P67" s="291" t="s">
        <v>227</v>
      </c>
      <c r="Q67" s="291" t="s">
        <v>228</v>
      </c>
      <c r="R67" s="288" t="s">
        <v>24</v>
      </c>
      <c r="S67" s="288"/>
      <c r="T67" s="292" t="s">
        <v>120</v>
      </c>
      <c r="U67" s="288" t="s">
        <v>1555</v>
      </c>
      <c r="V67" s="292" t="s">
        <v>120</v>
      </c>
      <c r="W67" s="288"/>
      <c r="X67" s="292" t="s">
        <v>120</v>
      </c>
      <c r="Y67" s="288" t="s">
        <v>1556</v>
      </c>
      <c r="Z67" s="293" t="s">
        <v>120</v>
      </c>
      <c r="AA67" s="294"/>
      <c r="AB67" s="294"/>
      <c r="AC67" s="295" t="s">
        <v>123</v>
      </c>
      <c r="AD67" s="288" t="s">
        <v>1711</v>
      </c>
      <c r="AE67" s="292" t="s">
        <v>120</v>
      </c>
      <c r="AF67" s="289"/>
      <c r="AG67" s="296"/>
      <c r="AH67" s="296"/>
      <c r="AI67" s="288"/>
      <c r="AJ67" s="292" t="s">
        <v>120</v>
      </c>
      <c r="AK67" s="288" t="s">
        <v>123</v>
      </c>
      <c r="AL67" s="288" t="s">
        <v>935</v>
      </c>
      <c r="AM67" s="292"/>
      <c r="AN67" s="288"/>
      <c r="AO67" s="288"/>
      <c r="AP67" s="297"/>
      <c r="AQ67" s="288"/>
      <c r="AR67" s="292"/>
      <c r="AS67" s="288"/>
      <c r="AT67" s="289">
        <v>43476.450463541703</v>
      </c>
      <c r="AU67" s="289">
        <v>43480.567763310202</v>
      </c>
      <c r="AV67" s="289">
        <v>43479.705824305602</v>
      </c>
      <c r="AW67" s="289">
        <v>43476.450463541703</v>
      </c>
      <c r="AX67" s="289">
        <v>43475.646655439799</v>
      </c>
      <c r="AY67" s="289">
        <v>43475.965510532398</v>
      </c>
      <c r="AZ67" s="298">
        <v>43481.412552661997</v>
      </c>
      <c r="BA6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7.4125526619973243</v>
      </c>
      <c r="BB67" s="300">
        <f>COUNTIFS(_05preva_view43[Site ID],_05preva_view43[[#This Row],[Site ID]],_05preva_view43[Prevalidation Status],"Under Prevalidation")</f>
        <v>0</v>
      </c>
      <c r="BC6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7" s="302" t="str">
        <f>CONCATENATE(_05preva_view43[[#This Row],[Site ID]]," (",_05preva_view43[[#This Row],[tenant id]],") Application",IF(_05preva_view43[[#This Row],[Colo Rev]]&gt;0," Rev "&amp;_05preva_view43[[#This Row],[Colo Rev]],""),".xlsx")</f>
        <v>ANMG_0034 (MGW00303) Application Rev 2.xlsx</v>
      </c>
      <c r="BE67" s="64">
        <f t="shared" ca="1" si="2"/>
        <v>50</v>
      </c>
      <c r="BF67" s="104" t="str">
        <f ca="1">LEFT(CELL("filename",A52),_05preva_view43[[#This Row],[Find Process &amp; Database]]-1)</f>
        <v>D:\OneDrive - apollo-towers.com\Apollo Towers\00-</v>
      </c>
      <c r="BG67" s="104" t="str">
        <f ca="1">_05preva_view43[Folder Path1]&amp;"Process &amp; Database\Documentation\Colo Applications"</f>
        <v>D:\OneDrive - apollo-towers.com\Apollo Towers\00-Process &amp; Database\Documentation\Colo Applications</v>
      </c>
      <c r="BH6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7" s="63" t="str">
        <f ca="1">_05preva_view43[[#This Row],[Folder Path3]]&amp;_05preva_view43[[#This Row],[File Name]]</f>
        <v>D:\OneDrive - apollo-towers.com\Apollo Towers\00-Process &amp; Database\Documentation\Colo Applications\Colo App MPT\ANMG_0034 (MGW00303) Application Rev 2.xlsx</v>
      </c>
      <c r="BJ67" s="104"/>
      <c r="BK67" s="3"/>
      <c r="BL67" s="3"/>
      <c r="CJ67" s="5"/>
      <c r="CK67" s="5"/>
      <c r="CL67" s="3"/>
      <c r="CN67" s="5"/>
      <c r="CR67" s="3"/>
      <c r="CS67" s="3"/>
      <c r="CT67" s="5"/>
      <c r="CV67" s="3"/>
      <c r="DR67" s="5"/>
      <c r="DT67" s="3"/>
      <c r="EF67" s="7"/>
      <c r="EG67" s="7"/>
      <c r="EJ67" s="4"/>
      <c r="EK67" s="4"/>
      <c r="EU67" s="2"/>
      <c r="EV67" s="2"/>
    </row>
    <row r="68" spans="1:152">
      <c r="A68" s="287">
        <v>3559</v>
      </c>
      <c r="B68" s="288" t="s">
        <v>1499</v>
      </c>
      <c r="C68" s="288" t="s">
        <v>278</v>
      </c>
      <c r="D68" s="288" t="s">
        <v>117</v>
      </c>
      <c r="E68" s="288" t="s">
        <v>1500</v>
      </c>
      <c r="F68" s="288" t="s">
        <v>38</v>
      </c>
      <c r="G68" s="288" t="s">
        <v>1295</v>
      </c>
      <c r="H68" s="288" t="s">
        <v>1285</v>
      </c>
      <c r="I68" s="288" t="s">
        <v>1058</v>
      </c>
      <c r="J68" s="288" t="s">
        <v>686</v>
      </c>
      <c r="K68" s="289">
        <v>43473</v>
      </c>
      <c r="L68" s="290"/>
      <c r="M68" s="290"/>
      <c r="N68" s="288">
        <v>4.46</v>
      </c>
      <c r="O68" s="288" t="s">
        <v>687</v>
      </c>
      <c r="P68" s="291" t="s">
        <v>993</v>
      </c>
      <c r="Q68" s="291" t="s">
        <v>994</v>
      </c>
      <c r="R68" s="288" t="s">
        <v>24</v>
      </c>
      <c r="S68" s="288"/>
      <c r="T68" s="292" t="s">
        <v>615</v>
      </c>
      <c r="U68" s="288"/>
      <c r="V68" s="292" t="s">
        <v>615</v>
      </c>
      <c r="W68" s="288"/>
      <c r="X68" s="292" t="s">
        <v>120</v>
      </c>
      <c r="Y68" s="288" t="s">
        <v>1501</v>
      </c>
      <c r="Z68" s="293" t="s">
        <v>120</v>
      </c>
      <c r="AA68" s="294"/>
      <c r="AB68" s="294"/>
      <c r="AC68" s="295" t="s">
        <v>123</v>
      </c>
      <c r="AD68" s="288" t="s">
        <v>1581</v>
      </c>
      <c r="AE68" s="292" t="s">
        <v>615</v>
      </c>
      <c r="AF68" s="289"/>
      <c r="AG68" s="296"/>
      <c r="AH68" s="296"/>
      <c r="AI68" s="288"/>
      <c r="AJ68" s="292" t="s">
        <v>120</v>
      </c>
      <c r="AK68" s="288" t="s">
        <v>123</v>
      </c>
      <c r="AL68" s="288" t="s">
        <v>935</v>
      </c>
      <c r="AM68" s="292"/>
      <c r="AN68" s="288"/>
      <c r="AO68" s="288"/>
      <c r="AP68" s="297"/>
      <c r="AQ68" s="288"/>
      <c r="AR68" s="292"/>
      <c r="AS68" s="288"/>
      <c r="AT68" s="289">
        <v>43473.477749884303</v>
      </c>
      <c r="AU68" s="289"/>
      <c r="AV68" s="289">
        <v>43476.662509606504</v>
      </c>
      <c r="AW68" s="289">
        <v>43473.477749884303</v>
      </c>
      <c r="AX68" s="289"/>
      <c r="AY68" s="289"/>
      <c r="AZ68" s="298">
        <v>43476.692903472198</v>
      </c>
      <c r="BA6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3.6929034721979406</v>
      </c>
      <c r="BB68" s="300">
        <f>COUNTIFS(_05preva_view43[Site ID],_05preva_view43[[#This Row],[Site ID]],_05preva_view43[Prevalidation Status],"Under Prevalidation")</f>
        <v>0</v>
      </c>
      <c r="BC6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8" s="302" t="str">
        <f>CONCATENATE(_05preva_view43[[#This Row],[Site ID]]," (",_05preva_view43[[#This Row],[tenant id]],") Application",IF(_05preva_view43[[#This Row],[Colo Rev]]&gt;0," Rev "&amp;_05preva_view43[[#This Row],[Colo Rev]],""),".xlsx")</f>
        <v>1-01-12016-011 (RA0021) Application Rev 2.xlsx</v>
      </c>
      <c r="BE68" s="64">
        <f t="shared" ca="1" si="2"/>
        <v>50</v>
      </c>
      <c r="BF68" s="104" t="str">
        <f ca="1">LEFT(CELL("filename",A53),_05preva_view43[[#This Row],[Find Process &amp; Database]]-1)</f>
        <v>D:\OneDrive - apollo-towers.com\Apollo Towers\00-</v>
      </c>
      <c r="BG68" s="104" t="str">
        <f ca="1">_05preva_view43[Folder Path1]&amp;"Process &amp; Database\Documentation\Colo Applications"</f>
        <v>D:\OneDrive - apollo-towers.com\Apollo Towers\00-Process &amp; Database\Documentation\Colo Applications</v>
      </c>
      <c r="BH68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68" s="63" t="str">
        <f ca="1">_05preva_view43[[#This Row],[Folder Path3]]&amp;_05preva_view43[[#This Row],[File Name]]</f>
        <v>D:\OneDrive - apollo-towers.com\Apollo Towers\00-Process &amp; Database\Documentation\Colo Applications\Colo App Telenor\1-01-12016-011 (RA0021) Application Rev 2.xlsx</v>
      </c>
      <c r="BJ68" s="104"/>
      <c r="BK68" s="3"/>
      <c r="BL68" s="3"/>
      <c r="CJ68" s="5"/>
      <c r="CK68" s="5"/>
      <c r="CL68" s="3"/>
      <c r="CN68" s="5"/>
      <c r="CR68" s="3"/>
      <c r="CS68" s="3"/>
      <c r="CT68" s="5"/>
      <c r="CV68" s="3"/>
      <c r="DR68" s="5"/>
      <c r="DT68" s="3"/>
      <c r="EF68" s="7"/>
      <c r="EG68" s="7"/>
      <c r="EJ68" s="4"/>
      <c r="EK68" s="4"/>
      <c r="EU68" s="2"/>
      <c r="EV68" s="2"/>
    </row>
    <row r="69" spans="1:152">
      <c r="A69" s="287">
        <v>3560</v>
      </c>
      <c r="B69" s="288" t="s">
        <v>1505</v>
      </c>
      <c r="C69" s="288" t="s">
        <v>116</v>
      </c>
      <c r="D69" s="288" t="s">
        <v>127</v>
      </c>
      <c r="E69" s="288" t="s">
        <v>1506</v>
      </c>
      <c r="F69" s="288" t="s">
        <v>35</v>
      </c>
      <c r="G69" s="288" t="s">
        <v>1287</v>
      </c>
      <c r="H69" s="288" t="s">
        <v>1285</v>
      </c>
      <c r="I69" s="288" t="s">
        <v>1006</v>
      </c>
      <c r="J69" s="288" t="s">
        <v>686</v>
      </c>
      <c r="K69" s="289">
        <v>43473</v>
      </c>
      <c r="L69" s="290">
        <v>1.399</v>
      </c>
      <c r="M69" s="290">
        <v>2.2610000000000001</v>
      </c>
      <c r="N69" s="288">
        <v>5.76</v>
      </c>
      <c r="O69" s="288" t="s">
        <v>119</v>
      </c>
      <c r="P69" s="291" t="s">
        <v>705</v>
      </c>
      <c r="Q69" s="291" t="s">
        <v>706</v>
      </c>
      <c r="R69" s="288" t="s">
        <v>24</v>
      </c>
      <c r="S69" s="288"/>
      <c r="T69" s="292" t="s">
        <v>120</v>
      </c>
      <c r="U69" s="288" t="s">
        <v>1557</v>
      </c>
      <c r="V69" s="292" t="s">
        <v>120</v>
      </c>
      <c r="W69" s="288"/>
      <c r="X69" s="292" t="s">
        <v>120</v>
      </c>
      <c r="Y69" s="288" t="s">
        <v>1507</v>
      </c>
      <c r="Z69" s="293" t="s">
        <v>120</v>
      </c>
      <c r="AA69" s="294"/>
      <c r="AB69" s="294"/>
      <c r="AC69" s="295" t="s">
        <v>123</v>
      </c>
      <c r="AD69" s="288" t="s">
        <v>1558</v>
      </c>
      <c r="AE69" s="292" t="s">
        <v>120</v>
      </c>
      <c r="AF69" s="289"/>
      <c r="AG69" s="296"/>
      <c r="AH69" s="296"/>
      <c r="AI69" s="288"/>
      <c r="AJ69" s="292" t="s">
        <v>120</v>
      </c>
      <c r="AK69" s="288" t="s">
        <v>123</v>
      </c>
      <c r="AL69" s="288" t="s">
        <v>935</v>
      </c>
      <c r="AM69" s="292"/>
      <c r="AN69" s="288"/>
      <c r="AO69" s="288"/>
      <c r="AP69" s="297"/>
      <c r="AQ69" s="288"/>
      <c r="AR69" s="292"/>
      <c r="AS69" s="288"/>
      <c r="AT69" s="289">
        <v>43474.5008079861</v>
      </c>
      <c r="AU69" s="289">
        <v>43479.735462962999</v>
      </c>
      <c r="AV69" s="289">
        <v>43475.484935300898</v>
      </c>
      <c r="AW69" s="289">
        <v>43474.5008079861</v>
      </c>
      <c r="AX69" s="289">
        <v>43475.646623726898</v>
      </c>
      <c r="AY69" s="289">
        <v>43473.725844328699</v>
      </c>
      <c r="AZ69" s="298">
        <v>43480.437813194403</v>
      </c>
      <c r="BA6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7.4378131944031338</v>
      </c>
      <c r="BB69" s="300">
        <f>COUNTIFS(_05preva_view43[Site ID],_05preva_view43[[#This Row],[Site ID]],_05preva_view43[Prevalidation Status],"Under Prevalidation")</f>
        <v>0</v>
      </c>
      <c r="BC6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69" s="302" t="str">
        <f>CONCATENATE(_05preva_view43[[#This Row],[Site ID]]," (",_05preva_view43[[#This Row],[tenant id]],") Application",IF(_05preva_view43[[#This Row],[Colo Rev]]&gt;0," Rev "&amp;_05preva_view43[[#This Row],[Colo Rev]],""),".xlsx")</f>
        <v>ANKC_0024 (KCN00341) Application Rev 2.xlsx</v>
      </c>
      <c r="BE69" s="64">
        <f t="shared" ca="1" si="2"/>
        <v>50</v>
      </c>
      <c r="BF69" s="104" t="str">
        <f ca="1">LEFT(CELL("filename",A54),_05preva_view43[[#This Row],[Find Process &amp; Database]]-1)</f>
        <v>D:\OneDrive - apollo-towers.com\Apollo Towers\00-</v>
      </c>
      <c r="BG69" s="104" t="str">
        <f ca="1">_05preva_view43[Folder Path1]&amp;"Process &amp; Database\Documentation\Colo Applications"</f>
        <v>D:\OneDrive - apollo-towers.com\Apollo Towers\00-Process &amp; Database\Documentation\Colo Applications</v>
      </c>
      <c r="BH6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69" s="63" t="str">
        <f ca="1">_05preva_view43[[#This Row],[Folder Path3]]&amp;_05preva_view43[[#This Row],[File Name]]</f>
        <v>D:\OneDrive - apollo-towers.com\Apollo Towers\00-Process &amp; Database\Documentation\Colo Applications\Colo App MPT\ANKC_0024 (KCN00341) Application Rev 2.xlsx</v>
      </c>
      <c r="BJ69" s="104"/>
      <c r="BK69" s="3"/>
      <c r="BL69" s="3"/>
      <c r="CJ69" s="5"/>
      <c r="CK69" s="5"/>
      <c r="CL69" s="3"/>
      <c r="CN69" s="5"/>
      <c r="CR69" s="3"/>
      <c r="CS69" s="3"/>
      <c r="CT69" s="5"/>
      <c r="CV69" s="3"/>
      <c r="DR69" s="5"/>
      <c r="DT69" s="3"/>
      <c r="EF69" s="7"/>
      <c r="EG69" s="7"/>
      <c r="EJ69" s="4"/>
      <c r="EK69" s="4"/>
      <c r="EU69" s="2"/>
      <c r="EV69" s="2"/>
    </row>
    <row r="70" spans="1:152">
      <c r="A70" s="287">
        <v>3561</v>
      </c>
      <c r="B70" s="288" t="s">
        <v>1508</v>
      </c>
      <c r="C70" s="288" t="s">
        <v>278</v>
      </c>
      <c r="D70" s="288" t="s">
        <v>127</v>
      </c>
      <c r="E70" s="288" t="s">
        <v>1509</v>
      </c>
      <c r="F70" s="288" t="s">
        <v>35</v>
      </c>
      <c r="G70" s="288" t="s">
        <v>1293</v>
      </c>
      <c r="H70" s="288" t="s">
        <v>1290</v>
      </c>
      <c r="I70" s="288" t="s">
        <v>814</v>
      </c>
      <c r="J70" s="288" t="s">
        <v>668</v>
      </c>
      <c r="K70" s="289">
        <v>43473</v>
      </c>
      <c r="L70" s="290">
        <v>1.175</v>
      </c>
      <c r="M70" s="290">
        <v>2.1389999999999998</v>
      </c>
      <c r="N70" s="288">
        <v>3.4</v>
      </c>
      <c r="O70" s="288" t="s">
        <v>687</v>
      </c>
      <c r="P70" s="291" t="s">
        <v>629</v>
      </c>
      <c r="Q70" s="291" t="s">
        <v>652</v>
      </c>
      <c r="R70" s="288" t="s">
        <v>24</v>
      </c>
      <c r="S70" s="288"/>
      <c r="T70" s="292" t="s">
        <v>120</v>
      </c>
      <c r="U70" s="288" t="s">
        <v>1712</v>
      </c>
      <c r="V70" s="292" t="s">
        <v>120</v>
      </c>
      <c r="W70" s="288"/>
      <c r="X70" s="292" t="s">
        <v>120</v>
      </c>
      <c r="Y70" s="288" t="s">
        <v>1510</v>
      </c>
      <c r="Z70" s="293" t="s">
        <v>120</v>
      </c>
      <c r="AA70" s="294"/>
      <c r="AB70" s="294"/>
      <c r="AC70" s="295" t="s">
        <v>123</v>
      </c>
      <c r="AD70" s="288" t="s">
        <v>1559</v>
      </c>
      <c r="AE70" s="292" t="s">
        <v>120</v>
      </c>
      <c r="AF70" s="289" t="s">
        <v>1423</v>
      </c>
      <c r="AG70" s="296"/>
      <c r="AH70" s="296"/>
      <c r="AI70" s="288" t="s">
        <v>1713</v>
      </c>
      <c r="AJ70" s="292" t="s">
        <v>120</v>
      </c>
      <c r="AK70" s="288" t="s">
        <v>123</v>
      </c>
      <c r="AL70" s="288" t="s">
        <v>935</v>
      </c>
      <c r="AM70" s="292"/>
      <c r="AN70" s="288"/>
      <c r="AO70" s="288"/>
      <c r="AP70" s="297"/>
      <c r="AQ70" s="288"/>
      <c r="AR70" s="292"/>
      <c r="AS70" s="288"/>
      <c r="AT70" s="289">
        <v>43474.500813310202</v>
      </c>
      <c r="AU70" s="289">
        <v>43479.7354635417</v>
      </c>
      <c r="AV70" s="289">
        <v>43475.726966550901</v>
      </c>
      <c r="AW70" s="289">
        <v>43474.500813310202</v>
      </c>
      <c r="AX70" s="289">
        <v>43480.732222569401</v>
      </c>
      <c r="AY70" s="289">
        <v>43475.973937037001</v>
      </c>
      <c r="AZ70" s="298">
        <v>43481.412550347202</v>
      </c>
      <c r="BA7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8.4125503472023411</v>
      </c>
      <c r="BB70" s="300">
        <f>COUNTIFS(_05preva_view43[Site ID],_05preva_view43[[#This Row],[Site ID]],_05preva_view43[Prevalidation Status],"Under Prevalidation")</f>
        <v>0</v>
      </c>
      <c r="BC7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0" s="302" t="str">
        <f>CONCATENATE(_05preva_view43[[#This Row],[Site ID]]," (",_05preva_view43[[#This Row],[tenant id]],") Application",IF(_05preva_view43[[#This Row],[Colo Rev]]&gt;0," Rev "&amp;_05preva_view43[[#This Row],[Colo Rev]],""),".xlsx")</f>
        <v>1-01-10013-005 (MDY01364) Application Rev 1.xlsx</v>
      </c>
      <c r="BE70" s="64">
        <f t="shared" ca="1" si="2"/>
        <v>50</v>
      </c>
      <c r="BF70" s="104" t="str">
        <f ca="1">LEFT(CELL("filename",A55),_05preva_view43[[#This Row],[Find Process &amp; Database]]-1)</f>
        <v>D:\OneDrive - apollo-towers.com\Apollo Towers\00-</v>
      </c>
      <c r="BG70" s="104" t="str">
        <f ca="1">_05preva_view43[Folder Path1]&amp;"Process &amp; Database\Documentation\Colo Applications"</f>
        <v>D:\OneDrive - apollo-towers.com\Apollo Towers\00-Process &amp; Database\Documentation\Colo Applications</v>
      </c>
      <c r="BH7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0" s="63" t="str">
        <f ca="1">_05preva_view43[[#This Row],[Folder Path3]]&amp;_05preva_view43[[#This Row],[File Name]]</f>
        <v>D:\OneDrive - apollo-towers.com\Apollo Towers\00-Process &amp; Database\Documentation\Colo Applications\Colo App MPT\1-01-10013-005 (MDY01364) Application Rev 1.xlsx</v>
      </c>
      <c r="BJ70" s="104"/>
      <c r="BK70" s="3"/>
      <c r="BL70" s="3"/>
      <c r="CJ70" s="5"/>
      <c r="CK70" s="5"/>
      <c r="CL70" s="3"/>
      <c r="CN70" s="5"/>
      <c r="CR70" s="3"/>
      <c r="CS70" s="3"/>
      <c r="CT70" s="5"/>
      <c r="CV70" s="3"/>
      <c r="DR70" s="5"/>
      <c r="DT70" s="3"/>
      <c r="EF70" s="7"/>
      <c r="EG70" s="7"/>
      <c r="EJ70" s="4"/>
      <c r="EK70" s="4"/>
      <c r="EU70" s="2"/>
      <c r="EV70" s="2"/>
    </row>
    <row r="71" spans="1:152">
      <c r="A71" s="287">
        <v>3562</v>
      </c>
      <c r="B71" s="288" t="s">
        <v>1511</v>
      </c>
      <c r="C71" s="288" t="s">
        <v>116</v>
      </c>
      <c r="D71" s="288" t="s">
        <v>127</v>
      </c>
      <c r="E71" s="288" t="s">
        <v>1512</v>
      </c>
      <c r="F71" s="288" t="s">
        <v>35</v>
      </c>
      <c r="G71" s="288" t="s">
        <v>1287</v>
      </c>
      <c r="H71" s="288" t="s">
        <v>1285</v>
      </c>
      <c r="I71" s="288" t="s">
        <v>1006</v>
      </c>
      <c r="J71" s="288" t="s">
        <v>686</v>
      </c>
      <c r="K71" s="289">
        <v>43473</v>
      </c>
      <c r="L71" s="290">
        <v>1.329</v>
      </c>
      <c r="M71" s="290">
        <v>2.1989999999999998</v>
      </c>
      <c r="N71" s="288">
        <v>5.53</v>
      </c>
      <c r="O71" s="288" t="s">
        <v>119</v>
      </c>
      <c r="P71" s="291" t="s">
        <v>228</v>
      </c>
      <c r="Q71" s="291" t="s">
        <v>284</v>
      </c>
      <c r="R71" s="288" t="s">
        <v>24</v>
      </c>
      <c r="S71" s="288"/>
      <c r="T71" s="292" t="s">
        <v>120</v>
      </c>
      <c r="U71" s="288" t="s">
        <v>1560</v>
      </c>
      <c r="V71" s="292" t="s">
        <v>120</v>
      </c>
      <c r="W71" s="288"/>
      <c r="X71" s="292" t="s">
        <v>120</v>
      </c>
      <c r="Y71" s="288" t="s">
        <v>1513</v>
      </c>
      <c r="Z71" s="293" t="s">
        <v>120</v>
      </c>
      <c r="AA71" s="294"/>
      <c r="AB71" s="294"/>
      <c r="AC71" s="295" t="s">
        <v>123</v>
      </c>
      <c r="AD71" s="288" t="s">
        <v>1561</v>
      </c>
      <c r="AE71" s="292" t="s">
        <v>120</v>
      </c>
      <c r="AF71" s="289"/>
      <c r="AG71" s="296"/>
      <c r="AH71" s="296"/>
      <c r="AI71" s="288"/>
      <c r="AJ71" s="292" t="s">
        <v>120</v>
      </c>
      <c r="AK71" s="288" t="s">
        <v>206</v>
      </c>
      <c r="AL71" s="288" t="s">
        <v>935</v>
      </c>
      <c r="AM71" s="292"/>
      <c r="AN71" s="288"/>
      <c r="AO71" s="288"/>
      <c r="AP71" s="297"/>
      <c r="AQ71" s="288"/>
      <c r="AR71" s="292"/>
      <c r="AS71" s="288"/>
      <c r="AT71" s="289">
        <v>43474.500815046304</v>
      </c>
      <c r="AU71" s="289">
        <v>43479.735463888901</v>
      </c>
      <c r="AV71" s="289">
        <v>43475.5996662037</v>
      </c>
      <c r="AW71" s="289">
        <v>43474.500815046304</v>
      </c>
      <c r="AX71" s="289">
        <v>43475.646629166702</v>
      </c>
      <c r="AY71" s="289">
        <v>43473.725847337999</v>
      </c>
      <c r="AZ71" s="298">
        <v>43480.437814814803</v>
      </c>
      <c r="BA7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7.4378148148025502</v>
      </c>
      <c r="BB71" s="300">
        <f>COUNTIFS(_05preva_view43[Site ID],_05preva_view43[[#This Row],[Site ID]],_05preva_view43[Prevalidation Status],"Under Prevalidation")</f>
        <v>0</v>
      </c>
      <c r="BC7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1" s="302" t="str">
        <f>CONCATENATE(_05preva_view43[[#This Row],[Site ID]]," (",_05preva_view43[[#This Row],[tenant id]],") Application",IF(_05preva_view43[[#This Row],[Colo Rev]]&gt;0," Rev "&amp;_05preva_view43[[#This Row],[Colo Rev]],""),".xlsx")</f>
        <v>ANSG_0466 (SGG00230) Application Rev 2.xlsx</v>
      </c>
      <c r="BE71" s="64">
        <f t="shared" ca="1" si="2"/>
        <v>50</v>
      </c>
      <c r="BF71" s="104" t="str">
        <f ca="1">LEFT(CELL("filename",A56),_05preva_view43[[#This Row],[Find Process &amp; Database]]-1)</f>
        <v>D:\OneDrive - apollo-towers.com\Apollo Towers\00-</v>
      </c>
      <c r="BG71" s="104" t="str">
        <f ca="1">_05preva_view43[Folder Path1]&amp;"Process &amp; Database\Documentation\Colo Applications"</f>
        <v>D:\OneDrive - apollo-towers.com\Apollo Towers\00-Process &amp; Database\Documentation\Colo Applications</v>
      </c>
      <c r="BH7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1" s="63" t="str">
        <f ca="1">_05preva_view43[[#This Row],[Folder Path3]]&amp;_05preva_view43[[#This Row],[File Name]]</f>
        <v>D:\OneDrive - apollo-towers.com\Apollo Towers\00-Process &amp; Database\Documentation\Colo Applications\Colo App MPT\ANSG_0466 (SGG00230) Application Rev 2.xlsx</v>
      </c>
      <c r="BJ71" s="104"/>
      <c r="BK71" s="3"/>
      <c r="BL71" s="3"/>
      <c r="CJ71" s="5"/>
      <c r="CK71" s="5"/>
      <c r="CL71" s="3"/>
      <c r="CN71" s="5"/>
      <c r="CR71" s="3"/>
      <c r="CS71" s="3"/>
      <c r="CT71" s="5"/>
      <c r="CV71" s="3"/>
      <c r="DR71" s="5"/>
      <c r="DT71" s="3"/>
      <c r="EF71" s="7"/>
      <c r="EG71" s="7"/>
      <c r="EJ71" s="4"/>
      <c r="EK71" s="4"/>
      <c r="EU71" s="2"/>
      <c r="EV71" s="2"/>
    </row>
    <row r="72" spans="1:152">
      <c r="A72" s="287">
        <v>3563</v>
      </c>
      <c r="B72" s="288" t="s">
        <v>623</v>
      </c>
      <c r="C72" s="288" t="s">
        <v>116</v>
      </c>
      <c r="D72" s="288" t="s">
        <v>153</v>
      </c>
      <c r="E72" s="288" t="s">
        <v>1514</v>
      </c>
      <c r="F72" s="288" t="s">
        <v>41</v>
      </c>
      <c r="G72" s="288" t="s">
        <v>1286</v>
      </c>
      <c r="H72" s="288" t="s">
        <v>1285</v>
      </c>
      <c r="I72" s="288" t="s">
        <v>949</v>
      </c>
      <c r="J72" s="288" t="s">
        <v>668</v>
      </c>
      <c r="K72" s="289">
        <v>43473</v>
      </c>
      <c r="L72" s="290">
        <v>3.8</v>
      </c>
      <c r="M72" s="290"/>
      <c r="N72" s="288">
        <v>3</v>
      </c>
      <c r="O72" s="288" t="s">
        <v>119</v>
      </c>
      <c r="P72" s="291" t="s">
        <v>962</v>
      </c>
      <c r="Q72" s="291"/>
      <c r="R72" s="288" t="s">
        <v>24</v>
      </c>
      <c r="S72" s="288"/>
      <c r="T72" s="292" t="s">
        <v>120</v>
      </c>
      <c r="U72" s="288" t="s">
        <v>1562</v>
      </c>
      <c r="V72" s="292" t="s">
        <v>120</v>
      </c>
      <c r="W72" s="288"/>
      <c r="X72" s="292" t="s">
        <v>120</v>
      </c>
      <c r="Y72" s="288" t="s">
        <v>1515</v>
      </c>
      <c r="Z72" s="293" t="s">
        <v>120</v>
      </c>
      <c r="AA72" s="294"/>
      <c r="AB72" s="294"/>
      <c r="AC72" s="295"/>
      <c r="AD72" s="288" t="s">
        <v>1563</v>
      </c>
      <c r="AE72" s="292" t="s">
        <v>120</v>
      </c>
      <c r="AF72" s="289" t="s">
        <v>904</v>
      </c>
      <c r="AG72" s="296"/>
      <c r="AH72" s="296"/>
      <c r="AI72" s="288" t="s">
        <v>1134</v>
      </c>
      <c r="AJ72" s="292" t="s">
        <v>120</v>
      </c>
      <c r="AK72" s="288" t="s">
        <v>123</v>
      </c>
      <c r="AL72" s="288" t="s">
        <v>935</v>
      </c>
      <c r="AM72" s="292"/>
      <c r="AN72" s="288"/>
      <c r="AO72" s="288"/>
      <c r="AP72" s="297"/>
      <c r="AQ72" s="288"/>
      <c r="AR72" s="292" t="s">
        <v>120</v>
      </c>
      <c r="AS72" s="288" t="s">
        <v>1564</v>
      </c>
      <c r="AT72" s="289">
        <v>43474.500816782398</v>
      </c>
      <c r="AU72" s="289">
        <v>43479.735464236102</v>
      </c>
      <c r="AV72" s="289">
        <v>43475.588291088003</v>
      </c>
      <c r="AW72" s="289">
        <v>43474.500816782398</v>
      </c>
      <c r="AX72" s="289">
        <v>43475.646634490702</v>
      </c>
      <c r="AY72" s="289">
        <v>43473.725849768503</v>
      </c>
      <c r="AZ72" s="298">
        <v>43476.400662847198</v>
      </c>
      <c r="BA7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3.4006628471979639</v>
      </c>
      <c r="BB72" s="300">
        <f>COUNTIFS(_05preva_view43[Site ID],_05preva_view43[[#This Row],[Site ID]],_05preva_view43[Prevalidation Status],"Under Prevalidation")</f>
        <v>0</v>
      </c>
      <c r="BC7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2" s="302" t="str">
        <f>CONCATENATE(_05preva_view43[[#This Row],[Site ID]]," (",_05preva_view43[[#This Row],[tenant id]],") Application",IF(_05preva_view43[[#This Row],[Colo Rev]]&gt;0," Rev "&amp;_05preva_view43[[#This Row],[Colo Rev]],""),".xlsx")</f>
        <v>AYYN_0530 (YGNDMNH014) Application Rev 1.xlsx</v>
      </c>
      <c r="BE72" s="64">
        <f t="shared" ca="1" si="2"/>
        <v>50</v>
      </c>
      <c r="BF72" s="104" t="str">
        <f ca="1">LEFT(CELL("filename",A57),_05preva_view43[[#This Row],[Find Process &amp; Database]]-1)</f>
        <v>D:\OneDrive - apollo-towers.com\Apollo Towers\00-</v>
      </c>
      <c r="BG72" s="104" t="str">
        <f ca="1">_05preva_view43[Folder Path1]&amp;"Process &amp; Database\Documentation\Colo Applications"</f>
        <v>D:\OneDrive - apollo-towers.com\Apollo Towers\00-Process &amp; Database\Documentation\Colo Applications</v>
      </c>
      <c r="BH7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72" s="63" t="str">
        <f ca="1">_05preva_view43[[#This Row],[Folder Path3]]&amp;_05preva_view43[[#This Row],[File Name]]</f>
        <v>D:\OneDrive - apollo-towers.com\Apollo Towers\00-Process &amp; Database\Documentation\Colo Applications\Colo App Amara\AYYN_0530 (YGNDMNH014) Application Rev 1.xlsx</v>
      </c>
      <c r="BJ72" s="104"/>
      <c r="BK72" s="3"/>
      <c r="BL72" s="3"/>
      <c r="CJ72" s="5"/>
      <c r="CK72" s="5"/>
      <c r="CL72" s="3"/>
      <c r="CN72" s="5"/>
      <c r="CR72" s="3"/>
      <c r="CS72" s="3"/>
      <c r="CT72" s="5"/>
      <c r="CV72" s="3"/>
      <c r="DR72" s="5"/>
      <c r="DT72" s="3"/>
      <c r="EF72" s="7"/>
      <c r="EG72" s="7"/>
      <c r="EJ72" s="4"/>
      <c r="EK72" s="4"/>
      <c r="EU72" s="2"/>
      <c r="EV72" s="2"/>
    </row>
    <row r="73" spans="1:152">
      <c r="A73" s="287">
        <v>3564</v>
      </c>
      <c r="B73" s="288" t="s">
        <v>1516</v>
      </c>
      <c r="C73" s="288" t="s">
        <v>116</v>
      </c>
      <c r="D73" s="288" t="s">
        <v>153</v>
      </c>
      <c r="E73" s="288" t="s">
        <v>1517</v>
      </c>
      <c r="F73" s="288" t="s">
        <v>41</v>
      </c>
      <c r="G73" s="288" t="s">
        <v>1286</v>
      </c>
      <c r="H73" s="288" t="s">
        <v>1285</v>
      </c>
      <c r="I73" s="288" t="s">
        <v>949</v>
      </c>
      <c r="J73" s="288" t="s">
        <v>668</v>
      </c>
      <c r="K73" s="289">
        <v>43473</v>
      </c>
      <c r="L73" s="290">
        <v>2.5</v>
      </c>
      <c r="M73" s="290"/>
      <c r="N73" s="288">
        <v>3</v>
      </c>
      <c r="O73" s="288" t="s">
        <v>119</v>
      </c>
      <c r="P73" s="291" t="s">
        <v>612</v>
      </c>
      <c r="Q73" s="291" t="s">
        <v>246</v>
      </c>
      <c r="R73" s="288" t="s">
        <v>24</v>
      </c>
      <c r="S73" s="288"/>
      <c r="T73" s="292" t="s">
        <v>120</v>
      </c>
      <c r="U73" s="288" t="s">
        <v>1565</v>
      </c>
      <c r="V73" s="292" t="s">
        <v>120</v>
      </c>
      <c r="W73" s="288"/>
      <c r="X73" s="292" t="s">
        <v>120</v>
      </c>
      <c r="Y73" s="288" t="s">
        <v>1518</v>
      </c>
      <c r="Z73" s="293" t="s">
        <v>120</v>
      </c>
      <c r="AA73" s="294"/>
      <c r="AB73" s="294"/>
      <c r="AC73" s="295"/>
      <c r="AD73" s="288" t="s">
        <v>1563</v>
      </c>
      <c r="AE73" s="292" t="s">
        <v>120</v>
      </c>
      <c r="AF73" s="289" t="s">
        <v>904</v>
      </c>
      <c r="AG73" s="296"/>
      <c r="AH73" s="296"/>
      <c r="AI73" s="288" t="s">
        <v>1134</v>
      </c>
      <c r="AJ73" s="292" t="s">
        <v>120</v>
      </c>
      <c r="AK73" s="288" t="s">
        <v>123</v>
      </c>
      <c r="AL73" s="288" t="s">
        <v>935</v>
      </c>
      <c r="AM73" s="292"/>
      <c r="AN73" s="288"/>
      <c r="AO73" s="288"/>
      <c r="AP73" s="297"/>
      <c r="AQ73" s="288"/>
      <c r="AR73" s="292" t="s">
        <v>120</v>
      </c>
      <c r="AS73" s="288" t="s">
        <v>1564</v>
      </c>
      <c r="AT73" s="289">
        <v>43474.500818287001</v>
      </c>
      <c r="AU73" s="289">
        <v>43479.735467129598</v>
      </c>
      <c r="AV73" s="289">
        <v>43475.588291435197</v>
      </c>
      <c r="AW73" s="289">
        <v>43474.500818287001</v>
      </c>
      <c r="AX73" s="289">
        <v>43475.646638657403</v>
      </c>
      <c r="AY73" s="289">
        <v>43473.725851157396</v>
      </c>
      <c r="AZ73" s="298">
        <v>43476.400664930603</v>
      </c>
      <c r="BA7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3.4006649306029431</v>
      </c>
      <c r="BB73" s="300">
        <f>COUNTIFS(_05preva_view43[Site ID],_05preva_view43[[#This Row],[Site ID]],_05preva_view43[Prevalidation Status],"Under Prevalidation")</f>
        <v>0</v>
      </c>
      <c r="BC7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3" s="302" t="str">
        <f>CONCATENATE(_05preva_view43[[#This Row],[Site ID]]," (",_05preva_view43[[#This Row],[tenant id]],") Application",IF(_05preva_view43[[#This Row],[Colo Rev]]&gt;0," Rev "&amp;_05preva_view43[[#This Row],[Colo Rev]],""),".xlsx")</f>
        <v>AYYN_0620 (YGNDMSH008) Application Rev 1.xlsx</v>
      </c>
      <c r="BE73" s="64">
        <f t="shared" ca="1" si="2"/>
        <v>50</v>
      </c>
      <c r="BF73" s="104" t="str">
        <f ca="1">LEFT(CELL("filename",A58),_05preva_view43[[#This Row],[Find Process &amp; Database]]-1)</f>
        <v>D:\OneDrive - apollo-towers.com\Apollo Towers\00-</v>
      </c>
      <c r="BG73" s="104" t="str">
        <f ca="1">_05preva_view43[Folder Path1]&amp;"Process &amp; Database\Documentation\Colo Applications"</f>
        <v>D:\OneDrive - apollo-towers.com\Apollo Towers\00-Process &amp; Database\Documentation\Colo Applications</v>
      </c>
      <c r="BH7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73" s="63" t="str">
        <f ca="1">_05preva_view43[[#This Row],[Folder Path3]]&amp;_05preva_view43[[#This Row],[File Name]]</f>
        <v>D:\OneDrive - apollo-towers.com\Apollo Towers\00-Process &amp; Database\Documentation\Colo Applications\Colo App Amara\AYYN_0620 (YGNDMSH008) Application Rev 1.xlsx</v>
      </c>
      <c r="BJ73" s="104"/>
      <c r="BK73" s="3"/>
      <c r="BL73" s="3"/>
      <c r="CJ73" s="5"/>
      <c r="CK73" s="5"/>
      <c r="CL73" s="3"/>
      <c r="CN73" s="5"/>
      <c r="CR73" s="3"/>
      <c r="CS73" s="3"/>
      <c r="CT73" s="5"/>
      <c r="CV73" s="3"/>
      <c r="DR73" s="5"/>
      <c r="DT73" s="3"/>
      <c r="EF73" s="7"/>
      <c r="EG73" s="7"/>
      <c r="EJ73" s="4"/>
      <c r="EK73" s="4"/>
      <c r="EU73" s="2"/>
      <c r="EV73" s="2"/>
    </row>
    <row r="74" spans="1:152">
      <c r="A74" s="287">
        <v>3565</v>
      </c>
      <c r="B74" s="288" t="s">
        <v>1118</v>
      </c>
      <c r="C74" s="288" t="s">
        <v>278</v>
      </c>
      <c r="D74" s="288" t="s">
        <v>127</v>
      </c>
      <c r="E74" s="288" t="s">
        <v>1119</v>
      </c>
      <c r="F74" s="288" t="s">
        <v>35</v>
      </c>
      <c r="G74" s="288" t="s">
        <v>1292</v>
      </c>
      <c r="H74" s="288" t="s">
        <v>1285</v>
      </c>
      <c r="I74" s="288" t="s">
        <v>790</v>
      </c>
      <c r="J74" s="288" t="s">
        <v>694</v>
      </c>
      <c r="K74" s="289">
        <v>43473</v>
      </c>
      <c r="L74" s="290">
        <v>1.9890000000000001</v>
      </c>
      <c r="M74" s="290">
        <v>3.6110000000000002</v>
      </c>
      <c r="N74" s="288">
        <v>5.21</v>
      </c>
      <c r="O74" s="288" t="s">
        <v>687</v>
      </c>
      <c r="P74" s="291" t="s">
        <v>993</v>
      </c>
      <c r="Q74" s="291" t="s">
        <v>994</v>
      </c>
      <c r="R74" s="288" t="s">
        <v>24</v>
      </c>
      <c r="S74" s="288"/>
      <c r="T74" s="292" t="s">
        <v>120</v>
      </c>
      <c r="U74" s="288"/>
      <c r="V74" s="292" t="s">
        <v>120</v>
      </c>
      <c r="W74" s="288"/>
      <c r="X74" s="292" t="s">
        <v>120</v>
      </c>
      <c r="Y74" s="288" t="s">
        <v>1519</v>
      </c>
      <c r="Z74" s="293" t="s">
        <v>120</v>
      </c>
      <c r="AA74" s="294"/>
      <c r="AB74" s="294"/>
      <c r="AC74" s="295" t="s">
        <v>123</v>
      </c>
      <c r="AD74" s="288" t="s">
        <v>1714</v>
      </c>
      <c r="AE74" s="292" t="s">
        <v>120</v>
      </c>
      <c r="AF74" s="289" t="s">
        <v>1423</v>
      </c>
      <c r="AG74" s="296"/>
      <c r="AH74" s="296"/>
      <c r="AI74" s="288" t="s">
        <v>1715</v>
      </c>
      <c r="AJ74" s="292" t="s">
        <v>120</v>
      </c>
      <c r="AK74" s="288" t="s">
        <v>123</v>
      </c>
      <c r="AL74" s="288" t="s">
        <v>935</v>
      </c>
      <c r="AM74" s="292"/>
      <c r="AN74" s="288"/>
      <c r="AO74" s="288"/>
      <c r="AP74" s="297"/>
      <c r="AQ74" s="288"/>
      <c r="AR74" s="292"/>
      <c r="AS74" s="288"/>
      <c r="AT74" s="289">
        <v>43474.500819675901</v>
      </c>
      <c r="AU74" s="289">
        <v>43479.735467476901</v>
      </c>
      <c r="AV74" s="289">
        <v>43479.504158680596</v>
      </c>
      <c r="AW74" s="289">
        <v>43474.500819675901</v>
      </c>
      <c r="AX74" s="289">
        <v>43480.732223148101</v>
      </c>
      <c r="AY74" s="289">
        <v>43475.973942361103</v>
      </c>
      <c r="AZ74" s="298">
        <v>43481.4125510417</v>
      </c>
      <c r="BA7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8.4125510416997713</v>
      </c>
      <c r="BB74" s="300">
        <f>COUNTIFS(_05preva_view43[Site ID],_05preva_view43[[#This Row],[Site ID]],_05preva_view43[Prevalidation Status],"Under Prevalidation")</f>
        <v>0</v>
      </c>
      <c r="BC7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4" s="302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4.xlsx</v>
      </c>
      <c r="BE74" s="64">
        <f t="shared" ca="1" si="2"/>
        <v>50</v>
      </c>
      <c r="BF74" s="104" t="str">
        <f ca="1">LEFT(CELL("filename",A59),_05preva_view43[[#This Row],[Find Process &amp; Database]]-1)</f>
        <v>D:\OneDrive - apollo-towers.com\Apollo Towers\00-</v>
      </c>
      <c r="BG74" s="104" t="str">
        <f ca="1">_05preva_view43[Folder Path1]&amp;"Process &amp; Database\Documentation\Colo Applications"</f>
        <v>D:\OneDrive - apollo-towers.com\Apollo Towers\00-Process &amp; Database\Documentation\Colo Applications</v>
      </c>
      <c r="BH7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4" s="63" t="str">
        <f ca="1">_05preva_view43[[#This Row],[Folder Path3]]&amp;_05preva_view43[[#This Row],[File Name]]</f>
        <v>D:\OneDrive - apollo-towers.com\Apollo Towers\00-Process &amp; Database\Documentation\Colo Applications\Colo App MPT\1-01-15009-006 (SHN00051) Application Rev 4.xlsx</v>
      </c>
      <c r="BJ74" s="104"/>
      <c r="BK74" s="3"/>
      <c r="BL74" s="3"/>
      <c r="CJ74" s="5"/>
      <c r="CK74" s="5"/>
      <c r="CL74" s="3"/>
      <c r="CN74" s="5"/>
      <c r="CR74" s="3"/>
      <c r="CS74" s="3"/>
      <c r="CT74" s="5"/>
      <c r="CV74" s="3"/>
      <c r="DR74" s="5"/>
      <c r="DT74" s="3"/>
      <c r="EF74" s="7"/>
      <c r="EG74" s="7"/>
      <c r="EJ74" s="4"/>
      <c r="EK74" s="4"/>
      <c r="EU74" s="2"/>
      <c r="EV74" s="2"/>
    </row>
    <row r="75" spans="1:152">
      <c r="A75" s="287">
        <v>3566</v>
      </c>
      <c r="B75" s="288" t="s">
        <v>1520</v>
      </c>
      <c r="C75" s="288" t="s">
        <v>278</v>
      </c>
      <c r="D75" s="288" t="s">
        <v>127</v>
      </c>
      <c r="E75" s="288" t="s">
        <v>1521</v>
      </c>
      <c r="F75" s="288" t="s">
        <v>35</v>
      </c>
      <c r="G75" s="288" t="s">
        <v>1292</v>
      </c>
      <c r="H75" s="288" t="s">
        <v>1285</v>
      </c>
      <c r="I75" s="288" t="s">
        <v>790</v>
      </c>
      <c r="J75" s="288" t="s">
        <v>668</v>
      </c>
      <c r="K75" s="289">
        <v>43473</v>
      </c>
      <c r="L75" s="290">
        <v>1.9890000000000001</v>
      </c>
      <c r="M75" s="290">
        <v>3.6110000000000002</v>
      </c>
      <c r="N75" s="288">
        <v>4.7300000000000004</v>
      </c>
      <c r="O75" s="288" t="s">
        <v>687</v>
      </c>
      <c r="P75" s="291" t="s">
        <v>695</v>
      </c>
      <c r="Q75" s="291" t="s">
        <v>696</v>
      </c>
      <c r="R75" s="288" t="s">
        <v>24</v>
      </c>
      <c r="S75" s="288"/>
      <c r="T75" s="292" t="s">
        <v>120</v>
      </c>
      <c r="U75" s="288"/>
      <c r="V75" s="292" t="s">
        <v>120</v>
      </c>
      <c r="W75" s="288"/>
      <c r="X75" s="292" t="s">
        <v>120</v>
      </c>
      <c r="Y75" s="288" t="s">
        <v>1522</v>
      </c>
      <c r="Z75" s="293" t="s">
        <v>120</v>
      </c>
      <c r="AA75" s="294"/>
      <c r="AB75" s="294"/>
      <c r="AC75" s="295" t="s">
        <v>123</v>
      </c>
      <c r="AD75" s="288" t="s">
        <v>1716</v>
      </c>
      <c r="AE75" s="292" t="s">
        <v>120</v>
      </c>
      <c r="AF75" s="289" t="s">
        <v>1717</v>
      </c>
      <c r="AG75" s="296"/>
      <c r="AH75" s="296"/>
      <c r="AI75" s="288" t="s">
        <v>1718</v>
      </c>
      <c r="AJ75" s="292" t="s">
        <v>120</v>
      </c>
      <c r="AK75" s="288" t="s">
        <v>123</v>
      </c>
      <c r="AL75" s="288" t="s">
        <v>935</v>
      </c>
      <c r="AM75" s="292"/>
      <c r="AN75" s="288"/>
      <c r="AO75" s="288"/>
      <c r="AP75" s="297"/>
      <c r="AQ75" s="288"/>
      <c r="AR75" s="292"/>
      <c r="AS75" s="288"/>
      <c r="AT75" s="289">
        <v>43474.500821412003</v>
      </c>
      <c r="AU75" s="289">
        <v>43481.501133796301</v>
      </c>
      <c r="AV75" s="289">
        <v>43479.504159374999</v>
      </c>
      <c r="AW75" s="289">
        <v>43474.500821412003</v>
      </c>
      <c r="AX75" s="289">
        <v>43480.732223726904</v>
      </c>
      <c r="AY75" s="289">
        <v>43475.972884374998</v>
      </c>
      <c r="AZ75" s="298">
        <v>43481.630474305603</v>
      </c>
      <c r="BA7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8.6304743056025472</v>
      </c>
      <c r="BB75" s="300">
        <f>COUNTIFS(_05preva_view43[Site ID],_05preva_view43[[#This Row],[Site ID]],_05preva_view43[Prevalidation Status],"Under Prevalidation")</f>
        <v>0</v>
      </c>
      <c r="BC7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5" s="302" t="str">
        <f>CONCATENATE(_05preva_view43[[#This Row],[Site ID]]," (",_05preva_view43[[#This Row],[tenant id]],") Application",IF(_05preva_view43[[#This Row],[Colo Rev]]&gt;0," Rev "&amp;_05preva_view43[[#This Row],[Colo Rev]],""),".xlsx")</f>
        <v>1-01-15002-002 (SHN00062) Application Rev 1.xlsx</v>
      </c>
      <c r="BE75" s="64">
        <f t="shared" ca="1" si="2"/>
        <v>50</v>
      </c>
      <c r="BF75" s="104" t="str">
        <f ca="1">LEFT(CELL("filename",A60),_05preva_view43[[#This Row],[Find Process &amp; Database]]-1)</f>
        <v>D:\OneDrive - apollo-towers.com\Apollo Towers\00-</v>
      </c>
      <c r="BG75" s="104" t="str">
        <f ca="1">_05preva_view43[Folder Path1]&amp;"Process &amp; Database\Documentation\Colo Applications"</f>
        <v>D:\OneDrive - apollo-towers.com\Apollo Towers\00-Process &amp; Database\Documentation\Colo Applications</v>
      </c>
      <c r="BH7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5" s="63" t="str">
        <f ca="1">_05preva_view43[[#This Row],[Folder Path3]]&amp;_05preva_view43[[#This Row],[File Name]]</f>
        <v>D:\OneDrive - apollo-towers.com\Apollo Towers\00-Process &amp; Database\Documentation\Colo Applications\Colo App MPT\1-01-15002-002 (SHN00062) Application Rev 1.xlsx</v>
      </c>
      <c r="BJ75" s="104"/>
      <c r="BK75" s="3"/>
      <c r="BL75" s="3"/>
      <c r="CJ75" s="5"/>
      <c r="CK75" s="5"/>
      <c r="CL75" s="3"/>
      <c r="CN75" s="5"/>
      <c r="CR75" s="3"/>
      <c r="CS75" s="3"/>
      <c r="CT75" s="5"/>
      <c r="CV75" s="3"/>
      <c r="DR75" s="5"/>
      <c r="DT75" s="3"/>
      <c r="EF75" s="7"/>
      <c r="EG75" s="7"/>
      <c r="EJ75" s="4"/>
      <c r="EK75" s="4"/>
      <c r="EU75" s="2"/>
      <c r="EV75" s="2"/>
    </row>
    <row r="76" spans="1:152">
      <c r="A76" s="287">
        <v>3567</v>
      </c>
      <c r="B76" s="288" t="s">
        <v>1523</v>
      </c>
      <c r="C76" s="288" t="s">
        <v>278</v>
      </c>
      <c r="D76" s="288" t="s">
        <v>127</v>
      </c>
      <c r="E76" s="288" t="s">
        <v>1524</v>
      </c>
      <c r="F76" s="288" t="s">
        <v>35</v>
      </c>
      <c r="G76" s="288" t="s">
        <v>1292</v>
      </c>
      <c r="H76" s="288" t="s">
        <v>1285</v>
      </c>
      <c r="I76" s="288" t="s">
        <v>790</v>
      </c>
      <c r="J76" s="288" t="s">
        <v>686</v>
      </c>
      <c r="K76" s="289">
        <v>43473</v>
      </c>
      <c r="L76" s="290">
        <v>2.0590000000000002</v>
      </c>
      <c r="M76" s="290">
        <v>3.6110000000000002</v>
      </c>
      <c r="N76" s="288">
        <v>5.47</v>
      </c>
      <c r="O76" s="288" t="s">
        <v>687</v>
      </c>
      <c r="P76" s="291" t="s">
        <v>1525</v>
      </c>
      <c r="Q76" s="291" t="s">
        <v>1526</v>
      </c>
      <c r="R76" s="288" t="s">
        <v>24</v>
      </c>
      <c r="S76" s="288"/>
      <c r="T76" s="292" t="s">
        <v>120</v>
      </c>
      <c r="U76" s="288"/>
      <c r="V76" s="292" t="s">
        <v>120</v>
      </c>
      <c r="W76" s="288"/>
      <c r="X76" s="292" t="s">
        <v>120</v>
      </c>
      <c r="Y76" s="288" t="s">
        <v>1527</v>
      </c>
      <c r="Z76" s="293" t="s">
        <v>141</v>
      </c>
      <c r="AA76" s="294"/>
      <c r="AB76" s="294"/>
      <c r="AC76" s="295" t="s">
        <v>123</v>
      </c>
      <c r="AD76" s="288" t="s">
        <v>1719</v>
      </c>
      <c r="AE76" s="292" t="s">
        <v>120</v>
      </c>
      <c r="AF76" s="289" t="s">
        <v>1717</v>
      </c>
      <c r="AG76" s="296"/>
      <c r="AH76" s="296"/>
      <c r="AI76" s="288" t="s">
        <v>1720</v>
      </c>
      <c r="AJ76" s="292" t="s">
        <v>120</v>
      </c>
      <c r="AK76" s="288" t="s">
        <v>123</v>
      </c>
      <c r="AL76" s="288" t="s">
        <v>935</v>
      </c>
      <c r="AM76" s="292"/>
      <c r="AN76" s="288"/>
      <c r="AO76" s="288"/>
      <c r="AP76" s="297"/>
      <c r="AQ76" s="288"/>
      <c r="AR76" s="292" t="s">
        <v>1548</v>
      </c>
      <c r="AS76" s="288" t="s">
        <v>1765</v>
      </c>
      <c r="AT76" s="289">
        <v>43474.500823379603</v>
      </c>
      <c r="AU76" s="289">
        <v>43481.501134375001</v>
      </c>
      <c r="AV76" s="289"/>
      <c r="AW76" s="289">
        <v>43474.500823379603</v>
      </c>
      <c r="AX76" s="289">
        <v>43480.732230208298</v>
      </c>
      <c r="AY76" s="289">
        <v>43475.972885763898</v>
      </c>
      <c r="AZ76" s="298">
        <v>43488.480394560203</v>
      </c>
      <c r="BA7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15.480394560203422</v>
      </c>
      <c r="BB76" s="300">
        <f>COUNTIFS(_05preva_view43[Site ID],_05preva_view43[[#This Row],[Site ID]],_05preva_view43[Prevalidation Status],"Under Prevalidation")</f>
        <v>0</v>
      </c>
      <c r="BC7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6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1-01-14007-013 (SHN00081) Application Rev 2.xlsx</v>
      </c>
      <c r="BE76" s="64">
        <f t="shared" ca="1" si="2"/>
        <v>50</v>
      </c>
      <c r="BF76" s="104" t="str">
        <f ca="1">LEFT(CELL("filename",A61),_05preva_view43[[#This Row],[Find Process &amp; Database]]-1)</f>
        <v>D:\OneDrive - apollo-towers.com\Apollo Towers\00-</v>
      </c>
      <c r="BG76" s="104" t="str">
        <f ca="1">_05preva_view43[Folder Path1]&amp;"Process &amp; Database\Documentation\Colo Applications"</f>
        <v>D:\OneDrive - apollo-towers.com\Apollo Towers\00-Process &amp; Database\Documentation\Colo Applications</v>
      </c>
      <c r="BH7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76" s="63" t="str">
        <f ca="1">_05preva_view43[[#This Row],[Folder Path3]]&amp;_05preva_view43[[#This Row],[File Name]]</f>
        <v>D:\OneDrive - apollo-towers.com\Apollo Towers\00-Process &amp; Database\Documentation\Colo Applications\Colo App MPT\1-01-14007-013 (SHN00081) Application Rev 2.xlsx</v>
      </c>
      <c r="BJ76" s="104"/>
      <c r="BK76" s="3"/>
      <c r="BL76" s="3"/>
      <c r="CJ76" s="5"/>
      <c r="CK76" s="5"/>
      <c r="CL76" s="3"/>
      <c r="CN76" s="5"/>
      <c r="CR76" s="3"/>
      <c r="CS76" s="3"/>
      <c r="CT76" s="5"/>
      <c r="CV76" s="3"/>
      <c r="DR76" s="5"/>
      <c r="DT76" s="3"/>
      <c r="EF76" s="7"/>
      <c r="EG76" s="7"/>
      <c r="EJ76" s="4"/>
      <c r="EK76" s="4"/>
      <c r="EU76" s="2"/>
      <c r="EV76" s="2"/>
    </row>
    <row r="77" spans="1:152">
      <c r="A77" s="287">
        <v>3568</v>
      </c>
      <c r="B77" s="288" t="s">
        <v>1528</v>
      </c>
      <c r="C77" s="288" t="s">
        <v>116</v>
      </c>
      <c r="D77" s="288" t="s">
        <v>153</v>
      </c>
      <c r="E77" s="288" t="s">
        <v>1529</v>
      </c>
      <c r="F77" s="288" t="s">
        <v>41</v>
      </c>
      <c r="G77" s="288" t="s">
        <v>1286</v>
      </c>
      <c r="H77" s="288" t="s">
        <v>1285</v>
      </c>
      <c r="I77" s="288" t="s">
        <v>949</v>
      </c>
      <c r="J77" s="288" t="s">
        <v>668</v>
      </c>
      <c r="K77" s="289">
        <v>43473</v>
      </c>
      <c r="L77" s="290">
        <v>3.8</v>
      </c>
      <c r="M77" s="290"/>
      <c r="N77" s="288">
        <v>3</v>
      </c>
      <c r="O77" s="288" t="s">
        <v>119</v>
      </c>
      <c r="P77" s="291" t="s">
        <v>962</v>
      </c>
      <c r="Q77" s="291"/>
      <c r="R77" s="288" t="s">
        <v>24</v>
      </c>
      <c r="S77" s="288"/>
      <c r="T77" s="292" t="s">
        <v>120</v>
      </c>
      <c r="U77" s="288" t="s">
        <v>1566</v>
      </c>
      <c r="V77" s="292" t="s">
        <v>120</v>
      </c>
      <c r="W77" s="288"/>
      <c r="X77" s="292" t="s">
        <v>120</v>
      </c>
      <c r="Y77" s="288" t="s">
        <v>1530</v>
      </c>
      <c r="Z77" s="293" t="s">
        <v>120</v>
      </c>
      <c r="AA77" s="294"/>
      <c r="AB77" s="294"/>
      <c r="AC77" s="295"/>
      <c r="AD77" s="288" t="s">
        <v>1563</v>
      </c>
      <c r="AE77" s="292" t="s">
        <v>120</v>
      </c>
      <c r="AF77" s="289" t="s">
        <v>904</v>
      </c>
      <c r="AG77" s="296"/>
      <c r="AH77" s="296"/>
      <c r="AI77" s="288" t="s">
        <v>1134</v>
      </c>
      <c r="AJ77" s="292" t="s">
        <v>120</v>
      </c>
      <c r="AK77" s="288" t="s">
        <v>123</v>
      </c>
      <c r="AL77" s="288" t="s">
        <v>935</v>
      </c>
      <c r="AM77" s="292"/>
      <c r="AN77" s="288"/>
      <c r="AO77" s="288"/>
      <c r="AP77" s="297"/>
      <c r="AQ77" s="288"/>
      <c r="AR77" s="292" t="s">
        <v>120</v>
      </c>
      <c r="AS77" s="288" t="s">
        <v>1564</v>
      </c>
      <c r="AT77" s="289">
        <v>43474.500825231502</v>
      </c>
      <c r="AU77" s="289">
        <v>43479.735470717598</v>
      </c>
      <c r="AV77" s="289">
        <v>43475.588293287001</v>
      </c>
      <c r="AW77" s="289">
        <v>43474.500825231502</v>
      </c>
      <c r="AX77" s="289">
        <v>43475.646645023102</v>
      </c>
      <c r="AY77" s="289">
        <v>43473.725857638899</v>
      </c>
      <c r="AZ77" s="298">
        <v>43476.400667013899</v>
      </c>
      <c r="BA7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3.4006670138987829</v>
      </c>
      <c r="BB77" s="300">
        <f>COUNTIFS(_05preva_view43[Site ID],_05preva_view43[[#This Row],[Site ID]],_05preva_view43[Prevalidation Status],"Under Prevalidation")</f>
        <v>0</v>
      </c>
      <c r="BC7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7" s="302" t="str">
        <f>CONCATENATE(_05preva_view43[[#This Row],[Site ID]]," (",_05preva_view43[[#This Row],[tenant id]],") Application",IF(_05preva_view43[[#This Row],[Colo Rev]]&gt;0," Rev "&amp;_05preva_view43[[#This Row],[Colo Rev]],""),".xlsx")</f>
        <v>AYYN_0284 (YGNINSN005) Application Rev 1.xlsx</v>
      </c>
      <c r="BE77" s="64">
        <f t="shared" ca="1" si="2"/>
        <v>50</v>
      </c>
      <c r="BF77" s="104" t="str">
        <f ca="1">LEFT(CELL("filename",A62),_05preva_view43[[#This Row],[Find Process &amp; Database]]-1)</f>
        <v>D:\OneDrive - apollo-towers.com\Apollo Towers\00-</v>
      </c>
      <c r="BG77" s="104" t="str">
        <f ca="1">_05preva_view43[Folder Path1]&amp;"Process &amp; Database\Documentation\Colo Applications"</f>
        <v>D:\OneDrive - apollo-towers.com\Apollo Towers\00-Process &amp; Database\Documentation\Colo Applications</v>
      </c>
      <c r="BH7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77" s="63" t="str">
        <f ca="1">_05preva_view43[[#This Row],[Folder Path3]]&amp;_05preva_view43[[#This Row],[File Name]]</f>
        <v>D:\OneDrive - apollo-towers.com\Apollo Towers\00-Process &amp; Database\Documentation\Colo Applications\Colo App Amara\AYYN_0284 (YGNINSN005) Application Rev 1.xlsx</v>
      </c>
      <c r="BJ77" s="104"/>
      <c r="BK77" s="3"/>
      <c r="BL77" s="3"/>
      <c r="CJ77" s="5"/>
      <c r="CK77" s="5"/>
      <c r="CL77" s="3"/>
      <c r="CN77" s="5"/>
      <c r="CR77" s="3"/>
      <c r="CS77" s="3"/>
      <c r="CT77" s="5"/>
      <c r="CV77" s="3"/>
      <c r="DR77" s="5"/>
      <c r="DT77" s="3"/>
      <c r="EF77" s="7"/>
      <c r="EG77" s="7"/>
      <c r="EJ77" s="4"/>
      <c r="EK77" s="4"/>
      <c r="EU77" s="2"/>
      <c r="EV77" s="2"/>
    </row>
    <row r="78" spans="1:152">
      <c r="A78" s="287">
        <v>3569</v>
      </c>
      <c r="B78" s="288" t="s">
        <v>1531</v>
      </c>
      <c r="C78" s="288" t="s">
        <v>116</v>
      </c>
      <c r="D78" s="288" t="s">
        <v>153</v>
      </c>
      <c r="E78" s="288" t="s">
        <v>1532</v>
      </c>
      <c r="F78" s="288" t="s">
        <v>41</v>
      </c>
      <c r="G78" s="288" t="s">
        <v>1286</v>
      </c>
      <c r="H78" s="288" t="s">
        <v>1285</v>
      </c>
      <c r="I78" s="288" t="s">
        <v>949</v>
      </c>
      <c r="J78" s="288" t="s">
        <v>668</v>
      </c>
      <c r="K78" s="289">
        <v>43473</v>
      </c>
      <c r="L78" s="290">
        <v>2.5</v>
      </c>
      <c r="M78" s="290"/>
      <c r="N78" s="288">
        <v>3</v>
      </c>
      <c r="O78" s="288" t="s">
        <v>119</v>
      </c>
      <c r="P78" s="291" t="s">
        <v>281</v>
      </c>
      <c r="Q78" s="291" t="s">
        <v>647</v>
      </c>
      <c r="R78" s="288" t="s">
        <v>24</v>
      </c>
      <c r="S78" s="288"/>
      <c r="T78" s="292" t="s">
        <v>120</v>
      </c>
      <c r="U78" s="288" t="s">
        <v>1567</v>
      </c>
      <c r="V78" s="292" t="s">
        <v>120</v>
      </c>
      <c r="W78" s="288"/>
      <c r="X78" s="292" t="s">
        <v>120</v>
      </c>
      <c r="Y78" s="288" t="s">
        <v>1533</v>
      </c>
      <c r="Z78" s="293" t="s">
        <v>120</v>
      </c>
      <c r="AA78" s="294"/>
      <c r="AB78" s="294"/>
      <c r="AC78" s="295"/>
      <c r="AD78" s="288" t="s">
        <v>1563</v>
      </c>
      <c r="AE78" s="292" t="s">
        <v>120</v>
      </c>
      <c r="AF78" s="289" t="s">
        <v>904</v>
      </c>
      <c r="AG78" s="296"/>
      <c r="AH78" s="296"/>
      <c r="AI78" s="288" t="s">
        <v>1134</v>
      </c>
      <c r="AJ78" s="292" t="s">
        <v>120</v>
      </c>
      <c r="AK78" s="288" t="s">
        <v>123</v>
      </c>
      <c r="AL78" s="288" t="s">
        <v>935</v>
      </c>
      <c r="AM78" s="292"/>
      <c r="AN78" s="288"/>
      <c r="AO78" s="288"/>
      <c r="AP78" s="297"/>
      <c r="AQ78" s="288"/>
      <c r="AR78" s="292" t="s">
        <v>120</v>
      </c>
      <c r="AS78" s="288" t="s">
        <v>1564</v>
      </c>
      <c r="AT78" s="289">
        <v>43474.500826967596</v>
      </c>
      <c r="AU78" s="289">
        <v>43479.7354710648</v>
      </c>
      <c r="AV78" s="289">
        <v>43475.588293749999</v>
      </c>
      <c r="AW78" s="289">
        <v>43474.500826967596</v>
      </c>
      <c r="AX78" s="289">
        <v>43475.646649189803</v>
      </c>
      <c r="AY78" s="289">
        <v>43473.725860185201</v>
      </c>
      <c r="AZ78" s="298">
        <v>43476.400668865703</v>
      </c>
      <c r="BA7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3.4006688657027553</v>
      </c>
      <c r="BB78" s="300">
        <f>COUNTIFS(_05preva_view43[Site ID],_05preva_view43[[#This Row],[Site ID]],_05preva_view43[Prevalidation Status],"Under Prevalidation")</f>
        <v>0</v>
      </c>
      <c r="BC7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8" s="302" t="str">
        <f>CONCATENATE(_05preva_view43[[#This Row],[Site ID]]," (",_05preva_view43[[#This Row],[tenant id]],") Application",IF(_05preva_view43[[#This Row],[Colo Rev]]&gt;0," Rev "&amp;_05preva_view43[[#This Row],[Colo Rev]],""),".xlsx")</f>
        <v>AYYN_0575 (YGNSPTR001) Application Rev 1.xlsx</v>
      </c>
      <c r="BE78" s="64">
        <f t="shared" ca="1" si="2"/>
        <v>50</v>
      </c>
      <c r="BF78" s="104" t="str">
        <f ca="1">LEFT(CELL("filename",A63),_05preva_view43[[#This Row],[Find Process &amp; Database]]-1)</f>
        <v>D:\OneDrive - apollo-towers.com\Apollo Towers\00-</v>
      </c>
      <c r="BG78" s="104" t="str">
        <f ca="1">_05preva_view43[Folder Path1]&amp;"Process &amp; Database\Documentation\Colo Applications"</f>
        <v>D:\OneDrive - apollo-towers.com\Apollo Towers\00-Process &amp; Database\Documentation\Colo Applications</v>
      </c>
      <c r="BH7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78" s="63" t="str">
        <f ca="1">_05preva_view43[[#This Row],[Folder Path3]]&amp;_05preva_view43[[#This Row],[File Name]]</f>
        <v>D:\OneDrive - apollo-towers.com\Apollo Towers\00-Process &amp; Database\Documentation\Colo Applications\Colo App Amara\AYYN_0575 (YGNSPTR001) Application Rev 1.xlsx</v>
      </c>
      <c r="BJ78" s="104"/>
      <c r="BK78" s="3"/>
      <c r="BL78" s="3"/>
      <c r="CJ78" s="5"/>
      <c r="CK78" s="5"/>
      <c r="CL78" s="3"/>
      <c r="CN78" s="5"/>
      <c r="CR78" s="3"/>
      <c r="CS78" s="3"/>
      <c r="CT78" s="5"/>
      <c r="CV78" s="3"/>
      <c r="DR78" s="5"/>
      <c r="DT78" s="3"/>
      <c r="EF78" s="7"/>
      <c r="EG78" s="7"/>
      <c r="EJ78" s="4"/>
      <c r="EK78" s="4"/>
      <c r="EU78" s="2"/>
      <c r="EV78" s="2"/>
    </row>
    <row r="79" spans="1:152">
      <c r="A79" s="287">
        <v>3570</v>
      </c>
      <c r="B79" s="288" t="s">
        <v>1534</v>
      </c>
      <c r="C79" s="288" t="s">
        <v>116</v>
      </c>
      <c r="D79" s="288" t="s">
        <v>153</v>
      </c>
      <c r="E79" s="288" t="s">
        <v>1535</v>
      </c>
      <c r="F79" s="288" t="s">
        <v>41</v>
      </c>
      <c r="G79" s="288" t="s">
        <v>1286</v>
      </c>
      <c r="H79" s="288" t="s">
        <v>1285</v>
      </c>
      <c r="I79" s="288" t="s">
        <v>949</v>
      </c>
      <c r="J79" s="288" t="s">
        <v>668</v>
      </c>
      <c r="K79" s="289">
        <v>43473</v>
      </c>
      <c r="L79" s="290">
        <v>2.5</v>
      </c>
      <c r="M79" s="290"/>
      <c r="N79" s="288">
        <v>3</v>
      </c>
      <c r="O79" s="288" t="s">
        <v>119</v>
      </c>
      <c r="P79" s="291" t="s">
        <v>962</v>
      </c>
      <c r="Q79" s="291"/>
      <c r="R79" s="288" t="s">
        <v>24</v>
      </c>
      <c r="S79" s="288"/>
      <c r="T79" s="292" t="s">
        <v>120</v>
      </c>
      <c r="U79" s="288" t="s">
        <v>1568</v>
      </c>
      <c r="V79" s="292" t="s">
        <v>120</v>
      </c>
      <c r="W79" s="288"/>
      <c r="X79" s="292" t="s">
        <v>120</v>
      </c>
      <c r="Y79" s="288" t="s">
        <v>1536</v>
      </c>
      <c r="Z79" s="293" t="s">
        <v>120</v>
      </c>
      <c r="AA79" s="294"/>
      <c r="AB79" s="294"/>
      <c r="AC79" s="295"/>
      <c r="AD79" s="288" t="s">
        <v>1563</v>
      </c>
      <c r="AE79" s="292" t="s">
        <v>120</v>
      </c>
      <c r="AF79" s="289" t="s">
        <v>904</v>
      </c>
      <c r="AG79" s="296"/>
      <c r="AH79" s="296"/>
      <c r="AI79" s="288" t="s">
        <v>1134</v>
      </c>
      <c r="AJ79" s="292" t="s">
        <v>120</v>
      </c>
      <c r="AK79" s="288" t="s">
        <v>123</v>
      </c>
      <c r="AL79" s="288" t="s">
        <v>935</v>
      </c>
      <c r="AM79" s="292"/>
      <c r="AN79" s="288"/>
      <c r="AO79" s="288"/>
      <c r="AP79" s="297"/>
      <c r="AQ79" s="288"/>
      <c r="AR79" s="292" t="s">
        <v>120</v>
      </c>
      <c r="AS79" s="288" t="s">
        <v>1564</v>
      </c>
      <c r="AT79" s="289">
        <v>43474.500828935197</v>
      </c>
      <c r="AU79" s="289">
        <v>43479.735471527798</v>
      </c>
      <c r="AV79" s="289">
        <v>43475.588294097201</v>
      </c>
      <c r="AW79" s="289">
        <v>43474.500828935197</v>
      </c>
      <c r="AX79" s="289">
        <v>43475.646653009302</v>
      </c>
      <c r="AY79" s="289">
        <v>43473.725861574101</v>
      </c>
      <c r="AZ79" s="298">
        <v>43476.400671064803</v>
      </c>
      <c r="BA7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3.4006710648027365</v>
      </c>
      <c r="BB79" s="300">
        <f>COUNTIFS(_05preva_view43[Site ID],_05preva_view43[[#This Row],[Site ID]],_05preva_view43[Prevalidation Status],"Under Prevalidation")</f>
        <v>0</v>
      </c>
      <c r="BC7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79" s="302" t="str">
        <f>CONCATENATE(_05preva_view43[[#This Row],[Site ID]]," (",_05preva_view43[[#This Row],[tenant id]],") Application",IF(_05preva_view43[[#This Row],[Colo Rev]]&gt;0," Rev "&amp;_05preva_view43[[#This Row],[Colo Rev]],""),".xlsx")</f>
        <v>AYYN_0403 (YGNTKTA002) Application Rev 1.xlsx</v>
      </c>
      <c r="BE79" s="64">
        <f t="shared" ca="1" si="2"/>
        <v>50</v>
      </c>
      <c r="BF79" s="104" t="str">
        <f ca="1">LEFT(CELL("filename",A64),_05preva_view43[[#This Row],[Find Process &amp; Database]]-1)</f>
        <v>D:\OneDrive - apollo-towers.com\Apollo Towers\00-</v>
      </c>
      <c r="BG79" s="104" t="str">
        <f ca="1">_05preva_view43[Folder Path1]&amp;"Process &amp; Database\Documentation\Colo Applications"</f>
        <v>D:\OneDrive - apollo-towers.com\Apollo Towers\00-Process &amp; Database\Documentation\Colo Applications</v>
      </c>
      <c r="BH7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79" s="63" t="str">
        <f ca="1">_05preva_view43[[#This Row],[Folder Path3]]&amp;_05preva_view43[[#This Row],[File Name]]</f>
        <v>D:\OneDrive - apollo-towers.com\Apollo Towers\00-Process &amp; Database\Documentation\Colo Applications\Colo App Amara\AYYN_0403 (YGNTKTA002) Application Rev 1.xlsx</v>
      </c>
      <c r="BJ79" s="104"/>
      <c r="BK79" s="3"/>
      <c r="BL79" s="3"/>
      <c r="CJ79" s="5"/>
      <c r="CK79" s="5"/>
      <c r="CL79" s="3"/>
      <c r="CN79" s="5"/>
      <c r="CR79" s="3"/>
      <c r="CS79" s="3"/>
      <c r="CT79" s="5"/>
      <c r="CV79" s="3"/>
      <c r="DR79" s="5"/>
      <c r="DT79" s="3"/>
      <c r="EF79" s="7"/>
      <c r="EG79" s="7"/>
      <c r="EJ79" s="4"/>
      <c r="EK79" s="4"/>
      <c r="EU79" s="2"/>
      <c r="EV79" s="2"/>
    </row>
    <row r="80" spans="1:152">
      <c r="A80" s="287">
        <v>3571</v>
      </c>
      <c r="B80" s="288" t="s">
        <v>1537</v>
      </c>
      <c r="C80" s="288" t="s">
        <v>116</v>
      </c>
      <c r="D80" s="288" t="s">
        <v>153</v>
      </c>
      <c r="E80" s="288" t="s">
        <v>1538</v>
      </c>
      <c r="F80" s="288" t="s">
        <v>41</v>
      </c>
      <c r="G80" s="288" t="s">
        <v>1286</v>
      </c>
      <c r="H80" s="288" t="s">
        <v>1285</v>
      </c>
      <c r="I80" s="288" t="s">
        <v>949</v>
      </c>
      <c r="J80" s="288" t="s">
        <v>668</v>
      </c>
      <c r="K80" s="289">
        <v>43473</v>
      </c>
      <c r="L80" s="290">
        <v>1.1000000000000001</v>
      </c>
      <c r="M80" s="290"/>
      <c r="N80" s="288">
        <v>3</v>
      </c>
      <c r="O80" s="288" t="s">
        <v>119</v>
      </c>
      <c r="P80" s="291" t="s">
        <v>246</v>
      </c>
      <c r="Q80" s="291" t="s">
        <v>247</v>
      </c>
      <c r="R80" s="288" t="s">
        <v>24</v>
      </c>
      <c r="S80" s="288"/>
      <c r="T80" s="292" t="s">
        <v>120</v>
      </c>
      <c r="U80" s="288" t="s">
        <v>1569</v>
      </c>
      <c r="V80" s="292" t="s">
        <v>120</v>
      </c>
      <c r="W80" s="288"/>
      <c r="X80" s="292" t="s">
        <v>120</v>
      </c>
      <c r="Y80" s="288" t="s">
        <v>1539</v>
      </c>
      <c r="Z80" s="293" t="s">
        <v>120</v>
      </c>
      <c r="AA80" s="294"/>
      <c r="AB80" s="294"/>
      <c r="AC80" s="295"/>
      <c r="AD80" s="288" t="s">
        <v>1563</v>
      </c>
      <c r="AE80" s="292" t="s">
        <v>120</v>
      </c>
      <c r="AF80" s="289" t="s">
        <v>904</v>
      </c>
      <c r="AG80" s="296"/>
      <c r="AH80" s="296"/>
      <c r="AI80" s="288" t="s">
        <v>1134</v>
      </c>
      <c r="AJ80" s="292" t="s">
        <v>120</v>
      </c>
      <c r="AK80" s="288" t="s">
        <v>123</v>
      </c>
      <c r="AL80" s="288" t="s">
        <v>935</v>
      </c>
      <c r="AM80" s="292"/>
      <c r="AN80" s="288"/>
      <c r="AO80" s="288"/>
      <c r="AP80" s="297"/>
      <c r="AQ80" s="288"/>
      <c r="AR80" s="292" t="s">
        <v>120</v>
      </c>
      <c r="AS80" s="288" t="s">
        <v>1564</v>
      </c>
      <c r="AT80" s="289">
        <v>43474.500830671299</v>
      </c>
      <c r="AU80" s="289">
        <v>43479.735474189802</v>
      </c>
      <c r="AV80" s="289">
        <v>43475.588294675901</v>
      </c>
      <c r="AW80" s="289">
        <v>43474.500830671299</v>
      </c>
      <c r="AX80" s="289">
        <v>43475.646653703698</v>
      </c>
      <c r="AY80" s="289">
        <v>43473.725863194399</v>
      </c>
      <c r="AZ80" s="298">
        <v>43476.400672916701</v>
      </c>
      <c r="BA8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3.4006729167012963</v>
      </c>
      <c r="BB80" s="300">
        <f>COUNTIFS(_05preva_view43[Site ID],_05preva_view43[[#This Row],[Site ID]],_05preva_view43[Prevalidation Status],"Under Prevalidation")</f>
        <v>0</v>
      </c>
      <c r="BC8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0" s="302" t="str">
        <f>CONCATENATE(_05preva_view43[[#This Row],[Site ID]]," (",_05preva_view43[[#This Row],[tenant id]],") Application",IF(_05preva_view43[[#This Row],[Colo Rev]]&gt;0," Rev "&amp;_05preva_view43[[#This Row],[Colo Rev]],""),".xlsx")</f>
        <v>AYYN_0570 (YGNSPTR022) Application Rev 1.xlsx</v>
      </c>
      <c r="BE80" s="64">
        <f t="shared" ref="BE80:BE143" ca="1" si="3">FIND("Process &amp; Database\",CELL("filename",$A$1))</f>
        <v>50</v>
      </c>
      <c r="BF80" s="104" t="str">
        <f ca="1">LEFT(CELL("filename",A65),_05preva_view43[[#This Row],[Find Process &amp; Database]]-1)</f>
        <v>D:\OneDrive - apollo-towers.com\Apollo Towers\00-</v>
      </c>
      <c r="BG80" s="104" t="str">
        <f ca="1">_05preva_view43[Folder Path1]&amp;"Process &amp; Database\Documentation\Colo Applications"</f>
        <v>D:\OneDrive - apollo-towers.com\Apollo Towers\00-Process &amp; Database\Documentation\Colo Applications</v>
      </c>
      <c r="BH8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80" s="63" t="str">
        <f ca="1">_05preva_view43[[#This Row],[Folder Path3]]&amp;_05preva_view43[[#This Row],[File Name]]</f>
        <v>D:\OneDrive - apollo-towers.com\Apollo Towers\00-Process &amp; Database\Documentation\Colo Applications\Colo App Amara\AYYN_0570 (YGNSPTR022) Application Rev 1.xlsx</v>
      </c>
      <c r="BJ80" s="104"/>
      <c r="BK80" s="3"/>
      <c r="BL80" s="3"/>
      <c r="CJ80" s="5"/>
      <c r="CK80" s="5"/>
      <c r="CL80" s="3"/>
      <c r="CN80" s="5"/>
      <c r="CR80" s="3"/>
      <c r="CS80" s="3"/>
      <c r="CT80" s="5"/>
      <c r="CV80" s="3"/>
      <c r="DR80" s="5"/>
      <c r="DT80" s="3"/>
      <c r="EF80" s="7"/>
      <c r="EG80" s="7"/>
      <c r="EJ80" s="4"/>
      <c r="EK80" s="4"/>
      <c r="EU80" s="2"/>
      <c r="EV80" s="2"/>
    </row>
    <row r="81" spans="1:152">
      <c r="A81" s="287">
        <v>3554</v>
      </c>
      <c r="B81" s="288" t="s">
        <v>1478</v>
      </c>
      <c r="C81" s="288" t="s">
        <v>278</v>
      </c>
      <c r="D81" s="288" t="s">
        <v>117</v>
      </c>
      <c r="E81" s="288" t="s">
        <v>1479</v>
      </c>
      <c r="F81" s="288" t="s">
        <v>35</v>
      </c>
      <c r="G81" s="288" t="s">
        <v>1292</v>
      </c>
      <c r="H81" s="288" t="s">
        <v>1285</v>
      </c>
      <c r="I81" s="288" t="s">
        <v>790</v>
      </c>
      <c r="J81" s="288" t="s">
        <v>727</v>
      </c>
      <c r="K81" s="289">
        <v>43472</v>
      </c>
      <c r="L81" s="290">
        <v>3.44</v>
      </c>
      <c r="M81" s="290">
        <v>4.3</v>
      </c>
      <c r="N81" s="288">
        <v>5.12</v>
      </c>
      <c r="O81" s="288" t="s">
        <v>687</v>
      </c>
      <c r="P81" s="291" t="s">
        <v>766</v>
      </c>
      <c r="Q81" s="291" t="s">
        <v>1480</v>
      </c>
      <c r="R81" s="288" t="s">
        <v>24</v>
      </c>
      <c r="S81" s="288"/>
      <c r="T81" s="292" t="s">
        <v>120</v>
      </c>
      <c r="U81" s="288"/>
      <c r="V81" s="292" t="s">
        <v>120</v>
      </c>
      <c r="W81" s="288"/>
      <c r="X81" s="292" t="s">
        <v>120</v>
      </c>
      <c r="Y81" s="288" t="s">
        <v>1481</v>
      </c>
      <c r="Z81" s="293" t="s">
        <v>120</v>
      </c>
      <c r="AA81" s="294"/>
      <c r="AB81" s="294"/>
      <c r="AC81" s="295" t="s">
        <v>123</v>
      </c>
      <c r="AD81" s="288" t="s">
        <v>1570</v>
      </c>
      <c r="AE81" s="292" t="s">
        <v>120</v>
      </c>
      <c r="AF81" s="289" t="s">
        <v>1717</v>
      </c>
      <c r="AG81" s="296"/>
      <c r="AH81" s="296"/>
      <c r="AI81" s="288" t="s">
        <v>1721</v>
      </c>
      <c r="AJ81" s="292" t="s">
        <v>120</v>
      </c>
      <c r="AK81" s="288" t="s">
        <v>123</v>
      </c>
      <c r="AL81" s="288" t="s">
        <v>935</v>
      </c>
      <c r="AM81" s="292"/>
      <c r="AN81" s="288"/>
      <c r="AO81" s="288"/>
      <c r="AP81" s="297"/>
      <c r="AQ81" s="288"/>
      <c r="AR81" s="292"/>
      <c r="AS81" s="288"/>
      <c r="AT81" s="289">
        <v>43472.659171180603</v>
      </c>
      <c r="AU81" s="289">
        <v>43481.501132870399</v>
      </c>
      <c r="AV81" s="289">
        <v>43475.466540277797</v>
      </c>
      <c r="AW81" s="289">
        <v>43479.694292592598</v>
      </c>
      <c r="AX81" s="289">
        <v>43472.656828240702</v>
      </c>
      <c r="AY81" s="289">
        <v>43475.973932523098</v>
      </c>
      <c r="AZ81" s="298">
        <v>43481.630470601798</v>
      </c>
      <c r="BA8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9.6304706017981516</v>
      </c>
      <c r="BB81" s="300">
        <f>COUNTIFS(_05preva_view43[Site ID],_05preva_view43[[#This Row],[Site ID]],_05preva_view43[Prevalidation Status],"Under Prevalidation")</f>
        <v>0</v>
      </c>
      <c r="BC8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1" s="302" t="str">
        <f>CONCATENATE(_05preva_view43[[#This Row],[Site ID]]," (",_05preva_view43[[#This Row],[tenant id]],") Application",IF(_05preva_view43[[#This Row],[Colo Rev]]&gt;0," Rev "&amp;_05preva_view43[[#This Row],[Colo Rev]],""),".xlsx")</f>
        <v>1-01-14013-003 (SHS00383) Application Rev 3.xlsx</v>
      </c>
      <c r="BE81" s="64">
        <f t="shared" ca="1" si="3"/>
        <v>50</v>
      </c>
      <c r="BF81" s="104" t="str">
        <f ca="1">LEFT(CELL("filename",A66),_05preva_view43[[#This Row],[Find Process &amp; Database]]-1)</f>
        <v>D:\OneDrive - apollo-towers.com\Apollo Towers\00-</v>
      </c>
      <c r="BG81" s="104" t="str">
        <f ca="1">_05preva_view43[Folder Path1]&amp;"Process &amp; Database\Documentation\Colo Applications"</f>
        <v>D:\OneDrive - apollo-towers.com\Apollo Towers\00-Process &amp; Database\Documentation\Colo Applications</v>
      </c>
      <c r="BH8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1" s="63" t="str">
        <f ca="1">_05preva_view43[[#This Row],[Folder Path3]]&amp;_05preva_view43[[#This Row],[File Name]]</f>
        <v>D:\OneDrive - apollo-towers.com\Apollo Towers\00-Process &amp; Database\Documentation\Colo Applications\Colo App MPT\1-01-14013-003 (SHS00383) Application Rev 3.xlsx</v>
      </c>
      <c r="BJ81" s="104"/>
      <c r="BK81" s="3"/>
      <c r="BL81" s="3"/>
      <c r="CJ81" s="5"/>
      <c r="CK81" s="5"/>
      <c r="CL81" s="3"/>
      <c r="CN81" s="5"/>
      <c r="CR81" s="3"/>
      <c r="CS81" s="3"/>
      <c r="CT81" s="5"/>
      <c r="CV81" s="3"/>
      <c r="DR81" s="5"/>
      <c r="DT81" s="3"/>
      <c r="EF81" s="7"/>
      <c r="EG81" s="7"/>
      <c r="EJ81" s="4"/>
      <c r="EK81" s="4"/>
      <c r="EU81" s="2"/>
      <c r="EV81" s="2"/>
    </row>
    <row r="82" spans="1:152">
      <c r="A82" s="287">
        <v>3555</v>
      </c>
      <c r="B82" s="288" t="s">
        <v>1482</v>
      </c>
      <c r="C82" s="288" t="s">
        <v>278</v>
      </c>
      <c r="D82" s="288" t="s">
        <v>153</v>
      </c>
      <c r="E82" s="288" t="s">
        <v>1483</v>
      </c>
      <c r="F82" s="288" t="s">
        <v>38</v>
      </c>
      <c r="G82" s="288" t="s">
        <v>1295</v>
      </c>
      <c r="H82" s="288" t="s">
        <v>1328</v>
      </c>
      <c r="I82" s="288" t="s">
        <v>880</v>
      </c>
      <c r="J82" s="288" t="s">
        <v>677</v>
      </c>
      <c r="K82" s="289">
        <v>43472</v>
      </c>
      <c r="L82" s="290"/>
      <c r="M82" s="290"/>
      <c r="N82" s="288">
        <v>2.81</v>
      </c>
      <c r="O82" s="288" t="s">
        <v>687</v>
      </c>
      <c r="P82" s="291" t="s">
        <v>765</v>
      </c>
      <c r="Q82" s="291" t="s">
        <v>766</v>
      </c>
      <c r="R82" s="288" t="s">
        <v>24</v>
      </c>
      <c r="S82" s="288"/>
      <c r="T82" s="292" t="s">
        <v>615</v>
      </c>
      <c r="U82" s="288"/>
      <c r="V82" s="292" t="s">
        <v>615</v>
      </c>
      <c r="W82" s="288"/>
      <c r="X82" s="292" t="s">
        <v>120</v>
      </c>
      <c r="Y82" s="288" t="s">
        <v>1484</v>
      </c>
      <c r="Z82" s="293" t="s">
        <v>120</v>
      </c>
      <c r="AA82" s="294"/>
      <c r="AB82" s="294"/>
      <c r="AC82" s="295" t="s">
        <v>123</v>
      </c>
      <c r="AD82" s="288" t="s">
        <v>1571</v>
      </c>
      <c r="AE82" s="292" t="s">
        <v>615</v>
      </c>
      <c r="AF82" s="289"/>
      <c r="AG82" s="296"/>
      <c r="AH82" s="296"/>
      <c r="AI82" s="288"/>
      <c r="AJ82" s="292" t="s">
        <v>120</v>
      </c>
      <c r="AK82" s="288" t="s">
        <v>206</v>
      </c>
      <c r="AL82" s="288" t="s">
        <v>1485</v>
      </c>
      <c r="AM82" s="292"/>
      <c r="AN82" s="288"/>
      <c r="AO82" s="288"/>
      <c r="AP82" s="297"/>
      <c r="AQ82" s="288"/>
      <c r="AR82" s="292" t="s">
        <v>120</v>
      </c>
      <c r="AS82" s="288" t="s">
        <v>1572</v>
      </c>
      <c r="AT82" s="289">
        <v>43472.659172337997</v>
      </c>
      <c r="AU82" s="289"/>
      <c r="AV82" s="289">
        <v>43475.715647685203</v>
      </c>
      <c r="AW82" s="289">
        <v>43472.659172337997</v>
      </c>
      <c r="AX82" s="289"/>
      <c r="AY82" s="289"/>
      <c r="AZ82" s="298">
        <v>43475.729218055603</v>
      </c>
      <c r="BA8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3.729218055603269</v>
      </c>
      <c r="BB82" s="300">
        <f>COUNTIFS(_05preva_view43[Site ID],_05preva_view43[[#This Row],[Site ID]],_05preva_view43[Prevalidation Status],"Under Prevalidation")</f>
        <v>0</v>
      </c>
      <c r="BC8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2" s="302" t="str">
        <f>CONCATENATE(_05preva_view43[[#This Row],[Site ID]]," (",_05preva_view43[[#This Row],[tenant id]],") Application",IF(_05preva_view43[[#This Row],[Colo Rev]]&gt;0," Rev "&amp;_05preva_view43[[#This Row],[Colo Rev]],""),".xlsx")</f>
        <v>1-01-03007-002 (KA3411) Application Rev 0.xlsx</v>
      </c>
      <c r="BE82" s="64">
        <f t="shared" ca="1" si="3"/>
        <v>50</v>
      </c>
      <c r="BF82" s="104" t="str">
        <f ca="1">LEFT(CELL("filename",A67),_05preva_view43[[#This Row],[Find Process &amp; Database]]-1)</f>
        <v>D:\OneDrive - apollo-towers.com\Apollo Towers\00-</v>
      </c>
      <c r="BG82" s="104" t="str">
        <f ca="1">_05preva_view43[Folder Path1]&amp;"Process &amp; Database\Documentation\Colo Applications"</f>
        <v>D:\OneDrive - apollo-towers.com\Apollo Towers\00-Process &amp; Database\Documentation\Colo Applications</v>
      </c>
      <c r="BH82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82" s="63" t="str">
        <f ca="1">_05preva_view43[[#This Row],[Folder Path3]]&amp;_05preva_view43[[#This Row],[File Name]]</f>
        <v>D:\OneDrive - apollo-towers.com\Apollo Towers\00-Process &amp; Database\Documentation\Colo Applications\Colo App Telenor\1-01-03007-002 (KA3411) Application Rev 0.xlsx</v>
      </c>
      <c r="BJ82" s="104"/>
      <c r="BK82" s="3"/>
      <c r="BL82" s="3"/>
      <c r="CJ82" s="5"/>
      <c r="CK82" s="5"/>
      <c r="CL82" s="3"/>
      <c r="CN82" s="5"/>
      <c r="CR82" s="3"/>
      <c r="CS82" s="3"/>
      <c r="CT82" s="5"/>
      <c r="CV82" s="3"/>
      <c r="DR82" s="5"/>
      <c r="DT82" s="3"/>
      <c r="EF82" s="7"/>
      <c r="EG82" s="7"/>
      <c r="EJ82" s="4"/>
      <c r="EK82" s="4"/>
      <c r="EU82" s="2"/>
      <c r="EV82" s="2"/>
    </row>
    <row r="83" spans="1:152">
      <c r="A83" s="287">
        <v>3556</v>
      </c>
      <c r="B83" s="288" t="s">
        <v>1486</v>
      </c>
      <c r="C83" s="288" t="s">
        <v>278</v>
      </c>
      <c r="D83" s="288" t="s">
        <v>127</v>
      </c>
      <c r="E83" s="288" t="s">
        <v>1487</v>
      </c>
      <c r="F83" s="288" t="s">
        <v>38</v>
      </c>
      <c r="G83" s="288" t="s">
        <v>1295</v>
      </c>
      <c r="H83" s="288" t="s">
        <v>1328</v>
      </c>
      <c r="I83" s="288" t="s">
        <v>880</v>
      </c>
      <c r="J83" s="288" t="s">
        <v>677</v>
      </c>
      <c r="K83" s="289">
        <v>43472</v>
      </c>
      <c r="L83" s="290"/>
      <c r="M83" s="290"/>
      <c r="N83" s="288">
        <v>4.13</v>
      </c>
      <c r="O83" s="288" t="s">
        <v>687</v>
      </c>
      <c r="P83" s="291" t="s">
        <v>765</v>
      </c>
      <c r="Q83" s="291" t="s">
        <v>766</v>
      </c>
      <c r="R83" s="288" t="s">
        <v>24</v>
      </c>
      <c r="S83" s="288"/>
      <c r="T83" s="292" t="s">
        <v>615</v>
      </c>
      <c r="U83" s="288"/>
      <c r="V83" s="292" t="s">
        <v>120</v>
      </c>
      <c r="W83" s="288"/>
      <c r="X83" s="292" t="s">
        <v>120</v>
      </c>
      <c r="Y83" s="288" t="s">
        <v>1488</v>
      </c>
      <c r="Z83" s="293"/>
      <c r="AA83" s="294"/>
      <c r="AB83" s="294"/>
      <c r="AC83" s="295" t="s">
        <v>123</v>
      </c>
      <c r="AD83" s="288" t="s">
        <v>1582</v>
      </c>
      <c r="AE83" s="292" t="s">
        <v>615</v>
      </c>
      <c r="AF83" s="289"/>
      <c r="AG83" s="296"/>
      <c r="AH83" s="296"/>
      <c r="AI83" s="288"/>
      <c r="AJ83" s="292" t="s">
        <v>120</v>
      </c>
      <c r="AK83" s="288" t="s">
        <v>206</v>
      </c>
      <c r="AL83" s="288" t="s">
        <v>1485</v>
      </c>
      <c r="AM83" s="292"/>
      <c r="AN83" s="288"/>
      <c r="AO83" s="288"/>
      <c r="AP83" s="297"/>
      <c r="AQ83" s="288"/>
      <c r="AR83" s="292"/>
      <c r="AS83" s="288"/>
      <c r="AT83" s="289">
        <v>43472.659172916698</v>
      </c>
      <c r="AU83" s="289"/>
      <c r="AV83" s="289">
        <v>43476.442651041703</v>
      </c>
      <c r="AW83" s="289">
        <v>43472.659172916698</v>
      </c>
      <c r="AX83" s="289"/>
      <c r="AY83" s="289">
        <v>43475.973933449102</v>
      </c>
      <c r="AZ83" s="298">
        <v>43476.4463650463</v>
      </c>
      <c r="BA8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4.4463650463003432</v>
      </c>
      <c r="BB83" s="300">
        <f>COUNTIFS(_05preva_view43[Site ID],_05preva_view43[[#This Row],[Site ID]],_05preva_view43[Prevalidation Status],"Under Prevalidation")</f>
        <v>0</v>
      </c>
      <c r="BC8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3" s="302" t="str">
        <f>CONCATENATE(_05preva_view43[[#This Row],[Site ID]]," (",_05preva_view43[[#This Row],[tenant id]],") Application",IF(_05preva_view43[[#This Row],[Colo Rev]]&gt;0," Rev "&amp;_05preva_view43[[#This Row],[Colo Rev]],""),".xlsx")</f>
        <v>1-03-01014-017 (KC0459) Application Rev 0.xlsx</v>
      </c>
      <c r="BE83" s="64">
        <f t="shared" ca="1" si="3"/>
        <v>50</v>
      </c>
      <c r="BF83" s="104" t="str">
        <f ca="1">LEFT(CELL("filename",A68),_05preva_view43[[#This Row],[Find Process &amp; Database]]-1)</f>
        <v>D:\OneDrive - apollo-towers.com\Apollo Towers\00-</v>
      </c>
      <c r="BG83" s="104" t="str">
        <f ca="1">_05preva_view43[Folder Path1]&amp;"Process &amp; Database\Documentation\Colo Applications"</f>
        <v>D:\OneDrive - apollo-towers.com\Apollo Towers\00-Process &amp; Database\Documentation\Colo Applications</v>
      </c>
      <c r="BH83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83" s="63" t="str">
        <f ca="1">_05preva_view43[[#This Row],[Folder Path3]]&amp;_05preva_view43[[#This Row],[File Name]]</f>
        <v>D:\OneDrive - apollo-towers.com\Apollo Towers\00-Process &amp; Database\Documentation\Colo Applications\Colo App Telenor\1-03-01014-017 (KC0459) Application Rev 0.xlsx</v>
      </c>
      <c r="BJ83" s="104"/>
      <c r="BK83" s="3"/>
      <c r="BL83" s="3"/>
      <c r="CJ83" s="5"/>
      <c r="CK83" s="5"/>
      <c r="CL83" s="3"/>
      <c r="CN83" s="5"/>
      <c r="CR83" s="3"/>
      <c r="CS83" s="3"/>
      <c r="CT83" s="5"/>
      <c r="CV83" s="3"/>
      <c r="DR83" s="5"/>
      <c r="DT83" s="3"/>
      <c r="EF83" s="7"/>
      <c r="EG83" s="7"/>
      <c r="EJ83" s="4"/>
      <c r="EK83" s="4"/>
      <c r="EU83" s="2"/>
      <c r="EV83" s="2"/>
    </row>
    <row r="84" spans="1:152">
      <c r="A84" s="287">
        <v>3557</v>
      </c>
      <c r="B84" s="288" t="s">
        <v>997</v>
      </c>
      <c r="C84" s="288" t="s">
        <v>278</v>
      </c>
      <c r="D84" s="288" t="s">
        <v>127</v>
      </c>
      <c r="E84" s="288" t="s">
        <v>1489</v>
      </c>
      <c r="F84" s="288" t="s">
        <v>38</v>
      </c>
      <c r="G84" s="288" t="s">
        <v>1295</v>
      </c>
      <c r="H84" s="288" t="s">
        <v>1328</v>
      </c>
      <c r="I84" s="288" t="s">
        <v>880</v>
      </c>
      <c r="J84" s="288" t="s">
        <v>677</v>
      </c>
      <c r="K84" s="289">
        <v>43472</v>
      </c>
      <c r="L84" s="290"/>
      <c r="M84" s="290"/>
      <c r="N84" s="288">
        <v>4.2699999999999996</v>
      </c>
      <c r="O84" s="288" t="s">
        <v>687</v>
      </c>
      <c r="P84" s="291" t="s">
        <v>765</v>
      </c>
      <c r="Q84" s="291" t="s">
        <v>766</v>
      </c>
      <c r="R84" s="288" t="s">
        <v>24</v>
      </c>
      <c r="S84" s="288"/>
      <c r="T84" s="292" t="s">
        <v>615</v>
      </c>
      <c r="U84" s="288"/>
      <c r="V84" s="292" t="s">
        <v>615</v>
      </c>
      <c r="W84" s="288"/>
      <c r="X84" s="292" t="s">
        <v>120</v>
      </c>
      <c r="Y84" s="288" t="s">
        <v>1490</v>
      </c>
      <c r="Z84" s="293" t="s">
        <v>120</v>
      </c>
      <c r="AA84" s="294"/>
      <c r="AB84" s="294"/>
      <c r="AC84" s="295" t="s">
        <v>123</v>
      </c>
      <c r="AD84" s="288" t="s">
        <v>1573</v>
      </c>
      <c r="AE84" s="292" t="s">
        <v>615</v>
      </c>
      <c r="AF84" s="289"/>
      <c r="AG84" s="296"/>
      <c r="AH84" s="296"/>
      <c r="AI84" s="288"/>
      <c r="AJ84" s="292" t="s">
        <v>120</v>
      </c>
      <c r="AK84" s="288" t="s">
        <v>206</v>
      </c>
      <c r="AL84" s="288" t="s">
        <v>1485</v>
      </c>
      <c r="AM84" s="292"/>
      <c r="AN84" s="288"/>
      <c r="AO84" s="288"/>
      <c r="AP84" s="297"/>
      <c r="AQ84" s="288"/>
      <c r="AR84" s="292" t="s">
        <v>120</v>
      </c>
      <c r="AS84" s="288" t="s">
        <v>1572</v>
      </c>
      <c r="AT84" s="289">
        <v>43472.659173958302</v>
      </c>
      <c r="AU84" s="289"/>
      <c r="AV84" s="289">
        <v>43475.6627010417</v>
      </c>
      <c r="AW84" s="289">
        <v>43472.659173958302</v>
      </c>
      <c r="AX84" s="289"/>
      <c r="AY84" s="289"/>
      <c r="AZ84" s="298">
        <v>43475.729218634297</v>
      </c>
      <c r="BA8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3.7292186342965579</v>
      </c>
      <c r="BB84" s="300">
        <f>COUNTIFS(_05preva_view43[Site ID],_05preva_view43[[#This Row],[Site ID]],_05preva_view43[Prevalidation Status],"Under Prevalidation")</f>
        <v>0</v>
      </c>
      <c r="BC8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4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(SH4020) Application Rev 0.xlsx</v>
      </c>
      <c r="BE84" s="64">
        <f t="shared" ca="1" si="3"/>
        <v>50</v>
      </c>
      <c r="BF84" s="104" t="str">
        <f ca="1">LEFT(CELL("filename",A69),_05preva_view43[[#This Row],[Find Process &amp; Database]]-1)</f>
        <v>D:\OneDrive - apollo-towers.com\Apollo Towers\00-</v>
      </c>
      <c r="BG84" s="104" t="str">
        <f ca="1">_05preva_view43[Folder Path1]&amp;"Process &amp; Database\Documentation\Colo Applications"</f>
        <v>D:\OneDrive - apollo-towers.com\Apollo Towers\00-Process &amp; Database\Documentation\Colo Applications</v>
      </c>
      <c r="BH84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84" s="63" t="str">
        <f ca="1">_05preva_view43[[#This Row],[Folder Path3]]&amp;_05preva_view43[[#This Row],[File Name]]</f>
        <v>D:\OneDrive - apollo-towers.com\Apollo Towers\00-Process &amp; Database\Documentation\Colo Applications\Colo App Telenor\1-01-14007-014 (SH4020) Application Rev 0.xlsx</v>
      </c>
      <c r="BJ84" s="104"/>
      <c r="BK84" s="3"/>
      <c r="BL84" s="3"/>
      <c r="CJ84" s="5"/>
      <c r="CK84" s="5"/>
      <c r="CL84" s="3"/>
      <c r="CN84" s="5"/>
      <c r="CR84" s="3"/>
      <c r="CS84" s="3"/>
      <c r="CT84" s="5"/>
      <c r="CV84" s="3"/>
      <c r="DR84" s="5"/>
      <c r="DT84" s="3"/>
      <c r="EF84" s="7"/>
      <c r="EG84" s="7"/>
      <c r="EJ84" s="4"/>
      <c r="EK84" s="4"/>
      <c r="EU84" s="2"/>
      <c r="EV84" s="2"/>
    </row>
    <row r="85" spans="1:152">
      <c r="A85" s="287">
        <v>3558</v>
      </c>
      <c r="B85" s="288" t="s">
        <v>1491</v>
      </c>
      <c r="C85" s="288" t="s">
        <v>278</v>
      </c>
      <c r="D85" s="288" t="s">
        <v>127</v>
      </c>
      <c r="E85" s="288" t="s">
        <v>1492</v>
      </c>
      <c r="F85" s="288" t="s">
        <v>38</v>
      </c>
      <c r="G85" s="288" t="s">
        <v>1295</v>
      </c>
      <c r="H85" s="288" t="s">
        <v>1328</v>
      </c>
      <c r="I85" s="288" t="s">
        <v>880</v>
      </c>
      <c r="J85" s="288" t="s">
        <v>677</v>
      </c>
      <c r="K85" s="289">
        <v>43472</v>
      </c>
      <c r="L85" s="290"/>
      <c r="M85" s="290"/>
      <c r="N85" s="288">
        <v>3.78</v>
      </c>
      <c r="O85" s="288" t="s">
        <v>687</v>
      </c>
      <c r="P85" s="291" t="s">
        <v>1477</v>
      </c>
      <c r="Q85" s="291" t="s">
        <v>755</v>
      </c>
      <c r="R85" s="288" t="s">
        <v>24</v>
      </c>
      <c r="S85" s="288"/>
      <c r="T85" s="292" t="s">
        <v>615</v>
      </c>
      <c r="U85" s="288"/>
      <c r="V85" s="292" t="s">
        <v>615</v>
      </c>
      <c r="W85" s="288"/>
      <c r="X85" s="292" t="s">
        <v>120</v>
      </c>
      <c r="Y85" s="288" t="s">
        <v>1493</v>
      </c>
      <c r="Z85" s="293" t="s">
        <v>120</v>
      </c>
      <c r="AA85" s="294"/>
      <c r="AB85" s="294"/>
      <c r="AC85" s="295" t="s">
        <v>123</v>
      </c>
      <c r="AD85" s="288" t="s">
        <v>1574</v>
      </c>
      <c r="AE85" s="292" t="s">
        <v>615</v>
      </c>
      <c r="AF85" s="289"/>
      <c r="AG85" s="296"/>
      <c r="AH85" s="296"/>
      <c r="AI85" s="288"/>
      <c r="AJ85" s="292" t="s">
        <v>120</v>
      </c>
      <c r="AK85" s="288" t="s">
        <v>206</v>
      </c>
      <c r="AL85" s="288" t="s">
        <v>1485</v>
      </c>
      <c r="AM85" s="292"/>
      <c r="AN85" s="288"/>
      <c r="AO85" s="288"/>
      <c r="AP85" s="297"/>
      <c r="AQ85" s="288"/>
      <c r="AR85" s="292" t="s">
        <v>120</v>
      </c>
      <c r="AS85" s="288" t="s">
        <v>1572</v>
      </c>
      <c r="AT85" s="289">
        <v>43472.659174884298</v>
      </c>
      <c r="AU85" s="289"/>
      <c r="AV85" s="289">
        <v>43475.662701504603</v>
      </c>
      <c r="AW85" s="289">
        <v>43472.659174884298</v>
      </c>
      <c r="AX85" s="289"/>
      <c r="AY85" s="289"/>
      <c r="AZ85" s="298">
        <v>43475.729218981498</v>
      </c>
      <c r="BA8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3.7292189814979793</v>
      </c>
      <c r="BB85" s="300">
        <f>COUNTIFS(_05preva_view43[Site ID],_05preva_view43[[#This Row],[Site ID]],_05preva_view43[Prevalidation Status],"Under Prevalidation")</f>
        <v>0</v>
      </c>
      <c r="BC8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5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1-01-01015-020 (KC0091) Application Rev 0.xlsx</v>
      </c>
      <c r="BE85" s="64">
        <f t="shared" ca="1" si="3"/>
        <v>50</v>
      </c>
      <c r="BF85" s="104" t="str">
        <f ca="1">LEFT(CELL("filename",A70),_05preva_view43[[#This Row],[Find Process &amp; Database]]-1)</f>
        <v>D:\OneDrive - apollo-towers.com\Apollo Towers\00-</v>
      </c>
      <c r="BG85" s="104" t="str">
        <f ca="1">_05preva_view43[Folder Path1]&amp;"Process &amp; Database\Documentation\Colo Applications"</f>
        <v>D:\OneDrive - apollo-towers.com\Apollo Towers\00-Process &amp; Database\Documentation\Colo Applications</v>
      </c>
      <c r="BH85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85" s="63" t="str">
        <f ca="1">_05preva_view43[[#This Row],[Folder Path3]]&amp;_05preva_view43[[#This Row],[File Name]]</f>
        <v>D:\OneDrive - apollo-towers.com\Apollo Towers\00-Process &amp; Database\Documentation\Colo Applications\Colo App Telenor\1-01-01015-020 (KC0091) Application Rev 0.xlsx</v>
      </c>
      <c r="BJ85" s="104"/>
      <c r="BK85" s="3"/>
      <c r="BL85" s="3"/>
      <c r="CJ85" s="5"/>
      <c r="CK85" s="5"/>
      <c r="CL85" s="3"/>
      <c r="CN85" s="5"/>
      <c r="CR85" s="3"/>
      <c r="CS85" s="3"/>
      <c r="CT85" s="5"/>
      <c r="CV85" s="3"/>
      <c r="DR85" s="5"/>
      <c r="DT85" s="3"/>
      <c r="EF85" s="7"/>
      <c r="EG85" s="7"/>
      <c r="EJ85" s="4"/>
      <c r="EK85" s="4"/>
      <c r="EU85" s="2"/>
      <c r="EV85" s="2"/>
    </row>
    <row r="86" spans="1:152">
      <c r="A86" s="287">
        <v>3550</v>
      </c>
      <c r="B86" s="288" t="s">
        <v>1376</v>
      </c>
      <c r="C86" s="288" t="s">
        <v>116</v>
      </c>
      <c r="D86" s="288" t="s">
        <v>153</v>
      </c>
      <c r="E86" s="288" t="s">
        <v>1377</v>
      </c>
      <c r="F86" s="288" t="s">
        <v>35</v>
      </c>
      <c r="G86" s="288" t="s">
        <v>1287</v>
      </c>
      <c r="H86" s="288" t="s">
        <v>1285</v>
      </c>
      <c r="I86" s="288" t="s">
        <v>790</v>
      </c>
      <c r="J86" s="288" t="s">
        <v>727</v>
      </c>
      <c r="K86" s="289">
        <v>43468</v>
      </c>
      <c r="L86" s="290">
        <v>2.48</v>
      </c>
      <c r="M86" s="290">
        <v>3.1</v>
      </c>
      <c r="N86" s="288">
        <v>6.0839999999999996</v>
      </c>
      <c r="O86" s="288" t="s">
        <v>119</v>
      </c>
      <c r="P86" s="291" t="s">
        <v>1378</v>
      </c>
      <c r="Q86" s="291" t="s">
        <v>1379</v>
      </c>
      <c r="R86" s="288" t="s">
        <v>24</v>
      </c>
      <c r="S86" s="288"/>
      <c r="T86" s="292" t="s">
        <v>120</v>
      </c>
      <c r="U86" s="288"/>
      <c r="V86" s="292" t="s">
        <v>120</v>
      </c>
      <c r="W86" s="288"/>
      <c r="X86" s="292" t="s">
        <v>120</v>
      </c>
      <c r="Y86" s="288" t="s">
        <v>1468</v>
      </c>
      <c r="Z86" s="293" t="s">
        <v>141</v>
      </c>
      <c r="AA86" s="294" t="s">
        <v>1758</v>
      </c>
      <c r="AB86" s="294" t="s">
        <v>1747</v>
      </c>
      <c r="AC86" s="295" t="s">
        <v>123</v>
      </c>
      <c r="AD86" s="288" t="s">
        <v>1540</v>
      </c>
      <c r="AE86" s="292" t="s">
        <v>120</v>
      </c>
      <c r="AF86" s="289"/>
      <c r="AG86" s="296"/>
      <c r="AH86" s="296"/>
      <c r="AI86" s="288" t="s">
        <v>1722</v>
      </c>
      <c r="AJ86" s="292" t="s">
        <v>120</v>
      </c>
      <c r="AK86" s="288" t="s">
        <v>123</v>
      </c>
      <c r="AL86" s="288" t="s">
        <v>935</v>
      </c>
      <c r="AM86" s="292"/>
      <c r="AN86" s="288"/>
      <c r="AO86" s="288"/>
      <c r="AP86" s="297"/>
      <c r="AQ86" s="288"/>
      <c r="AR86" s="292" t="s">
        <v>1548</v>
      </c>
      <c r="AS86" s="288" t="s">
        <v>1765</v>
      </c>
      <c r="AT86" s="289">
        <v>43472.382203240697</v>
      </c>
      <c r="AU86" s="289">
        <v>43479.735453703703</v>
      </c>
      <c r="AV86" s="289"/>
      <c r="AW86" s="289">
        <v>43472.382203240697</v>
      </c>
      <c r="AX86" s="289">
        <v>43472.656825810198</v>
      </c>
      <c r="AY86" s="289">
        <v>43472.437080902797</v>
      </c>
      <c r="AZ86" s="298">
        <v>43488.480393634301</v>
      </c>
      <c r="BA8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20.480393634301436</v>
      </c>
      <c r="BB86" s="300">
        <f>COUNTIFS(_05preva_view43[Site ID],_05preva_view43[[#This Row],[Site ID]],_05preva_view43[Prevalidation Status],"Under Prevalidation")</f>
        <v>0</v>
      </c>
      <c r="BC8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6" s="302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3.xlsx</v>
      </c>
      <c r="BE86" s="64">
        <f t="shared" ca="1" si="3"/>
        <v>50</v>
      </c>
      <c r="BF86" s="104" t="str">
        <f ca="1">LEFT(CELL("filename",A71),_05preva_view43[[#This Row],[Find Process &amp; Database]]-1)</f>
        <v>D:\OneDrive - apollo-towers.com\Apollo Towers\00-</v>
      </c>
      <c r="BG86" s="104" t="str">
        <f ca="1">_05preva_view43[Folder Path1]&amp;"Process &amp; Database\Documentation\Colo Applications"</f>
        <v>D:\OneDrive - apollo-towers.com\Apollo Towers\00-Process &amp; Database\Documentation\Colo Applications</v>
      </c>
      <c r="BH8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6" s="63" t="str">
        <f ca="1">_05preva_view43[[#This Row],[Folder Path3]]&amp;_05preva_view43[[#This Row],[File Name]]</f>
        <v>D:\OneDrive - apollo-towers.com\Apollo Towers\00-Process &amp; Database\Documentation\Colo Applications\Colo App MPT\ASTN_0023 (TNY00315) Application Rev 3.xlsx</v>
      </c>
      <c r="BJ86" s="104"/>
      <c r="BK86" s="3"/>
      <c r="BL86" s="3"/>
      <c r="CJ86" s="5"/>
      <c r="CK86" s="5"/>
      <c r="CL86" s="3"/>
      <c r="CN86" s="5"/>
      <c r="CR86" s="3"/>
      <c r="CS86" s="3"/>
      <c r="CT86" s="5"/>
      <c r="CV86" s="3"/>
      <c r="DR86" s="5"/>
      <c r="DT86" s="3"/>
      <c r="EF86" s="7"/>
      <c r="EG86" s="7"/>
      <c r="EJ86" s="4"/>
      <c r="EK86" s="4"/>
      <c r="EU86" s="2"/>
      <c r="EV86" s="2"/>
    </row>
    <row r="87" spans="1:152">
      <c r="A87" s="287">
        <v>3548</v>
      </c>
      <c r="B87" s="288" t="s">
        <v>1222</v>
      </c>
      <c r="C87" s="288" t="s">
        <v>278</v>
      </c>
      <c r="D87" s="288" t="s">
        <v>127</v>
      </c>
      <c r="E87" s="288" t="s">
        <v>1223</v>
      </c>
      <c r="F87" s="288" t="s">
        <v>35</v>
      </c>
      <c r="G87" s="288" t="s">
        <v>1292</v>
      </c>
      <c r="H87" s="288" t="s">
        <v>1290</v>
      </c>
      <c r="I87" s="288" t="s">
        <v>981</v>
      </c>
      <c r="J87" s="288" t="s">
        <v>686</v>
      </c>
      <c r="K87" s="289">
        <v>43467</v>
      </c>
      <c r="L87" s="290">
        <v>1.621</v>
      </c>
      <c r="M87" s="290">
        <v>3.6989999999999998</v>
      </c>
      <c r="N87" s="288">
        <v>2.5099999999999998</v>
      </c>
      <c r="O87" s="288" t="s">
        <v>687</v>
      </c>
      <c r="P87" s="291" t="s">
        <v>526</v>
      </c>
      <c r="Q87" s="291" t="s">
        <v>629</v>
      </c>
      <c r="R87" s="288" t="s">
        <v>24</v>
      </c>
      <c r="S87" s="288"/>
      <c r="T87" s="292" t="s">
        <v>120</v>
      </c>
      <c r="U87" s="288"/>
      <c r="V87" s="292" t="s">
        <v>120</v>
      </c>
      <c r="W87" s="288"/>
      <c r="X87" s="292" t="s">
        <v>120</v>
      </c>
      <c r="Y87" s="288" t="s">
        <v>1469</v>
      </c>
      <c r="Z87" s="293" t="s">
        <v>120</v>
      </c>
      <c r="AA87" s="294"/>
      <c r="AB87" s="294"/>
      <c r="AC87" s="295" t="s">
        <v>123</v>
      </c>
      <c r="AD87" s="288" t="s">
        <v>1541</v>
      </c>
      <c r="AE87" s="292" t="s">
        <v>120</v>
      </c>
      <c r="AF87" s="289" t="s">
        <v>1723</v>
      </c>
      <c r="AG87" s="296"/>
      <c r="AH87" s="296"/>
      <c r="AI87" s="288" t="s">
        <v>1713</v>
      </c>
      <c r="AJ87" s="292" t="s">
        <v>120</v>
      </c>
      <c r="AK87" s="288" t="s">
        <v>123</v>
      </c>
      <c r="AL87" s="288" t="s">
        <v>935</v>
      </c>
      <c r="AM87" s="292"/>
      <c r="AN87" s="288"/>
      <c r="AO87" s="288"/>
      <c r="AP87" s="297"/>
      <c r="AQ87" s="288"/>
      <c r="AR87" s="292"/>
      <c r="AS87" s="288"/>
      <c r="AT87" s="289">
        <v>43472.382201620399</v>
      </c>
      <c r="AU87" s="289">
        <v>43479.735450462998</v>
      </c>
      <c r="AV87" s="289">
        <v>43474.653560300903</v>
      </c>
      <c r="AW87" s="289">
        <v>43472.382201620399</v>
      </c>
      <c r="AX87" s="289">
        <v>43472.656823263897</v>
      </c>
      <c r="AY87" s="289">
        <v>43467.595315625003</v>
      </c>
      <c r="AZ87" s="298">
        <v>43480.437809953699</v>
      </c>
      <c r="BA8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13.437809953698888</v>
      </c>
      <c r="BB87" s="300">
        <f>COUNTIFS(_05preva_view43[Site ID],_05preva_view43[[#This Row],[Site ID]],_05preva_view43[Prevalidation Status],"Under Prevalidation")</f>
        <v>0</v>
      </c>
      <c r="BC8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7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2.xlsx</v>
      </c>
      <c r="BE87" s="64">
        <f t="shared" ca="1" si="3"/>
        <v>50</v>
      </c>
      <c r="BF87" s="104" t="str">
        <f ca="1">LEFT(CELL("filename",A72),_05preva_view43[[#This Row],[Find Process &amp; Database]]-1)</f>
        <v>D:\OneDrive - apollo-towers.com\Apollo Towers\00-</v>
      </c>
      <c r="BG87" s="104" t="str">
        <f ca="1">_05preva_view43[Folder Path1]&amp;"Process &amp; Database\Documentation\Colo Applications"</f>
        <v>D:\OneDrive - apollo-towers.com\Apollo Towers\00-Process &amp; Database\Documentation\Colo Applications</v>
      </c>
      <c r="BH8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7" s="63" t="str">
        <f ca="1">_05preva_view43[[#This Row],[Folder Path3]]&amp;_05preva_view43[[#This Row],[File Name]]</f>
        <v>D:\OneDrive - apollo-towers.com\Apollo Towers\00-Process &amp; Database\Documentation\Colo Applications\Colo App MPT\1-01-01010-012 (KCN00455) Application Rev 2.xlsx</v>
      </c>
      <c r="BJ87" s="104"/>
      <c r="BK87" s="3"/>
      <c r="BL87" s="3"/>
      <c r="CJ87" s="5"/>
      <c r="CK87" s="5"/>
      <c r="CL87" s="3"/>
      <c r="CN87" s="5"/>
      <c r="CR87" s="3"/>
      <c r="CS87" s="3"/>
      <c r="CT87" s="5"/>
      <c r="CV87" s="3"/>
      <c r="DR87" s="5"/>
      <c r="DT87" s="3"/>
      <c r="EF87" s="7"/>
      <c r="EG87" s="7"/>
      <c r="EJ87" s="4"/>
      <c r="EK87" s="4"/>
      <c r="EU87" s="2"/>
      <c r="EV87" s="2"/>
    </row>
    <row r="88" spans="1:152">
      <c r="A88" s="287">
        <v>3549</v>
      </c>
      <c r="B88" s="288" t="s">
        <v>1470</v>
      </c>
      <c r="C88" s="288" t="s">
        <v>116</v>
      </c>
      <c r="D88" s="288" t="s">
        <v>153</v>
      </c>
      <c r="E88" s="288" t="s">
        <v>1471</v>
      </c>
      <c r="F88" s="288" t="s">
        <v>35</v>
      </c>
      <c r="G88" s="288" t="s">
        <v>1472</v>
      </c>
      <c r="H88" s="288" t="s">
        <v>1328</v>
      </c>
      <c r="I88" s="288" t="s">
        <v>814</v>
      </c>
      <c r="J88" s="288" t="s">
        <v>677</v>
      </c>
      <c r="K88" s="289">
        <v>43467</v>
      </c>
      <c r="L88" s="290">
        <v>0.72</v>
      </c>
      <c r="M88" s="290">
        <v>0.9</v>
      </c>
      <c r="N88" s="288">
        <v>3.18</v>
      </c>
      <c r="O88" s="288" t="s">
        <v>119</v>
      </c>
      <c r="P88" s="291" t="s">
        <v>597</v>
      </c>
      <c r="Q88" s="291" t="s">
        <v>688</v>
      </c>
      <c r="R88" s="288" t="s">
        <v>24</v>
      </c>
      <c r="S88" s="288"/>
      <c r="T88" s="292" t="s">
        <v>120</v>
      </c>
      <c r="U88" s="288"/>
      <c r="V88" s="292" t="s">
        <v>120</v>
      </c>
      <c r="W88" s="288"/>
      <c r="X88" s="292" t="s">
        <v>120</v>
      </c>
      <c r="Y88" s="288" t="s">
        <v>1473</v>
      </c>
      <c r="Z88" s="293" t="s">
        <v>120</v>
      </c>
      <c r="AA88" s="294"/>
      <c r="AB88" s="294"/>
      <c r="AC88" s="295" t="s">
        <v>123</v>
      </c>
      <c r="AD88" s="288" t="s">
        <v>1542</v>
      </c>
      <c r="AE88" s="292" t="s">
        <v>120</v>
      </c>
      <c r="AF88" s="289"/>
      <c r="AG88" s="296"/>
      <c r="AH88" s="296"/>
      <c r="AI88" s="288"/>
      <c r="AJ88" s="292" t="s">
        <v>120</v>
      </c>
      <c r="AK88" s="288" t="s">
        <v>123</v>
      </c>
      <c r="AL88" s="288" t="s">
        <v>1135</v>
      </c>
      <c r="AM88" s="292"/>
      <c r="AN88" s="288"/>
      <c r="AO88" s="288"/>
      <c r="AP88" s="297"/>
      <c r="AQ88" s="288"/>
      <c r="AR88" s="292"/>
      <c r="AS88" s="288"/>
      <c r="AT88" s="289">
        <v>43472.382202314802</v>
      </c>
      <c r="AU88" s="289">
        <v>43479.7354508102</v>
      </c>
      <c r="AV88" s="289">
        <v>43474.501626388897</v>
      </c>
      <c r="AW88" s="289">
        <v>43472.382202314802</v>
      </c>
      <c r="AX88" s="289">
        <v>43472.656824189798</v>
      </c>
      <c r="AY88" s="289">
        <v>43468.615674884299</v>
      </c>
      <c r="AZ88" s="298">
        <v>43480.437810648102</v>
      </c>
      <c r="BA8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13.437810648101731</v>
      </c>
      <c r="BB88" s="300">
        <f>COUNTIFS(_05preva_view43[Site ID],_05preva_view43[[#This Row],[Site ID]],_05preva_view43[Prevalidation Status],"Under Prevalidation")</f>
        <v>0</v>
      </c>
      <c r="BC8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8" s="302" t="str">
        <f>CONCATENATE(_05preva_view43[[#This Row],[Site ID]]," (",_05preva_view43[[#This Row],[tenant id]],") Application",IF(_05preva_view43[[#This Row],[Colo Rev]]&gt;0," Rev "&amp;_05preva_view43[[#This Row],[Colo Rev]],""),".xlsx")</f>
        <v>ASMO_0155 (MON00618) Application Rev 0.xlsx</v>
      </c>
      <c r="BE88" s="64">
        <f t="shared" ca="1" si="3"/>
        <v>50</v>
      </c>
      <c r="BF88" s="104" t="str">
        <f ca="1">LEFT(CELL("filename",A73),_05preva_view43[[#This Row],[Find Process &amp; Database]]-1)</f>
        <v>D:\OneDrive - apollo-towers.com\Apollo Towers\00-</v>
      </c>
      <c r="BG88" s="104" t="str">
        <f ca="1">_05preva_view43[Folder Path1]&amp;"Process &amp; Database\Documentation\Colo Applications"</f>
        <v>D:\OneDrive - apollo-towers.com\Apollo Towers\00-Process &amp; Database\Documentation\Colo Applications</v>
      </c>
      <c r="BH8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8" s="63" t="str">
        <f ca="1">_05preva_view43[[#This Row],[Folder Path3]]&amp;_05preva_view43[[#This Row],[File Name]]</f>
        <v>D:\OneDrive - apollo-towers.com\Apollo Towers\00-Process &amp; Database\Documentation\Colo Applications\Colo App MPT\ASMO_0155 (MON00618) Application Rev 0.xlsx</v>
      </c>
      <c r="BJ88" s="104"/>
      <c r="BK88" s="3"/>
      <c r="BL88" s="3"/>
      <c r="CJ88" s="5"/>
      <c r="CK88" s="5"/>
      <c r="CL88" s="3"/>
      <c r="CN88" s="5"/>
      <c r="CR88" s="3"/>
      <c r="CS88" s="3"/>
      <c r="CT88" s="5"/>
      <c r="CV88" s="3"/>
      <c r="DR88" s="5"/>
      <c r="DT88" s="3"/>
      <c r="EF88" s="7"/>
      <c r="EG88" s="7"/>
      <c r="EJ88" s="4"/>
      <c r="EK88" s="4"/>
      <c r="EU88" s="2"/>
      <c r="EV88" s="2"/>
    </row>
    <row r="89" spans="1:152">
      <c r="A89" s="287">
        <v>3536</v>
      </c>
      <c r="B89" s="288" t="s">
        <v>1325</v>
      </c>
      <c r="C89" s="288" t="s">
        <v>116</v>
      </c>
      <c r="D89" s="288" t="s">
        <v>117</v>
      </c>
      <c r="E89" s="288" t="s">
        <v>1326</v>
      </c>
      <c r="F89" s="288" t="s">
        <v>35</v>
      </c>
      <c r="G89" s="288" t="s">
        <v>1327</v>
      </c>
      <c r="H89" s="288" t="s">
        <v>1328</v>
      </c>
      <c r="I89" s="288" t="s">
        <v>814</v>
      </c>
      <c r="J89" s="288" t="s">
        <v>677</v>
      </c>
      <c r="K89" s="289">
        <v>43461</v>
      </c>
      <c r="L89" s="290">
        <v>0.72</v>
      </c>
      <c r="M89" s="290">
        <v>0.9</v>
      </c>
      <c r="N89" s="288">
        <v>3.18</v>
      </c>
      <c r="O89" s="288" t="s">
        <v>119</v>
      </c>
      <c r="P89" s="291" t="s">
        <v>248</v>
      </c>
      <c r="Q89" s="291" t="s">
        <v>249</v>
      </c>
      <c r="R89" s="288" t="s">
        <v>24</v>
      </c>
      <c r="S89" s="288"/>
      <c r="T89" s="292" t="s">
        <v>120</v>
      </c>
      <c r="U89" s="288"/>
      <c r="V89" s="292" t="s">
        <v>120</v>
      </c>
      <c r="W89" s="288"/>
      <c r="X89" s="292" t="s">
        <v>120</v>
      </c>
      <c r="Y89" s="288" t="s">
        <v>1329</v>
      </c>
      <c r="Z89" s="293" t="s">
        <v>120</v>
      </c>
      <c r="AA89" s="294"/>
      <c r="AB89" s="294"/>
      <c r="AC89" s="295" t="s">
        <v>123</v>
      </c>
      <c r="AD89" s="288" t="s">
        <v>1583</v>
      </c>
      <c r="AE89" s="292" t="s">
        <v>120</v>
      </c>
      <c r="AF89" s="289"/>
      <c r="AG89" s="296"/>
      <c r="AH89" s="296"/>
      <c r="AI89" s="288"/>
      <c r="AJ89" s="292" t="s">
        <v>120</v>
      </c>
      <c r="AK89" s="288" t="s">
        <v>123</v>
      </c>
      <c r="AL89" s="288" t="s">
        <v>1135</v>
      </c>
      <c r="AM89" s="292"/>
      <c r="AN89" s="288"/>
      <c r="AO89" s="288"/>
      <c r="AP89" s="297"/>
      <c r="AQ89" s="288"/>
      <c r="AR89" s="292"/>
      <c r="AS89" s="288"/>
      <c r="AT89" s="289">
        <v>43461.456340625002</v>
      </c>
      <c r="AU89" s="289">
        <v>43479.735439120399</v>
      </c>
      <c r="AV89" s="289">
        <v>43476.689971527798</v>
      </c>
      <c r="AW89" s="289">
        <v>43461.456340625002</v>
      </c>
      <c r="AX89" s="289">
        <v>43472.6568140046</v>
      </c>
      <c r="AY89" s="289">
        <v>43461.444858217597</v>
      </c>
      <c r="AZ89" s="298">
        <v>43480.437805208298</v>
      </c>
      <c r="BA8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19.437805208297505</v>
      </c>
      <c r="BB89" s="300">
        <f>COUNTIFS(_05preva_view43[Site ID],_05preva_view43[[#This Row],[Site ID]],_05preva_view43[Prevalidation Status],"Under Prevalidation")</f>
        <v>0</v>
      </c>
      <c r="BC8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89" s="302" t="str">
        <f>CONCATENATE(_05preva_view43[[#This Row],[Site ID]]," (",_05preva_view43[[#This Row],[tenant id]],") Application",IF(_05preva_view43[[#This Row],[Colo Rev]]&gt;0," Rev "&amp;_05preva_view43[[#This Row],[Colo Rev]],""),".xlsx")</f>
        <v>ASKH_0007 (KYH00181) Application Rev 0.xlsx</v>
      </c>
      <c r="BE89" s="64">
        <f t="shared" ca="1" si="3"/>
        <v>50</v>
      </c>
      <c r="BF89" s="104" t="str">
        <f ca="1">LEFT(CELL("filename",A74),_05preva_view43[[#This Row],[Find Process &amp; Database]]-1)</f>
        <v>D:\OneDrive - apollo-towers.com\Apollo Towers\00-</v>
      </c>
      <c r="BG89" s="104" t="str">
        <f ca="1">_05preva_view43[Folder Path1]&amp;"Process &amp; Database\Documentation\Colo Applications"</f>
        <v>D:\OneDrive - apollo-towers.com\Apollo Towers\00-Process &amp; Database\Documentation\Colo Applications</v>
      </c>
      <c r="BH8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89" s="63" t="str">
        <f ca="1">_05preva_view43[[#This Row],[Folder Path3]]&amp;_05preva_view43[[#This Row],[File Name]]</f>
        <v>D:\OneDrive - apollo-towers.com\Apollo Towers\00-Process &amp; Database\Documentation\Colo Applications\Colo App MPT\ASKH_0007 (KYH00181) Application Rev 0.xlsx</v>
      </c>
      <c r="BJ89" s="104"/>
      <c r="BK89" s="3"/>
      <c r="BL89" s="3"/>
      <c r="CJ89" s="5"/>
      <c r="CK89" s="5"/>
      <c r="CL89" s="3"/>
      <c r="CN89" s="5"/>
      <c r="CR89" s="3"/>
      <c r="CS89" s="3"/>
      <c r="CT89" s="5"/>
      <c r="CV89" s="3"/>
      <c r="DR89" s="5"/>
      <c r="DT89" s="3"/>
      <c r="EF89" s="7"/>
      <c r="EG89" s="7"/>
      <c r="EJ89" s="4"/>
      <c r="EK89" s="4"/>
      <c r="EU89" s="2"/>
      <c r="EV89" s="2"/>
    </row>
    <row r="90" spans="1:152">
      <c r="A90" s="287">
        <v>3537</v>
      </c>
      <c r="B90" s="288" t="s">
        <v>1330</v>
      </c>
      <c r="C90" s="288" t="s">
        <v>116</v>
      </c>
      <c r="D90" s="288" t="s">
        <v>117</v>
      </c>
      <c r="E90" s="288" t="s">
        <v>1331</v>
      </c>
      <c r="F90" s="288" t="s">
        <v>35</v>
      </c>
      <c r="G90" s="288" t="s">
        <v>118</v>
      </c>
      <c r="H90" s="288" t="s">
        <v>880</v>
      </c>
      <c r="I90" s="288" t="s">
        <v>814</v>
      </c>
      <c r="J90" s="288" t="s">
        <v>677</v>
      </c>
      <c r="K90" s="289">
        <v>43461</v>
      </c>
      <c r="L90" s="290">
        <v>0.72</v>
      </c>
      <c r="M90" s="290">
        <v>0.9</v>
      </c>
      <c r="N90" s="288">
        <v>3.18</v>
      </c>
      <c r="O90" s="288" t="s">
        <v>119</v>
      </c>
      <c r="P90" s="291" t="s">
        <v>695</v>
      </c>
      <c r="Q90" s="291" t="s">
        <v>696</v>
      </c>
      <c r="R90" s="288" t="s">
        <v>24</v>
      </c>
      <c r="S90" s="288"/>
      <c r="T90" s="292" t="s">
        <v>120</v>
      </c>
      <c r="U90" s="288"/>
      <c r="V90" s="292" t="s">
        <v>120</v>
      </c>
      <c r="W90" s="288"/>
      <c r="X90" s="292" t="s">
        <v>120</v>
      </c>
      <c r="Y90" s="288" t="s">
        <v>1332</v>
      </c>
      <c r="Z90" s="293" t="s">
        <v>120</v>
      </c>
      <c r="AA90" s="294"/>
      <c r="AB90" s="294"/>
      <c r="AC90" s="295" t="s">
        <v>123</v>
      </c>
      <c r="AD90" s="288" t="s">
        <v>1543</v>
      </c>
      <c r="AE90" s="292" t="s">
        <v>120</v>
      </c>
      <c r="AF90" s="289"/>
      <c r="AG90" s="296"/>
      <c r="AH90" s="296"/>
      <c r="AI90" s="288"/>
      <c r="AJ90" s="292" t="s">
        <v>120</v>
      </c>
      <c r="AK90" s="288" t="s">
        <v>123</v>
      </c>
      <c r="AL90" s="288" t="s">
        <v>1135</v>
      </c>
      <c r="AM90" s="292"/>
      <c r="AN90" s="288"/>
      <c r="AO90" s="288"/>
      <c r="AP90" s="297"/>
      <c r="AQ90" s="288"/>
      <c r="AR90" s="292"/>
      <c r="AS90" s="288"/>
      <c r="AT90" s="289">
        <v>43461.456341550896</v>
      </c>
      <c r="AU90" s="289">
        <v>43479.7354394676</v>
      </c>
      <c r="AV90" s="289">
        <v>43473.5905802083</v>
      </c>
      <c r="AW90" s="289">
        <v>43461.456341550896</v>
      </c>
      <c r="AX90" s="289">
        <v>43472.656815046299</v>
      </c>
      <c r="AY90" s="289">
        <v>43461.444858912</v>
      </c>
      <c r="AZ90" s="298">
        <v>43480.437806597198</v>
      </c>
      <c r="BA9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19.437806597197778</v>
      </c>
      <c r="BB90" s="300">
        <f>COUNTIFS(_05preva_view43[Site ID],_05preva_view43[[#This Row],[Site ID]],_05preva_view43[Prevalidation Status],"Under Prevalidation")</f>
        <v>0</v>
      </c>
      <c r="BC9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0" s="302" t="str">
        <f>CONCATENATE(_05preva_view43[[#This Row],[Site ID]]," (",_05preva_view43[[#This Row],[tenant id]],") Application",IF(_05preva_view43[[#This Row],[Colo Rev]]&gt;0," Rev "&amp;_05preva_view43[[#This Row],[Colo Rev]],""),".xlsx")</f>
        <v>ANNP_0222 (NPT00514) Application Rev 0.xlsx</v>
      </c>
      <c r="BE90" s="64">
        <f t="shared" ca="1" si="3"/>
        <v>50</v>
      </c>
      <c r="BF90" s="104" t="str">
        <f ca="1">LEFT(CELL("filename",A75),_05preva_view43[[#This Row],[Find Process &amp; Database]]-1)</f>
        <v>D:\OneDrive - apollo-towers.com\Apollo Towers\00-</v>
      </c>
      <c r="BG90" s="104" t="str">
        <f ca="1">_05preva_view43[Folder Path1]&amp;"Process &amp; Database\Documentation\Colo Applications"</f>
        <v>D:\OneDrive - apollo-towers.com\Apollo Towers\00-Process &amp; Database\Documentation\Colo Applications</v>
      </c>
      <c r="BH9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0" s="63" t="str">
        <f ca="1">_05preva_view43[[#This Row],[Folder Path3]]&amp;_05preva_view43[[#This Row],[File Name]]</f>
        <v>D:\OneDrive - apollo-towers.com\Apollo Towers\00-Process &amp; Database\Documentation\Colo Applications\Colo App MPT\ANNP_0222 (NPT00514) Application Rev 0.xlsx</v>
      </c>
      <c r="BJ90" s="104"/>
      <c r="BK90" s="3"/>
      <c r="BL90" s="3"/>
      <c r="CJ90" s="5"/>
      <c r="CK90" s="5"/>
      <c r="CL90" s="3"/>
      <c r="CN90" s="5"/>
      <c r="CR90" s="3"/>
      <c r="CS90" s="3"/>
      <c r="CT90" s="5"/>
      <c r="CV90" s="3"/>
      <c r="DR90" s="5"/>
      <c r="DT90" s="3"/>
      <c r="EF90" s="7"/>
      <c r="EG90" s="7"/>
      <c r="EJ90" s="4"/>
      <c r="EK90" s="4"/>
      <c r="EU90" s="2"/>
      <c r="EV90" s="2"/>
    </row>
    <row r="91" spans="1:152">
      <c r="A91" s="287">
        <v>3538</v>
      </c>
      <c r="B91" s="288" t="s">
        <v>1333</v>
      </c>
      <c r="C91" s="288" t="s">
        <v>278</v>
      </c>
      <c r="D91" s="288" t="s">
        <v>127</v>
      </c>
      <c r="E91" s="288" t="s">
        <v>1334</v>
      </c>
      <c r="F91" s="288" t="s">
        <v>35</v>
      </c>
      <c r="G91" s="288" t="s">
        <v>1292</v>
      </c>
      <c r="H91" s="288" t="s">
        <v>1285</v>
      </c>
      <c r="I91" s="288" t="s">
        <v>981</v>
      </c>
      <c r="J91" s="288" t="s">
        <v>727</v>
      </c>
      <c r="K91" s="289">
        <v>43461</v>
      </c>
      <c r="L91" s="290">
        <v>1.054</v>
      </c>
      <c r="M91" s="290">
        <v>1.46</v>
      </c>
      <c r="N91" s="288">
        <v>3.59</v>
      </c>
      <c r="O91" s="288" t="s">
        <v>687</v>
      </c>
      <c r="P91" s="291" t="s">
        <v>809</v>
      </c>
      <c r="Q91" s="291" t="s">
        <v>964</v>
      </c>
      <c r="R91" s="288" t="s">
        <v>24</v>
      </c>
      <c r="S91" s="288"/>
      <c r="T91" s="292" t="s">
        <v>120</v>
      </c>
      <c r="U91" s="288"/>
      <c r="V91" s="292" t="s">
        <v>120</v>
      </c>
      <c r="W91" s="288"/>
      <c r="X91" s="292" t="s">
        <v>120</v>
      </c>
      <c r="Y91" s="288" t="s">
        <v>1335</v>
      </c>
      <c r="Z91" s="293" t="s">
        <v>120</v>
      </c>
      <c r="AA91" s="294"/>
      <c r="AB91" s="294"/>
      <c r="AC91" s="295" t="s">
        <v>123</v>
      </c>
      <c r="AD91" s="288" t="s">
        <v>1336</v>
      </c>
      <c r="AE91" s="292" t="s">
        <v>615</v>
      </c>
      <c r="AF91" s="289"/>
      <c r="AG91" s="296"/>
      <c r="AH91" s="296"/>
      <c r="AI91" s="288" t="s">
        <v>1724</v>
      </c>
      <c r="AJ91" s="292" t="s">
        <v>120</v>
      </c>
      <c r="AK91" s="288" t="s">
        <v>123</v>
      </c>
      <c r="AL91" s="288" t="s">
        <v>935</v>
      </c>
      <c r="AM91" s="292"/>
      <c r="AN91" s="288"/>
      <c r="AO91" s="288"/>
      <c r="AP91" s="297"/>
      <c r="AQ91" s="288"/>
      <c r="AR91" s="292"/>
      <c r="AS91" s="288"/>
      <c r="AT91" s="289">
        <v>43461.484659143498</v>
      </c>
      <c r="AU91" s="289"/>
      <c r="AV91" s="289">
        <v>43462.497513078699</v>
      </c>
      <c r="AW91" s="289">
        <v>43461.484659143498</v>
      </c>
      <c r="AX91" s="289">
        <v>43472.656815740702</v>
      </c>
      <c r="AY91" s="289">
        <v>43461.439167476798</v>
      </c>
      <c r="AZ91" s="298">
        <v>43480.577520717598</v>
      </c>
      <c r="BA9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19.577520717597508</v>
      </c>
      <c r="BB91" s="300">
        <f>COUNTIFS(_05preva_view43[Site ID],_05preva_view43[[#This Row],[Site ID]],_05preva_view43[Prevalidation Status],"Under Prevalidation")</f>
        <v>0</v>
      </c>
      <c r="BC9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1" s="302" t="str">
        <f>CONCATENATE(_05preva_view43[[#This Row],[Site ID]]," (",_05preva_view43[[#This Row],[tenant id]],") Application",IF(_05preva_view43[[#This Row],[Colo Rev]]&gt;0," Rev "&amp;_05preva_view43[[#This Row],[Colo Rev]],""),".xlsx")</f>
        <v>3-00-01014-003 (KCN00120) Application Rev 3.xlsx</v>
      </c>
      <c r="BE91" s="64">
        <f t="shared" ca="1" si="3"/>
        <v>50</v>
      </c>
      <c r="BF91" s="104" t="str">
        <f ca="1">LEFT(CELL("filename",A76),_05preva_view43[[#This Row],[Find Process &amp; Database]]-1)</f>
        <v>D:\OneDrive - apollo-towers.com\Apollo Towers\00-</v>
      </c>
      <c r="BG91" s="104" t="str">
        <f ca="1">_05preva_view43[Folder Path1]&amp;"Process &amp; Database\Documentation\Colo Applications"</f>
        <v>D:\OneDrive - apollo-towers.com\Apollo Towers\00-Process &amp; Database\Documentation\Colo Applications</v>
      </c>
      <c r="BH9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1" s="63" t="str">
        <f ca="1">_05preva_view43[[#This Row],[Folder Path3]]&amp;_05preva_view43[[#This Row],[File Name]]</f>
        <v>D:\OneDrive - apollo-towers.com\Apollo Towers\00-Process &amp; Database\Documentation\Colo Applications\Colo App MPT\3-00-01014-003 (KCN00120) Application Rev 3.xlsx</v>
      </c>
      <c r="BJ91" s="104"/>
      <c r="BK91" s="3"/>
      <c r="BL91" s="3"/>
      <c r="CJ91" s="5"/>
      <c r="CK91" s="5"/>
      <c r="CL91" s="3"/>
      <c r="CN91" s="5"/>
      <c r="CR91" s="3"/>
      <c r="CS91" s="3"/>
      <c r="CT91" s="5"/>
      <c r="CV91" s="3"/>
      <c r="DR91" s="5"/>
      <c r="DT91" s="3"/>
      <c r="EF91" s="7"/>
      <c r="EG91" s="7"/>
      <c r="EJ91" s="4"/>
      <c r="EK91" s="4"/>
      <c r="EU91" s="2"/>
      <c r="EV91" s="2"/>
    </row>
    <row r="92" spans="1:152">
      <c r="A92" s="287">
        <v>3539</v>
      </c>
      <c r="B92" s="288" t="s">
        <v>1337</v>
      </c>
      <c r="C92" s="288" t="s">
        <v>278</v>
      </c>
      <c r="D92" s="288" t="s">
        <v>127</v>
      </c>
      <c r="E92" s="288" t="s">
        <v>1338</v>
      </c>
      <c r="F92" s="288" t="s">
        <v>35</v>
      </c>
      <c r="G92" s="288" t="s">
        <v>1292</v>
      </c>
      <c r="H92" s="288" t="s">
        <v>1285</v>
      </c>
      <c r="I92" s="288" t="s">
        <v>981</v>
      </c>
      <c r="J92" s="288" t="s">
        <v>727</v>
      </c>
      <c r="K92" s="289">
        <v>43461</v>
      </c>
      <c r="L92" s="290">
        <v>1.1080000000000001</v>
      </c>
      <c r="M92" s="290">
        <v>1.52</v>
      </c>
      <c r="N92" s="288">
        <v>4.25</v>
      </c>
      <c r="O92" s="288" t="s">
        <v>687</v>
      </c>
      <c r="P92" s="291" t="s">
        <v>809</v>
      </c>
      <c r="Q92" s="291" t="s">
        <v>964</v>
      </c>
      <c r="R92" s="288" t="s">
        <v>24</v>
      </c>
      <c r="S92" s="288"/>
      <c r="T92" s="292" t="s">
        <v>120</v>
      </c>
      <c r="U92" s="288"/>
      <c r="V92" s="292" t="s">
        <v>120</v>
      </c>
      <c r="W92" s="288"/>
      <c r="X92" s="292" t="s">
        <v>120</v>
      </c>
      <c r="Y92" s="288" t="s">
        <v>1339</v>
      </c>
      <c r="Z92" s="293" t="s">
        <v>120</v>
      </c>
      <c r="AA92" s="294"/>
      <c r="AB92" s="294"/>
      <c r="AC92" s="295" t="s">
        <v>123</v>
      </c>
      <c r="AD92" s="288" t="s">
        <v>1474</v>
      </c>
      <c r="AE92" s="292" t="s">
        <v>615</v>
      </c>
      <c r="AF92" s="289"/>
      <c r="AG92" s="296"/>
      <c r="AH92" s="296"/>
      <c r="AI92" s="288" t="s">
        <v>1724</v>
      </c>
      <c r="AJ92" s="292" t="s">
        <v>120</v>
      </c>
      <c r="AK92" s="288" t="s">
        <v>123</v>
      </c>
      <c r="AL92" s="288" t="s">
        <v>935</v>
      </c>
      <c r="AM92" s="292"/>
      <c r="AN92" s="288"/>
      <c r="AO92" s="288"/>
      <c r="AP92" s="297"/>
      <c r="AQ92" s="288"/>
      <c r="AR92" s="292"/>
      <c r="AS92" s="288"/>
      <c r="AT92" s="289">
        <v>43461.484659722199</v>
      </c>
      <c r="AU92" s="289"/>
      <c r="AV92" s="289">
        <v>43462.701907638897</v>
      </c>
      <c r="AW92" s="289">
        <v>43461.484659722199</v>
      </c>
      <c r="AX92" s="289">
        <v>43472.656817129602</v>
      </c>
      <c r="AY92" s="289">
        <v>43461.439167939803</v>
      </c>
      <c r="AZ92" s="298">
        <v>43480.577521180603</v>
      </c>
      <c r="BA9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19.577521180603071</v>
      </c>
      <c r="BB92" s="300">
        <f>COUNTIFS(_05preva_view43[Site ID],_05preva_view43[[#This Row],[Site ID]],_05preva_view43[Prevalidation Status],"Under Prevalidation")</f>
        <v>0</v>
      </c>
      <c r="BC9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2" s="302" t="str">
        <f>CONCATENATE(_05preva_view43[[#This Row],[Site ID]]," (",_05preva_view43[[#This Row],[tenant id]],") Application",IF(_05preva_view43[[#This Row],[Colo Rev]]&gt;0," Rev "&amp;_05preva_view43[[#This Row],[Colo Rev]],""),".xlsx")</f>
        <v>3-00-01014-002 (KCN00121) Application Rev 3.xlsx</v>
      </c>
      <c r="BE92" s="64">
        <f t="shared" ca="1" si="3"/>
        <v>50</v>
      </c>
      <c r="BF92" s="104" t="str">
        <f ca="1">LEFT(CELL("filename",A77),_05preva_view43[[#This Row],[Find Process &amp; Database]]-1)</f>
        <v>D:\OneDrive - apollo-towers.com\Apollo Towers\00-</v>
      </c>
      <c r="BG92" s="104" t="str">
        <f ca="1">_05preva_view43[Folder Path1]&amp;"Process &amp; Database\Documentation\Colo Applications"</f>
        <v>D:\OneDrive - apollo-towers.com\Apollo Towers\00-Process &amp; Database\Documentation\Colo Applications</v>
      </c>
      <c r="BH9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2" s="63" t="str">
        <f ca="1">_05preva_view43[[#This Row],[Folder Path3]]&amp;_05preva_view43[[#This Row],[File Name]]</f>
        <v>D:\OneDrive - apollo-towers.com\Apollo Towers\00-Process &amp; Database\Documentation\Colo Applications\Colo App MPT\3-00-01014-002 (KCN00121) Application Rev 3.xlsx</v>
      </c>
      <c r="BJ92" s="104"/>
      <c r="BK92" s="3"/>
      <c r="BL92" s="3"/>
      <c r="CJ92" s="5"/>
      <c r="CK92" s="5"/>
      <c r="CL92" s="3"/>
      <c r="CN92" s="5"/>
      <c r="CR92" s="3"/>
      <c r="CS92" s="3"/>
      <c r="CT92" s="5"/>
      <c r="CV92" s="3"/>
      <c r="DR92" s="5"/>
      <c r="DT92" s="3"/>
      <c r="EF92" s="7"/>
      <c r="EG92" s="7"/>
      <c r="EJ92" s="4"/>
      <c r="EK92" s="4"/>
      <c r="EU92" s="2"/>
      <c r="EV92" s="2"/>
    </row>
    <row r="93" spans="1:152">
      <c r="A93" s="287">
        <v>3540</v>
      </c>
      <c r="B93" s="288" t="s">
        <v>1340</v>
      </c>
      <c r="C93" s="288" t="s">
        <v>278</v>
      </c>
      <c r="D93" s="288" t="s">
        <v>127</v>
      </c>
      <c r="E93" s="288" t="s">
        <v>1341</v>
      </c>
      <c r="F93" s="288" t="s">
        <v>35</v>
      </c>
      <c r="G93" s="288" t="s">
        <v>1292</v>
      </c>
      <c r="H93" s="288" t="s">
        <v>1285</v>
      </c>
      <c r="I93" s="288" t="s">
        <v>981</v>
      </c>
      <c r="J93" s="288" t="s">
        <v>727</v>
      </c>
      <c r="K93" s="289">
        <v>43461</v>
      </c>
      <c r="L93" s="290">
        <v>1</v>
      </c>
      <c r="M93" s="290">
        <v>1.4</v>
      </c>
      <c r="N93" s="288">
        <v>3.61</v>
      </c>
      <c r="O93" s="288" t="s">
        <v>687</v>
      </c>
      <c r="P93" s="291" t="s">
        <v>799</v>
      </c>
      <c r="Q93" s="291" t="s">
        <v>695</v>
      </c>
      <c r="R93" s="288" t="s">
        <v>24</v>
      </c>
      <c r="S93" s="288"/>
      <c r="T93" s="292" t="s">
        <v>120</v>
      </c>
      <c r="U93" s="288"/>
      <c r="V93" s="292" t="s">
        <v>120</v>
      </c>
      <c r="W93" s="288"/>
      <c r="X93" s="292" t="s">
        <v>120</v>
      </c>
      <c r="Y93" s="288" t="s">
        <v>1342</v>
      </c>
      <c r="Z93" s="293" t="s">
        <v>120</v>
      </c>
      <c r="AA93" s="294"/>
      <c r="AB93" s="294"/>
      <c r="AC93" s="295" t="s">
        <v>123</v>
      </c>
      <c r="AD93" s="288" t="s">
        <v>1475</v>
      </c>
      <c r="AE93" s="292" t="s">
        <v>120</v>
      </c>
      <c r="AF93" s="289"/>
      <c r="AG93" s="296"/>
      <c r="AH93" s="296"/>
      <c r="AI93" s="288"/>
      <c r="AJ93" s="292" t="s">
        <v>120</v>
      </c>
      <c r="AK93" s="288" t="s">
        <v>123</v>
      </c>
      <c r="AL93" s="288" t="s">
        <v>935</v>
      </c>
      <c r="AM93" s="292"/>
      <c r="AN93" s="288"/>
      <c r="AO93" s="288"/>
      <c r="AP93" s="297"/>
      <c r="AQ93" s="288"/>
      <c r="AR93" s="292"/>
      <c r="AS93" s="288"/>
      <c r="AT93" s="289">
        <v>43461.484660300899</v>
      </c>
      <c r="AU93" s="289">
        <v>43479.735444560203</v>
      </c>
      <c r="AV93" s="289">
        <v>43467.484192592601</v>
      </c>
      <c r="AW93" s="289">
        <v>43461.484660300899</v>
      </c>
      <c r="AX93" s="289">
        <v>43472.656817708303</v>
      </c>
      <c r="AY93" s="289">
        <v>43461.439168981502</v>
      </c>
      <c r="AZ93" s="298">
        <v>43480.437808796298</v>
      </c>
      <c r="BA9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19.437808796297759</v>
      </c>
      <c r="BB93" s="300">
        <f>COUNTIFS(_05preva_view43[Site ID],_05preva_view43[[#This Row],[Site ID]],_05preva_view43[Prevalidation Status],"Under Prevalidation")</f>
        <v>0</v>
      </c>
      <c r="BC9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3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1-01-05015-002 (SGG00199) Application Rev 3.xlsx</v>
      </c>
      <c r="BE93" s="64">
        <f t="shared" ca="1" si="3"/>
        <v>50</v>
      </c>
      <c r="BF93" s="104" t="str">
        <f ca="1">LEFT(CELL("filename",A78),_05preva_view43[[#This Row],[Find Process &amp; Database]]-1)</f>
        <v>D:\OneDrive - apollo-towers.com\Apollo Towers\00-</v>
      </c>
      <c r="BG93" s="104" t="str">
        <f ca="1">_05preva_view43[Folder Path1]&amp;"Process &amp; Database\Documentation\Colo Applications"</f>
        <v>D:\OneDrive - apollo-towers.com\Apollo Towers\00-Process &amp; Database\Documentation\Colo Applications</v>
      </c>
      <c r="BH9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3" s="63" t="str">
        <f ca="1">_05preva_view43[[#This Row],[Folder Path3]]&amp;_05preva_view43[[#This Row],[File Name]]</f>
        <v>D:\OneDrive - apollo-towers.com\Apollo Towers\00-Process &amp; Database\Documentation\Colo Applications\Colo App MPT\1-01-05015-002 (SGG00199) Application Rev 3.xlsx</v>
      </c>
      <c r="BJ93" s="104"/>
      <c r="BK93" s="3"/>
      <c r="BL93" s="3"/>
      <c r="CJ93" s="5"/>
      <c r="CK93" s="5"/>
      <c r="CL93" s="3"/>
      <c r="CN93" s="5"/>
      <c r="CR93" s="3"/>
      <c r="CS93" s="3"/>
      <c r="CT93" s="5"/>
      <c r="CV93" s="3"/>
      <c r="DR93" s="5"/>
      <c r="DT93" s="3"/>
      <c r="EF93" s="7"/>
      <c r="EG93" s="7"/>
      <c r="EJ93" s="4"/>
      <c r="EK93" s="4"/>
      <c r="EU93" s="2"/>
      <c r="EV93" s="2"/>
    </row>
    <row r="94" spans="1:152">
      <c r="A94" s="287">
        <v>3541</v>
      </c>
      <c r="B94" s="288" t="s">
        <v>713</v>
      </c>
      <c r="C94" s="288" t="s">
        <v>278</v>
      </c>
      <c r="D94" s="288" t="s">
        <v>127</v>
      </c>
      <c r="E94" s="288" t="s">
        <v>714</v>
      </c>
      <c r="F94" s="288" t="s">
        <v>35</v>
      </c>
      <c r="G94" s="288" t="s">
        <v>1292</v>
      </c>
      <c r="H94" s="288" t="s">
        <v>1285</v>
      </c>
      <c r="I94" s="288" t="s">
        <v>1343</v>
      </c>
      <c r="J94" s="288" t="s">
        <v>727</v>
      </c>
      <c r="K94" s="289">
        <v>43461</v>
      </c>
      <c r="L94" s="290">
        <v>2.2999999999999998</v>
      </c>
      <c r="M94" s="290">
        <v>3.5</v>
      </c>
      <c r="N94" s="288">
        <v>4.0599999999999996</v>
      </c>
      <c r="O94" s="288" t="s">
        <v>687</v>
      </c>
      <c r="P94" s="291" t="s">
        <v>508</v>
      </c>
      <c r="Q94" s="291" t="s">
        <v>509</v>
      </c>
      <c r="R94" s="288" t="s">
        <v>24</v>
      </c>
      <c r="S94" s="288"/>
      <c r="T94" s="292" t="s">
        <v>120</v>
      </c>
      <c r="U94" s="288"/>
      <c r="V94" s="292" t="s">
        <v>120</v>
      </c>
      <c r="W94" s="288"/>
      <c r="X94" s="292" t="s">
        <v>120</v>
      </c>
      <c r="Y94" s="288" t="s">
        <v>1344</v>
      </c>
      <c r="Z94" s="293" t="s">
        <v>120</v>
      </c>
      <c r="AA94" s="294"/>
      <c r="AB94" s="294"/>
      <c r="AC94" s="295" t="s">
        <v>123</v>
      </c>
      <c r="AD94" s="288" t="s">
        <v>1476</v>
      </c>
      <c r="AE94" s="292" t="s">
        <v>120</v>
      </c>
      <c r="AF94" s="289" t="s">
        <v>1717</v>
      </c>
      <c r="AG94" s="296"/>
      <c r="AH94" s="296"/>
      <c r="AI94" s="288" t="s">
        <v>1725</v>
      </c>
      <c r="AJ94" s="292" t="s">
        <v>120</v>
      </c>
      <c r="AK94" s="288" t="s">
        <v>123</v>
      </c>
      <c r="AL94" s="288" t="s">
        <v>935</v>
      </c>
      <c r="AM94" s="292"/>
      <c r="AN94" s="288"/>
      <c r="AO94" s="288"/>
      <c r="AP94" s="297"/>
      <c r="AQ94" s="288"/>
      <c r="AR94" s="292"/>
      <c r="AS94" s="288"/>
      <c r="AT94" s="289">
        <v>43461.702668055601</v>
      </c>
      <c r="AU94" s="289">
        <v>43481.501123611102</v>
      </c>
      <c r="AV94" s="289">
        <v>43467.618563194403</v>
      </c>
      <c r="AW94" s="289">
        <v>43461.702668055601</v>
      </c>
      <c r="AX94" s="289">
        <v>43472.656819097203</v>
      </c>
      <c r="AY94" s="289">
        <v>43461.633895370403</v>
      </c>
      <c r="AZ94" s="298">
        <v>43481.630462847199</v>
      </c>
      <c r="BA9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20.630462847198942</v>
      </c>
      <c r="BB94" s="300">
        <f>COUNTIFS(_05preva_view43[Site ID],_05preva_view43[[#This Row],[Site ID]],_05preva_view43[Prevalidation Status],"Under Prevalidation")</f>
        <v>0</v>
      </c>
      <c r="BC9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4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3.xlsx</v>
      </c>
      <c r="BE94" s="64">
        <f t="shared" ca="1" si="3"/>
        <v>50</v>
      </c>
      <c r="BF94" s="104" t="str">
        <f ca="1">LEFT(CELL("filename",A79),_05preva_view43[[#This Row],[Find Process &amp; Database]]-1)</f>
        <v>D:\OneDrive - apollo-towers.com\Apollo Towers\00-</v>
      </c>
      <c r="BG94" s="104" t="str">
        <f ca="1">_05preva_view43[Folder Path1]&amp;"Process &amp; Database\Documentation\Colo Applications"</f>
        <v>D:\OneDrive - apollo-towers.com\Apollo Towers\00-Process &amp; Database\Documentation\Colo Applications</v>
      </c>
      <c r="BH9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94" s="63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3.xlsx</v>
      </c>
      <c r="BJ94" s="104"/>
      <c r="BK94" s="3"/>
      <c r="BL94" s="3"/>
      <c r="CJ94" s="5"/>
      <c r="CK94" s="5"/>
      <c r="CL94" s="3"/>
      <c r="CN94" s="5"/>
      <c r="CR94" s="3"/>
      <c r="CS94" s="3"/>
      <c r="CT94" s="5"/>
      <c r="CV94" s="3"/>
      <c r="DR94" s="5"/>
      <c r="DT94" s="3"/>
      <c r="EF94" s="7"/>
      <c r="EG94" s="7"/>
      <c r="EJ94" s="4"/>
      <c r="EK94" s="4"/>
      <c r="EU94" s="2"/>
      <c r="EV94" s="2"/>
    </row>
    <row r="95" spans="1:152">
      <c r="A95" s="287">
        <v>3542</v>
      </c>
      <c r="B95" s="288" t="s">
        <v>1345</v>
      </c>
      <c r="C95" s="288" t="s">
        <v>278</v>
      </c>
      <c r="D95" s="288" t="s">
        <v>153</v>
      </c>
      <c r="E95" s="288" t="s">
        <v>1346</v>
      </c>
      <c r="F95" s="288" t="s">
        <v>34</v>
      </c>
      <c r="G95" s="288" t="s">
        <v>1291</v>
      </c>
      <c r="H95" s="288" t="s">
        <v>1285</v>
      </c>
      <c r="I95" s="288" t="s">
        <v>1227</v>
      </c>
      <c r="J95" s="288" t="s">
        <v>686</v>
      </c>
      <c r="K95" s="289">
        <v>43461</v>
      </c>
      <c r="L95" s="290"/>
      <c r="M95" s="290"/>
      <c r="N95" s="288">
        <v>4.6399999999999997</v>
      </c>
      <c r="O95" s="288" t="s">
        <v>687</v>
      </c>
      <c r="P95" s="291" t="s">
        <v>508</v>
      </c>
      <c r="Q95" s="291" t="s">
        <v>509</v>
      </c>
      <c r="R95" s="288" t="s">
        <v>24</v>
      </c>
      <c r="S95" s="288"/>
      <c r="T95" s="292" t="s">
        <v>615</v>
      </c>
      <c r="U95" s="288"/>
      <c r="V95" s="292" t="s">
        <v>615</v>
      </c>
      <c r="W95" s="288"/>
      <c r="X95" s="292" t="s">
        <v>120</v>
      </c>
      <c r="Y95" s="288" t="s">
        <v>1347</v>
      </c>
      <c r="Z95" s="293" t="s">
        <v>120</v>
      </c>
      <c r="AA95" s="294"/>
      <c r="AB95" s="294"/>
      <c r="AC95" s="295" t="s">
        <v>123</v>
      </c>
      <c r="AD95" s="288" t="s">
        <v>1494</v>
      </c>
      <c r="AE95" s="292" t="s">
        <v>615</v>
      </c>
      <c r="AF95" s="289"/>
      <c r="AG95" s="296"/>
      <c r="AH95" s="296"/>
      <c r="AI95" s="288"/>
      <c r="AJ95" s="292" t="s">
        <v>615</v>
      </c>
      <c r="AK95" s="288"/>
      <c r="AL95" s="288"/>
      <c r="AM95" s="292" t="s">
        <v>615</v>
      </c>
      <c r="AN95" s="288"/>
      <c r="AO95" s="288" t="s">
        <v>615</v>
      </c>
      <c r="AP95" s="297"/>
      <c r="AQ95" s="288"/>
      <c r="AR95" s="292" t="s">
        <v>120</v>
      </c>
      <c r="AS95" s="288"/>
      <c r="AT95" s="289">
        <v>43461.702668749997</v>
      </c>
      <c r="AU95" s="289"/>
      <c r="AV95" s="289">
        <v>43472.675091666701</v>
      </c>
      <c r="AW95" s="289"/>
      <c r="AX95" s="289"/>
      <c r="AY95" s="289"/>
      <c r="AZ95" s="298">
        <v>43472.675091666701</v>
      </c>
      <c r="BA9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11.675091666700609</v>
      </c>
      <c r="BB95" s="300">
        <f>COUNTIFS(_05preva_view43[Site ID],_05preva_view43[[#This Row],[Site ID]],_05preva_view43[Prevalidation Status],"Under Prevalidation")</f>
        <v>0</v>
      </c>
      <c r="BC9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5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1-01-17008-014 (AYY0016) Application Rev 2.xlsx</v>
      </c>
      <c r="BE95" s="64">
        <f t="shared" ca="1" si="3"/>
        <v>50</v>
      </c>
      <c r="BF95" s="104" t="str">
        <f ca="1">LEFT(CELL("filename",A80),_05preva_view43[[#This Row],[Find Process &amp; Database]]-1)</f>
        <v>D:\OneDrive - apollo-towers.com\Apollo Towers\00-</v>
      </c>
      <c r="BG95" s="104" t="str">
        <f ca="1">_05preva_view43[Folder Path1]&amp;"Process &amp; Database\Documentation\Colo Applications"</f>
        <v>D:\OneDrive - apollo-towers.com\Apollo Towers\00-Process &amp; Database\Documentation\Colo Applications</v>
      </c>
      <c r="BH9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95" s="63" t="str">
        <f ca="1">_05preva_view43[[#This Row],[Folder Path3]]&amp;_05preva_view43[[#This Row],[File Name]]</f>
        <v>D:\OneDrive - apollo-towers.com\Apollo Towers\00-Process &amp; Database\Documentation\Colo Applications\Colo App Mytel\1-01-17008-014 (AYY0016) Application Rev 2.xlsx</v>
      </c>
      <c r="BJ95" s="104"/>
      <c r="BK95" s="3"/>
      <c r="BL95" s="3"/>
      <c r="CJ95" s="5"/>
      <c r="CK95" s="5"/>
      <c r="CL95" s="3"/>
      <c r="CN95" s="5"/>
      <c r="CR95" s="3"/>
      <c r="CS95" s="3"/>
      <c r="CT95" s="5"/>
      <c r="CV95" s="3"/>
      <c r="DR95" s="5"/>
      <c r="DT95" s="3"/>
      <c r="EF95" s="7"/>
      <c r="EG95" s="7"/>
      <c r="EJ95" s="4"/>
      <c r="EK95" s="4"/>
      <c r="EU95" s="2"/>
      <c r="EV95" s="2"/>
    </row>
    <row r="96" spans="1:152">
      <c r="A96" s="287">
        <v>3543</v>
      </c>
      <c r="B96" s="288" t="s">
        <v>1348</v>
      </c>
      <c r="C96" s="288" t="s">
        <v>278</v>
      </c>
      <c r="D96" s="288" t="s">
        <v>153</v>
      </c>
      <c r="E96" s="288" t="s">
        <v>1349</v>
      </c>
      <c r="F96" s="288" t="s">
        <v>34</v>
      </c>
      <c r="G96" s="288" t="s">
        <v>1291</v>
      </c>
      <c r="H96" s="288" t="s">
        <v>1285</v>
      </c>
      <c r="I96" s="288" t="s">
        <v>1227</v>
      </c>
      <c r="J96" s="288" t="s">
        <v>686</v>
      </c>
      <c r="K96" s="289">
        <v>43461</v>
      </c>
      <c r="L96" s="290">
        <v>1.6</v>
      </c>
      <c r="M96" s="290">
        <v>1.8</v>
      </c>
      <c r="N96" s="288">
        <v>4.92</v>
      </c>
      <c r="O96" s="288" t="s">
        <v>687</v>
      </c>
      <c r="P96" s="291" t="s">
        <v>765</v>
      </c>
      <c r="Q96" s="291" t="s">
        <v>766</v>
      </c>
      <c r="R96" s="288" t="s">
        <v>24</v>
      </c>
      <c r="S96" s="288"/>
      <c r="T96" s="292" t="s">
        <v>615</v>
      </c>
      <c r="U96" s="288"/>
      <c r="V96" s="292" t="s">
        <v>615</v>
      </c>
      <c r="W96" s="288"/>
      <c r="X96" s="292" t="s">
        <v>120</v>
      </c>
      <c r="Y96" s="288" t="s">
        <v>1350</v>
      </c>
      <c r="Z96" s="293" t="s">
        <v>120</v>
      </c>
      <c r="AA96" s="294"/>
      <c r="AB96" s="294"/>
      <c r="AC96" s="295" t="s">
        <v>123</v>
      </c>
      <c r="AD96" s="288" t="s">
        <v>1495</v>
      </c>
      <c r="AE96" s="292" t="s">
        <v>615</v>
      </c>
      <c r="AF96" s="289"/>
      <c r="AG96" s="296"/>
      <c r="AH96" s="296"/>
      <c r="AI96" s="288"/>
      <c r="AJ96" s="292" t="s">
        <v>615</v>
      </c>
      <c r="AK96" s="288"/>
      <c r="AL96" s="288"/>
      <c r="AM96" s="292" t="s">
        <v>615</v>
      </c>
      <c r="AN96" s="288"/>
      <c r="AO96" s="288" t="s">
        <v>615</v>
      </c>
      <c r="AP96" s="297"/>
      <c r="AQ96" s="288"/>
      <c r="AR96" s="292" t="s">
        <v>120</v>
      </c>
      <c r="AS96" s="288"/>
      <c r="AT96" s="289">
        <v>43461.702670023202</v>
      </c>
      <c r="AU96" s="289"/>
      <c r="AV96" s="289">
        <v>43472.675092245401</v>
      </c>
      <c r="AW96" s="289"/>
      <c r="AX96" s="289"/>
      <c r="AY96" s="289"/>
      <c r="AZ96" s="298">
        <v>43472.675092245401</v>
      </c>
      <c r="BA9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11.675092245401174</v>
      </c>
      <c r="BB96" s="300">
        <f>COUNTIFS(_05preva_view43[Site ID],_05preva_view43[[#This Row],[Site ID]],_05preva_view43[Prevalidation Status],"Under Prevalidation")</f>
        <v>0</v>
      </c>
      <c r="BC9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6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1-01-17019-006 (AYY0333) Application Rev 2.xlsx</v>
      </c>
      <c r="BE96" s="64">
        <f t="shared" ca="1" si="3"/>
        <v>50</v>
      </c>
      <c r="BF96" s="104" t="str">
        <f ca="1">LEFT(CELL("filename",A81),_05preva_view43[[#This Row],[Find Process &amp; Database]]-1)</f>
        <v>D:\OneDrive - apollo-towers.com\Apollo Towers\00-</v>
      </c>
      <c r="BG96" s="104" t="str">
        <f ca="1">_05preva_view43[Folder Path1]&amp;"Process &amp; Database\Documentation\Colo Applications"</f>
        <v>D:\OneDrive - apollo-towers.com\Apollo Towers\00-Process &amp; Database\Documentation\Colo Applications</v>
      </c>
      <c r="BH9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96" s="63" t="str">
        <f ca="1">_05preva_view43[[#This Row],[Folder Path3]]&amp;_05preva_view43[[#This Row],[File Name]]</f>
        <v>D:\OneDrive - apollo-towers.com\Apollo Towers\00-Process &amp; Database\Documentation\Colo Applications\Colo App Mytel\1-01-17019-006 (AYY0333) Application Rev 2.xlsx</v>
      </c>
      <c r="BJ96" s="104"/>
      <c r="BK96" s="3"/>
      <c r="BL96" s="3"/>
      <c r="CJ96" s="5"/>
      <c r="CK96" s="5"/>
      <c r="CL96" s="3"/>
      <c r="CN96" s="5"/>
      <c r="CR96" s="3"/>
      <c r="CS96" s="3"/>
      <c r="CT96" s="5"/>
      <c r="CV96" s="3"/>
      <c r="DR96" s="5"/>
      <c r="DT96" s="3"/>
      <c r="EF96" s="7"/>
      <c r="EG96" s="7"/>
      <c r="EJ96" s="4"/>
      <c r="EK96" s="4"/>
      <c r="EU96" s="2"/>
      <c r="EV96" s="2"/>
    </row>
    <row r="97" spans="1:152">
      <c r="A97" s="287">
        <v>3544</v>
      </c>
      <c r="B97" s="288" t="s">
        <v>1351</v>
      </c>
      <c r="C97" s="288" t="s">
        <v>278</v>
      </c>
      <c r="D97" s="288" t="s">
        <v>127</v>
      </c>
      <c r="E97" s="288" t="s">
        <v>1352</v>
      </c>
      <c r="F97" s="288" t="s">
        <v>34</v>
      </c>
      <c r="G97" s="288" t="s">
        <v>1291</v>
      </c>
      <c r="H97" s="288" t="s">
        <v>1285</v>
      </c>
      <c r="I97" s="288" t="s">
        <v>1227</v>
      </c>
      <c r="J97" s="288" t="s">
        <v>686</v>
      </c>
      <c r="K97" s="289">
        <v>43461</v>
      </c>
      <c r="L97" s="290">
        <v>1.5</v>
      </c>
      <c r="M97" s="290">
        <v>1.7</v>
      </c>
      <c r="N97" s="288">
        <v>4.07</v>
      </c>
      <c r="O97" s="288" t="s">
        <v>687</v>
      </c>
      <c r="P97" s="291" t="s">
        <v>508</v>
      </c>
      <c r="Q97" s="291" t="s">
        <v>509</v>
      </c>
      <c r="R97" s="288" t="s">
        <v>24</v>
      </c>
      <c r="S97" s="288"/>
      <c r="T97" s="292" t="s">
        <v>615</v>
      </c>
      <c r="U97" s="288"/>
      <c r="V97" s="292" t="s">
        <v>615</v>
      </c>
      <c r="W97" s="288"/>
      <c r="X97" s="292" t="s">
        <v>120</v>
      </c>
      <c r="Y97" s="288" t="s">
        <v>1353</v>
      </c>
      <c r="Z97" s="293" t="s">
        <v>120</v>
      </c>
      <c r="AA97" s="294"/>
      <c r="AB97" s="294"/>
      <c r="AC97" s="295" t="s">
        <v>123</v>
      </c>
      <c r="AD97" s="288" t="s">
        <v>1496</v>
      </c>
      <c r="AE97" s="292" t="s">
        <v>615</v>
      </c>
      <c r="AF97" s="289"/>
      <c r="AG97" s="296"/>
      <c r="AH97" s="296"/>
      <c r="AI97" s="288"/>
      <c r="AJ97" s="292" t="s">
        <v>615</v>
      </c>
      <c r="AK97" s="288"/>
      <c r="AL97" s="288"/>
      <c r="AM97" s="292" t="s">
        <v>615</v>
      </c>
      <c r="AN97" s="288"/>
      <c r="AO97" s="288" t="s">
        <v>615</v>
      </c>
      <c r="AP97" s="297"/>
      <c r="AQ97" s="288"/>
      <c r="AR97" s="292" t="s">
        <v>120</v>
      </c>
      <c r="AS97" s="288"/>
      <c r="AT97" s="289">
        <v>43461.702671064799</v>
      </c>
      <c r="AU97" s="289"/>
      <c r="AV97" s="289">
        <v>43472.510648379597</v>
      </c>
      <c r="AW97" s="289"/>
      <c r="AX97" s="289"/>
      <c r="AY97" s="289"/>
      <c r="AZ97" s="298">
        <v>43472.510648379597</v>
      </c>
      <c r="BA9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11.510648379597114</v>
      </c>
      <c r="BB97" s="300">
        <f>COUNTIFS(_05preva_view43[Site ID],_05preva_view43[[#This Row],[Site ID]],_05preva_view43[Prevalidation Status],"Under Prevalidation")</f>
        <v>0</v>
      </c>
      <c r="BC9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7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1-01-01008-016 (KCN0033) Application Rev 2.xlsx</v>
      </c>
      <c r="BE97" s="64">
        <f t="shared" ca="1" si="3"/>
        <v>50</v>
      </c>
      <c r="BF97" s="104" t="str">
        <f ca="1">LEFT(CELL("filename",A82),_05preva_view43[[#This Row],[Find Process &amp; Database]]-1)</f>
        <v>D:\OneDrive - apollo-towers.com\Apollo Towers\00-</v>
      </c>
      <c r="BG97" s="104" t="str">
        <f ca="1">_05preva_view43[Folder Path1]&amp;"Process &amp; Database\Documentation\Colo Applications"</f>
        <v>D:\OneDrive - apollo-towers.com\Apollo Towers\00-Process &amp; Database\Documentation\Colo Applications</v>
      </c>
      <c r="BH9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97" s="63" t="str">
        <f ca="1">_05preva_view43[[#This Row],[Folder Path3]]&amp;_05preva_view43[[#This Row],[File Name]]</f>
        <v>D:\OneDrive - apollo-towers.com\Apollo Towers\00-Process &amp; Database\Documentation\Colo Applications\Colo App Mytel\1-01-01008-016 (KCN0033) Application Rev 2.xlsx</v>
      </c>
      <c r="BJ97" s="104"/>
      <c r="BK97" s="3"/>
      <c r="BL97" s="3"/>
      <c r="CJ97" s="5"/>
      <c r="CK97" s="5"/>
      <c r="CL97" s="3"/>
      <c r="CN97" s="5"/>
      <c r="CR97" s="3"/>
      <c r="CS97" s="3"/>
      <c r="CT97" s="5"/>
      <c r="CV97" s="3"/>
      <c r="DR97" s="5"/>
      <c r="DT97" s="3"/>
      <c r="EF97" s="7"/>
      <c r="EG97" s="7"/>
      <c r="EJ97" s="4"/>
      <c r="EK97" s="4"/>
      <c r="EU97" s="2"/>
      <c r="EV97" s="2"/>
    </row>
    <row r="98" spans="1:152">
      <c r="A98" s="287">
        <v>3545</v>
      </c>
      <c r="B98" s="288" t="s">
        <v>1354</v>
      </c>
      <c r="C98" s="288" t="s">
        <v>278</v>
      </c>
      <c r="D98" s="288" t="s">
        <v>127</v>
      </c>
      <c r="E98" s="288" t="s">
        <v>1355</v>
      </c>
      <c r="F98" s="288" t="s">
        <v>34</v>
      </c>
      <c r="G98" s="288" t="s">
        <v>1291</v>
      </c>
      <c r="H98" s="288" t="s">
        <v>1285</v>
      </c>
      <c r="I98" s="288" t="s">
        <v>1227</v>
      </c>
      <c r="J98" s="288" t="s">
        <v>686</v>
      </c>
      <c r="K98" s="289">
        <v>43461</v>
      </c>
      <c r="L98" s="290">
        <v>1.6</v>
      </c>
      <c r="M98" s="290">
        <v>1.8</v>
      </c>
      <c r="N98" s="288">
        <v>4.99</v>
      </c>
      <c r="O98" s="288" t="s">
        <v>687</v>
      </c>
      <c r="P98" s="291" t="s">
        <v>508</v>
      </c>
      <c r="Q98" s="291" t="s">
        <v>509</v>
      </c>
      <c r="R98" s="288" t="s">
        <v>24</v>
      </c>
      <c r="S98" s="288"/>
      <c r="T98" s="292" t="s">
        <v>615</v>
      </c>
      <c r="U98" s="288"/>
      <c r="V98" s="292" t="s">
        <v>615</v>
      </c>
      <c r="W98" s="288"/>
      <c r="X98" s="292" t="s">
        <v>120</v>
      </c>
      <c r="Y98" s="288" t="s">
        <v>1356</v>
      </c>
      <c r="Z98" s="293" t="s">
        <v>120</v>
      </c>
      <c r="AA98" s="294"/>
      <c r="AB98" s="294"/>
      <c r="AC98" s="295" t="s">
        <v>123</v>
      </c>
      <c r="AD98" s="288" t="s">
        <v>1544</v>
      </c>
      <c r="AE98" s="292" t="s">
        <v>615</v>
      </c>
      <c r="AF98" s="289"/>
      <c r="AG98" s="296"/>
      <c r="AH98" s="296"/>
      <c r="AI98" s="288"/>
      <c r="AJ98" s="292" t="s">
        <v>615</v>
      </c>
      <c r="AK98" s="288"/>
      <c r="AL98" s="288"/>
      <c r="AM98" s="292" t="s">
        <v>615</v>
      </c>
      <c r="AN98" s="288"/>
      <c r="AO98" s="288" t="s">
        <v>615</v>
      </c>
      <c r="AP98" s="297"/>
      <c r="AQ98" s="288"/>
      <c r="AR98" s="292" t="s">
        <v>120</v>
      </c>
      <c r="AS98" s="288"/>
      <c r="AT98" s="289">
        <v>43461.702671759303</v>
      </c>
      <c r="AU98" s="289"/>
      <c r="AV98" s="289">
        <v>43473.657833333302</v>
      </c>
      <c r="AW98" s="289"/>
      <c r="AX98" s="289"/>
      <c r="AY98" s="289"/>
      <c r="AZ98" s="298">
        <v>43473.657833333302</v>
      </c>
      <c r="BA9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12.657833333301824</v>
      </c>
      <c r="BB98" s="300">
        <f>COUNTIFS(_05preva_view43[Site ID],_05preva_view43[[#This Row],[Site ID]],_05preva_view43[Prevalidation Status],"Under Prevalidation")</f>
        <v>0</v>
      </c>
      <c r="BC9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8" s="302" t="str">
        <f>CONCATENATE(_05preva_view43[[#This Row],[Site ID]]," (",_05preva_view43[[#This Row],[tenant id]],") Application",IF(_05preva_view43[[#This Row],[Colo Rev]]&gt;0," Rev "&amp;_05preva_view43[[#This Row],[Colo Rev]],""),".xlsx")</f>
        <v>1-01-10030-007 (MDY0162) Application Rev 2.xlsx</v>
      </c>
      <c r="BE98" s="64">
        <f t="shared" ca="1" si="3"/>
        <v>50</v>
      </c>
      <c r="BF98" s="104" t="str">
        <f ca="1">LEFT(CELL("filename",A83),_05preva_view43[[#This Row],[Find Process &amp; Database]]-1)</f>
        <v>D:\OneDrive - apollo-towers.com\Apollo Towers\00-</v>
      </c>
      <c r="BG98" s="104" t="str">
        <f ca="1">_05preva_view43[Folder Path1]&amp;"Process &amp; Database\Documentation\Colo Applications"</f>
        <v>D:\OneDrive - apollo-towers.com\Apollo Towers\00-Process &amp; Database\Documentation\Colo Applications</v>
      </c>
      <c r="BH9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98" s="63" t="str">
        <f ca="1">_05preva_view43[[#This Row],[Folder Path3]]&amp;_05preva_view43[[#This Row],[File Name]]</f>
        <v>D:\OneDrive - apollo-towers.com\Apollo Towers\00-Process &amp; Database\Documentation\Colo Applications\Colo App Mytel\1-01-10030-007 (MDY0162) Application Rev 2.xlsx</v>
      </c>
      <c r="BJ98" s="104"/>
      <c r="BK98" s="3"/>
      <c r="BL98" s="3"/>
      <c r="CJ98" s="5"/>
      <c r="CK98" s="5"/>
      <c r="CL98" s="3"/>
      <c r="CN98" s="5"/>
      <c r="CR98" s="3"/>
      <c r="CS98" s="3"/>
      <c r="CT98" s="5"/>
      <c r="CV98" s="3"/>
      <c r="DR98" s="5"/>
      <c r="DT98" s="3"/>
      <c r="EF98" s="7"/>
      <c r="EG98" s="7"/>
      <c r="EJ98" s="4"/>
      <c r="EK98" s="4"/>
      <c r="EU98" s="2"/>
      <c r="EV98" s="2"/>
    </row>
    <row r="99" spans="1:152">
      <c r="A99" s="287">
        <v>3546</v>
      </c>
      <c r="B99" s="288" t="s">
        <v>1357</v>
      </c>
      <c r="C99" s="288" t="s">
        <v>278</v>
      </c>
      <c r="D99" s="288" t="s">
        <v>127</v>
      </c>
      <c r="E99" s="288" t="s">
        <v>1358</v>
      </c>
      <c r="F99" s="288" t="s">
        <v>34</v>
      </c>
      <c r="G99" s="288" t="s">
        <v>1291</v>
      </c>
      <c r="H99" s="288" t="s">
        <v>1285</v>
      </c>
      <c r="I99" s="288" t="s">
        <v>1227</v>
      </c>
      <c r="J99" s="288" t="s">
        <v>686</v>
      </c>
      <c r="K99" s="289">
        <v>43461</v>
      </c>
      <c r="L99" s="290">
        <v>1.6</v>
      </c>
      <c r="M99" s="290">
        <v>1.7</v>
      </c>
      <c r="N99" s="288">
        <v>4.3600000000000003</v>
      </c>
      <c r="O99" s="288" t="s">
        <v>687</v>
      </c>
      <c r="P99" s="291" t="s">
        <v>1095</v>
      </c>
      <c r="Q99" s="291" t="s">
        <v>858</v>
      </c>
      <c r="R99" s="288" t="s">
        <v>24</v>
      </c>
      <c r="S99" s="288"/>
      <c r="T99" s="292" t="s">
        <v>615</v>
      </c>
      <c r="U99" s="288"/>
      <c r="V99" s="292" t="s">
        <v>615</v>
      </c>
      <c r="W99" s="288"/>
      <c r="X99" s="292" t="s">
        <v>120</v>
      </c>
      <c r="Y99" s="288" t="s">
        <v>1359</v>
      </c>
      <c r="Z99" s="293" t="s">
        <v>120</v>
      </c>
      <c r="AA99" s="294"/>
      <c r="AB99" s="294"/>
      <c r="AC99" s="295" t="s">
        <v>123</v>
      </c>
      <c r="AD99" s="288" t="s">
        <v>1545</v>
      </c>
      <c r="AE99" s="292" t="s">
        <v>615</v>
      </c>
      <c r="AF99" s="289"/>
      <c r="AG99" s="296"/>
      <c r="AH99" s="296"/>
      <c r="AI99" s="288"/>
      <c r="AJ99" s="292" t="s">
        <v>615</v>
      </c>
      <c r="AK99" s="288"/>
      <c r="AL99" s="288"/>
      <c r="AM99" s="292" t="s">
        <v>615</v>
      </c>
      <c r="AN99" s="288"/>
      <c r="AO99" s="288" t="s">
        <v>615</v>
      </c>
      <c r="AP99" s="297"/>
      <c r="AQ99" s="288"/>
      <c r="AR99" s="292" t="s">
        <v>120</v>
      </c>
      <c r="AS99" s="288"/>
      <c r="AT99" s="289">
        <v>43461.702673148102</v>
      </c>
      <c r="AU99" s="289"/>
      <c r="AV99" s="289">
        <v>43474.469203240697</v>
      </c>
      <c r="AW99" s="289"/>
      <c r="AX99" s="289"/>
      <c r="AY99" s="289"/>
      <c r="AZ99" s="298">
        <v>43474.469203240697</v>
      </c>
      <c r="BA9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13.469203240696515</v>
      </c>
      <c r="BB99" s="300">
        <f>COUNTIFS(_05preva_view43[Site ID],_05preva_view43[[#This Row],[Site ID]],_05preva_view43[Prevalidation Status],"Under Prevalidation")</f>
        <v>0</v>
      </c>
      <c r="BC9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99" s="302" t="str">
        <f>CONCATENATE(_05preva_view43[[#This Row],[Site ID]]," (",_05preva_view43[[#This Row],[tenant id]],") Application",IF(_05preva_view43[[#This Row],[Colo Rev]]&gt;0," Rev "&amp;_05preva_view43[[#This Row],[Colo Rev]],""),".xlsx")</f>
        <v>1-01-10024-004 (MDY0379) Application Rev 2.xlsx</v>
      </c>
      <c r="BE99" s="64">
        <f t="shared" ca="1" si="3"/>
        <v>50</v>
      </c>
      <c r="BF99" s="104" t="str">
        <f ca="1">LEFT(CELL("filename",A84),_05preva_view43[[#This Row],[Find Process &amp; Database]]-1)</f>
        <v>D:\OneDrive - apollo-towers.com\Apollo Towers\00-</v>
      </c>
      <c r="BG99" s="104" t="str">
        <f ca="1">_05preva_view43[Folder Path1]&amp;"Process &amp; Database\Documentation\Colo Applications"</f>
        <v>D:\OneDrive - apollo-towers.com\Apollo Towers\00-Process &amp; Database\Documentation\Colo Applications</v>
      </c>
      <c r="BH9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99" s="63" t="str">
        <f ca="1">_05preva_view43[[#This Row],[Folder Path3]]&amp;_05preva_view43[[#This Row],[File Name]]</f>
        <v>D:\OneDrive - apollo-towers.com\Apollo Towers\00-Process &amp; Database\Documentation\Colo Applications\Colo App Mytel\1-01-10024-004 (MDY0379) Application Rev 2.xlsx</v>
      </c>
      <c r="BJ99" s="104"/>
      <c r="BK99" s="3"/>
      <c r="BL99" s="3"/>
      <c r="CJ99" s="5"/>
      <c r="CK99" s="5"/>
      <c r="CL99" s="3"/>
      <c r="CN99" s="5"/>
      <c r="CR99" s="3"/>
      <c r="CS99" s="3"/>
      <c r="CT99" s="5"/>
      <c r="CV99" s="3"/>
      <c r="DR99" s="5"/>
      <c r="DT99" s="3"/>
      <c r="EF99" s="7"/>
      <c r="EG99" s="7"/>
      <c r="EJ99" s="4"/>
      <c r="EK99" s="4"/>
      <c r="EU99" s="2"/>
      <c r="EV99" s="2"/>
    </row>
    <row r="100" spans="1:152">
      <c r="A100" s="287">
        <v>3547</v>
      </c>
      <c r="B100" s="288" t="s">
        <v>1360</v>
      </c>
      <c r="C100" s="288" t="s">
        <v>278</v>
      </c>
      <c r="D100" s="288" t="s">
        <v>127</v>
      </c>
      <c r="E100" s="288" t="s">
        <v>1361</v>
      </c>
      <c r="F100" s="288" t="s">
        <v>34</v>
      </c>
      <c r="G100" s="288" t="s">
        <v>118</v>
      </c>
      <c r="H100" s="288" t="s">
        <v>1328</v>
      </c>
      <c r="I100" s="288" t="s">
        <v>970</v>
      </c>
      <c r="J100" s="288" t="s">
        <v>668</v>
      </c>
      <c r="K100" s="289">
        <v>43461</v>
      </c>
      <c r="L100" s="290">
        <v>2</v>
      </c>
      <c r="M100" s="290">
        <v>2</v>
      </c>
      <c r="N100" s="288">
        <v>6</v>
      </c>
      <c r="O100" s="288" t="s">
        <v>687</v>
      </c>
      <c r="P100" s="291" t="s">
        <v>240</v>
      </c>
      <c r="Q100" s="291" t="s">
        <v>241</v>
      </c>
      <c r="R100" s="288" t="s">
        <v>24</v>
      </c>
      <c r="S100" s="288"/>
      <c r="T100" s="292" t="s">
        <v>615</v>
      </c>
      <c r="U100" s="288"/>
      <c r="V100" s="292" t="s">
        <v>615</v>
      </c>
      <c r="W100" s="288"/>
      <c r="X100" s="292" t="s">
        <v>615</v>
      </c>
      <c r="Y100" s="288"/>
      <c r="Z100" s="293" t="s">
        <v>615</v>
      </c>
      <c r="AA100" s="294"/>
      <c r="AB100" s="294"/>
      <c r="AC100" s="295"/>
      <c r="AD100" s="288"/>
      <c r="AE100" s="292" t="s">
        <v>120</v>
      </c>
      <c r="AF100" s="289" t="s">
        <v>1726</v>
      </c>
      <c r="AG100" s="296"/>
      <c r="AH100" s="296"/>
      <c r="AI100" s="288" t="s">
        <v>1727</v>
      </c>
      <c r="AJ100" s="292" t="s">
        <v>615</v>
      </c>
      <c r="AK100" s="288"/>
      <c r="AL100" s="288"/>
      <c r="AM100" s="292" t="s">
        <v>615</v>
      </c>
      <c r="AN100" s="288"/>
      <c r="AO100" s="288" t="s">
        <v>615</v>
      </c>
      <c r="AP100" s="297"/>
      <c r="AQ100" s="288"/>
      <c r="AR100" s="292" t="s">
        <v>120</v>
      </c>
      <c r="AS100" s="288"/>
      <c r="AT100" s="289"/>
      <c r="AU100" s="289">
        <v>43479.735448148102</v>
      </c>
      <c r="AV100" s="289"/>
      <c r="AW100" s="289"/>
      <c r="AX100" s="289"/>
      <c r="AY100" s="289"/>
      <c r="AZ100" s="298">
        <v>43480.463188888898</v>
      </c>
      <c r="BA10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19.463188888898003</v>
      </c>
      <c r="BB100" s="300">
        <f>COUNTIFS(_05preva_view43[Site ID],_05preva_view43[[#This Row],[Site ID]],_05preva_view43[Prevalidation Status],"Under Prevalidation")</f>
        <v>0</v>
      </c>
      <c r="BC10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0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1-01-01001-018 (KCN0063) Application Rev 1.xlsx</v>
      </c>
      <c r="BE100" s="64">
        <f t="shared" ca="1" si="3"/>
        <v>50</v>
      </c>
      <c r="BF100" s="104" t="str">
        <f ca="1">LEFT(CELL("filename",A85),_05preva_view43[[#This Row],[Find Process &amp; Database]]-1)</f>
        <v>D:\OneDrive - apollo-towers.com\Apollo Towers\00-</v>
      </c>
      <c r="BG100" s="104" t="str">
        <f ca="1">_05preva_view43[Folder Path1]&amp;"Process &amp; Database\Documentation\Colo Applications"</f>
        <v>D:\OneDrive - apollo-towers.com\Apollo Towers\00-Process &amp; Database\Documentation\Colo Applications</v>
      </c>
      <c r="BH10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00" s="63" t="str">
        <f ca="1">_05preva_view43[[#This Row],[Folder Path3]]&amp;_05preva_view43[[#This Row],[File Name]]</f>
        <v>D:\OneDrive - apollo-towers.com\Apollo Towers\00-Process &amp; Database\Documentation\Colo Applications\Colo App Mytel\1-01-01001-018 (KCN0063) Application Rev 1.xlsx</v>
      </c>
      <c r="BJ100" s="104"/>
      <c r="BK100" s="3"/>
      <c r="BL100" s="3"/>
      <c r="CJ100" s="5"/>
      <c r="CK100" s="5"/>
      <c r="CL100" s="3"/>
      <c r="CN100" s="5"/>
      <c r="CR100" s="3"/>
      <c r="CS100" s="3"/>
      <c r="CT100" s="5"/>
      <c r="CV100" s="3"/>
      <c r="DR100" s="5"/>
      <c r="DT100" s="3"/>
      <c r="EF100" s="7"/>
      <c r="EG100" s="7"/>
      <c r="EJ100" s="4"/>
      <c r="EK100" s="4"/>
      <c r="EU100" s="2"/>
      <c r="EV100" s="2"/>
    </row>
    <row r="101" spans="1:152">
      <c r="A101" s="287">
        <v>3528</v>
      </c>
      <c r="B101" s="288" t="s">
        <v>1362</v>
      </c>
      <c r="C101" s="288" t="s">
        <v>116</v>
      </c>
      <c r="D101" s="288" t="s">
        <v>117</v>
      </c>
      <c r="E101" s="288" t="s">
        <v>1363</v>
      </c>
      <c r="F101" s="288" t="s">
        <v>35</v>
      </c>
      <c r="G101" s="288" t="s">
        <v>1287</v>
      </c>
      <c r="H101" s="288" t="s">
        <v>1285</v>
      </c>
      <c r="I101" s="288" t="s">
        <v>790</v>
      </c>
      <c r="J101" s="288" t="s">
        <v>686</v>
      </c>
      <c r="K101" s="289">
        <v>43460</v>
      </c>
      <c r="L101" s="290">
        <v>2.3050000000000002</v>
      </c>
      <c r="M101" s="290">
        <v>4.07</v>
      </c>
      <c r="N101" s="288">
        <v>6.81</v>
      </c>
      <c r="O101" s="288" t="s">
        <v>119</v>
      </c>
      <c r="P101" s="291" t="s">
        <v>280</v>
      </c>
      <c r="Q101" s="291" t="s">
        <v>281</v>
      </c>
      <c r="R101" s="288" t="s">
        <v>24</v>
      </c>
      <c r="S101" s="288"/>
      <c r="T101" s="292" t="s">
        <v>120</v>
      </c>
      <c r="U101" s="288" t="s">
        <v>1364</v>
      </c>
      <c r="V101" s="292" t="s">
        <v>120</v>
      </c>
      <c r="W101" s="288"/>
      <c r="X101" s="292" t="s">
        <v>120</v>
      </c>
      <c r="Y101" s="288" t="s">
        <v>1365</v>
      </c>
      <c r="Z101" s="293" t="s">
        <v>120</v>
      </c>
      <c r="AA101" s="294"/>
      <c r="AB101" s="294"/>
      <c r="AC101" s="295" t="s">
        <v>123</v>
      </c>
      <c r="AD101" s="288" t="s">
        <v>1366</v>
      </c>
      <c r="AE101" s="292" t="s">
        <v>120</v>
      </c>
      <c r="AF101" s="289"/>
      <c r="AG101" s="296"/>
      <c r="AH101" s="296"/>
      <c r="AI101" s="288"/>
      <c r="AJ101" s="292" t="s">
        <v>120</v>
      </c>
      <c r="AK101" s="288" t="s">
        <v>123</v>
      </c>
      <c r="AL101" s="288" t="s">
        <v>935</v>
      </c>
      <c r="AM101" s="292"/>
      <c r="AN101" s="288"/>
      <c r="AO101" s="288"/>
      <c r="AP101" s="297"/>
      <c r="AQ101" s="288"/>
      <c r="AR101" s="292"/>
      <c r="AS101" s="288"/>
      <c r="AT101" s="289">
        <v>43460.704988425903</v>
      </c>
      <c r="AU101" s="289">
        <v>43479.735422800899</v>
      </c>
      <c r="AV101" s="289">
        <v>43461.5884149306</v>
      </c>
      <c r="AW101" s="289">
        <v>43460.704988425903</v>
      </c>
      <c r="AX101" s="289">
        <v>43460.604122800898</v>
      </c>
      <c r="AY101" s="289">
        <v>43460.457213773101</v>
      </c>
      <c r="AZ101" s="298">
        <v>43480.437797106497</v>
      </c>
      <c r="BA10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20.437797106496873</v>
      </c>
      <c r="BB101" s="300">
        <f>COUNTIFS(_05preva_view43[Site ID],_05preva_view43[[#This Row],[Site ID]],_05preva_view43[Prevalidation Status],"Under Prevalidation")</f>
        <v>0</v>
      </c>
      <c r="BC10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1" s="302" t="str">
        <f>CONCATENATE(_05preva_view43[[#This Row],[Site ID]]," (",_05preva_view43[[#This Row],[tenant id]],") Application",IF(_05preva_view43[[#This Row],[Colo Rev]]&gt;0," Rev "&amp;_05preva_view43[[#This Row],[Colo Rev]],""),".xlsx")</f>
        <v>ANMG_0037 (MGW00580) Application Rev 2.xlsx</v>
      </c>
      <c r="BE101" s="64">
        <f t="shared" ca="1" si="3"/>
        <v>50</v>
      </c>
      <c r="BF101" s="104" t="str">
        <f ca="1">LEFT(CELL("filename",A86),_05preva_view43[[#This Row],[Find Process &amp; Database]]-1)</f>
        <v>D:\OneDrive - apollo-towers.com\Apollo Towers\00-</v>
      </c>
      <c r="BG101" s="104" t="str">
        <f ca="1">_05preva_view43[Folder Path1]&amp;"Process &amp; Database\Documentation\Colo Applications"</f>
        <v>D:\OneDrive - apollo-towers.com\Apollo Towers\00-Process &amp; Database\Documentation\Colo Applications</v>
      </c>
      <c r="BH10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1" s="63" t="str">
        <f ca="1">_05preva_view43[[#This Row],[Folder Path3]]&amp;_05preva_view43[[#This Row],[File Name]]</f>
        <v>D:\OneDrive - apollo-towers.com\Apollo Towers\00-Process &amp; Database\Documentation\Colo Applications\Colo App MPT\ANMG_0037 (MGW00580) Application Rev 2.xlsx</v>
      </c>
      <c r="BJ101" s="104"/>
      <c r="BK101" s="3"/>
      <c r="BL101" s="3"/>
      <c r="CJ101" s="5"/>
      <c r="CK101" s="5"/>
      <c r="CL101" s="3"/>
      <c r="CN101" s="5"/>
      <c r="CR101" s="3"/>
      <c r="CS101" s="3"/>
      <c r="CT101" s="5"/>
      <c r="CV101" s="3"/>
      <c r="DR101" s="5"/>
      <c r="DT101" s="3"/>
      <c r="EF101" s="7"/>
      <c r="EG101" s="7"/>
      <c r="EJ101" s="4"/>
      <c r="EK101" s="4"/>
      <c r="EU101" s="2"/>
      <c r="EV101" s="2"/>
    </row>
    <row r="102" spans="1:152">
      <c r="A102" s="287">
        <v>3529</v>
      </c>
      <c r="B102" s="288" t="s">
        <v>193</v>
      </c>
      <c r="C102" s="288" t="s">
        <v>116</v>
      </c>
      <c r="D102" s="288" t="s">
        <v>153</v>
      </c>
      <c r="E102" s="288" t="s">
        <v>194</v>
      </c>
      <c r="F102" s="288" t="s">
        <v>35</v>
      </c>
      <c r="G102" s="288" t="s">
        <v>1287</v>
      </c>
      <c r="H102" s="288" t="s">
        <v>1285</v>
      </c>
      <c r="I102" s="288" t="s">
        <v>814</v>
      </c>
      <c r="J102" s="288" t="s">
        <v>686</v>
      </c>
      <c r="K102" s="289">
        <v>43460</v>
      </c>
      <c r="L102" s="290">
        <v>1.04</v>
      </c>
      <c r="M102" s="290">
        <v>1.3</v>
      </c>
      <c r="N102" s="288">
        <v>1.1479999999999999</v>
      </c>
      <c r="O102" s="288" t="s">
        <v>119</v>
      </c>
      <c r="P102" s="291" t="s">
        <v>279</v>
      </c>
      <c r="Q102" s="291" t="s">
        <v>526</v>
      </c>
      <c r="R102" s="288" t="s">
        <v>24</v>
      </c>
      <c r="S102" s="288"/>
      <c r="T102" s="292" t="s">
        <v>120</v>
      </c>
      <c r="U102" s="288" t="s">
        <v>1367</v>
      </c>
      <c r="V102" s="292" t="s">
        <v>120</v>
      </c>
      <c r="W102" s="288"/>
      <c r="X102" s="292" t="s">
        <v>120</v>
      </c>
      <c r="Y102" s="288" t="s">
        <v>1368</v>
      </c>
      <c r="Z102" s="293" t="s">
        <v>120</v>
      </c>
      <c r="AA102" s="294"/>
      <c r="AB102" s="294"/>
      <c r="AC102" s="295" t="s">
        <v>123</v>
      </c>
      <c r="AD102" s="288" t="s">
        <v>1369</v>
      </c>
      <c r="AE102" s="292" t="s">
        <v>120</v>
      </c>
      <c r="AF102" s="289"/>
      <c r="AG102" s="296"/>
      <c r="AH102" s="296"/>
      <c r="AI102" s="288"/>
      <c r="AJ102" s="292" t="s">
        <v>120</v>
      </c>
      <c r="AK102" s="288" t="s">
        <v>123</v>
      </c>
      <c r="AL102" s="288" t="s">
        <v>935</v>
      </c>
      <c r="AM102" s="292"/>
      <c r="AN102" s="288"/>
      <c r="AO102" s="288"/>
      <c r="AP102" s="297"/>
      <c r="AQ102" s="288"/>
      <c r="AR102" s="292"/>
      <c r="AS102" s="288"/>
      <c r="AT102" s="289">
        <v>43460.704989699101</v>
      </c>
      <c r="AU102" s="289">
        <v>43479.7354233796</v>
      </c>
      <c r="AV102" s="289">
        <v>43461.692372106503</v>
      </c>
      <c r="AW102" s="289">
        <v>43460.704989699101</v>
      </c>
      <c r="AX102" s="289">
        <v>43460.604123379599</v>
      </c>
      <c r="AY102" s="289">
        <v>43460.457214699098</v>
      </c>
      <c r="AZ102" s="298">
        <v>43480.437797916697</v>
      </c>
      <c r="BA10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20.437797916696582</v>
      </c>
      <c r="BB102" s="300">
        <f>COUNTIFS(_05preva_view43[Site ID],_05preva_view43[[#This Row],[Site ID]],_05preva_view43[Prevalidation Status],"Under Prevalidation")</f>
        <v>0</v>
      </c>
      <c r="BC10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2" s="302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 Rev 2.xlsx</v>
      </c>
      <c r="BE102" s="64">
        <f t="shared" ca="1" si="3"/>
        <v>50</v>
      </c>
      <c r="BF102" s="104" t="str">
        <f ca="1">LEFT(CELL("filename",A87),_05preva_view43[[#This Row],[Find Process &amp; Database]]-1)</f>
        <v>D:\OneDrive - apollo-towers.com\Apollo Towers\00-</v>
      </c>
      <c r="BG102" s="104" t="str">
        <f ca="1">_05preva_view43[Folder Path1]&amp;"Process &amp; Database\Documentation\Colo Applications"</f>
        <v>D:\OneDrive - apollo-towers.com\Apollo Towers\00-Process &amp; Database\Documentation\Colo Applications</v>
      </c>
      <c r="BH10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2" s="63" t="str">
        <f ca="1">_05preva_view43[[#This Row],[Folder Path3]]&amp;_05preva_view43[[#This Row],[File Name]]</f>
        <v>D:\OneDrive - apollo-towers.com\Apollo Towers\00-Process &amp; Database\Documentation\Colo Applications\Colo App MPT\AYYN_0251 (YGN01769) Application Rev 2.xlsx</v>
      </c>
      <c r="BJ102" s="104"/>
      <c r="BK102" s="3"/>
      <c r="BL102" s="3"/>
      <c r="CJ102" s="5"/>
      <c r="CK102" s="5"/>
      <c r="CL102" s="3"/>
      <c r="CN102" s="5"/>
      <c r="CR102" s="3"/>
      <c r="CS102" s="3"/>
      <c r="CT102" s="5"/>
      <c r="CV102" s="3"/>
      <c r="DR102" s="5"/>
      <c r="DT102" s="3"/>
      <c r="EF102" s="7"/>
      <c r="EG102" s="7"/>
      <c r="EJ102" s="4"/>
      <c r="EK102" s="4"/>
      <c r="EU102" s="2"/>
      <c r="EV102" s="2"/>
    </row>
    <row r="103" spans="1:152">
      <c r="A103" s="287">
        <v>3530</v>
      </c>
      <c r="B103" s="288" t="s">
        <v>1370</v>
      </c>
      <c r="C103" s="288" t="s">
        <v>116</v>
      </c>
      <c r="D103" s="288" t="s">
        <v>127</v>
      </c>
      <c r="E103" s="288" t="s">
        <v>1371</v>
      </c>
      <c r="F103" s="288" t="s">
        <v>35</v>
      </c>
      <c r="G103" s="288" t="s">
        <v>1287</v>
      </c>
      <c r="H103" s="288" t="s">
        <v>1285</v>
      </c>
      <c r="I103" s="288" t="s">
        <v>1068</v>
      </c>
      <c r="J103" s="288" t="s">
        <v>686</v>
      </c>
      <c r="K103" s="289">
        <v>43460</v>
      </c>
      <c r="L103" s="290">
        <v>1.8220000000000001</v>
      </c>
      <c r="M103" s="290">
        <v>2.93</v>
      </c>
      <c r="N103" s="288">
        <v>7.31</v>
      </c>
      <c r="O103" s="288" t="s">
        <v>119</v>
      </c>
      <c r="P103" s="291" t="s">
        <v>240</v>
      </c>
      <c r="Q103" s="291" t="s">
        <v>241</v>
      </c>
      <c r="R103" s="288" t="s">
        <v>24</v>
      </c>
      <c r="S103" s="288"/>
      <c r="T103" s="292" t="s">
        <v>120</v>
      </c>
      <c r="U103" s="288" t="s">
        <v>1372</v>
      </c>
      <c r="V103" s="292" t="s">
        <v>120</v>
      </c>
      <c r="W103" s="288"/>
      <c r="X103" s="292" t="s">
        <v>120</v>
      </c>
      <c r="Y103" s="288" t="s">
        <v>1373</v>
      </c>
      <c r="Z103" s="293" t="s">
        <v>141</v>
      </c>
      <c r="AA103" s="294" t="s">
        <v>1766</v>
      </c>
      <c r="AB103" s="294" t="s">
        <v>1747</v>
      </c>
      <c r="AC103" s="295" t="s">
        <v>123</v>
      </c>
      <c r="AD103" s="288" t="s">
        <v>1546</v>
      </c>
      <c r="AE103" s="292" t="s">
        <v>120</v>
      </c>
      <c r="AF103" s="289"/>
      <c r="AG103" s="296"/>
      <c r="AH103" s="296"/>
      <c r="AI103" s="288"/>
      <c r="AJ103" s="292" t="s">
        <v>120</v>
      </c>
      <c r="AK103" s="288" t="s">
        <v>123</v>
      </c>
      <c r="AL103" s="288" t="s">
        <v>935</v>
      </c>
      <c r="AM103" s="292"/>
      <c r="AN103" s="288"/>
      <c r="AO103" s="288"/>
      <c r="AP103" s="297"/>
      <c r="AQ103" s="288"/>
      <c r="AR103" s="292" t="s">
        <v>1548</v>
      </c>
      <c r="AS103" s="288" t="s">
        <v>1786</v>
      </c>
      <c r="AT103" s="289">
        <v>43460.704991435203</v>
      </c>
      <c r="AU103" s="289">
        <v>43479.735425694402</v>
      </c>
      <c r="AV103" s="289">
        <v>43488.484967708297</v>
      </c>
      <c r="AW103" s="289">
        <v>43460.704991435203</v>
      </c>
      <c r="AX103" s="289">
        <v>43460.606377546297</v>
      </c>
      <c r="AY103" s="289">
        <v>43461.412907060199</v>
      </c>
      <c r="AZ103" s="298">
        <v>43489.677551273096</v>
      </c>
      <c r="BA10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29.677551273096469</v>
      </c>
      <c r="BB103" s="300">
        <f>COUNTIFS(_05preva_view43[Site ID],_05preva_view43[[#This Row],[Site ID]],_05preva_view43[Prevalidation Status],"Under Prevalidation")</f>
        <v>0</v>
      </c>
      <c r="BC10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3" s="302" t="str">
        <f>CONCATENATE(_05preva_view43[[#This Row],[Site ID]]," (",_05preva_view43[[#This Row],[tenant id]],") Application",IF(_05preva_view43[[#This Row],[Colo Rev]]&gt;0," Rev "&amp;_05preva_view43[[#This Row],[Colo Rev]],""),".xlsx")</f>
        <v>ANMD_0176 (MDY00350) Application Rev 2.xlsx</v>
      </c>
      <c r="BE103" s="64">
        <f t="shared" ca="1" si="3"/>
        <v>50</v>
      </c>
      <c r="BF103" s="104" t="str">
        <f ca="1">LEFT(CELL("filename",A88),_05preva_view43[[#This Row],[Find Process &amp; Database]]-1)</f>
        <v>D:\OneDrive - apollo-towers.com\Apollo Towers\00-</v>
      </c>
      <c r="BG103" s="104" t="str">
        <f ca="1">_05preva_view43[Folder Path1]&amp;"Process &amp; Database\Documentation\Colo Applications"</f>
        <v>D:\OneDrive - apollo-towers.com\Apollo Towers\00-Process &amp; Database\Documentation\Colo Applications</v>
      </c>
      <c r="BH10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3" s="63" t="str">
        <f ca="1">_05preva_view43[[#This Row],[Folder Path3]]&amp;_05preva_view43[[#This Row],[File Name]]</f>
        <v>D:\OneDrive - apollo-towers.com\Apollo Towers\00-Process &amp; Database\Documentation\Colo Applications\Colo App MPT\ANMD_0176 (MDY00350) Application Rev 2.xlsx</v>
      </c>
      <c r="BJ103" s="104"/>
      <c r="BK103" s="3"/>
      <c r="BL103" s="3"/>
      <c r="CJ103" s="5"/>
      <c r="CK103" s="5"/>
      <c r="CL103" s="3"/>
      <c r="CN103" s="5"/>
      <c r="CR103" s="3"/>
      <c r="CS103" s="3"/>
      <c r="CT103" s="5"/>
      <c r="CV103" s="3"/>
      <c r="DR103" s="5"/>
      <c r="DT103" s="3"/>
      <c r="EF103" s="7"/>
      <c r="EG103" s="7"/>
      <c r="EJ103" s="4"/>
      <c r="EK103" s="4"/>
      <c r="EU103" s="2"/>
      <c r="EV103" s="2"/>
    </row>
    <row r="104" spans="1:152">
      <c r="A104" s="287">
        <v>3531</v>
      </c>
      <c r="B104" s="288" t="s">
        <v>826</v>
      </c>
      <c r="C104" s="288" t="s">
        <v>116</v>
      </c>
      <c r="D104" s="288" t="s">
        <v>127</v>
      </c>
      <c r="E104" s="288" t="s">
        <v>827</v>
      </c>
      <c r="F104" s="288" t="s">
        <v>35</v>
      </c>
      <c r="G104" s="288" t="s">
        <v>1287</v>
      </c>
      <c r="H104" s="288" t="s">
        <v>1285</v>
      </c>
      <c r="I104" s="288" t="s">
        <v>790</v>
      </c>
      <c r="J104" s="288" t="s">
        <v>694</v>
      </c>
      <c r="K104" s="289">
        <v>43460</v>
      </c>
      <c r="L104" s="290">
        <v>1.9890000000000001</v>
      </c>
      <c r="M104" s="290">
        <v>3.5489999999999999</v>
      </c>
      <c r="N104" s="288">
        <v>6.3</v>
      </c>
      <c r="O104" s="288" t="s">
        <v>119</v>
      </c>
      <c r="P104" s="291" t="s">
        <v>655</v>
      </c>
      <c r="Q104" s="291" t="s">
        <v>669</v>
      </c>
      <c r="R104" s="288" t="s">
        <v>24</v>
      </c>
      <c r="S104" s="288"/>
      <c r="T104" s="292" t="s">
        <v>120</v>
      </c>
      <c r="U104" s="288" t="s">
        <v>1374</v>
      </c>
      <c r="V104" s="292" t="s">
        <v>120</v>
      </c>
      <c r="W104" s="288"/>
      <c r="X104" s="292" t="s">
        <v>120</v>
      </c>
      <c r="Y104" s="288" t="s">
        <v>1375</v>
      </c>
      <c r="Z104" s="293" t="s">
        <v>120</v>
      </c>
      <c r="AA104" s="294"/>
      <c r="AB104" s="294"/>
      <c r="AC104" s="295" t="s">
        <v>123</v>
      </c>
      <c r="AD104" s="288" t="s">
        <v>1497</v>
      </c>
      <c r="AE104" s="292" t="s">
        <v>120</v>
      </c>
      <c r="AF104" s="289"/>
      <c r="AG104" s="296"/>
      <c r="AH104" s="296"/>
      <c r="AI104" s="288" t="s">
        <v>1728</v>
      </c>
      <c r="AJ104" s="292" t="s">
        <v>120</v>
      </c>
      <c r="AK104" s="288" t="s">
        <v>123</v>
      </c>
      <c r="AL104" s="288" t="s">
        <v>935</v>
      </c>
      <c r="AM104" s="292"/>
      <c r="AN104" s="288"/>
      <c r="AO104" s="288"/>
      <c r="AP104" s="297"/>
      <c r="AQ104" s="288"/>
      <c r="AR104" s="292"/>
      <c r="AS104" s="288"/>
      <c r="AT104" s="289">
        <v>43461.456333564798</v>
      </c>
      <c r="AU104" s="289">
        <v>43479.735428472202</v>
      </c>
      <c r="AV104" s="289">
        <v>43472.480117939798</v>
      </c>
      <c r="AW104" s="289">
        <v>43461.456333564798</v>
      </c>
      <c r="AX104" s="289">
        <v>43460.606378703698</v>
      </c>
      <c r="AY104" s="289">
        <v>43461.412907986101</v>
      </c>
      <c r="AZ104" s="298">
        <v>43480.437799537001</v>
      </c>
      <c r="BA10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20.43779953700141</v>
      </c>
      <c r="BB104" s="300">
        <f>COUNTIFS(_05preva_view43[Site ID],_05preva_view43[[#This Row],[Site ID]],_05preva_view43[Prevalidation Status],"Under Prevalidation")</f>
        <v>0</v>
      </c>
      <c r="BC10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4" s="30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4.xlsx</v>
      </c>
      <c r="BE104" s="64">
        <f t="shared" ca="1" si="3"/>
        <v>50</v>
      </c>
      <c r="BF104" s="104" t="str">
        <f ca="1">LEFT(CELL("filename",A89),_05preva_view43[[#This Row],[Find Process &amp; Database]]-1)</f>
        <v>D:\OneDrive - apollo-towers.com\Apollo Towers\00-</v>
      </c>
      <c r="BG104" s="104" t="str">
        <f ca="1">_05preva_view43[Folder Path1]&amp;"Process &amp; Database\Documentation\Colo Applications"</f>
        <v>D:\OneDrive - apollo-towers.com\Apollo Towers\00-Process &amp; Database\Documentation\Colo Applications</v>
      </c>
      <c r="BH10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4" s="63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4.xlsx</v>
      </c>
      <c r="BJ104" s="104"/>
      <c r="BK104" s="3"/>
      <c r="BL104" s="3"/>
      <c r="CJ104" s="5"/>
      <c r="CK104" s="5"/>
      <c r="CL104" s="3"/>
      <c r="CN104" s="5"/>
      <c r="CR104" s="3"/>
      <c r="CS104" s="3"/>
      <c r="CT104" s="5"/>
      <c r="CV104" s="3"/>
      <c r="DR104" s="5"/>
      <c r="DT104" s="3"/>
      <c r="EF104" s="7"/>
      <c r="EG104" s="7"/>
      <c r="EJ104" s="4"/>
      <c r="EK104" s="4"/>
      <c r="EU104" s="2"/>
      <c r="EV104" s="2"/>
    </row>
    <row r="105" spans="1:152">
      <c r="A105" s="287">
        <v>3532</v>
      </c>
      <c r="B105" s="288" t="s">
        <v>1376</v>
      </c>
      <c r="C105" s="288" t="s">
        <v>116</v>
      </c>
      <c r="D105" s="288" t="s">
        <v>153</v>
      </c>
      <c r="E105" s="288" t="s">
        <v>1377</v>
      </c>
      <c r="F105" s="288" t="s">
        <v>35</v>
      </c>
      <c r="G105" s="288" t="s">
        <v>1287</v>
      </c>
      <c r="H105" s="288" t="s">
        <v>1285</v>
      </c>
      <c r="I105" s="288" t="s">
        <v>981</v>
      </c>
      <c r="J105" s="288" t="s">
        <v>686</v>
      </c>
      <c r="K105" s="289">
        <v>43460</v>
      </c>
      <c r="L105" s="290">
        <v>1.44</v>
      </c>
      <c r="M105" s="290">
        <v>1.8</v>
      </c>
      <c r="N105" s="288">
        <v>3.21</v>
      </c>
      <c r="O105" s="288" t="s">
        <v>119</v>
      </c>
      <c r="P105" s="291" t="s">
        <v>1378</v>
      </c>
      <c r="Q105" s="291" t="s">
        <v>1379</v>
      </c>
      <c r="R105" s="288" t="s">
        <v>24</v>
      </c>
      <c r="S105" s="288"/>
      <c r="T105" s="292" t="s">
        <v>120</v>
      </c>
      <c r="U105" s="288" t="s">
        <v>1380</v>
      </c>
      <c r="V105" s="292" t="s">
        <v>120</v>
      </c>
      <c r="W105" s="288"/>
      <c r="X105" s="292" t="s">
        <v>120</v>
      </c>
      <c r="Y105" s="288" t="s">
        <v>1381</v>
      </c>
      <c r="Z105" s="293" t="s">
        <v>141</v>
      </c>
      <c r="AA105" s="294" t="s">
        <v>1758</v>
      </c>
      <c r="AB105" s="294" t="s">
        <v>1747</v>
      </c>
      <c r="AC105" s="295" t="s">
        <v>123</v>
      </c>
      <c r="AD105" s="288" t="s">
        <v>1547</v>
      </c>
      <c r="AE105" s="292" t="s">
        <v>120</v>
      </c>
      <c r="AF105" s="289"/>
      <c r="AG105" s="296"/>
      <c r="AH105" s="296"/>
      <c r="AI105" s="288"/>
      <c r="AJ105" s="292" t="s">
        <v>120</v>
      </c>
      <c r="AK105" s="288" t="s">
        <v>123</v>
      </c>
      <c r="AL105" s="288" t="s">
        <v>935</v>
      </c>
      <c r="AM105" s="292"/>
      <c r="AN105" s="288"/>
      <c r="AO105" s="288"/>
      <c r="AP105" s="297"/>
      <c r="AQ105" s="288"/>
      <c r="AR105" s="292" t="s">
        <v>1548</v>
      </c>
      <c r="AS105" s="288" t="s">
        <v>1765</v>
      </c>
      <c r="AT105" s="289">
        <v>43461.456334953698</v>
      </c>
      <c r="AU105" s="289">
        <v>43479.7354305556</v>
      </c>
      <c r="AV105" s="289"/>
      <c r="AW105" s="289">
        <v>43461.456334953698</v>
      </c>
      <c r="AX105" s="289">
        <v>43460.606382986101</v>
      </c>
      <c r="AY105" s="289">
        <v>43461.412909259299</v>
      </c>
      <c r="AZ105" s="298">
        <v>43488.480392592603</v>
      </c>
      <c r="BA10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28.480392592602584</v>
      </c>
      <c r="BB105" s="300">
        <f>COUNTIFS(_05preva_view43[Site ID],_05preva_view43[[#This Row],[Site ID]],_05preva_view43[Prevalidation Status],"Under Prevalidation")</f>
        <v>0</v>
      </c>
      <c r="BC10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5" s="302" t="str">
        <f>CONCATENATE(_05preva_view43[[#This Row],[Site ID]]," (",_05preva_view43[[#This Row],[tenant id]],") Application",IF(_05preva_view43[[#This Row],[Colo Rev]]&gt;0," Rev "&amp;_05preva_view43[[#This Row],[Colo Rev]],""),".xlsx")</f>
        <v>ASTN_0023 (TNY00315) Application Rev 2.xlsx</v>
      </c>
      <c r="BE105" s="64">
        <f t="shared" ca="1" si="3"/>
        <v>50</v>
      </c>
      <c r="BF105" s="104" t="str">
        <f ca="1">LEFT(CELL("filename",A90),_05preva_view43[[#This Row],[Find Process &amp; Database]]-1)</f>
        <v>D:\OneDrive - apollo-towers.com\Apollo Towers\00-</v>
      </c>
      <c r="BG105" s="104" t="str">
        <f ca="1">_05preva_view43[Folder Path1]&amp;"Process &amp; Database\Documentation\Colo Applications"</f>
        <v>D:\OneDrive - apollo-towers.com\Apollo Towers\00-Process &amp; Database\Documentation\Colo Applications</v>
      </c>
      <c r="BH10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5" s="63" t="str">
        <f ca="1">_05preva_view43[[#This Row],[Folder Path3]]&amp;_05preva_view43[[#This Row],[File Name]]</f>
        <v>D:\OneDrive - apollo-towers.com\Apollo Towers\00-Process &amp; Database\Documentation\Colo Applications\Colo App MPT\ASTN_0023 (TNY00315) Application Rev 2.xlsx</v>
      </c>
      <c r="BJ105" s="104"/>
      <c r="BK105" s="3"/>
      <c r="BL105" s="3"/>
      <c r="CJ105" s="5"/>
      <c r="CK105" s="5"/>
      <c r="CL105" s="3"/>
      <c r="CN105" s="5"/>
      <c r="CR105" s="3"/>
      <c r="CS105" s="3"/>
      <c r="CT105" s="5"/>
      <c r="CV105" s="3"/>
      <c r="DR105" s="5"/>
      <c r="DT105" s="3"/>
      <c r="EF105" s="7"/>
      <c r="EG105" s="7"/>
      <c r="EJ105" s="4"/>
      <c r="EK105" s="4"/>
      <c r="EU105" s="2"/>
      <c r="EV105" s="2"/>
    </row>
    <row r="106" spans="1:152">
      <c r="A106" s="287">
        <v>3533</v>
      </c>
      <c r="B106" s="288" t="s">
        <v>1382</v>
      </c>
      <c r="C106" s="288" t="s">
        <v>278</v>
      </c>
      <c r="D106" s="288" t="s">
        <v>127</v>
      </c>
      <c r="E106" s="288" t="s">
        <v>1383</v>
      </c>
      <c r="F106" s="288" t="s">
        <v>35</v>
      </c>
      <c r="G106" s="288" t="s">
        <v>1292</v>
      </c>
      <c r="H106" s="288" t="s">
        <v>1285</v>
      </c>
      <c r="I106" s="288" t="s">
        <v>798</v>
      </c>
      <c r="J106" s="288" t="s">
        <v>686</v>
      </c>
      <c r="K106" s="289">
        <v>43460</v>
      </c>
      <c r="L106" s="290">
        <v>1.712</v>
      </c>
      <c r="M106" s="290">
        <v>3.0579999999999998</v>
      </c>
      <c r="N106" s="288">
        <v>6.88</v>
      </c>
      <c r="O106" s="288" t="s">
        <v>687</v>
      </c>
      <c r="P106" s="291" t="s">
        <v>695</v>
      </c>
      <c r="Q106" s="291" t="s">
        <v>696</v>
      </c>
      <c r="R106" s="288" t="s">
        <v>24</v>
      </c>
      <c r="S106" s="288"/>
      <c r="T106" s="292" t="s">
        <v>120</v>
      </c>
      <c r="U106" s="288"/>
      <c r="V106" s="292" t="s">
        <v>120</v>
      </c>
      <c r="W106" s="288"/>
      <c r="X106" s="292" t="s">
        <v>120</v>
      </c>
      <c r="Y106" s="288" t="s">
        <v>1384</v>
      </c>
      <c r="Z106" s="293" t="s">
        <v>120</v>
      </c>
      <c r="AA106" s="294"/>
      <c r="AB106" s="294"/>
      <c r="AC106" s="295" t="s">
        <v>123</v>
      </c>
      <c r="AD106" s="288" t="s">
        <v>1385</v>
      </c>
      <c r="AE106" s="292" t="s">
        <v>120</v>
      </c>
      <c r="AF106" s="289" t="s">
        <v>1726</v>
      </c>
      <c r="AG106" s="296"/>
      <c r="AH106" s="296"/>
      <c r="AI106" s="288" t="s">
        <v>1729</v>
      </c>
      <c r="AJ106" s="292" t="s">
        <v>120</v>
      </c>
      <c r="AK106" s="288" t="s">
        <v>123</v>
      </c>
      <c r="AL106" s="288" t="s">
        <v>935</v>
      </c>
      <c r="AM106" s="292"/>
      <c r="AN106" s="288"/>
      <c r="AO106" s="288"/>
      <c r="AP106" s="297"/>
      <c r="AQ106" s="288"/>
      <c r="AR106" s="292"/>
      <c r="AS106" s="288"/>
      <c r="AT106" s="289">
        <v>43461.4563361111</v>
      </c>
      <c r="AU106" s="289">
        <v>43479.735431134301</v>
      </c>
      <c r="AV106" s="289">
        <v>43462.497509143497</v>
      </c>
      <c r="AW106" s="289">
        <v>43461.4563361111</v>
      </c>
      <c r="AX106" s="289">
        <v>43472.656811111097</v>
      </c>
      <c r="AY106" s="289">
        <v>43461.439164120398</v>
      </c>
      <c r="AZ106" s="298">
        <v>43480.4378013889</v>
      </c>
      <c r="BA10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20.43780138889997</v>
      </c>
      <c r="BB106" s="300">
        <f>COUNTIFS(_05preva_view43[Site ID],_05preva_view43[[#This Row],[Site ID]],_05preva_view43[Prevalidation Status],"Under Prevalidation")</f>
        <v>0</v>
      </c>
      <c r="BC10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6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1-01-01004-001 (KCN00148) Application Rev 2.xlsx</v>
      </c>
      <c r="BE106" s="64">
        <f t="shared" ca="1" si="3"/>
        <v>50</v>
      </c>
      <c r="BF106" s="104" t="str">
        <f ca="1">LEFT(CELL("filename",A91),_05preva_view43[[#This Row],[Find Process &amp; Database]]-1)</f>
        <v>D:\OneDrive - apollo-towers.com\Apollo Towers\00-</v>
      </c>
      <c r="BG106" s="104" t="str">
        <f ca="1">_05preva_view43[Folder Path1]&amp;"Process &amp; Database\Documentation\Colo Applications"</f>
        <v>D:\OneDrive - apollo-towers.com\Apollo Towers\00-Process &amp; Database\Documentation\Colo Applications</v>
      </c>
      <c r="BH10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6" s="63" t="str">
        <f ca="1">_05preva_view43[[#This Row],[Folder Path3]]&amp;_05preva_view43[[#This Row],[File Name]]</f>
        <v>D:\OneDrive - apollo-towers.com\Apollo Towers\00-Process &amp; Database\Documentation\Colo Applications\Colo App MPT\1-01-01004-001 (KCN00148) Application Rev 2.xlsx</v>
      </c>
      <c r="BJ106" s="104"/>
      <c r="BK106" s="3"/>
      <c r="BL106" s="3"/>
      <c r="CJ106" s="5"/>
      <c r="CK106" s="5"/>
      <c r="CL106" s="3"/>
      <c r="CN106" s="5"/>
      <c r="CR106" s="3"/>
      <c r="CS106" s="3"/>
      <c r="CT106" s="5"/>
      <c r="CV106" s="3"/>
      <c r="DR106" s="5"/>
      <c r="DT106" s="3"/>
      <c r="EF106" s="7"/>
      <c r="EG106" s="7"/>
      <c r="EJ106" s="4"/>
      <c r="EK106" s="4"/>
      <c r="EU106" s="2"/>
      <c r="EV106" s="2"/>
    </row>
    <row r="107" spans="1:152">
      <c r="A107" s="287">
        <v>3534</v>
      </c>
      <c r="B107" s="288" t="s">
        <v>1386</v>
      </c>
      <c r="C107" s="288" t="s">
        <v>278</v>
      </c>
      <c r="D107" s="288" t="s">
        <v>127</v>
      </c>
      <c r="E107" s="288" t="s">
        <v>1387</v>
      </c>
      <c r="F107" s="288" t="s">
        <v>35</v>
      </c>
      <c r="G107" s="288" t="s">
        <v>1292</v>
      </c>
      <c r="H107" s="288" t="s">
        <v>1285</v>
      </c>
      <c r="I107" s="288" t="s">
        <v>790</v>
      </c>
      <c r="J107" s="288" t="s">
        <v>668</v>
      </c>
      <c r="K107" s="289">
        <v>43460</v>
      </c>
      <c r="L107" s="290">
        <v>2.0590000000000002</v>
      </c>
      <c r="M107" s="290">
        <v>3.6110000000000002</v>
      </c>
      <c r="N107" s="288">
        <v>7.84</v>
      </c>
      <c r="O107" s="288" t="s">
        <v>687</v>
      </c>
      <c r="P107" s="291" t="s">
        <v>695</v>
      </c>
      <c r="Q107" s="291" t="s">
        <v>696</v>
      </c>
      <c r="R107" s="288" t="s">
        <v>24</v>
      </c>
      <c r="S107" s="288"/>
      <c r="T107" s="292" t="s">
        <v>120</v>
      </c>
      <c r="U107" s="288"/>
      <c r="V107" s="292" t="s">
        <v>120</v>
      </c>
      <c r="W107" s="288" t="s">
        <v>1388</v>
      </c>
      <c r="X107" s="292" t="s">
        <v>120</v>
      </c>
      <c r="Y107" s="288" t="s">
        <v>1389</v>
      </c>
      <c r="Z107" s="293" t="s">
        <v>120</v>
      </c>
      <c r="AA107" s="294"/>
      <c r="AB107" s="294"/>
      <c r="AC107" s="295" t="s">
        <v>123</v>
      </c>
      <c r="AD107" s="288" t="s">
        <v>1390</v>
      </c>
      <c r="AE107" s="292" t="s">
        <v>120</v>
      </c>
      <c r="AF107" s="289"/>
      <c r="AG107" s="296"/>
      <c r="AH107" s="296"/>
      <c r="AI107" s="288"/>
      <c r="AJ107" s="292" t="s">
        <v>120</v>
      </c>
      <c r="AK107" s="288" t="s">
        <v>123</v>
      </c>
      <c r="AL107" s="288" t="s">
        <v>935</v>
      </c>
      <c r="AM107" s="292"/>
      <c r="AN107" s="288"/>
      <c r="AO107" s="288"/>
      <c r="AP107" s="297"/>
      <c r="AQ107" s="288"/>
      <c r="AR107" s="292"/>
      <c r="AS107" s="288"/>
      <c r="AT107" s="289">
        <v>43461.456337268501</v>
      </c>
      <c r="AU107" s="289">
        <v>43479.735433680602</v>
      </c>
      <c r="AV107" s="289">
        <v>43462.497509953697</v>
      </c>
      <c r="AW107" s="289">
        <v>43461.456337268501</v>
      </c>
      <c r="AX107" s="289">
        <v>43472.656811921297</v>
      </c>
      <c r="AY107" s="289">
        <v>43461.439164583302</v>
      </c>
      <c r="AZ107" s="298">
        <v>43480.437802893503</v>
      </c>
      <c r="BA10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20.437802893502521</v>
      </c>
      <c r="BB107" s="300">
        <f>COUNTIFS(_05preva_view43[Site ID],_05preva_view43[[#This Row],[Site ID]],_05preva_view43[Prevalidation Status],"Under Prevalidation")</f>
        <v>0</v>
      </c>
      <c r="BC10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7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1-01-15013-001 (SHN00055) Application Rev 1.xlsx</v>
      </c>
      <c r="BE107" s="64">
        <f t="shared" ca="1" si="3"/>
        <v>50</v>
      </c>
      <c r="BF107" s="104" t="str">
        <f ca="1">LEFT(CELL("filename",A92),_05preva_view43[[#This Row],[Find Process &amp; Database]]-1)</f>
        <v>D:\OneDrive - apollo-towers.com\Apollo Towers\00-</v>
      </c>
      <c r="BG107" s="104" t="str">
        <f ca="1">_05preva_view43[Folder Path1]&amp;"Process &amp; Database\Documentation\Colo Applications"</f>
        <v>D:\OneDrive - apollo-towers.com\Apollo Towers\00-Process &amp; Database\Documentation\Colo Applications</v>
      </c>
      <c r="BH10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7" s="63" t="str">
        <f ca="1">_05preva_view43[[#This Row],[Folder Path3]]&amp;_05preva_view43[[#This Row],[File Name]]</f>
        <v>D:\OneDrive - apollo-towers.com\Apollo Towers\00-Process &amp; Database\Documentation\Colo Applications\Colo App MPT\1-01-15013-001 (SHN00055) Application Rev 1.xlsx</v>
      </c>
      <c r="BJ107" s="104"/>
      <c r="BK107" s="3"/>
      <c r="BL107" s="3"/>
      <c r="CJ107" s="5"/>
      <c r="CK107" s="5"/>
      <c r="CL107" s="3"/>
      <c r="CN107" s="5"/>
      <c r="CR107" s="3"/>
      <c r="CS107" s="3"/>
      <c r="CT107" s="5"/>
      <c r="CV107" s="3"/>
      <c r="DR107" s="5"/>
      <c r="DT107" s="3"/>
      <c r="EF107" s="7"/>
      <c r="EG107" s="7"/>
      <c r="EJ107" s="4"/>
      <c r="EK107" s="4"/>
      <c r="EU107" s="2"/>
      <c r="EV107" s="2"/>
    </row>
    <row r="108" spans="1:152">
      <c r="A108" s="287">
        <v>3535</v>
      </c>
      <c r="B108" s="288" t="s">
        <v>1391</v>
      </c>
      <c r="C108" s="288" t="s">
        <v>278</v>
      </c>
      <c r="D108" s="288" t="s">
        <v>127</v>
      </c>
      <c r="E108" s="288" t="s">
        <v>1392</v>
      </c>
      <c r="F108" s="288" t="s">
        <v>35</v>
      </c>
      <c r="G108" s="288" t="s">
        <v>1292</v>
      </c>
      <c r="H108" s="288" t="s">
        <v>1285</v>
      </c>
      <c r="I108" s="288" t="s">
        <v>1006</v>
      </c>
      <c r="J108" s="288" t="s">
        <v>727</v>
      </c>
      <c r="K108" s="289">
        <v>43460</v>
      </c>
      <c r="L108" s="290">
        <v>1.399</v>
      </c>
      <c r="M108" s="290">
        <v>2.1989999999999998</v>
      </c>
      <c r="N108" s="288">
        <v>5.13</v>
      </c>
      <c r="O108" s="288" t="s">
        <v>687</v>
      </c>
      <c r="P108" s="291" t="s">
        <v>695</v>
      </c>
      <c r="Q108" s="291" t="s">
        <v>696</v>
      </c>
      <c r="R108" s="288" t="s">
        <v>24</v>
      </c>
      <c r="S108" s="288"/>
      <c r="T108" s="292" t="s">
        <v>120</v>
      </c>
      <c r="U108" s="288"/>
      <c r="V108" s="292" t="s">
        <v>120</v>
      </c>
      <c r="W108" s="288"/>
      <c r="X108" s="292" t="s">
        <v>120</v>
      </c>
      <c r="Y108" s="288" t="s">
        <v>1393</v>
      </c>
      <c r="Z108" s="293" t="s">
        <v>120</v>
      </c>
      <c r="AA108" s="294"/>
      <c r="AB108" s="294"/>
      <c r="AC108" s="295" t="s">
        <v>123</v>
      </c>
      <c r="AD108" s="288" t="s">
        <v>1394</v>
      </c>
      <c r="AE108" s="292" t="s">
        <v>120</v>
      </c>
      <c r="AF108" s="289"/>
      <c r="AG108" s="296"/>
      <c r="AH108" s="296"/>
      <c r="AI108" s="288"/>
      <c r="AJ108" s="292" t="s">
        <v>120</v>
      </c>
      <c r="AK108" s="288" t="s">
        <v>123</v>
      </c>
      <c r="AL108" s="288" t="s">
        <v>935</v>
      </c>
      <c r="AM108" s="292"/>
      <c r="AN108" s="288"/>
      <c r="AO108" s="288"/>
      <c r="AP108" s="297"/>
      <c r="AQ108" s="288"/>
      <c r="AR108" s="292"/>
      <c r="AS108" s="288"/>
      <c r="AT108" s="289">
        <v>43461.456339004602</v>
      </c>
      <c r="AU108" s="289">
        <v>43479.735436342598</v>
      </c>
      <c r="AV108" s="289">
        <v>43462.497511226902</v>
      </c>
      <c r="AW108" s="289">
        <v>43461.456339004602</v>
      </c>
      <c r="AX108" s="289">
        <v>43472.6568134259</v>
      </c>
      <c r="AY108" s="289">
        <v>43461.439165740703</v>
      </c>
      <c r="AZ108" s="298">
        <v>43480.437804282403</v>
      </c>
      <c r="BA10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20.437804282402794</v>
      </c>
      <c r="BB108" s="300">
        <f>COUNTIFS(_05preva_view43[Site ID],_05preva_view43[[#This Row],[Site ID]],_05preva_view43[Prevalidation Status],"Under Prevalidation")</f>
        <v>0</v>
      </c>
      <c r="BC10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8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3.xlsx</v>
      </c>
      <c r="BE108" s="64">
        <f t="shared" ca="1" si="3"/>
        <v>50</v>
      </c>
      <c r="BF108" s="104" t="str">
        <f ca="1">LEFT(CELL("filename",A93),_05preva_view43[[#This Row],[Find Process &amp; Database]]-1)</f>
        <v>D:\OneDrive - apollo-towers.com\Apollo Towers\00-</v>
      </c>
      <c r="BG108" s="104" t="str">
        <f ca="1">_05preva_view43[Folder Path1]&amp;"Process &amp; Database\Documentation\Colo Applications"</f>
        <v>D:\OneDrive - apollo-towers.com\Apollo Towers\00-Process &amp; Database\Documentation\Colo Applications</v>
      </c>
      <c r="BH10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08" s="63" t="str">
        <f ca="1">_05preva_view43[[#This Row],[Folder Path3]]&amp;_05preva_view43[[#This Row],[File Name]]</f>
        <v>D:\OneDrive - apollo-towers.com\Apollo Towers\00-Process &amp; Database\Documentation\Colo Applications\Colo App MPT\1-01-14007-016 (SHN00079) Application Rev 3.xlsx</v>
      </c>
      <c r="BJ108" s="104"/>
      <c r="BK108" s="3"/>
      <c r="BL108" s="3"/>
      <c r="CJ108" s="5"/>
      <c r="CK108" s="5"/>
      <c r="CL108" s="3"/>
      <c r="CN108" s="5"/>
      <c r="CR108" s="3"/>
      <c r="CS108" s="3"/>
      <c r="CT108" s="5"/>
      <c r="CV108" s="3"/>
      <c r="DR108" s="5"/>
      <c r="DT108" s="3"/>
      <c r="EF108" s="7"/>
      <c r="EG108" s="7"/>
      <c r="EJ108" s="4"/>
      <c r="EK108" s="4"/>
      <c r="EU108" s="2"/>
      <c r="EV108" s="2"/>
    </row>
    <row r="109" spans="1:152">
      <c r="A109" s="287">
        <v>3522</v>
      </c>
      <c r="B109" s="288" t="s">
        <v>1395</v>
      </c>
      <c r="C109" s="288" t="s">
        <v>278</v>
      </c>
      <c r="D109" s="288" t="s">
        <v>127</v>
      </c>
      <c r="E109" s="288" t="s">
        <v>1396</v>
      </c>
      <c r="F109" s="288" t="s">
        <v>34</v>
      </c>
      <c r="G109" s="288" t="s">
        <v>118</v>
      </c>
      <c r="H109" s="288" t="s">
        <v>1328</v>
      </c>
      <c r="I109" s="288" t="s">
        <v>970</v>
      </c>
      <c r="J109" s="288" t="s">
        <v>668</v>
      </c>
      <c r="K109" s="289">
        <v>43458</v>
      </c>
      <c r="L109" s="290">
        <v>2</v>
      </c>
      <c r="M109" s="290">
        <v>2</v>
      </c>
      <c r="N109" s="288">
        <v>6</v>
      </c>
      <c r="O109" s="288" t="s">
        <v>687</v>
      </c>
      <c r="P109" s="291" t="s">
        <v>765</v>
      </c>
      <c r="Q109" s="291" t="s">
        <v>766</v>
      </c>
      <c r="R109" s="288" t="s">
        <v>24</v>
      </c>
      <c r="S109" s="288"/>
      <c r="T109" s="292" t="s">
        <v>615</v>
      </c>
      <c r="U109" s="288"/>
      <c r="V109" s="292" t="s">
        <v>615</v>
      </c>
      <c r="W109" s="288"/>
      <c r="X109" s="292" t="s">
        <v>615</v>
      </c>
      <c r="Y109" s="288"/>
      <c r="Z109" s="293" t="s">
        <v>615</v>
      </c>
      <c r="AA109" s="294"/>
      <c r="AB109" s="294"/>
      <c r="AC109" s="295"/>
      <c r="AD109" s="288"/>
      <c r="AE109" s="292" t="s">
        <v>120</v>
      </c>
      <c r="AF109" s="289" t="s">
        <v>904</v>
      </c>
      <c r="AG109" s="296"/>
      <c r="AH109" s="296"/>
      <c r="AI109" s="288" t="s">
        <v>1730</v>
      </c>
      <c r="AJ109" s="292" t="s">
        <v>615</v>
      </c>
      <c r="AK109" s="288"/>
      <c r="AL109" s="288"/>
      <c r="AM109" s="292" t="s">
        <v>615</v>
      </c>
      <c r="AN109" s="288"/>
      <c r="AO109" s="288" t="s">
        <v>615</v>
      </c>
      <c r="AP109" s="297"/>
      <c r="AQ109" s="288"/>
      <c r="AR109" s="292" t="s">
        <v>120</v>
      </c>
      <c r="AS109" s="288"/>
      <c r="AT109" s="289"/>
      <c r="AU109" s="289">
        <v>43479.735417361102</v>
      </c>
      <c r="AV109" s="289"/>
      <c r="AW109" s="289"/>
      <c r="AX109" s="289"/>
      <c r="AY109" s="289"/>
      <c r="AZ109" s="298">
        <v>43480.463186226902</v>
      </c>
      <c r="BA10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22.463186226901598</v>
      </c>
      <c r="BB109" s="300">
        <f>COUNTIFS(_05preva_view43[Site ID],_05preva_view43[[#This Row],[Site ID]],_05preva_view43[Prevalidation Status],"Under Prevalidation")</f>
        <v>0</v>
      </c>
      <c r="BC10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09" s="302" t="str">
        <f>CONCATENATE(_05preva_view43[[#This Row],[Site ID]]," (",_05preva_view43[[#This Row],[tenant id]],") Application",IF(_05preva_view43[[#This Row],[Colo Rev]]&gt;0," Rev "&amp;_05preva_view43[[#This Row],[Colo Rev]],""),".xlsx")</f>
        <v>1-01-10029-005 (MDY0382) Application Rev 1.xlsx</v>
      </c>
      <c r="BE109" s="64">
        <f t="shared" ca="1" si="3"/>
        <v>50</v>
      </c>
      <c r="BF109" s="104" t="str">
        <f ca="1">LEFT(CELL("filename",A94),_05preva_view43[[#This Row],[Find Process &amp; Database]]-1)</f>
        <v>D:\OneDrive - apollo-towers.com\Apollo Towers\00-</v>
      </c>
      <c r="BG109" s="104" t="str">
        <f ca="1">_05preva_view43[Folder Path1]&amp;"Process &amp; Database\Documentation\Colo Applications"</f>
        <v>D:\OneDrive - apollo-towers.com\Apollo Towers\00-Process &amp; Database\Documentation\Colo Applications</v>
      </c>
      <c r="BH10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09" s="63" t="str">
        <f ca="1">_05preva_view43[[#This Row],[Folder Path3]]&amp;_05preva_view43[[#This Row],[File Name]]</f>
        <v>D:\OneDrive - apollo-towers.com\Apollo Towers\00-Process &amp; Database\Documentation\Colo Applications\Colo App Mytel\1-01-10029-005 (MDY0382) Application Rev 1.xlsx</v>
      </c>
      <c r="BJ109" s="104"/>
      <c r="BK109" s="3"/>
      <c r="BL109" s="3"/>
      <c r="CJ109" s="5"/>
      <c r="CK109" s="5"/>
      <c r="CL109" s="3"/>
      <c r="CN109" s="5"/>
      <c r="CR109" s="3"/>
      <c r="CS109" s="3"/>
      <c r="CT109" s="5"/>
      <c r="CV109" s="3"/>
      <c r="DR109" s="5"/>
      <c r="DT109" s="3"/>
      <c r="EF109" s="7"/>
      <c r="EG109" s="7"/>
      <c r="EJ109" s="4"/>
      <c r="EK109" s="4"/>
      <c r="EU109" s="2"/>
      <c r="EV109" s="2"/>
    </row>
    <row r="110" spans="1:152">
      <c r="A110" s="287">
        <v>3524</v>
      </c>
      <c r="B110" s="288" t="s">
        <v>1397</v>
      </c>
      <c r="C110" s="288" t="s">
        <v>278</v>
      </c>
      <c r="D110" s="288" t="s">
        <v>153</v>
      </c>
      <c r="E110" s="288" t="s">
        <v>1398</v>
      </c>
      <c r="F110" s="288" t="s">
        <v>34</v>
      </c>
      <c r="G110" s="288" t="s">
        <v>1291</v>
      </c>
      <c r="H110" s="288" t="s">
        <v>1285</v>
      </c>
      <c r="I110" s="288" t="s">
        <v>970</v>
      </c>
      <c r="J110" s="288" t="s">
        <v>668</v>
      </c>
      <c r="K110" s="289">
        <v>43458</v>
      </c>
      <c r="L110" s="290">
        <v>2</v>
      </c>
      <c r="M110" s="290">
        <v>2</v>
      </c>
      <c r="N110" s="288">
        <v>6</v>
      </c>
      <c r="O110" s="288" t="s">
        <v>687</v>
      </c>
      <c r="P110" s="291" t="s">
        <v>765</v>
      </c>
      <c r="Q110" s="291" t="s">
        <v>766</v>
      </c>
      <c r="R110" s="288" t="s">
        <v>24</v>
      </c>
      <c r="S110" s="288"/>
      <c r="T110" s="292" t="s">
        <v>615</v>
      </c>
      <c r="U110" s="288"/>
      <c r="V110" s="292" t="s">
        <v>615</v>
      </c>
      <c r="W110" s="288"/>
      <c r="X110" s="292" t="s">
        <v>615</v>
      </c>
      <c r="Y110" s="288"/>
      <c r="Z110" s="293" t="s">
        <v>615</v>
      </c>
      <c r="AA110" s="294"/>
      <c r="AB110" s="294"/>
      <c r="AC110" s="295"/>
      <c r="AD110" s="288"/>
      <c r="AE110" s="292" t="s">
        <v>120</v>
      </c>
      <c r="AF110" s="289"/>
      <c r="AG110" s="296"/>
      <c r="AH110" s="296"/>
      <c r="AI110" s="288"/>
      <c r="AJ110" s="292" t="s">
        <v>615</v>
      </c>
      <c r="AK110" s="288"/>
      <c r="AL110" s="288"/>
      <c r="AM110" s="292" t="s">
        <v>615</v>
      </c>
      <c r="AN110" s="288"/>
      <c r="AO110" s="288" t="s">
        <v>615</v>
      </c>
      <c r="AP110" s="297"/>
      <c r="AQ110" s="288"/>
      <c r="AR110" s="292" t="s">
        <v>120</v>
      </c>
      <c r="AS110" s="288"/>
      <c r="AT110" s="289"/>
      <c r="AU110" s="289">
        <v>43479.735418518503</v>
      </c>
      <c r="AV110" s="289"/>
      <c r="AW110" s="289"/>
      <c r="AX110" s="289"/>
      <c r="AY110" s="289"/>
      <c r="AZ110" s="298">
        <v>43476.700148148098</v>
      </c>
      <c r="BA11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18.700148148098378</v>
      </c>
      <c r="BB110" s="300">
        <f>COUNTIFS(_05preva_view43[Site ID],_05preva_view43[[#This Row],[Site ID]],_05preva_view43[Prevalidation Status],"Under Prevalidation")</f>
        <v>0</v>
      </c>
      <c r="BC11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0" s="302" t="str">
        <f>CONCATENATE(_05preva_view43[[#This Row],[Site ID]]," (",_05preva_view43[[#This Row],[tenant id]],") Application",IF(_05preva_view43[[#This Row],[Colo Rev]]&gt;0," Rev "&amp;_05preva_view43[[#This Row],[Colo Rev]],""),".xlsx")</f>
        <v>1-01-03005-004 (KYN0185) Application Rev 1.xlsx</v>
      </c>
      <c r="BE110" s="64">
        <f t="shared" ca="1" si="3"/>
        <v>50</v>
      </c>
      <c r="BF110" s="104" t="str">
        <f ca="1">LEFT(CELL("filename",A95),_05preva_view43[[#This Row],[Find Process &amp; Database]]-1)</f>
        <v>D:\OneDrive - apollo-towers.com\Apollo Towers\00-</v>
      </c>
      <c r="BG110" s="104" t="str">
        <f ca="1">_05preva_view43[Folder Path1]&amp;"Process &amp; Database\Documentation\Colo Applications"</f>
        <v>D:\OneDrive - apollo-towers.com\Apollo Towers\00-Process &amp; Database\Documentation\Colo Applications</v>
      </c>
      <c r="BH11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10" s="63" t="str">
        <f ca="1">_05preva_view43[[#This Row],[Folder Path3]]&amp;_05preva_view43[[#This Row],[File Name]]</f>
        <v>D:\OneDrive - apollo-towers.com\Apollo Towers\00-Process &amp; Database\Documentation\Colo Applications\Colo App Mytel\1-01-03005-004 (KYN0185) Application Rev 1.xlsx</v>
      </c>
      <c r="BJ110" s="104"/>
      <c r="BK110" s="3"/>
      <c r="BL110" s="3"/>
      <c r="CJ110" s="5"/>
      <c r="CK110" s="5"/>
      <c r="CL110" s="3"/>
      <c r="CN110" s="5"/>
      <c r="CR110" s="3"/>
      <c r="CS110" s="3"/>
      <c r="CT110" s="5"/>
      <c r="CV110" s="3"/>
      <c r="DR110" s="5"/>
      <c r="DT110" s="3"/>
      <c r="EF110" s="7"/>
      <c r="EG110" s="7"/>
      <c r="EJ110" s="4"/>
      <c r="EK110" s="4"/>
      <c r="EU110" s="2"/>
      <c r="EV110" s="2"/>
    </row>
    <row r="111" spans="1:152">
      <c r="A111" s="287">
        <v>3525</v>
      </c>
      <c r="B111" s="288" t="s">
        <v>1399</v>
      </c>
      <c r="C111" s="288" t="s">
        <v>278</v>
      </c>
      <c r="D111" s="288" t="s">
        <v>153</v>
      </c>
      <c r="E111" s="288" t="s">
        <v>1400</v>
      </c>
      <c r="F111" s="288" t="s">
        <v>34</v>
      </c>
      <c r="G111" s="288" t="s">
        <v>1291</v>
      </c>
      <c r="H111" s="288" t="s">
        <v>1285</v>
      </c>
      <c r="I111" s="288" t="s">
        <v>970</v>
      </c>
      <c r="J111" s="288" t="s">
        <v>668</v>
      </c>
      <c r="K111" s="289">
        <v>43458</v>
      </c>
      <c r="L111" s="290">
        <v>2</v>
      </c>
      <c r="M111" s="290">
        <v>2</v>
      </c>
      <c r="N111" s="288">
        <v>6</v>
      </c>
      <c r="O111" s="288" t="s">
        <v>687</v>
      </c>
      <c r="P111" s="291" t="s">
        <v>765</v>
      </c>
      <c r="Q111" s="291" t="s">
        <v>766</v>
      </c>
      <c r="R111" s="288" t="s">
        <v>24</v>
      </c>
      <c r="S111" s="288"/>
      <c r="T111" s="292" t="s">
        <v>615</v>
      </c>
      <c r="U111" s="288"/>
      <c r="V111" s="292" t="s">
        <v>615</v>
      </c>
      <c r="W111" s="288"/>
      <c r="X111" s="292" t="s">
        <v>615</v>
      </c>
      <c r="Y111" s="288"/>
      <c r="Z111" s="293" t="s">
        <v>615</v>
      </c>
      <c r="AA111" s="294"/>
      <c r="AB111" s="294"/>
      <c r="AC111" s="295"/>
      <c r="AD111" s="288"/>
      <c r="AE111" s="292" t="s">
        <v>120</v>
      </c>
      <c r="AF111" s="289"/>
      <c r="AG111" s="296"/>
      <c r="AH111" s="296"/>
      <c r="AI111" s="288"/>
      <c r="AJ111" s="292" t="s">
        <v>615</v>
      </c>
      <c r="AK111" s="288"/>
      <c r="AL111" s="288"/>
      <c r="AM111" s="292" t="s">
        <v>615</v>
      </c>
      <c r="AN111" s="288"/>
      <c r="AO111" s="288" t="s">
        <v>615</v>
      </c>
      <c r="AP111" s="297"/>
      <c r="AQ111" s="288"/>
      <c r="AR111" s="292" t="s">
        <v>120</v>
      </c>
      <c r="AS111" s="288"/>
      <c r="AT111" s="289"/>
      <c r="AU111" s="289">
        <v>43479.735420254598</v>
      </c>
      <c r="AV111" s="289"/>
      <c r="AW111" s="289"/>
      <c r="AX111" s="289"/>
      <c r="AY111" s="289"/>
      <c r="AZ111" s="298">
        <v>43476.700148958298</v>
      </c>
      <c r="BA11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18.700148958298087</v>
      </c>
      <c r="BB111" s="300">
        <f>COUNTIFS(_05preva_view43[Site ID],_05preva_view43[[#This Row],[Site ID]],_05preva_view43[Prevalidation Status],"Under Prevalidation")</f>
        <v>0</v>
      </c>
      <c r="BC11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1" s="302" t="str">
        <f>CONCATENATE(_05preva_view43[[#This Row],[Site ID]]," (",_05preva_view43[[#This Row],[tenant id]],") Application",IF(_05preva_view43[[#This Row],[Colo Rev]]&gt;0," Rev "&amp;_05preva_view43[[#This Row],[Colo Rev]],""),".xlsx")</f>
        <v>1-01-17026-003 (AYY0879) Application Rev 1.xlsx</v>
      </c>
      <c r="BE111" s="64">
        <f t="shared" ca="1" si="3"/>
        <v>50</v>
      </c>
      <c r="BF111" s="104" t="str">
        <f ca="1">LEFT(CELL("filename",A96),_05preva_view43[[#This Row],[Find Process &amp; Database]]-1)</f>
        <v>D:\OneDrive - apollo-towers.com\Apollo Towers\00-</v>
      </c>
      <c r="BG111" s="104" t="str">
        <f ca="1">_05preva_view43[Folder Path1]&amp;"Process &amp; Database\Documentation\Colo Applications"</f>
        <v>D:\OneDrive - apollo-towers.com\Apollo Towers\00-Process &amp; Database\Documentation\Colo Applications</v>
      </c>
      <c r="BH11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11" s="63" t="str">
        <f ca="1">_05preva_view43[[#This Row],[Folder Path3]]&amp;_05preva_view43[[#This Row],[File Name]]</f>
        <v>D:\OneDrive - apollo-towers.com\Apollo Towers\00-Process &amp; Database\Documentation\Colo Applications\Colo App Mytel\1-01-17026-003 (AYY0879) Application Rev 1.xlsx</v>
      </c>
      <c r="BJ111" s="104"/>
      <c r="BK111" s="3"/>
      <c r="BL111" s="3"/>
      <c r="CJ111" s="5"/>
      <c r="CK111" s="5"/>
      <c r="CL111" s="3"/>
      <c r="CN111" s="5"/>
      <c r="CR111" s="3"/>
      <c r="CS111" s="3"/>
      <c r="CT111" s="5"/>
      <c r="CV111" s="3"/>
      <c r="DR111" s="5"/>
      <c r="DT111" s="3"/>
      <c r="EF111" s="7"/>
      <c r="EG111" s="7"/>
      <c r="EJ111" s="4"/>
      <c r="EK111" s="4"/>
      <c r="EU111" s="2"/>
      <c r="EV111" s="2"/>
    </row>
    <row r="112" spans="1:152">
      <c r="A112" s="287">
        <v>3526</v>
      </c>
      <c r="B112" s="288" t="s">
        <v>1401</v>
      </c>
      <c r="C112" s="288" t="s">
        <v>278</v>
      </c>
      <c r="D112" s="288" t="s">
        <v>153</v>
      </c>
      <c r="E112" s="288" t="s">
        <v>1402</v>
      </c>
      <c r="F112" s="288" t="s">
        <v>34</v>
      </c>
      <c r="G112" s="288" t="s">
        <v>1291</v>
      </c>
      <c r="H112" s="288" t="s">
        <v>1285</v>
      </c>
      <c r="I112" s="288" t="s">
        <v>970</v>
      </c>
      <c r="J112" s="288" t="s">
        <v>668</v>
      </c>
      <c r="K112" s="289">
        <v>43458</v>
      </c>
      <c r="L112" s="290">
        <v>2</v>
      </c>
      <c r="M112" s="290">
        <v>2</v>
      </c>
      <c r="N112" s="288">
        <v>6</v>
      </c>
      <c r="O112" s="288" t="s">
        <v>687</v>
      </c>
      <c r="P112" s="291" t="s">
        <v>765</v>
      </c>
      <c r="Q112" s="291" t="s">
        <v>766</v>
      </c>
      <c r="R112" s="288" t="s">
        <v>24</v>
      </c>
      <c r="S112" s="288"/>
      <c r="T112" s="292" t="s">
        <v>615</v>
      </c>
      <c r="U112" s="288"/>
      <c r="V112" s="292" t="s">
        <v>615</v>
      </c>
      <c r="W112" s="288"/>
      <c r="X112" s="292" t="s">
        <v>615</v>
      </c>
      <c r="Y112" s="288"/>
      <c r="Z112" s="293" t="s">
        <v>615</v>
      </c>
      <c r="AA112" s="294"/>
      <c r="AB112" s="294"/>
      <c r="AC112" s="295"/>
      <c r="AD112" s="288"/>
      <c r="AE112" s="292" t="s">
        <v>120</v>
      </c>
      <c r="AF112" s="289" t="s">
        <v>904</v>
      </c>
      <c r="AG112" s="296"/>
      <c r="AH112" s="296"/>
      <c r="AI112" s="288" t="s">
        <v>1731</v>
      </c>
      <c r="AJ112" s="292" t="s">
        <v>615</v>
      </c>
      <c r="AK112" s="288"/>
      <c r="AL112" s="288"/>
      <c r="AM112" s="292" t="s">
        <v>615</v>
      </c>
      <c r="AN112" s="288"/>
      <c r="AO112" s="288" t="s">
        <v>615</v>
      </c>
      <c r="AP112" s="297"/>
      <c r="AQ112" s="288"/>
      <c r="AR112" s="292" t="s">
        <v>120</v>
      </c>
      <c r="AS112" s="288"/>
      <c r="AT112" s="289"/>
      <c r="AU112" s="289">
        <v>43479.735420833298</v>
      </c>
      <c r="AV112" s="289"/>
      <c r="AW112" s="289"/>
      <c r="AX112" s="289"/>
      <c r="AY112" s="289"/>
      <c r="AZ112" s="298">
        <v>43480.4631876157</v>
      </c>
      <c r="BA11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22.463187615700008</v>
      </c>
      <c r="BB112" s="300">
        <f>COUNTIFS(_05preva_view43[Site ID],_05preva_view43[[#This Row],[Site ID]],_05preva_view43[Prevalidation Status],"Under Prevalidation")</f>
        <v>0</v>
      </c>
      <c r="BC11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2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1-01-17004-007 (AYY0207) Application Rev 1.xlsx</v>
      </c>
      <c r="BE112" s="64">
        <f t="shared" ca="1" si="3"/>
        <v>50</v>
      </c>
      <c r="BF112" s="104" t="str">
        <f ca="1">LEFT(CELL("filename",A97),_05preva_view43[[#This Row],[Find Process &amp; Database]]-1)</f>
        <v>D:\OneDrive - apollo-towers.com\Apollo Towers\00-</v>
      </c>
      <c r="BG112" s="104" t="str">
        <f ca="1">_05preva_view43[Folder Path1]&amp;"Process &amp; Database\Documentation\Colo Applications"</f>
        <v>D:\OneDrive - apollo-towers.com\Apollo Towers\00-Process &amp; Database\Documentation\Colo Applications</v>
      </c>
      <c r="BH11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112" s="63" t="str">
        <f ca="1">_05preva_view43[[#This Row],[Folder Path3]]&amp;_05preva_view43[[#This Row],[File Name]]</f>
        <v>D:\OneDrive - apollo-towers.com\Apollo Towers\00-Process &amp; Database\Documentation\Colo Applications\Colo App Mytel\1-01-17004-007 (AYY0207) Application Rev 1.xlsx</v>
      </c>
      <c r="BJ112" s="104"/>
      <c r="BK112" s="3"/>
      <c r="BL112" s="3"/>
      <c r="CJ112" s="5"/>
      <c r="CK112" s="5"/>
      <c r="CL112" s="3"/>
      <c r="CN112" s="5"/>
      <c r="CR112" s="3"/>
      <c r="CS112" s="3"/>
      <c r="CT112" s="5"/>
      <c r="CV112" s="3"/>
      <c r="DR112" s="5"/>
      <c r="DT112" s="3"/>
      <c r="EF112" s="7"/>
      <c r="EG112" s="7"/>
      <c r="EJ112" s="4"/>
      <c r="EK112" s="4"/>
      <c r="EU112" s="2"/>
      <c r="EV112" s="2"/>
    </row>
    <row r="113" spans="1:152">
      <c r="A113" s="287">
        <v>3516</v>
      </c>
      <c r="B113" s="288" t="s">
        <v>918</v>
      </c>
      <c r="C113" s="288" t="s">
        <v>278</v>
      </c>
      <c r="D113" s="288" t="s">
        <v>117</v>
      </c>
      <c r="E113" s="288" t="s">
        <v>919</v>
      </c>
      <c r="F113" s="288" t="s">
        <v>35</v>
      </c>
      <c r="G113" s="288" t="s">
        <v>1292</v>
      </c>
      <c r="H113" s="288" t="s">
        <v>1285</v>
      </c>
      <c r="I113" s="288" t="s">
        <v>970</v>
      </c>
      <c r="J113" s="288" t="s">
        <v>828</v>
      </c>
      <c r="K113" s="289">
        <v>43452</v>
      </c>
      <c r="L113" s="290">
        <v>1.68</v>
      </c>
      <c r="M113" s="290">
        <v>2.1</v>
      </c>
      <c r="N113" s="288"/>
      <c r="O113" s="288" t="s">
        <v>687</v>
      </c>
      <c r="P113" s="291" t="s">
        <v>695</v>
      </c>
      <c r="Q113" s="291" t="s">
        <v>696</v>
      </c>
      <c r="R113" s="288" t="s">
        <v>24</v>
      </c>
      <c r="S113" s="288"/>
      <c r="T113" s="292" t="s">
        <v>615</v>
      </c>
      <c r="U113" s="288"/>
      <c r="V113" s="292" t="s">
        <v>615</v>
      </c>
      <c r="W113" s="288"/>
      <c r="X113" s="292" t="s">
        <v>615</v>
      </c>
      <c r="Y113" s="288"/>
      <c r="Z113" s="293" t="s">
        <v>615</v>
      </c>
      <c r="AA113" s="294"/>
      <c r="AB113" s="294"/>
      <c r="AC113" s="295"/>
      <c r="AD113" s="288"/>
      <c r="AE113" s="292" t="s">
        <v>120</v>
      </c>
      <c r="AF113" s="289"/>
      <c r="AG113" s="296"/>
      <c r="AH113" s="296"/>
      <c r="AI113" s="288" t="s">
        <v>1732</v>
      </c>
      <c r="AJ113" s="292" t="s">
        <v>615</v>
      </c>
      <c r="AK113" s="288"/>
      <c r="AL113" s="288"/>
      <c r="AM113" s="292"/>
      <c r="AN113" s="288"/>
      <c r="AO113" s="288"/>
      <c r="AP113" s="297"/>
      <c r="AQ113" s="288"/>
      <c r="AR113" s="292"/>
      <c r="AS113" s="288"/>
      <c r="AT113" s="289"/>
      <c r="AU113" s="289">
        <v>43479.735409259301</v>
      </c>
      <c r="AV113" s="289"/>
      <c r="AW113" s="289"/>
      <c r="AX113" s="289"/>
      <c r="AY113" s="289"/>
      <c r="AZ113" s="298">
        <v>43480.442146759298</v>
      </c>
      <c r="BA11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28.442146759298339</v>
      </c>
      <c r="BB113" s="300">
        <f>COUNTIFS(_05preva_view43[Site ID],_05preva_view43[[#This Row],[Site ID]],_05preva_view43[Prevalidation Status],"Under Prevalidation")</f>
        <v>0</v>
      </c>
      <c r="BC11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3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.xlsx</v>
      </c>
      <c r="BE113" s="64">
        <f t="shared" ca="1" si="3"/>
        <v>50</v>
      </c>
      <c r="BF113" s="104" t="str">
        <f ca="1">LEFT(CELL("filename",A98),_05preva_view43[[#This Row],[Find Process &amp; Database]]-1)</f>
        <v>D:\OneDrive - apollo-towers.com\Apollo Towers\00-</v>
      </c>
      <c r="BG113" s="104" t="str">
        <f ca="1">_05preva_view43[Folder Path1]&amp;"Process &amp; Database\Documentation\Colo Applications"</f>
        <v>D:\OneDrive - apollo-towers.com\Apollo Towers\00-Process &amp; Database\Documentation\Colo Applications</v>
      </c>
      <c r="BH11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3" s="63" t="str">
        <f ca="1">_05preva_view43[[#This Row],[Folder Path3]]&amp;_05preva_view43[[#This Row],[File Name]]</f>
        <v>D:\OneDrive - apollo-towers.com\Apollo Towers\00-Process &amp; Database\Documentation\Colo Applications\Colo App MPT\1-01-14001-033 (SHS00466) Application Rev .xlsx</v>
      </c>
      <c r="BJ113" s="104"/>
      <c r="BK113" s="3"/>
      <c r="BL113" s="3"/>
      <c r="CJ113" s="5"/>
      <c r="CK113" s="5"/>
      <c r="CL113" s="3"/>
      <c r="CN113" s="5"/>
      <c r="CR113" s="3"/>
      <c r="CS113" s="3"/>
      <c r="CT113" s="5"/>
      <c r="CV113" s="3"/>
      <c r="DR113" s="5"/>
      <c r="DT113" s="3"/>
      <c r="EF113" s="7"/>
      <c r="EG113" s="7"/>
      <c r="EJ113" s="4"/>
      <c r="EK113" s="4"/>
      <c r="EU113" s="2"/>
      <c r="EV113" s="2"/>
    </row>
    <row r="114" spans="1:152">
      <c r="A114" s="287">
        <v>3517</v>
      </c>
      <c r="B114" s="288" t="s">
        <v>1175</v>
      </c>
      <c r="C114" s="288" t="s">
        <v>116</v>
      </c>
      <c r="D114" s="288" t="s">
        <v>153</v>
      </c>
      <c r="E114" s="288" t="s">
        <v>1176</v>
      </c>
      <c r="F114" s="288" t="s">
        <v>35</v>
      </c>
      <c r="G114" s="288" t="s">
        <v>1287</v>
      </c>
      <c r="H114" s="288" t="s">
        <v>1285</v>
      </c>
      <c r="I114" s="288" t="s">
        <v>1403</v>
      </c>
      <c r="J114" s="288" t="s">
        <v>727</v>
      </c>
      <c r="K114" s="289">
        <v>43452</v>
      </c>
      <c r="L114" s="290">
        <v>2.16</v>
      </c>
      <c r="M114" s="290">
        <v>2.7</v>
      </c>
      <c r="N114" s="288">
        <v>6.0010000000000003</v>
      </c>
      <c r="O114" s="288" t="s">
        <v>119</v>
      </c>
      <c r="P114" s="291" t="s">
        <v>227</v>
      </c>
      <c r="Q114" s="291" t="s">
        <v>228</v>
      </c>
      <c r="R114" s="288" t="s">
        <v>24</v>
      </c>
      <c r="S114" s="288"/>
      <c r="T114" s="292" t="s">
        <v>615</v>
      </c>
      <c r="U114" s="288"/>
      <c r="V114" s="292" t="s">
        <v>615</v>
      </c>
      <c r="W114" s="288"/>
      <c r="X114" s="292" t="s">
        <v>120</v>
      </c>
      <c r="Y114" s="288" t="s">
        <v>1404</v>
      </c>
      <c r="Z114" s="293" t="s">
        <v>141</v>
      </c>
      <c r="AA114" s="294"/>
      <c r="AB114" s="294"/>
      <c r="AC114" s="295" t="s">
        <v>123</v>
      </c>
      <c r="AD114" s="288" t="s">
        <v>1405</v>
      </c>
      <c r="AE114" s="292" t="s">
        <v>120</v>
      </c>
      <c r="AF114" s="289"/>
      <c r="AG114" s="296"/>
      <c r="AH114" s="296"/>
      <c r="AI114" s="288"/>
      <c r="AJ114" s="292" t="s">
        <v>120</v>
      </c>
      <c r="AK114" s="288" t="s">
        <v>123</v>
      </c>
      <c r="AL114" s="288" t="s">
        <v>935</v>
      </c>
      <c r="AM114" s="292"/>
      <c r="AN114" s="288"/>
      <c r="AO114" s="288"/>
      <c r="AP114" s="297"/>
      <c r="AQ114" s="288"/>
      <c r="AR114" s="292" t="s">
        <v>1548</v>
      </c>
      <c r="AS114" s="288" t="s">
        <v>1733</v>
      </c>
      <c r="AT114" s="289">
        <v>43453.414149652803</v>
      </c>
      <c r="AU114" s="289">
        <v>43480.567753009302</v>
      </c>
      <c r="AV114" s="289"/>
      <c r="AW114" s="289">
        <v>43453.414149652803</v>
      </c>
      <c r="AX114" s="289"/>
      <c r="AY114" s="289"/>
      <c r="AZ114" s="298">
        <v>43481.412547916698</v>
      </c>
      <c r="BA11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29.412547916697804</v>
      </c>
      <c r="BB114" s="300">
        <f>COUNTIFS(_05preva_view43[Site ID],_05preva_view43[[#This Row],[Site ID]],_05preva_view43[Prevalidation Status],"Under Prevalidation")</f>
        <v>0</v>
      </c>
      <c r="BC11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4" s="302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3.xlsx</v>
      </c>
      <c r="BE114" s="64">
        <f t="shared" ca="1" si="3"/>
        <v>50</v>
      </c>
      <c r="BF114" s="104" t="str">
        <f ca="1">LEFT(CELL("filename",A99),_05preva_view43[[#This Row],[Find Process &amp; Database]]-1)</f>
        <v>D:\OneDrive - apollo-towers.com\Apollo Towers\00-</v>
      </c>
      <c r="BG114" s="104" t="str">
        <f ca="1">_05preva_view43[Folder Path1]&amp;"Process &amp; Database\Documentation\Colo Applications"</f>
        <v>D:\OneDrive - apollo-towers.com\Apollo Towers\00-Process &amp; Database\Documentation\Colo Applications</v>
      </c>
      <c r="BH11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4" s="63" t="str">
        <f ca="1">_05preva_view43[[#This Row],[Folder Path3]]&amp;_05preva_view43[[#This Row],[File Name]]</f>
        <v>D:\OneDrive - apollo-towers.com\Apollo Towers\00-Process &amp; Database\Documentation\Colo Applications\Colo App MPT\ACAY_0122 (AWD00530) Application Rev 3.xlsx</v>
      </c>
      <c r="BJ114" s="104"/>
      <c r="BK114" s="3"/>
      <c r="BL114" s="3"/>
      <c r="CJ114" s="5"/>
      <c r="CK114" s="5"/>
      <c r="CL114" s="3"/>
      <c r="CN114" s="5"/>
      <c r="CR114" s="3"/>
      <c r="CS114" s="3"/>
      <c r="CT114" s="5"/>
      <c r="CV114" s="3"/>
      <c r="DR114" s="5"/>
      <c r="DT114" s="3"/>
      <c r="EF114" s="7"/>
      <c r="EG114" s="7"/>
      <c r="EJ114" s="4"/>
      <c r="EK114" s="4"/>
      <c r="EU114" s="2"/>
      <c r="EV114" s="2"/>
    </row>
    <row r="115" spans="1:152">
      <c r="A115" s="287">
        <v>3518</v>
      </c>
      <c r="B115" s="288" t="s">
        <v>1406</v>
      </c>
      <c r="C115" s="288" t="s">
        <v>116</v>
      </c>
      <c r="D115" s="288" t="s">
        <v>127</v>
      </c>
      <c r="E115" s="288" t="s">
        <v>1407</v>
      </c>
      <c r="F115" s="288" t="s">
        <v>35</v>
      </c>
      <c r="G115" s="288" t="s">
        <v>1287</v>
      </c>
      <c r="H115" s="288" t="s">
        <v>1290</v>
      </c>
      <c r="I115" s="288" t="s">
        <v>814</v>
      </c>
      <c r="J115" s="288" t="s">
        <v>686</v>
      </c>
      <c r="K115" s="289">
        <v>43452</v>
      </c>
      <c r="L115" s="290">
        <v>1.175</v>
      </c>
      <c r="M115" s="290">
        <v>2.1389999999999998</v>
      </c>
      <c r="N115" s="288">
        <v>4.29</v>
      </c>
      <c r="O115" s="288" t="s">
        <v>119</v>
      </c>
      <c r="P115" s="291" t="s">
        <v>240</v>
      </c>
      <c r="Q115" s="291" t="s">
        <v>241</v>
      </c>
      <c r="R115" s="288" t="s">
        <v>24</v>
      </c>
      <c r="S115" s="288"/>
      <c r="T115" s="292" t="s">
        <v>120</v>
      </c>
      <c r="U115" s="288" t="s">
        <v>1408</v>
      </c>
      <c r="V115" s="292" t="s">
        <v>120</v>
      </c>
      <c r="W115" s="288"/>
      <c r="X115" s="292" t="s">
        <v>120</v>
      </c>
      <c r="Y115" s="288" t="s">
        <v>1409</v>
      </c>
      <c r="Z115" s="293" t="s">
        <v>120</v>
      </c>
      <c r="AA115" s="294"/>
      <c r="AB115" s="294"/>
      <c r="AC115" s="295" t="s">
        <v>123</v>
      </c>
      <c r="AD115" s="288" t="s">
        <v>1410</v>
      </c>
      <c r="AE115" s="292" t="s">
        <v>120</v>
      </c>
      <c r="AF115" s="289"/>
      <c r="AG115" s="296"/>
      <c r="AH115" s="296"/>
      <c r="AI115" s="288"/>
      <c r="AJ115" s="292" t="s">
        <v>120</v>
      </c>
      <c r="AK115" s="288" t="s">
        <v>123</v>
      </c>
      <c r="AL115" s="288" t="s">
        <v>935</v>
      </c>
      <c r="AM115" s="292"/>
      <c r="AN115" s="288"/>
      <c r="AO115" s="288"/>
      <c r="AP115" s="297"/>
      <c r="AQ115" s="288"/>
      <c r="AR115" s="292"/>
      <c r="AS115" s="288"/>
      <c r="AT115" s="289">
        <v>43453.414151504599</v>
      </c>
      <c r="AU115" s="289">
        <v>43479.735410763897</v>
      </c>
      <c r="AV115" s="289">
        <v>43453.663259259301</v>
      </c>
      <c r="AW115" s="289">
        <v>43453.414151504599</v>
      </c>
      <c r="AX115" s="289">
        <v>43460.604116666698</v>
      </c>
      <c r="AY115" s="289">
        <v>43453.6699806713</v>
      </c>
      <c r="AZ115" s="298">
        <v>43480.437795254598</v>
      </c>
      <c r="BA11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28.437795254598313</v>
      </c>
      <c r="BB115" s="300">
        <f>COUNTIFS(_05preva_view43[Site ID],_05preva_view43[[#This Row],[Site ID]],_05preva_view43[Prevalidation Status],"Under Prevalidation")</f>
        <v>0</v>
      </c>
      <c r="BC11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5" s="302" t="str">
        <f>CONCATENATE(_05preva_view43[[#This Row],[Site ID]]," (",_05preva_view43[[#This Row],[tenant id]],") Application",IF(_05preva_view43[[#This Row],[Colo Rev]]&gt;0," Rev "&amp;_05preva_view43[[#This Row],[Colo Rev]],""),".xlsx")</f>
        <v>ANMD_0136 (MDY01437) Application Rev 2.xlsx</v>
      </c>
      <c r="BE115" s="64">
        <f t="shared" ca="1" si="3"/>
        <v>50</v>
      </c>
      <c r="BF115" s="104" t="str">
        <f ca="1">LEFT(CELL("filename",A100),_05preva_view43[[#This Row],[Find Process &amp; Database]]-1)</f>
        <v>D:\OneDrive - apollo-towers.com\Apollo Towers\00-</v>
      </c>
      <c r="BG115" s="104" t="str">
        <f ca="1">_05preva_view43[Folder Path1]&amp;"Process &amp; Database\Documentation\Colo Applications"</f>
        <v>D:\OneDrive - apollo-towers.com\Apollo Towers\00-Process &amp; Database\Documentation\Colo Applications</v>
      </c>
      <c r="BH11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5" s="63" t="str">
        <f ca="1">_05preva_view43[[#This Row],[Folder Path3]]&amp;_05preva_view43[[#This Row],[File Name]]</f>
        <v>D:\OneDrive - apollo-towers.com\Apollo Towers\00-Process &amp; Database\Documentation\Colo Applications\Colo App MPT\ANMD_0136 (MDY01437) Application Rev 2.xlsx</v>
      </c>
      <c r="BJ115" s="104"/>
      <c r="BK115" s="3"/>
      <c r="BL115" s="3"/>
      <c r="CJ115" s="5"/>
      <c r="CK115" s="5"/>
      <c r="CL115" s="3"/>
      <c r="CN115" s="5"/>
      <c r="CR115" s="3"/>
      <c r="CS115" s="3"/>
      <c r="CT115" s="5"/>
      <c r="CV115" s="3"/>
      <c r="DR115" s="5"/>
      <c r="DT115" s="3"/>
      <c r="EF115" s="7"/>
      <c r="EG115" s="7"/>
      <c r="EJ115" s="4"/>
      <c r="EK115" s="4"/>
      <c r="EU115" s="2"/>
      <c r="EV115" s="2"/>
    </row>
    <row r="116" spans="1:152">
      <c r="A116" s="287">
        <v>3519</v>
      </c>
      <c r="B116" s="288" t="s">
        <v>1411</v>
      </c>
      <c r="C116" s="288" t="s">
        <v>278</v>
      </c>
      <c r="D116" s="288" t="s">
        <v>127</v>
      </c>
      <c r="E116" s="288" t="s">
        <v>1412</v>
      </c>
      <c r="F116" s="288" t="s">
        <v>35</v>
      </c>
      <c r="G116" s="288" t="s">
        <v>1292</v>
      </c>
      <c r="H116" s="288" t="s">
        <v>1290</v>
      </c>
      <c r="I116" s="288" t="s">
        <v>814</v>
      </c>
      <c r="J116" s="288" t="s">
        <v>668</v>
      </c>
      <c r="K116" s="289">
        <v>43452</v>
      </c>
      <c r="L116" s="290">
        <v>1.175</v>
      </c>
      <c r="M116" s="290">
        <v>2.1389999999999998</v>
      </c>
      <c r="N116" s="288">
        <v>5.64</v>
      </c>
      <c r="O116" s="288" t="s">
        <v>687</v>
      </c>
      <c r="P116" s="291" t="s">
        <v>655</v>
      </c>
      <c r="Q116" s="291" t="s">
        <v>669</v>
      </c>
      <c r="R116" s="288" t="s">
        <v>24</v>
      </c>
      <c r="S116" s="288"/>
      <c r="T116" s="292" t="s">
        <v>120</v>
      </c>
      <c r="U116" s="288"/>
      <c r="V116" s="292" t="s">
        <v>120</v>
      </c>
      <c r="W116" s="288"/>
      <c r="X116" s="292" t="s">
        <v>120</v>
      </c>
      <c r="Y116" s="288" t="s">
        <v>1413</v>
      </c>
      <c r="Z116" s="293" t="s">
        <v>120</v>
      </c>
      <c r="AA116" s="294"/>
      <c r="AB116" s="294"/>
      <c r="AC116" s="295" t="s">
        <v>123</v>
      </c>
      <c r="AD116" s="288" t="s">
        <v>1414</v>
      </c>
      <c r="AE116" s="292" t="s">
        <v>120</v>
      </c>
      <c r="AF116" s="289"/>
      <c r="AG116" s="296"/>
      <c r="AH116" s="296"/>
      <c r="AI116" s="288" t="s">
        <v>1734</v>
      </c>
      <c r="AJ116" s="292" t="s">
        <v>120</v>
      </c>
      <c r="AK116" s="288" t="s">
        <v>123</v>
      </c>
      <c r="AL116" s="288" t="s">
        <v>935</v>
      </c>
      <c r="AM116" s="292"/>
      <c r="AN116" s="288"/>
      <c r="AO116" s="288"/>
      <c r="AP116" s="297"/>
      <c r="AQ116" s="288"/>
      <c r="AR116" s="292"/>
      <c r="AS116" s="288"/>
      <c r="AT116" s="289">
        <v>43453.414153819402</v>
      </c>
      <c r="AU116" s="289">
        <v>43479.735415972202</v>
      </c>
      <c r="AV116" s="289">
        <v>43454.667723032398</v>
      </c>
      <c r="AW116" s="289">
        <v>43453.414153819402</v>
      </c>
      <c r="AX116" s="289">
        <v>43472.656804050901</v>
      </c>
      <c r="AY116" s="289">
        <v>43452.731311921299</v>
      </c>
      <c r="AZ116" s="298">
        <v>43480.437795833299</v>
      </c>
      <c r="BA11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28.437795833298878</v>
      </c>
      <c r="BB116" s="300">
        <f>COUNTIFS(_05preva_view43[Site ID],_05preva_view43[[#This Row],[Site ID]],_05preva_view43[Prevalidation Status],"Under Prevalidation")</f>
        <v>0</v>
      </c>
      <c r="BC11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6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1-01-01010-003 (KCN00441) Application Rev 1.xlsx</v>
      </c>
      <c r="BE116" s="64">
        <f t="shared" ca="1" si="3"/>
        <v>50</v>
      </c>
      <c r="BF116" s="104" t="str">
        <f ca="1">LEFT(CELL("filename",A101),_05preva_view43[[#This Row],[Find Process &amp; Database]]-1)</f>
        <v>D:\OneDrive - apollo-towers.com\Apollo Towers\00-</v>
      </c>
      <c r="BG116" s="104" t="str">
        <f ca="1">_05preva_view43[Folder Path1]&amp;"Process &amp; Database\Documentation\Colo Applications"</f>
        <v>D:\OneDrive - apollo-towers.com\Apollo Towers\00-Process &amp; Database\Documentation\Colo Applications</v>
      </c>
      <c r="BH11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6" s="63" t="str">
        <f ca="1">_05preva_view43[[#This Row],[Folder Path3]]&amp;_05preva_view43[[#This Row],[File Name]]</f>
        <v>D:\OneDrive - apollo-towers.com\Apollo Towers\00-Process &amp; Database\Documentation\Colo Applications\Colo App MPT\1-01-01010-003 (KCN00441) Application Rev 1.xlsx</v>
      </c>
      <c r="BJ116" s="104"/>
      <c r="BK116" s="3"/>
      <c r="BL116" s="3"/>
      <c r="CJ116" s="5"/>
      <c r="CK116" s="5"/>
      <c r="CL116" s="3"/>
      <c r="CN116" s="5"/>
      <c r="CR116" s="3"/>
      <c r="CS116" s="3"/>
      <c r="CT116" s="5"/>
      <c r="CV116" s="3"/>
      <c r="DR116" s="5"/>
      <c r="DT116" s="3"/>
      <c r="EF116" s="7"/>
      <c r="EG116" s="7"/>
      <c r="EJ116" s="4"/>
      <c r="EK116" s="4"/>
      <c r="EU116" s="2"/>
      <c r="EV116" s="2"/>
    </row>
    <row r="117" spans="1:152">
      <c r="A117" s="287">
        <v>3520</v>
      </c>
      <c r="B117" s="288" t="s">
        <v>238</v>
      </c>
      <c r="C117" s="288" t="s">
        <v>116</v>
      </c>
      <c r="D117" s="288" t="s">
        <v>127</v>
      </c>
      <c r="E117" s="288" t="s">
        <v>1415</v>
      </c>
      <c r="F117" s="288" t="s">
        <v>35</v>
      </c>
      <c r="G117" s="288" t="s">
        <v>1287</v>
      </c>
      <c r="H117" s="288" t="s">
        <v>1290</v>
      </c>
      <c r="I117" s="288" t="s">
        <v>1416</v>
      </c>
      <c r="J117" s="288" t="s">
        <v>686</v>
      </c>
      <c r="K117" s="289">
        <v>43452</v>
      </c>
      <c r="L117" s="290">
        <v>1.175</v>
      </c>
      <c r="M117" s="290">
        <v>2.1389999999999998</v>
      </c>
      <c r="N117" s="288">
        <v>4.32</v>
      </c>
      <c r="O117" s="288" t="s">
        <v>119</v>
      </c>
      <c r="P117" s="291" t="s">
        <v>509</v>
      </c>
      <c r="Q117" s="291" t="s">
        <v>799</v>
      </c>
      <c r="R117" s="288" t="s">
        <v>24</v>
      </c>
      <c r="S117" s="288"/>
      <c r="T117" s="292" t="s">
        <v>120</v>
      </c>
      <c r="U117" s="288" t="s">
        <v>1408</v>
      </c>
      <c r="V117" s="292" t="s">
        <v>120</v>
      </c>
      <c r="W117" s="288"/>
      <c r="X117" s="292" t="s">
        <v>120</v>
      </c>
      <c r="Y117" s="288" t="s">
        <v>1417</v>
      </c>
      <c r="Z117" s="293" t="s">
        <v>120</v>
      </c>
      <c r="AA117" s="294"/>
      <c r="AB117" s="294"/>
      <c r="AC117" s="295" t="s">
        <v>123</v>
      </c>
      <c r="AD117" s="288" t="s">
        <v>1418</v>
      </c>
      <c r="AE117" s="292" t="s">
        <v>120</v>
      </c>
      <c r="AF117" s="289"/>
      <c r="AG117" s="296"/>
      <c r="AH117" s="296"/>
      <c r="AI117" s="288"/>
      <c r="AJ117" s="292" t="s">
        <v>120</v>
      </c>
      <c r="AK117" s="288" t="s">
        <v>123</v>
      </c>
      <c r="AL117" s="288" t="s">
        <v>935</v>
      </c>
      <c r="AM117" s="292"/>
      <c r="AN117" s="288"/>
      <c r="AO117" s="288"/>
      <c r="AP117" s="297"/>
      <c r="AQ117" s="288"/>
      <c r="AR117" s="292"/>
      <c r="AS117" s="288"/>
      <c r="AT117" s="289">
        <v>43453.414155555598</v>
      </c>
      <c r="AU117" s="289">
        <v>43479.735416666699</v>
      </c>
      <c r="AV117" s="289">
        <v>43454.6677239583</v>
      </c>
      <c r="AW117" s="289">
        <v>43453.414155555598</v>
      </c>
      <c r="AX117" s="289">
        <v>43460.6041184028</v>
      </c>
      <c r="AY117" s="289">
        <v>43453.669993518502</v>
      </c>
      <c r="AZ117" s="298">
        <v>43480.437796527804</v>
      </c>
      <c r="BA11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28.437796527803584</v>
      </c>
      <c r="BB117" s="300">
        <f>COUNTIFS(_05preva_view43[Site ID],_05preva_view43[[#This Row],[Site ID]],_05preva_view43[Prevalidation Status],"Under Prevalidation")</f>
        <v>0</v>
      </c>
      <c r="BC11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7" s="302" t="str">
        <f>CONCATENATE(_05preva_view43[[#This Row],[Site ID]]," (",_05preva_view43[[#This Row],[tenant id]],") Application",IF(_05preva_view43[[#This Row],[Colo Rev]]&gt;0," Rev "&amp;_05preva_view43[[#This Row],[Colo Rev]],""),".xlsx")</f>
        <v>ANKC_0017 (KCN00564) Application Rev 2.xlsx</v>
      </c>
      <c r="BE117" s="64">
        <f t="shared" ca="1" si="3"/>
        <v>50</v>
      </c>
      <c r="BF117" s="104" t="str">
        <f ca="1">LEFT(CELL("filename",A102),_05preva_view43[[#This Row],[Find Process &amp; Database]]-1)</f>
        <v>D:\OneDrive - apollo-towers.com\Apollo Towers\00-</v>
      </c>
      <c r="BG117" s="104" t="str">
        <f ca="1">_05preva_view43[Folder Path1]&amp;"Process &amp; Database\Documentation\Colo Applications"</f>
        <v>D:\OneDrive - apollo-towers.com\Apollo Towers\00-Process &amp; Database\Documentation\Colo Applications</v>
      </c>
      <c r="BH11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7" s="63" t="str">
        <f ca="1">_05preva_view43[[#This Row],[Folder Path3]]&amp;_05preva_view43[[#This Row],[File Name]]</f>
        <v>D:\OneDrive - apollo-towers.com\Apollo Towers\00-Process &amp; Database\Documentation\Colo Applications\Colo App MPT\ANKC_0017 (KCN00564) Application Rev 2.xlsx</v>
      </c>
      <c r="BJ117" s="104"/>
      <c r="BK117" s="3"/>
      <c r="BL117" s="3"/>
      <c r="CJ117" s="5"/>
      <c r="CK117" s="5"/>
      <c r="CL117" s="3"/>
      <c r="CN117" s="5"/>
      <c r="CR117" s="3"/>
      <c r="CS117" s="3"/>
      <c r="CT117" s="5"/>
      <c r="CV117" s="3"/>
      <c r="DR117" s="5"/>
      <c r="DT117" s="3"/>
      <c r="EF117" s="7"/>
      <c r="EG117" s="7"/>
      <c r="EJ117" s="4"/>
      <c r="EK117" s="4"/>
      <c r="EU117" s="2"/>
      <c r="EV117" s="2"/>
    </row>
    <row r="118" spans="1:152">
      <c r="A118" s="287">
        <v>3512</v>
      </c>
      <c r="B118" s="288" t="s">
        <v>1419</v>
      </c>
      <c r="C118" s="288" t="s">
        <v>278</v>
      </c>
      <c r="D118" s="288" t="s">
        <v>117</v>
      </c>
      <c r="E118" s="288" t="s">
        <v>1420</v>
      </c>
      <c r="F118" s="288" t="s">
        <v>35</v>
      </c>
      <c r="G118" s="288" t="s">
        <v>1292</v>
      </c>
      <c r="H118" s="288" t="s">
        <v>1285</v>
      </c>
      <c r="I118" s="288" t="s">
        <v>790</v>
      </c>
      <c r="J118" s="288" t="s">
        <v>727</v>
      </c>
      <c r="K118" s="289">
        <v>43451</v>
      </c>
      <c r="L118" s="290">
        <v>3.44</v>
      </c>
      <c r="M118" s="290">
        <v>4.3</v>
      </c>
      <c r="N118" s="288">
        <v>7.63</v>
      </c>
      <c r="O118" s="288" t="s">
        <v>687</v>
      </c>
      <c r="P118" s="291" t="s">
        <v>240</v>
      </c>
      <c r="Q118" s="291" t="s">
        <v>755</v>
      </c>
      <c r="R118" s="288" t="s">
        <v>24</v>
      </c>
      <c r="S118" s="288"/>
      <c r="T118" s="292" t="s">
        <v>615</v>
      </c>
      <c r="U118" s="288"/>
      <c r="V118" s="292" t="s">
        <v>120</v>
      </c>
      <c r="W118" s="288"/>
      <c r="X118" s="292" t="s">
        <v>120</v>
      </c>
      <c r="Y118" s="288" t="s">
        <v>1421</v>
      </c>
      <c r="Z118" s="293" t="s">
        <v>120</v>
      </c>
      <c r="AA118" s="294"/>
      <c r="AB118" s="294"/>
      <c r="AC118" s="295" t="s">
        <v>123</v>
      </c>
      <c r="AD118" s="288" t="s">
        <v>1422</v>
      </c>
      <c r="AE118" s="292" t="s">
        <v>120</v>
      </c>
      <c r="AF118" s="289" t="s">
        <v>1423</v>
      </c>
      <c r="AG118" s="296"/>
      <c r="AH118" s="296"/>
      <c r="AI118" s="288" t="s">
        <v>1306</v>
      </c>
      <c r="AJ118" s="292" t="s">
        <v>120</v>
      </c>
      <c r="AK118" s="288" t="s">
        <v>123</v>
      </c>
      <c r="AL118" s="288" t="s">
        <v>935</v>
      </c>
      <c r="AM118" s="292"/>
      <c r="AN118" s="288"/>
      <c r="AO118" s="288"/>
      <c r="AP118" s="297"/>
      <c r="AQ118" s="288"/>
      <c r="AR118" s="292"/>
      <c r="AS118" s="288"/>
      <c r="AT118" s="289">
        <v>43452.439615162002</v>
      </c>
      <c r="AU118" s="289">
        <v>43452.507346527796</v>
      </c>
      <c r="AV118" s="289">
        <v>43452.672315625001</v>
      </c>
      <c r="AW118" s="289">
        <v>43452.439615162002</v>
      </c>
      <c r="AX118" s="289"/>
      <c r="AY118" s="289">
        <v>43451.729554513899</v>
      </c>
      <c r="AZ118" s="298">
        <v>43453.663835300897</v>
      </c>
      <c r="BA11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2.6638353008966078</v>
      </c>
      <c r="BB118" s="300">
        <f>COUNTIFS(_05preva_view43[Site ID],_05preva_view43[[#This Row],[Site ID]],_05preva_view43[Prevalidation Status],"Under Prevalidation")</f>
        <v>0</v>
      </c>
      <c r="BC11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8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1-01-14001-010 (SHS00100) Application Rev 3.xlsx</v>
      </c>
      <c r="BE118" s="64">
        <f t="shared" ca="1" si="3"/>
        <v>50</v>
      </c>
      <c r="BF118" s="104" t="str">
        <f ca="1">LEFT(CELL("filename",A103),_05preva_view43[[#This Row],[Find Process &amp; Database]]-1)</f>
        <v>D:\OneDrive - apollo-towers.com\Apollo Towers\00-</v>
      </c>
      <c r="BG118" s="104" t="str">
        <f ca="1">_05preva_view43[Folder Path1]&amp;"Process &amp; Database\Documentation\Colo Applications"</f>
        <v>D:\OneDrive - apollo-towers.com\Apollo Towers\00-Process &amp; Database\Documentation\Colo Applications</v>
      </c>
      <c r="BH11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8" s="63" t="str">
        <f ca="1">_05preva_view43[[#This Row],[Folder Path3]]&amp;_05preva_view43[[#This Row],[File Name]]</f>
        <v>D:\OneDrive - apollo-towers.com\Apollo Towers\00-Process &amp; Database\Documentation\Colo Applications\Colo App MPT\1-01-14001-010 (SHS00100) Application Rev 3.xlsx</v>
      </c>
      <c r="BJ118" s="104"/>
      <c r="BK118" s="3"/>
      <c r="BL118" s="3"/>
      <c r="CJ118" s="5"/>
      <c r="CK118" s="5"/>
      <c r="CL118" s="3"/>
      <c r="CN118" s="5"/>
      <c r="CR118" s="3"/>
      <c r="CS118" s="3"/>
      <c r="CT118" s="5"/>
      <c r="CV118" s="3"/>
      <c r="DR118" s="5"/>
      <c r="DT118" s="3"/>
      <c r="EF118" s="7"/>
      <c r="EG118" s="7"/>
      <c r="EJ118" s="4"/>
      <c r="EK118" s="4"/>
      <c r="EU118" s="2"/>
      <c r="EV118" s="2"/>
    </row>
    <row r="119" spans="1:152">
      <c r="A119" s="287">
        <v>3513</v>
      </c>
      <c r="B119" s="288" t="s">
        <v>878</v>
      </c>
      <c r="C119" s="288" t="s">
        <v>278</v>
      </c>
      <c r="D119" s="288" t="s">
        <v>117</v>
      </c>
      <c r="E119" s="288" t="s">
        <v>879</v>
      </c>
      <c r="F119" s="288" t="s">
        <v>35</v>
      </c>
      <c r="G119" s="288" t="s">
        <v>1293</v>
      </c>
      <c r="H119" s="288" t="s">
        <v>1290</v>
      </c>
      <c r="I119" s="288" t="s">
        <v>881</v>
      </c>
      <c r="J119" s="288" t="s">
        <v>694</v>
      </c>
      <c r="K119" s="289">
        <v>43451</v>
      </c>
      <c r="L119" s="290">
        <v>0.58399999999999996</v>
      </c>
      <c r="M119" s="290">
        <v>0.879</v>
      </c>
      <c r="N119" s="288"/>
      <c r="O119" s="288" t="s">
        <v>687</v>
      </c>
      <c r="P119" s="291" t="s">
        <v>765</v>
      </c>
      <c r="Q119" s="291" t="s">
        <v>766</v>
      </c>
      <c r="R119" s="288" t="s">
        <v>24</v>
      </c>
      <c r="S119" s="288"/>
      <c r="T119" s="292" t="s">
        <v>615</v>
      </c>
      <c r="U119" s="288"/>
      <c r="V119" s="292" t="s">
        <v>615</v>
      </c>
      <c r="W119" s="288"/>
      <c r="X119" s="292" t="s">
        <v>615</v>
      </c>
      <c r="Y119" s="288"/>
      <c r="Z119" s="293" t="s">
        <v>615</v>
      </c>
      <c r="AA119" s="294"/>
      <c r="AB119" s="294"/>
      <c r="AC119" s="295"/>
      <c r="AD119" s="288"/>
      <c r="AE119" s="292" t="s">
        <v>120</v>
      </c>
      <c r="AF119" s="289" t="s">
        <v>1424</v>
      </c>
      <c r="AG119" s="296"/>
      <c r="AH119" s="296"/>
      <c r="AI119" s="288"/>
      <c r="AJ119" s="292" t="s">
        <v>615</v>
      </c>
      <c r="AK119" s="288"/>
      <c r="AL119" s="288"/>
      <c r="AM119" s="292"/>
      <c r="AN119" s="288"/>
      <c r="AO119" s="288"/>
      <c r="AP119" s="297"/>
      <c r="AQ119" s="288"/>
      <c r="AR119" s="292"/>
      <c r="AS119" s="288"/>
      <c r="AT119" s="289"/>
      <c r="AU119" s="289">
        <v>43452.5073486111</v>
      </c>
      <c r="AV119" s="289"/>
      <c r="AW119" s="289"/>
      <c r="AX119" s="289"/>
      <c r="AY119" s="289"/>
      <c r="AZ119" s="298">
        <v>43452.584178935198</v>
      </c>
      <c r="BA11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1.5841789351979969</v>
      </c>
      <c r="BB119" s="300">
        <f>COUNTIFS(_05preva_view43[Site ID],_05preva_view43[[#This Row],[Site ID]],_05preva_view43[Prevalidation Status],"Under Prevalidation")</f>
        <v>0</v>
      </c>
      <c r="BC11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19" s="302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4.xlsx</v>
      </c>
      <c r="BE119" s="64">
        <f t="shared" ca="1" si="3"/>
        <v>50</v>
      </c>
      <c r="BF119" s="104" t="str">
        <f ca="1">LEFT(CELL("filename",A104),_05preva_view43[[#This Row],[Find Process &amp; Database]]-1)</f>
        <v>D:\OneDrive - apollo-towers.com\Apollo Towers\00-</v>
      </c>
      <c r="BG119" s="104" t="str">
        <f ca="1">_05preva_view43[Folder Path1]&amp;"Process &amp; Database\Documentation\Colo Applications"</f>
        <v>D:\OneDrive - apollo-towers.com\Apollo Towers\00-Process &amp; Database\Documentation\Colo Applications</v>
      </c>
      <c r="BH11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19" s="63" t="str">
        <f ca="1">_05preva_view43[[#This Row],[Folder Path3]]&amp;_05preva_view43[[#This Row],[File Name]]</f>
        <v>D:\OneDrive - apollo-towers.com\Apollo Towers\00-Process &amp; Database\Documentation\Colo Applications\Colo App MPT\1-01-04007-009 (CHN00225) Application Rev 4.xlsx</v>
      </c>
      <c r="BJ119" s="104"/>
      <c r="BK119" s="3"/>
      <c r="BL119" s="3"/>
      <c r="CJ119" s="5"/>
      <c r="CK119" s="5"/>
      <c r="CL119" s="3"/>
      <c r="CN119" s="5"/>
      <c r="CR119" s="3"/>
      <c r="CS119" s="3"/>
      <c r="CT119" s="5"/>
      <c r="CV119" s="3"/>
      <c r="DR119" s="5"/>
      <c r="DT119" s="3"/>
      <c r="EF119" s="7"/>
      <c r="EG119" s="7"/>
      <c r="EJ119" s="4"/>
      <c r="EK119" s="4"/>
      <c r="EU119" s="2"/>
      <c r="EV119" s="2"/>
    </row>
    <row r="120" spans="1:152">
      <c r="A120" s="287">
        <v>3514</v>
      </c>
      <c r="B120" s="288" t="s">
        <v>1425</v>
      </c>
      <c r="C120" s="288" t="s">
        <v>278</v>
      </c>
      <c r="D120" s="288" t="s">
        <v>127</v>
      </c>
      <c r="E120" s="288" t="s">
        <v>1426</v>
      </c>
      <c r="F120" s="288" t="s">
        <v>35</v>
      </c>
      <c r="G120" s="288" t="s">
        <v>1292</v>
      </c>
      <c r="H120" s="288" t="s">
        <v>1290</v>
      </c>
      <c r="I120" s="288" t="s">
        <v>970</v>
      </c>
      <c r="J120" s="288" t="s">
        <v>668</v>
      </c>
      <c r="K120" s="289">
        <v>43451</v>
      </c>
      <c r="L120" s="290">
        <v>1</v>
      </c>
      <c r="M120" s="290">
        <v>1.4</v>
      </c>
      <c r="N120" s="288"/>
      <c r="O120" s="288" t="s">
        <v>687</v>
      </c>
      <c r="P120" s="291" t="s">
        <v>705</v>
      </c>
      <c r="Q120" s="291" t="s">
        <v>706</v>
      </c>
      <c r="R120" s="288" t="s">
        <v>24</v>
      </c>
      <c r="S120" s="288"/>
      <c r="T120" s="292" t="s">
        <v>615</v>
      </c>
      <c r="U120" s="288"/>
      <c r="V120" s="292" t="s">
        <v>615</v>
      </c>
      <c r="W120" s="288"/>
      <c r="X120" s="292" t="s">
        <v>615</v>
      </c>
      <c r="Y120" s="288"/>
      <c r="Z120" s="293" t="s">
        <v>615</v>
      </c>
      <c r="AA120" s="294"/>
      <c r="AB120" s="294"/>
      <c r="AC120" s="295"/>
      <c r="AD120" s="288"/>
      <c r="AE120" s="292" t="s">
        <v>120</v>
      </c>
      <c r="AF120" s="289" t="s">
        <v>1427</v>
      </c>
      <c r="AG120" s="296"/>
      <c r="AH120" s="296"/>
      <c r="AI120" s="288" t="s">
        <v>1428</v>
      </c>
      <c r="AJ120" s="292" t="s">
        <v>615</v>
      </c>
      <c r="AK120" s="288"/>
      <c r="AL120" s="288"/>
      <c r="AM120" s="292"/>
      <c r="AN120" s="288"/>
      <c r="AO120" s="288"/>
      <c r="AP120" s="297"/>
      <c r="AQ120" s="288"/>
      <c r="AR120" s="292"/>
      <c r="AS120" s="288"/>
      <c r="AT120" s="289"/>
      <c r="AU120" s="289">
        <v>43452.507353472203</v>
      </c>
      <c r="AV120" s="289"/>
      <c r="AW120" s="289"/>
      <c r="AX120" s="289"/>
      <c r="AY120" s="289"/>
      <c r="AZ120" s="298">
        <v>43452.584182638901</v>
      </c>
      <c r="BA12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1.5841826389005291</v>
      </c>
      <c r="BB120" s="300">
        <f>COUNTIFS(_05preva_view43[Site ID],_05preva_view43[[#This Row],[Site ID]],_05preva_view43[Prevalidation Status],"Under Prevalidation")</f>
        <v>0</v>
      </c>
      <c r="BC12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0" s="302" t="str">
        <f>CONCATENATE(_05preva_view43[[#This Row],[Site ID]]," (",_05preva_view43[[#This Row],[tenant id]],") Application",IF(_05preva_view43[[#This Row],[Colo Rev]]&gt;0," Rev "&amp;_05preva_view43[[#This Row],[Colo Rev]],""),".xlsx")</f>
        <v>1-01-10009-003 (MDY01362) Application Rev 1.xlsx</v>
      </c>
      <c r="BE120" s="64">
        <f t="shared" ca="1" si="3"/>
        <v>50</v>
      </c>
      <c r="BF120" s="104" t="str">
        <f ca="1">LEFT(CELL("filename",A105),_05preva_view43[[#This Row],[Find Process &amp; Database]]-1)</f>
        <v>D:\OneDrive - apollo-towers.com\Apollo Towers\00-</v>
      </c>
      <c r="BG120" s="104" t="str">
        <f ca="1">_05preva_view43[Folder Path1]&amp;"Process &amp; Database\Documentation\Colo Applications"</f>
        <v>D:\OneDrive - apollo-towers.com\Apollo Towers\00-Process &amp; Database\Documentation\Colo Applications</v>
      </c>
      <c r="BH12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0" s="63" t="str">
        <f ca="1">_05preva_view43[[#This Row],[Folder Path3]]&amp;_05preva_view43[[#This Row],[File Name]]</f>
        <v>D:\OneDrive - apollo-towers.com\Apollo Towers\00-Process &amp; Database\Documentation\Colo Applications\Colo App MPT\1-01-10009-003 (MDY01362) Application Rev 1.xlsx</v>
      </c>
      <c r="BJ120" s="104"/>
      <c r="BK120" s="3"/>
      <c r="BL120" s="3"/>
      <c r="CJ120" s="5"/>
      <c r="CK120" s="5"/>
      <c r="CL120" s="3"/>
      <c r="CN120" s="5"/>
      <c r="CR120" s="3"/>
      <c r="CS120" s="3"/>
      <c r="CT120" s="5"/>
      <c r="CV120" s="3"/>
      <c r="DR120" s="5"/>
      <c r="DT120" s="3"/>
      <c r="EF120" s="7"/>
      <c r="EG120" s="7"/>
      <c r="EJ120" s="4"/>
      <c r="EK120" s="4"/>
      <c r="EU120" s="2"/>
      <c r="EV120" s="2"/>
    </row>
    <row r="121" spans="1:152">
      <c r="A121" s="287">
        <v>3515</v>
      </c>
      <c r="B121" s="288" t="s">
        <v>1391</v>
      </c>
      <c r="C121" s="288" t="s">
        <v>278</v>
      </c>
      <c r="D121" s="288" t="s">
        <v>127</v>
      </c>
      <c r="E121" s="288" t="s">
        <v>1392</v>
      </c>
      <c r="F121" s="288" t="s">
        <v>35</v>
      </c>
      <c r="G121" s="288" t="s">
        <v>1292</v>
      </c>
      <c r="H121" s="288" t="s">
        <v>1285</v>
      </c>
      <c r="I121" s="288" t="s">
        <v>857</v>
      </c>
      <c r="J121" s="288" t="s">
        <v>686</v>
      </c>
      <c r="K121" s="289">
        <v>43451</v>
      </c>
      <c r="L121" s="290">
        <v>1</v>
      </c>
      <c r="M121" s="290">
        <v>1.4</v>
      </c>
      <c r="N121" s="288">
        <v>4.97</v>
      </c>
      <c r="O121" s="288" t="s">
        <v>687</v>
      </c>
      <c r="P121" s="291" t="s">
        <v>695</v>
      </c>
      <c r="Q121" s="291" t="s">
        <v>696</v>
      </c>
      <c r="R121" s="288" t="s">
        <v>24</v>
      </c>
      <c r="S121" s="288"/>
      <c r="T121" s="292" t="s">
        <v>615</v>
      </c>
      <c r="U121" s="288"/>
      <c r="V121" s="292" t="s">
        <v>120</v>
      </c>
      <c r="W121" s="288"/>
      <c r="X121" s="292" t="s">
        <v>120</v>
      </c>
      <c r="Y121" s="288" t="s">
        <v>1429</v>
      </c>
      <c r="Z121" s="293" t="s">
        <v>120</v>
      </c>
      <c r="AA121" s="294"/>
      <c r="AB121" s="294"/>
      <c r="AC121" s="295" t="s">
        <v>123</v>
      </c>
      <c r="AD121" s="288" t="s">
        <v>1430</v>
      </c>
      <c r="AE121" s="292" t="s">
        <v>615</v>
      </c>
      <c r="AF121" s="289"/>
      <c r="AG121" s="296"/>
      <c r="AH121" s="296"/>
      <c r="AI121" s="288"/>
      <c r="AJ121" s="292" t="s">
        <v>120</v>
      </c>
      <c r="AK121" s="288" t="s">
        <v>123</v>
      </c>
      <c r="AL121" s="288" t="s">
        <v>935</v>
      </c>
      <c r="AM121" s="292"/>
      <c r="AN121" s="288"/>
      <c r="AO121" s="288"/>
      <c r="AP121" s="297"/>
      <c r="AQ121" s="288"/>
      <c r="AR121" s="292"/>
      <c r="AS121" s="288"/>
      <c r="AT121" s="289">
        <v>43452.439618286997</v>
      </c>
      <c r="AU121" s="289"/>
      <c r="AV121" s="289">
        <v>43452.644825347197</v>
      </c>
      <c r="AW121" s="289">
        <v>43452.439618286997</v>
      </c>
      <c r="AX121" s="289"/>
      <c r="AY121" s="289">
        <v>43451.727060995399</v>
      </c>
      <c r="AZ121" s="298">
        <v>43452.7045194444</v>
      </c>
      <c r="BA12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1.7045194443999208</v>
      </c>
      <c r="BB121" s="300">
        <f>COUNTIFS(_05preva_view43[Site ID],_05preva_view43[[#This Row],[Site ID]],_05preva_view43[Prevalidation Status],"Under Prevalidation")</f>
        <v>0</v>
      </c>
      <c r="BC12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1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1-01-14007-016 (SHN00079) Application Rev 2.xlsx</v>
      </c>
      <c r="BE121" s="64">
        <f t="shared" ca="1" si="3"/>
        <v>50</v>
      </c>
      <c r="BF121" s="104" t="str">
        <f ca="1">LEFT(CELL("filename",A106),_05preva_view43[[#This Row],[Find Process &amp; Database]]-1)</f>
        <v>D:\OneDrive - apollo-towers.com\Apollo Towers\00-</v>
      </c>
      <c r="BG121" s="104" t="str">
        <f ca="1">_05preva_view43[Folder Path1]&amp;"Process &amp; Database\Documentation\Colo Applications"</f>
        <v>D:\OneDrive - apollo-towers.com\Apollo Towers\00-Process &amp; Database\Documentation\Colo Applications</v>
      </c>
      <c r="BH12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1" s="63" t="str">
        <f ca="1">_05preva_view43[[#This Row],[Folder Path3]]&amp;_05preva_view43[[#This Row],[File Name]]</f>
        <v>D:\OneDrive - apollo-towers.com\Apollo Towers\00-Process &amp; Database\Documentation\Colo Applications\Colo App MPT\1-01-14007-016 (SHN00079) Application Rev 2.xlsx</v>
      </c>
      <c r="BJ121" s="104"/>
      <c r="BK121" s="3"/>
      <c r="BL121" s="3"/>
      <c r="CJ121" s="5"/>
      <c r="CK121" s="5"/>
      <c r="CL121" s="3"/>
      <c r="CN121" s="5"/>
      <c r="CR121" s="3"/>
      <c r="CS121" s="3"/>
      <c r="CT121" s="5"/>
      <c r="CV121" s="3"/>
      <c r="DR121" s="5"/>
      <c r="DT121" s="3"/>
      <c r="EF121" s="7"/>
      <c r="EG121" s="7"/>
      <c r="EJ121" s="4"/>
      <c r="EK121" s="4"/>
      <c r="EU121" s="2"/>
      <c r="EV121" s="2"/>
    </row>
    <row r="122" spans="1:152">
      <c r="A122" s="287">
        <v>3498</v>
      </c>
      <c r="B122" s="288" t="s">
        <v>1259</v>
      </c>
      <c r="C122" s="288" t="s">
        <v>278</v>
      </c>
      <c r="D122" s="288" t="s">
        <v>153</v>
      </c>
      <c r="E122" s="288" t="s">
        <v>1260</v>
      </c>
      <c r="F122" s="288" t="s">
        <v>35</v>
      </c>
      <c r="G122" s="288" t="s">
        <v>1292</v>
      </c>
      <c r="H122" s="288" t="s">
        <v>1285</v>
      </c>
      <c r="I122" s="288" t="s">
        <v>1261</v>
      </c>
      <c r="J122" s="288" t="s">
        <v>694</v>
      </c>
      <c r="K122" s="289">
        <v>43447</v>
      </c>
      <c r="L122" s="290">
        <v>1.68</v>
      </c>
      <c r="M122" s="290">
        <v>2.1</v>
      </c>
      <c r="N122" s="288">
        <v>2.9449999999999998</v>
      </c>
      <c r="O122" s="288" t="s">
        <v>687</v>
      </c>
      <c r="P122" s="291" t="s">
        <v>695</v>
      </c>
      <c r="Q122" s="291" t="s">
        <v>696</v>
      </c>
      <c r="R122" s="288" t="s">
        <v>24</v>
      </c>
      <c r="S122" s="288"/>
      <c r="T122" s="292" t="s">
        <v>615</v>
      </c>
      <c r="U122" s="288"/>
      <c r="V122" s="292" t="s">
        <v>120</v>
      </c>
      <c r="W122" s="288"/>
      <c r="X122" s="292" t="s">
        <v>120</v>
      </c>
      <c r="Y122" s="288" t="s">
        <v>1296</v>
      </c>
      <c r="Z122" s="293" t="s">
        <v>120</v>
      </c>
      <c r="AA122" s="294"/>
      <c r="AB122" s="294"/>
      <c r="AC122" s="295" t="s">
        <v>123</v>
      </c>
      <c r="AD122" s="288" t="s">
        <v>1307</v>
      </c>
      <c r="AE122" s="292" t="s">
        <v>120</v>
      </c>
      <c r="AF122" s="289" t="s">
        <v>1431</v>
      </c>
      <c r="AG122" s="296"/>
      <c r="AH122" s="296"/>
      <c r="AI122" s="288" t="s">
        <v>1297</v>
      </c>
      <c r="AJ122" s="292" t="s">
        <v>120</v>
      </c>
      <c r="AK122" s="288" t="s">
        <v>123</v>
      </c>
      <c r="AL122" s="288" t="s">
        <v>935</v>
      </c>
      <c r="AM122" s="292"/>
      <c r="AN122" s="288"/>
      <c r="AO122" s="288"/>
      <c r="AP122" s="297"/>
      <c r="AQ122" s="288"/>
      <c r="AR122" s="292"/>
      <c r="AS122" s="288"/>
      <c r="AT122" s="289">
        <v>43447.75481875</v>
      </c>
      <c r="AU122" s="289">
        <v>43451.370478472199</v>
      </c>
      <c r="AV122" s="289">
        <v>43448.476636111103</v>
      </c>
      <c r="AW122" s="289">
        <v>43447.75481875</v>
      </c>
      <c r="AX122" s="289"/>
      <c r="AY122" s="289">
        <v>43447.715323842604</v>
      </c>
      <c r="AZ122" s="298">
        <v>43451.4114646991</v>
      </c>
      <c r="BA12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4.4114646991001791</v>
      </c>
      <c r="BB122" s="300">
        <f>COUNTIFS(_05preva_view43[Site ID],_05preva_view43[[#This Row],[Site ID]],_05preva_view43[Prevalidation Status],"Under Prevalidation")</f>
        <v>0</v>
      </c>
      <c r="BC12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2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1-01-17007-005 (AWD00484) Application Rev 4.xlsx</v>
      </c>
      <c r="BE122" s="64">
        <f t="shared" ca="1" si="3"/>
        <v>50</v>
      </c>
      <c r="BF122" s="104" t="str">
        <f ca="1">LEFT(CELL("filename",A107),_05preva_view43[[#This Row],[Find Process &amp; Database]]-1)</f>
        <v>D:\OneDrive - apollo-towers.com\Apollo Towers\00-</v>
      </c>
      <c r="BG122" s="104" t="str">
        <f ca="1">_05preva_view43[Folder Path1]&amp;"Process &amp; Database\Documentation\Colo Applications"</f>
        <v>D:\OneDrive - apollo-towers.com\Apollo Towers\00-Process &amp; Database\Documentation\Colo Applications</v>
      </c>
      <c r="BH12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2" s="63" t="str">
        <f ca="1">_05preva_view43[[#This Row],[Folder Path3]]&amp;_05preva_view43[[#This Row],[File Name]]</f>
        <v>D:\OneDrive - apollo-towers.com\Apollo Towers\00-Process &amp; Database\Documentation\Colo Applications\Colo App MPT\1-01-17007-005 (AWD00484) Application Rev 4.xlsx</v>
      </c>
      <c r="BJ122" s="104"/>
      <c r="BK122" s="3"/>
      <c r="BL122" s="3"/>
      <c r="CJ122" s="5"/>
      <c r="CK122" s="5"/>
      <c r="CL122" s="3"/>
      <c r="CN122" s="5"/>
      <c r="CR122" s="3"/>
      <c r="CS122" s="3"/>
      <c r="CT122" s="5"/>
      <c r="CV122" s="3"/>
      <c r="DR122" s="5"/>
      <c r="DT122" s="3"/>
      <c r="EF122" s="7"/>
      <c r="EG122" s="7"/>
      <c r="EJ122" s="4"/>
      <c r="EK122" s="4"/>
      <c r="EU122" s="2"/>
      <c r="EV122" s="2"/>
    </row>
    <row r="123" spans="1:152">
      <c r="A123" s="287">
        <v>3499</v>
      </c>
      <c r="B123" s="288" t="s">
        <v>1262</v>
      </c>
      <c r="C123" s="288" t="s">
        <v>278</v>
      </c>
      <c r="D123" s="288" t="s">
        <v>117</v>
      </c>
      <c r="E123" s="288" t="s">
        <v>1263</v>
      </c>
      <c r="F123" s="288" t="s">
        <v>35</v>
      </c>
      <c r="G123" s="288" t="s">
        <v>1292</v>
      </c>
      <c r="H123" s="288" t="s">
        <v>1285</v>
      </c>
      <c r="I123" s="288" t="s">
        <v>1261</v>
      </c>
      <c r="J123" s="288" t="s">
        <v>686</v>
      </c>
      <c r="K123" s="289">
        <v>43447</v>
      </c>
      <c r="L123" s="290">
        <v>2.16</v>
      </c>
      <c r="M123" s="290">
        <v>2.7</v>
      </c>
      <c r="N123" s="288">
        <v>4.45</v>
      </c>
      <c r="O123" s="288" t="s">
        <v>687</v>
      </c>
      <c r="P123" s="291" t="s">
        <v>695</v>
      </c>
      <c r="Q123" s="291" t="s">
        <v>696</v>
      </c>
      <c r="R123" s="288" t="s">
        <v>24</v>
      </c>
      <c r="S123" s="288"/>
      <c r="T123" s="292" t="s">
        <v>615</v>
      </c>
      <c r="U123" s="288"/>
      <c r="V123" s="292" t="s">
        <v>120</v>
      </c>
      <c r="W123" s="288"/>
      <c r="X123" s="292" t="s">
        <v>120</v>
      </c>
      <c r="Y123" s="288" t="s">
        <v>1298</v>
      </c>
      <c r="Z123" s="293" t="s">
        <v>120</v>
      </c>
      <c r="AA123" s="294"/>
      <c r="AB123" s="294"/>
      <c r="AC123" s="295" t="s">
        <v>123</v>
      </c>
      <c r="AD123" s="288" t="s">
        <v>1308</v>
      </c>
      <c r="AE123" s="292" t="s">
        <v>120</v>
      </c>
      <c r="AF123" s="289" t="s">
        <v>1432</v>
      </c>
      <c r="AG123" s="296"/>
      <c r="AH123" s="296"/>
      <c r="AI123" s="288" t="s">
        <v>1299</v>
      </c>
      <c r="AJ123" s="292" t="s">
        <v>120</v>
      </c>
      <c r="AK123" s="288" t="s">
        <v>123</v>
      </c>
      <c r="AL123" s="288" t="s">
        <v>935</v>
      </c>
      <c r="AM123" s="292"/>
      <c r="AN123" s="288"/>
      <c r="AO123" s="288"/>
      <c r="AP123" s="297"/>
      <c r="AQ123" s="288"/>
      <c r="AR123" s="292"/>
      <c r="AS123" s="288"/>
      <c r="AT123" s="289">
        <v>43447.754820254602</v>
      </c>
      <c r="AU123" s="289">
        <v>43451.370479745397</v>
      </c>
      <c r="AV123" s="289">
        <v>43448.606992245397</v>
      </c>
      <c r="AW123" s="289">
        <v>43447.754820254602</v>
      </c>
      <c r="AX123" s="289"/>
      <c r="AY123" s="289">
        <v>43447.715324768498</v>
      </c>
      <c r="AZ123" s="298">
        <v>43451.411465393503</v>
      </c>
      <c r="BA12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4.4114653935030219</v>
      </c>
      <c r="BB123" s="300">
        <f>COUNTIFS(_05preva_view43[Site ID],_05preva_view43[[#This Row],[Site ID]],_05preva_view43[Prevalidation Status],"Under Prevalidation")</f>
        <v>0</v>
      </c>
      <c r="BC12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3" s="302" t="str">
        <f>CONCATENATE(_05preva_view43[[#This Row],[Site ID]]," (",_05preva_view43[[#This Row],[tenant id]],") Application",IF(_05preva_view43[[#This Row],[Colo Rev]]&gt;0," Rev "&amp;_05preva_view43[[#This Row],[Colo Rev]],""),".xlsx")</f>
        <v>1-01-02003-003 (KYH00055) Application Rev 2.xlsx</v>
      </c>
      <c r="BE123" s="64">
        <f t="shared" ca="1" si="3"/>
        <v>50</v>
      </c>
      <c r="BF123" s="104" t="str">
        <f ca="1">LEFT(CELL("filename",A108),_05preva_view43[[#This Row],[Find Process &amp; Database]]-1)</f>
        <v>D:\OneDrive - apollo-towers.com\Apollo Towers\00-</v>
      </c>
      <c r="BG123" s="104" t="str">
        <f ca="1">_05preva_view43[Folder Path1]&amp;"Process &amp; Database\Documentation\Colo Applications"</f>
        <v>D:\OneDrive - apollo-towers.com\Apollo Towers\00-Process &amp; Database\Documentation\Colo Applications</v>
      </c>
      <c r="BH12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3" s="63" t="str">
        <f ca="1">_05preva_view43[[#This Row],[Folder Path3]]&amp;_05preva_view43[[#This Row],[File Name]]</f>
        <v>D:\OneDrive - apollo-towers.com\Apollo Towers\00-Process &amp; Database\Documentation\Colo Applications\Colo App MPT\1-01-02003-003 (KYH00055) Application Rev 2.xlsx</v>
      </c>
      <c r="BJ123" s="104"/>
      <c r="BK123" s="3"/>
      <c r="BL123" s="3"/>
      <c r="CJ123" s="5"/>
      <c r="CK123" s="5"/>
      <c r="CL123" s="3"/>
      <c r="CN123" s="5"/>
      <c r="CR123" s="3"/>
      <c r="CS123" s="3"/>
      <c r="CT123" s="5"/>
      <c r="CV123" s="3"/>
      <c r="DR123" s="5"/>
      <c r="DT123" s="3"/>
      <c r="EF123" s="7"/>
      <c r="EG123" s="7"/>
      <c r="EJ123" s="4"/>
      <c r="EK123" s="4"/>
      <c r="EU123" s="2"/>
      <c r="EV123" s="2"/>
    </row>
    <row r="124" spans="1:152">
      <c r="A124" s="287">
        <v>3500</v>
      </c>
      <c r="B124" s="288" t="s">
        <v>1264</v>
      </c>
      <c r="C124" s="288" t="s">
        <v>278</v>
      </c>
      <c r="D124" s="288" t="s">
        <v>153</v>
      </c>
      <c r="E124" s="288" t="s">
        <v>1265</v>
      </c>
      <c r="F124" s="288" t="s">
        <v>35</v>
      </c>
      <c r="G124" s="288" t="s">
        <v>1292</v>
      </c>
      <c r="H124" s="288" t="s">
        <v>1285</v>
      </c>
      <c r="I124" s="288" t="s">
        <v>785</v>
      </c>
      <c r="J124" s="288" t="s">
        <v>686</v>
      </c>
      <c r="K124" s="289">
        <v>43447</v>
      </c>
      <c r="L124" s="290">
        <v>3.36</v>
      </c>
      <c r="M124" s="290">
        <v>4.8</v>
      </c>
      <c r="N124" s="288">
        <v>4.8600000000000003</v>
      </c>
      <c r="O124" s="288" t="s">
        <v>687</v>
      </c>
      <c r="P124" s="291" t="s">
        <v>629</v>
      </c>
      <c r="Q124" s="291" t="s">
        <v>652</v>
      </c>
      <c r="R124" s="288" t="s">
        <v>24</v>
      </c>
      <c r="S124" s="288"/>
      <c r="T124" s="292" t="s">
        <v>615</v>
      </c>
      <c r="U124" s="288"/>
      <c r="V124" s="292" t="s">
        <v>120</v>
      </c>
      <c r="W124" s="288"/>
      <c r="X124" s="292" t="s">
        <v>120</v>
      </c>
      <c r="Y124" s="288" t="s">
        <v>1300</v>
      </c>
      <c r="Z124" s="293" t="s">
        <v>120</v>
      </c>
      <c r="AA124" s="294"/>
      <c r="AB124" s="294"/>
      <c r="AC124" s="295" t="s">
        <v>123</v>
      </c>
      <c r="AD124" s="288" t="s">
        <v>1309</v>
      </c>
      <c r="AE124" s="292" t="s">
        <v>120</v>
      </c>
      <c r="AF124" s="289" t="s">
        <v>1433</v>
      </c>
      <c r="AG124" s="296"/>
      <c r="AH124" s="296"/>
      <c r="AI124" s="288" t="s">
        <v>1306</v>
      </c>
      <c r="AJ124" s="292" t="s">
        <v>120</v>
      </c>
      <c r="AK124" s="288" t="s">
        <v>123</v>
      </c>
      <c r="AL124" s="288" t="s">
        <v>935</v>
      </c>
      <c r="AM124" s="292"/>
      <c r="AN124" s="288"/>
      <c r="AO124" s="288"/>
      <c r="AP124" s="297"/>
      <c r="AQ124" s="288"/>
      <c r="AR124" s="292"/>
      <c r="AS124" s="288"/>
      <c r="AT124" s="289">
        <v>43447.754822222203</v>
      </c>
      <c r="AU124" s="289">
        <v>43451.3704804398</v>
      </c>
      <c r="AV124" s="289">
        <v>43448.687077893497</v>
      </c>
      <c r="AW124" s="289">
        <v>43447.754822222203</v>
      </c>
      <c r="AX124" s="289"/>
      <c r="AY124" s="289">
        <v>43452.557504398203</v>
      </c>
      <c r="AZ124" s="298">
        <v>43452.584172800904</v>
      </c>
      <c r="BA12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5.584172800903616</v>
      </c>
      <c r="BB124" s="300">
        <f>COUNTIFS(_05preva_view43[Site ID],_05preva_view43[[#This Row],[Site ID]],_05preva_view43[Prevalidation Status],"Under Prevalidation")</f>
        <v>0</v>
      </c>
      <c r="BC12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4" s="302" t="str">
        <f>CONCATENATE(_05preva_view43[[#This Row],[Site ID]]," (",_05preva_view43[[#This Row],[tenant id]],") Application",IF(_05preva_view43[[#This Row],[Colo Rev]]&gt;0," Rev "&amp;_05preva_view43[[#This Row],[Colo Rev]],""),".xlsx")</f>
        <v>1-01-03001-001 (KYN00267) Application Rev 2.xlsx</v>
      </c>
      <c r="BE124" s="64">
        <f t="shared" ca="1" si="3"/>
        <v>50</v>
      </c>
      <c r="BF124" s="104" t="str">
        <f ca="1">LEFT(CELL("filename",A109),_05preva_view43[[#This Row],[Find Process &amp; Database]]-1)</f>
        <v>D:\OneDrive - apollo-towers.com\Apollo Towers\00-</v>
      </c>
      <c r="BG124" s="104" t="str">
        <f ca="1">_05preva_view43[Folder Path1]&amp;"Process &amp; Database\Documentation\Colo Applications"</f>
        <v>D:\OneDrive - apollo-towers.com\Apollo Towers\00-Process &amp; Database\Documentation\Colo Applications</v>
      </c>
      <c r="BH12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4" s="63" t="str">
        <f ca="1">_05preva_view43[[#This Row],[Folder Path3]]&amp;_05preva_view43[[#This Row],[File Name]]</f>
        <v>D:\OneDrive - apollo-towers.com\Apollo Towers\00-Process &amp; Database\Documentation\Colo Applications\Colo App MPT\1-01-03001-001 (KYN00267) Application Rev 2.xlsx</v>
      </c>
      <c r="BJ124" s="104"/>
      <c r="BK124" s="3"/>
      <c r="BL124" s="3"/>
      <c r="CJ124" s="5"/>
      <c r="CK124" s="5"/>
      <c r="CL124" s="3"/>
      <c r="CN124" s="5"/>
      <c r="CR124" s="3"/>
      <c r="CS124" s="3"/>
      <c r="CT124" s="5"/>
      <c r="CV124" s="3"/>
      <c r="DR124" s="5"/>
      <c r="DT124" s="3"/>
      <c r="EF124" s="7"/>
      <c r="EG124" s="7"/>
      <c r="EJ124" s="4"/>
      <c r="EK124" s="4"/>
      <c r="EU124" s="2"/>
      <c r="EV124" s="2"/>
    </row>
    <row r="125" spans="1:152">
      <c r="A125" s="287">
        <v>3501</v>
      </c>
      <c r="B125" s="288" t="s">
        <v>1266</v>
      </c>
      <c r="C125" s="288" t="s">
        <v>278</v>
      </c>
      <c r="D125" s="288" t="s">
        <v>117</v>
      </c>
      <c r="E125" s="288" t="s">
        <v>1267</v>
      </c>
      <c r="F125" s="288" t="s">
        <v>35</v>
      </c>
      <c r="G125" s="288" t="s">
        <v>1292</v>
      </c>
      <c r="H125" s="288" t="s">
        <v>1285</v>
      </c>
      <c r="I125" s="288" t="s">
        <v>981</v>
      </c>
      <c r="J125" s="288" t="s">
        <v>668</v>
      </c>
      <c r="K125" s="289">
        <v>43447</v>
      </c>
      <c r="L125" s="290">
        <v>1.054</v>
      </c>
      <c r="M125" s="290">
        <v>1.522</v>
      </c>
      <c r="N125" s="288">
        <v>4.6900000000000004</v>
      </c>
      <c r="O125" s="288" t="s">
        <v>687</v>
      </c>
      <c r="P125" s="291" t="s">
        <v>799</v>
      </c>
      <c r="Q125" s="291" t="s">
        <v>695</v>
      </c>
      <c r="R125" s="288" t="s">
        <v>24</v>
      </c>
      <c r="S125" s="288"/>
      <c r="T125" s="292" t="s">
        <v>615</v>
      </c>
      <c r="U125" s="288"/>
      <c r="V125" s="292" t="s">
        <v>120</v>
      </c>
      <c r="W125" s="288"/>
      <c r="X125" s="292" t="s">
        <v>120</v>
      </c>
      <c r="Y125" s="288" t="s">
        <v>1301</v>
      </c>
      <c r="Z125" s="293" t="s">
        <v>120</v>
      </c>
      <c r="AA125" s="294"/>
      <c r="AB125" s="294"/>
      <c r="AC125" s="295" t="s">
        <v>123</v>
      </c>
      <c r="AD125" s="288" t="s">
        <v>1310</v>
      </c>
      <c r="AE125" s="292" t="s">
        <v>120</v>
      </c>
      <c r="AF125" s="289"/>
      <c r="AG125" s="296"/>
      <c r="AH125" s="296"/>
      <c r="AI125" s="288"/>
      <c r="AJ125" s="292" t="s">
        <v>120</v>
      </c>
      <c r="AK125" s="288" t="s">
        <v>123</v>
      </c>
      <c r="AL125" s="288" t="s">
        <v>935</v>
      </c>
      <c r="AM125" s="292"/>
      <c r="AN125" s="288"/>
      <c r="AO125" s="288"/>
      <c r="AP125" s="297"/>
      <c r="AQ125" s="288"/>
      <c r="AR125" s="292"/>
      <c r="AS125" s="288"/>
      <c r="AT125" s="289">
        <v>43447.754823726798</v>
      </c>
      <c r="AU125" s="289">
        <v>43447.716965277803</v>
      </c>
      <c r="AV125" s="289">
        <v>43448.581684722201</v>
      </c>
      <c r="AW125" s="289">
        <v>43447.754823726798</v>
      </c>
      <c r="AX125" s="289"/>
      <c r="AY125" s="289">
        <v>43447.715326851903</v>
      </c>
      <c r="AZ125" s="298">
        <v>43448.727956481503</v>
      </c>
      <c r="BA12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1.7279564815034973</v>
      </c>
      <c r="BB125" s="300">
        <f>COUNTIFS(_05preva_view43[Site ID],_05preva_view43[[#This Row],[Site ID]],_05preva_view43[Prevalidation Status],"Under Prevalidation")</f>
        <v>0</v>
      </c>
      <c r="BC12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5" s="302" t="str">
        <f>CONCATENATE(_05preva_view43[[#This Row],[Site ID]]," (",_05preva_view43[[#This Row],[tenant id]],") Application",IF(_05preva_view43[[#This Row],[Colo Rev]]&gt;0," Rev "&amp;_05preva_view43[[#This Row],[Colo Rev]],""),".xlsx")</f>
        <v>1-01-09001-003 (MGW00148) Application Rev 1.xlsx</v>
      </c>
      <c r="BE125" s="64">
        <f t="shared" ca="1" si="3"/>
        <v>50</v>
      </c>
      <c r="BF125" s="104" t="str">
        <f ca="1">LEFT(CELL("filename",A110),_05preva_view43[[#This Row],[Find Process &amp; Database]]-1)</f>
        <v>D:\OneDrive - apollo-towers.com\Apollo Towers\00-</v>
      </c>
      <c r="BG125" s="104" t="str">
        <f ca="1">_05preva_view43[Folder Path1]&amp;"Process &amp; Database\Documentation\Colo Applications"</f>
        <v>D:\OneDrive - apollo-towers.com\Apollo Towers\00-Process &amp; Database\Documentation\Colo Applications</v>
      </c>
      <c r="BH12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5" s="63" t="str">
        <f ca="1">_05preva_view43[[#This Row],[Folder Path3]]&amp;_05preva_view43[[#This Row],[File Name]]</f>
        <v>D:\OneDrive - apollo-towers.com\Apollo Towers\00-Process &amp; Database\Documentation\Colo Applications\Colo App MPT\1-01-09001-003 (MGW00148) Application Rev 1.xlsx</v>
      </c>
      <c r="BJ125" s="104"/>
      <c r="BK125" s="3"/>
      <c r="BL125" s="3"/>
      <c r="CJ125" s="5"/>
      <c r="CK125" s="5"/>
      <c r="CL125" s="3"/>
      <c r="CN125" s="5"/>
      <c r="CR125" s="3"/>
      <c r="CS125" s="3"/>
      <c r="CT125" s="5"/>
      <c r="CV125" s="3"/>
      <c r="DR125" s="5"/>
      <c r="DT125" s="3"/>
      <c r="EF125" s="7"/>
      <c r="EG125" s="7"/>
      <c r="EJ125" s="4"/>
      <c r="EK125" s="4"/>
      <c r="EU125" s="2"/>
      <c r="EV125" s="2"/>
    </row>
    <row r="126" spans="1:152">
      <c r="A126" s="287">
        <v>3502</v>
      </c>
      <c r="B126" s="288" t="s">
        <v>1099</v>
      </c>
      <c r="C126" s="288" t="s">
        <v>278</v>
      </c>
      <c r="D126" s="288" t="s">
        <v>117</v>
      </c>
      <c r="E126" s="288" t="s">
        <v>1100</v>
      </c>
      <c r="F126" s="288" t="s">
        <v>35</v>
      </c>
      <c r="G126" s="288" t="s">
        <v>1292</v>
      </c>
      <c r="H126" s="288" t="s">
        <v>1285</v>
      </c>
      <c r="I126" s="288" t="s">
        <v>790</v>
      </c>
      <c r="J126" s="288" t="s">
        <v>668</v>
      </c>
      <c r="K126" s="289">
        <v>43447</v>
      </c>
      <c r="L126" s="290">
        <v>2.3180000000000001</v>
      </c>
      <c r="M126" s="290">
        <v>4.3479999999999999</v>
      </c>
      <c r="N126" s="288">
        <v>3.56</v>
      </c>
      <c r="O126" s="288" t="s">
        <v>687</v>
      </c>
      <c r="P126" s="291" t="s">
        <v>799</v>
      </c>
      <c r="Q126" s="291" t="s">
        <v>695</v>
      </c>
      <c r="R126" s="288" t="s">
        <v>24</v>
      </c>
      <c r="S126" s="288"/>
      <c r="T126" s="292" t="s">
        <v>615</v>
      </c>
      <c r="U126" s="288"/>
      <c r="V126" s="292" t="s">
        <v>120</v>
      </c>
      <c r="W126" s="288"/>
      <c r="X126" s="292" t="s">
        <v>120</v>
      </c>
      <c r="Y126" s="288" t="s">
        <v>1311</v>
      </c>
      <c r="Z126" s="293" t="s">
        <v>120</v>
      </c>
      <c r="AA126" s="294"/>
      <c r="AB126" s="294"/>
      <c r="AC126" s="295" t="s">
        <v>123</v>
      </c>
      <c r="AD126" s="288" t="s">
        <v>1312</v>
      </c>
      <c r="AE126" s="292" t="s">
        <v>120</v>
      </c>
      <c r="AF126" s="289" t="s">
        <v>1434</v>
      </c>
      <c r="AG126" s="296"/>
      <c r="AH126" s="296"/>
      <c r="AI126" s="288" t="s">
        <v>1306</v>
      </c>
      <c r="AJ126" s="292" t="s">
        <v>120</v>
      </c>
      <c r="AK126" s="288" t="s">
        <v>123</v>
      </c>
      <c r="AL126" s="288" t="s">
        <v>935</v>
      </c>
      <c r="AM126" s="292"/>
      <c r="AN126" s="288"/>
      <c r="AO126" s="288"/>
      <c r="AP126" s="297"/>
      <c r="AQ126" s="288"/>
      <c r="AR126" s="292"/>
      <c r="AS126" s="288"/>
      <c r="AT126" s="289">
        <v>43447.754825231503</v>
      </c>
      <c r="AU126" s="289">
        <v>43451.370481828701</v>
      </c>
      <c r="AV126" s="289">
        <v>43448.581685416699</v>
      </c>
      <c r="AW126" s="289">
        <v>43447.754825231503</v>
      </c>
      <c r="AX126" s="289"/>
      <c r="AY126" s="289">
        <v>43447.715327777798</v>
      </c>
      <c r="AZ126" s="298">
        <v>43451.411466898098</v>
      </c>
      <c r="BA12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4.411466898098297</v>
      </c>
      <c r="BB126" s="300">
        <f>COUNTIFS(_05preva_view43[Site ID],_05preva_view43[[#This Row],[Site ID]],_05preva_view43[Prevalidation Status],"Under Prevalidation")</f>
        <v>0</v>
      </c>
      <c r="BC12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6" s="302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126" s="64">
        <f t="shared" ca="1" si="3"/>
        <v>50</v>
      </c>
      <c r="BF126" s="104" t="str">
        <f ca="1">LEFT(CELL("filename",A111),_05preva_view43[[#This Row],[Find Process &amp; Database]]-1)</f>
        <v>D:\OneDrive - apollo-towers.com\Apollo Towers\00-</v>
      </c>
      <c r="BG126" s="104" t="str">
        <f ca="1">_05preva_view43[Folder Path1]&amp;"Process &amp; Database\Documentation\Colo Applications"</f>
        <v>D:\OneDrive - apollo-towers.com\Apollo Towers\00-Process &amp; Database\Documentation\Colo Applications</v>
      </c>
      <c r="BH12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6" s="63" t="str">
        <f ca="1">_05preva_view43[[#This Row],[Folder Path3]]&amp;_05preva_view43[[#This Row],[File Name]]</f>
        <v>D:\OneDrive - apollo-towers.com\Apollo Towers\00-Process &amp; Database\Documentation\Colo Applications\Colo App MPT\1-01-09017-004 (MGW00413) Application Rev 1.xlsx</v>
      </c>
      <c r="BJ126" s="104"/>
      <c r="BK126" s="3"/>
      <c r="BL126" s="3"/>
      <c r="CJ126" s="5"/>
      <c r="CK126" s="5"/>
      <c r="CL126" s="3"/>
      <c r="CN126" s="5"/>
      <c r="CR126" s="3"/>
      <c r="CS126" s="3"/>
      <c r="CT126" s="5"/>
      <c r="CV126" s="3"/>
      <c r="DR126" s="5"/>
      <c r="DT126" s="3"/>
      <c r="EF126" s="7"/>
      <c r="EG126" s="7"/>
      <c r="EJ126" s="4"/>
      <c r="EK126" s="4"/>
      <c r="EU126" s="2"/>
      <c r="EV126" s="2"/>
    </row>
    <row r="127" spans="1:152">
      <c r="A127" s="287">
        <v>3503</v>
      </c>
      <c r="B127" s="288" t="s">
        <v>1268</v>
      </c>
      <c r="C127" s="288" t="s">
        <v>278</v>
      </c>
      <c r="D127" s="288" t="s">
        <v>127</v>
      </c>
      <c r="E127" s="288" t="s">
        <v>1269</v>
      </c>
      <c r="F127" s="288" t="s">
        <v>35</v>
      </c>
      <c r="G127" s="288" t="s">
        <v>1292</v>
      </c>
      <c r="H127" s="288" t="s">
        <v>1285</v>
      </c>
      <c r="I127" s="288" t="s">
        <v>1006</v>
      </c>
      <c r="J127" s="288" t="s">
        <v>668</v>
      </c>
      <c r="K127" s="289">
        <v>43447</v>
      </c>
      <c r="L127" s="290">
        <v>1.1080000000000001</v>
      </c>
      <c r="M127" s="290">
        <v>1.52</v>
      </c>
      <c r="N127" s="288">
        <v>3.11</v>
      </c>
      <c r="O127" s="288" t="s">
        <v>687</v>
      </c>
      <c r="P127" s="291" t="s">
        <v>695</v>
      </c>
      <c r="Q127" s="291" t="s">
        <v>696</v>
      </c>
      <c r="R127" s="288" t="s">
        <v>24</v>
      </c>
      <c r="S127" s="288"/>
      <c r="T127" s="292" t="s">
        <v>615</v>
      </c>
      <c r="U127" s="288"/>
      <c r="V127" s="292" t="s">
        <v>120</v>
      </c>
      <c r="W127" s="288"/>
      <c r="X127" s="292" t="s">
        <v>120</v>
      </c>
      <c r="Y127" s="288" t="s">
        <v>1313</v>
      </c>
      <c r="Z127" s="293" t="s">
        <v>120</v>
      </c>
      <c r="AA127" s="294"/>
      <c r="AB127" s="294"/>
      <c r="AC127" s="295" t="s">
        <v>123</v>
      </c>
      <c r="AD127" s="288" t="s">
        <v>1314</v>
      </c>
      <c r="AE127" s="292" t="s">
        <v>120</v>
      </c>
      <c r="AF127" s="289" t="s">
        <v>1435</v>
      </c>
      <c r="AG127" s="296"/>
      <c r="AH127" s="296"/>
      <c r="AI127" s="288" t="s">
        <v>1306</v>
      </c>
      <c r="AJ127" s="292" t="s">
        <v>120</v>
      </c>
      <c r="AK127" s="288" t="s">
        <v>123</v>
      </c>
      <c r="AL127" s="288" t="s">
        <v>935</v>
      </c>
      <c r="AM127" s="292"/>
      <c r="AN127" s="288"/>
      <c r="AO127" s="288"/>
      <c r="AP127" s="297"/>
      <c r="AQ127" s="288"/>
      <c r="AR127" s="292"/>
      <c r="AS127" s="288"/>
      <c r="AT127" s="289">
        <v>43447.754826620403</v>
      </c>
      <c r="AU127" s="289">
        <v>43451.370482523103</v>
      </c>
      <c r="AV127" s="289">
        <v>43448.581686458303</v>
      </c>
      <c r="AW127" s="289">
        <v>43447.754826620403</v>
      </c>
      <c r="AX127" s="289"/>
      <c r="AY127" s="289">
        <v>43447.7153300926</v>
      </c>
      <c r="AZ127" s="298">
        <v>43451.411467708298</v>
      </c>
      <c r="BA12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4.4114677082980052</v>
      </c>
      <c r="BB127" s="300">
        <f>COUNTIFS(_05preva_view43[Site ID],_05preva_view43[[#This Row],[Site ID]],_05preva_view43[Prevalidation Status],"Under Prevalidation")</f>
        <v>0</v>
      </c>
      <c r="BC12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7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1-01-05009-001 (SGG00235) Application Rev 1.xlsx</v>
      </c>
      <c r="BE127" s="64">
        <f t="shared" ca="1" si="3"/>
        <v>50</v>
      </c>
      <c r="BF127" s="104" t="str">
        <f ca="1">LEFT(CELL("filename",A112),_05preva_view43[[#This Row],[Find Process &amp; Database]]-1)</f>
        <v>D:\OneDrive - apollo-towers.com\Apollo Towers\00-</v>
      </c>
      <c r="BG127" s="104" t="str">
        <f ca="1">_05preva_view43[Folder Path1]&amp;"Process &amp; Database\Documentation\Colo Applications"</f>
        <v>D:\OneDrive - apollo-towers.com\Apollo Towers\00-Process &amp; Database\Documentation\Colo Applications</v>
      </c>
      <c r="BH12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7" s="63" t="str">
        <f ca="1">_05preva_view43[[#This Row],[Folder Path3]]&amp;_05preva_view43[[#This Row],[File Name]]</f>
        <v>D:\OneDrive - apollo-towers.com\Apollo Towers\00-Process &amp; Database\Documentation\Colo Applications\Colo App MPT\1-01-05009-001 (SGG00235) Application Rev 1.xlsx</v>
      </c>
      <c r="BJ127" s="104"/>
      <c r="BK127" s="3"/>
      <c r="BL127" s="3"/>
      <c r="CJ127" s="5"/>
      <c r="CK127" s="5"/>
      <c r="CL127" s="3"/>
      <c r="CN127" s="5"/>
      <c r="CR127" s="3"/>
      <c r="CS127" s="3"/>
      <c r="CT127" s="5"/>
      <c r="CV127" s="3"/>
      <c r="DR127" s="5"/>
      <c r="DT127" s="3"/>
      <c r="EF127" s="7"/>
      <c r="EG127" s="7"/>
      <c r="EJ127" s="4"/>
      <c r="EK127" s="4"/>
      <c r="EU127" s="2"/>
      <c r="EV127" s="2"/>
    </row>
    <row r="128" spans="1:152">
      <c r="A128" s="287">
        <v>3504</v>
      </c>
      <c r="B128" s="288" t="s">
        <v>1270</v>
      </c>
      <c r="C128" s="288" t="s">
        <v>278</v>
      </c>
      <c r="D128" s="288" t="s">
        <v>127</v>
      </c>
      <c r="E128" s="288" t="s">
        <v>1271</v>
      </c>
      <c r="F128" s="288" t="s">
        <v>35</v>
      </c>
      <c r="G128" s="288" t="s">
        <v>1292</v>
      </c>
      <c r="H128" s="288" t="s">
        <v>1285</v>
      </c>
      <c r="I128" s="288" t="s">
        <v>1006</v>
      </c>
      <c r="J128" s="288" t="s">
        <v>668</v>
      </c>
      <c r="K128" s="289">
        <v>43447</v>
      </c>
      <c r="L128" s="290">
        <v>1.399</v>
      </c>
      <c r="M128" s="290">
        <v>2.1989999999999998</v>
      </c>
      <c r="N128" s="288">
        <v>2.87</v>
      </c>
      <c r="O128" s="288" t="s">
        <v>687</v>
      </c>
      <c r="P128" s="291" t="s">
        <v>508</v>
      </c>
      <c r="Q128" s="291" t="s">
        <v>509</v>
      </c>
      <c r="R128" s="288" t="s">
        <v>24</v>
      </c>
      <c r="S128" s="288"/>
      <c r="T128" s="292" t="s">
        <v>615</v>
      </c>
      <c r="U128" s="288"/>
      <c r="V128" s="292" t="s">
        <v>120</v>
      </c>
      <c r="W128" s="288"/>
      <c r="X128" s="292" t="s">
        <v>120</v>
      </c>
      <c r="Y128" s="288" t="s">
        <v>1315</v>
      </c>
      <c r="Z128" s="293" t="s">
        <v>120</v>
      </c>
      <c r="AA128" s="294"/>
      <c r="AB128" s="294"/>
      <c r="AC128" s="295" t="s">
        <v>123</v>
      </c>
      <c r="AD128" s="288" t="s">
        <v>1436</v>
      </c>
      <c r="AE128" s="292" t="s">
        <v>120</v>
      </c>
      <c r="AF128" s="289" t="s">
        <v>1437</v>
      </c>
      <c r="AG128" s="296"/>
      <c r="AH128" s="296"/>
      <c r="AI128" s="288" t="s">
        <v>1302</v>
      </c>
      <c r="AJ128" s="292" t="s">
        <v>120</v>
      </c>
      <c r="AK128" s="288" t="s">
        <v>123</v>
      </c>
      <c r="AL128" s="288" t="s">
        <v>935</v>
      </c>
      <c r="AM128" s="292"/>
      <c r="AN128" s="288"/>
      <c r="AO128" s="288"/>
      <c r="AP128" s="297"/>
      <c r="AQ128" s="288"/>
      <c r="AR128" s="292"/>
      <c r="AS128" s="288"/>
      <c r="AT128" s="289">
        <v>43447.754828009303</v>
      </c>
      <c r="AU128" s="289">
        <v>43447.716971180598</v>
      </c>
      <c r="AV128" s="289">
        <v>43451.553795486099</v>
      </c>
      <c r="AW128" s="289">
        <v>43447.754828009303</v>
      </c>
      <c r="AX128" s="289"/>
      <c r="AY128" s="289">
        <v>43447.715331828702</v>
      </c>
      <c r="AZ128" s="298">
        <v>43451.712500463</v>
      </c>
      <c r="BA12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4.712500462999742</v>
      </c>
      <c r="BB128" s="300">
        <f>COUNTIFS(_05preva_view43[Site ID],_05preva_view43[[#This Row],[Site ID]],_05preva_view43[Prevalidation Status],"Under Prevalidation")</f>
        <v>0</v>
      </c>
      <c r="BC12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8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1-01-05015-004 (SGG00765) Application Rev 1.xlsx</v>
      </c>
      <c r="BE128" s="64">
        <f t="shared" ca="1" si="3"/>
        <v>50</v>
      </c>
      <c r="BF128" s="104" t="str">
        <f ca="1">LEFT(CELL("filename",A113),_05preva_view43[[#This Row],[Find Process &amp; Database]]-1)</f>
        <v>D:\OneDrive - apollo-towers.com\Apollo Towers\00-</v>
      </c>
      <c r="BG128" s="104" t="str">
        <f ca="1">_05preva_view43[Folder Path1]&amp;"Process &amp; Database\Documentation\Colo Applications"</f>
        <v>D:\OneDrive - apollo-towers.com\Apollo Towers\00-Process &amp; Database\Documentation\Colo Applications</v>
      </c>
      <c r="BH12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8" s="63" t="str">
        <f ca="1">_05preva_view43[[#This Row],[Folder Path3]]&amp;_05preva_view43[[#This Row],[File Name]]</f>
        <v>D:\OneDrive - apollo-towers.com\Apollo Towers\00-Process &amp; Database\Documentation\Colo Applications\Colo App MPT\1-01-05015-004 (SGG00765) Application Rev 1.xlsx</v>
      </c>
      <c r="BJ128" s="104"/>
      <c r="BK128" s="3"/>
      <c r="BL128" s="3"/>
      <c r="CJ128" s="5"/>
      <c r="CK128" s="5"/>
      <c r="CL128" s="3"/>
      <c r="CN128" s="5"/>
      <c r="CR128" s="3"/>
      <c r="CS128" s="3"/>
      <c r="CT128" s="5"/>
      <c r="CV128" s="3"/>
      <c r="DR128" s="5"/>
      <c r="DT128" s="3"/>
      <c r="EF128" s="7"/>
      <c r="EG128" s="7"/>
      <c r="EJ128" s="4"/>
      <c r="EK128" s="4"/>
      <c r="EU128" s="2"/>
      <c r="EV128" s="2"/>
    </row>
    <row r="129" spans="1:152">
      <c r="A129" s="287">
        <v>3505</v>
      </c>
      <c r="B129" s="288" t="s">
        <v>691</v>
      </c>
      <c r="C129" s="288" t="s">
        <v>278</v>
      </c>
      <c r="D129" s="288" t="s">
        <v>117</v>
      </c>
      <c r="E129" s="288" t="s">
        <v>692</v>
      </c>
      <c r="F129" s="288" t="s">
        <v>35</v>
      </c>
      <c r="G129" s="288" t="s">
        <v>1292</v>
      </c>
      <c r="H129" s="288" t="s">
        <v>1285</v>
      </c>
      <c r="I129" s="288" t="s">
        <v>1261</v>
      </c>
      <c r="J129" s="288" t="s">
        <v>299</v>
      </c>
      <c r="K129" s="289">
        <v>43447</v>
      </c>
      <c r="L129" s="290">
        <v>3.44</v>
      </c>
      <c r="M129" s="290">
        <v>4.3</v>
      </c>
      <c r="N129" s="288">
        <v>4.55</v>
      </c>
      <c r="O129" s="288" t="s">
        <v>687</v>
      </c>
      <c r="P129" s="291" t="s">
        <v>695</v>
      </c>
      <c r="Q129" s="291" t="s">
        <v>696</v>
      </c>
      <c r="R129" s="288" t="s">
        <v>24</v>
      </c>
      <c r="S129" s="288"/>
      <c r="T129" s="292" t="s">
        <v>615</v>
      </c>
      <c r="U129" s="288"/>
      <c r="V129" s="292" t="s">
        <v>120</v>
      </c>
      <c r="W129" s="288"/>
      <c r="X129" s="292" t="s">
        <v>120</v>
      </c>
      <c r="Y129" s="288" t="s">
        <v>1316</v>
      </c>
      <c r="Z129" s="293" t="s">
        <v>120</v>
      </c>
      <c r="AA129" s="294"/>
      <c r="AB129" s="294"/>
      <c r="AC129" s="295" t="s">
        <v>123</v>
      </c>
      <c r="AD129" s="288" t="s">
        <v>1317</v>
      </c>
      <c r="AE129" s="292" t="s">
        <v>120</v>
      </c>
      <c r="AF129" s="289" t="s">
        <v>1435</v>
      </c>
      <c r="AG129" s="296"/>
      <c r="AH129" s="296"/>
      <c r="AI129" s="288" t="s">
        <v>1306</v>
      </c>
      <c r="AJ129" s="292" t="s">
        <v>120</v>
      </c>
      <c r="AK129" s="288" t="s">
        <v>123</v>
      </c>
      <c r="AL129" s="288" t="s">
        <v>935</v>
      </c>
      <c r="AM129" s="292"/>
      <c r="AN129" s="288"/>
      <c r="AO129" s="288"/>
      <c r="AP129" s="297"/>
      <c r="AQ129" s="288"/>
      <c r="AR129" s="292"/>
      <c r="AS129" s="288"/>
      <c r="AT129" s="289">
        <v>43447.754829513899</v>
      </c>
      <c r="AU129" s="289">
        <v>43451.370484143503</v>
      </c>
      <c r="AV129" s="289">
        <v>43448.619258911996</v>
      </c>
      <c r="AW129" s="289">
        <v>43447.754829513899</v>
      </c>
      <c r="AX129" s="289"/>
      <c r="AY129" s="289">
        <v>43447.715332754597</v>
      </c>
      <c r="AZ129" s="298">
        <v>43451.4114694444</v>
      </c>
      <c r="BA12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4.4114694443996996</v>
      </c>
      <c r="BB129" s="300">
        <f>COUNTIFS(_05preva_view43[Site ID],_05preva_view43[[#This Row],[Site ID]],_05preva_view43[Prevalidation Status],"Under Prevalidation")</f>
        <v>0</v>
      </c>
      <c r="BC12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29" s="30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6.xlsx</v>
      </c>
      <c r="BE129" s="64">
        <f t="shared" ca="1" si="3"/>
        <v>50</v>
      </c>
      <c r="BF129" s="104" t="str">
        <f ca="1">LEFT(CELL("filename",A114),_05preva_view43[[#This Row],[Find Process &amp; Database]]-1)</f>
        <v>D:\OneDrive - apollo-towers.com\Apollo Towers\00-</v>
      </c>
      <c r="BG129" s="104" t="str">
        <f ca="1">_05preva_view43[Folder Path1]&amp;"Process &amp; Database\Documentation\Colo Applications"</f>
        <v>D:\OneDrive - apollo-towers.com\Apollo Towers\00-Process &amp; Database\Documentation\Colo Applications</v>
      </c>
      <c r="BH12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29" s="63" t="str">
        <f ca="1">_05preva_view43[[#This Row],[Folder Path3]]&amp;_05preva_view43[[#This Row],[File Name]]</f>
        <v>D:\OneDrive - apollo-towers.com\Apollo Towers\00-Process &amp; Database\Documentation\Colo Applications\Colo App MPT\1-01-16011-001 (SHE00089) Application Rev 6.xlsx</v>
      </c>
      <c r="BJ129" s="104"/>
      <c r="BK129" s="3"/>
      <c r="BL129" s="3"/>
      <c r="CJ129" s="5"/>
      <c r="CK129" s="5"/>
      <c r="CL129" s="3"/>
      <c r="CN129" s="5"/>
      <c r="CR129" s="3"/>
      <c r="CS129" s="3"/>
      <c r="CT129" s="5"/>
      <c r="CV129" s="3"/>
      <c r="DR129" s="5"/>
      <c r="DT129" s="3"/>
      <c r="EF129" s="7"/>
      <c r="EG129" s="7"/>
      <c r="EJ129" s="4"/>
      <c r="EK129" s="4"/>
      <c r="EU129" s="2"/>
      <c r="EV129" s="2"/>
    </row>
    <row r="130" spans="1:152">
      <c r="A130" s="287">
        <v>3506</v>
      </c>
      <c r="B130" s="288" t="s">
        <v>1123</v>
      </c>
      <c r="C130" s="288" t="s">
        <v>278</v>
      </c>
      <c r="D130" s="288" t="s">
        <v>127</v>
      </c>
      <c r="E130" s="288" t="s">
        <v>1124</v>
      </c>
      <c r="F130" s="288" t="s">
        <v>35</v>
      </c>
      <c r="G130" s="288" t="s">
        <v>1292</v>
      </c>
      <c r="H130" s="288" t="s">
        <v>1285</v>
      </c>
      <c r="I130" s="288" t="s">
        <v>790</v>
      </c>
      <c r="J130" s="288" t="s">
        <v>694</v>
      </c>
      <c r="K130" s="289">
        <v>43447</v>
      </c>
      <c r="L130" s="290">
        <v>1.1080000000000001</v>
      </c>
      <c r="M130" s="290">
        <v>1.5820000000000001</v>
      </c>
      <c r="N130" s="288">
        <v>5.87</v>
      </c>
      <c r="O130" s="288" t="s">
        <v>687</v>
      </c>
      <c r="P130" s="291" t="s">
        <v>808</v>
      </c>
      <c r="Q130" s="291" t="s">
        <v>809</v>
      </c>
      <c r="R130" s="288" t="s">
        <v>24</v>
      </c>
      <c r="S130" s="288"/>
      <c r="T130" s="292" t="s">
        <v>615</v>
      </c>
      <c r="U130" s="288"/>
      <c r="V130" s="292" t="s">
        <v>120</v>
      </c>
      <c r="W130" s="288"/>
      <c r="X130" s="292" t="s">
        <v>120</v>
      </c>
      <c r="Y130" s="288" t="s">
        <v>1318</v>
      </c>
      <c r="Z130" s="293" t="s">
        <v>120</v>
      </c>
      <c r="AA130" s="294"/>
      <c r="AB130" s="294"/>
      <c r="AC130" s="295" t="s">
        <v>123</v>
      </c>
      <c r="AD130" s="288" t="s">
        <v>1438</v>
      </c>
      <c r="AE130" s="292" t="s">
        <v>120</v>
      </c>
      <c r="AF130" s="289" t="s">
        <v>1439</v>
      </c>
      <c r="AG130" s="296"/>
      <c r="AH130" s="296"/>
      <c r="AI130" s="288" t="s">
        <v>1306</v>
      </c>
      <c r="AJ130" s="292" t="s">
        <v>120</v>
      </c>
      <c r="AK130" s="288" t="s">
        <v>123</v>
      </c>
      <c r="AL130" s="288" t="s">
        <v>935</v>
      </c>
      <c r="AM130" s="292"/>
      <c r="AN130" s="288"/>
      <c r="AO130" s="288"/>
      <c r="AP130" s="297"/>
      <c r="AQ130" s="288"/>
      <c r="AR130" s="292"/>
      <c r="AS130" s="288"/>
      <c r="AT130" s="289">
        <v>43448.468701620397</v>
      </c>
      <c r="AU130" s="289">
        <v>43451.370484838</v>
      </c>
      <c r="AV130" s="289">
        <v>43451.553796180597</v>
      </c>
      <c r="AW130" s="289">
        <v>43448.468701620397</v>
      </c>
      <c r="AX130" s="289"/>
      <c r="AY130" s="289">
        <v>43447.715337499998</v>
      </c>
      <c r="AZ130" s="298">
        <v>43451.712501388902</v>
      </c>
      <c r="BA13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4.7125013889017282</v>
      </c>
      <c r="BB130" s="300">
        <f>COUNTIFS(_05preva_view43[Site ID],_05preva_view43[[#This Row],[Site ID]],_05preva_view43[Prevalidation Status],"Under Prevalidation")</f>
        <v>0</v>
      </c>
      <c r="BC13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0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4.xlsx</v>
      </c>
      <c r="BE130" s="64">
        <f t="shared" ca="1" si="3"/>
        <v>50</v>
      </c>
      <c r="BF130" s="104" t="str">
        <f ca="1">LEFT(CELL("filename",A115),_05preva_view43[[#This Row],[Find Process &amp; Database]]-1)</f>
        <v>D:\OneDrive - apollo-towers.com\Apollo Towers\00-</v>
      </c>
      <c r="BG130" s="104" t="str">
        <f ca="1">_05preva_view43[Folder Path1]&amp;"Process &amp; Database\Documentation\Colo Applications"</f>
        <v>D:\OneDrive - apollo-towers.com\Apollo Towers\00-Process &amp; Database\Documentation\Colo Applications</v>
      </c>
      <c r="BH13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0" s="63" t="str">
        <f ca="1">_05preva_view43[[#This Row],[Folder Path3]]&amp;_05preva_view43[[#This Row],[File Name]]</f>
        <v>D:\OneDrive - apollo-towers.com\Apollo Towers\00-Process &amp; Database\Documentation\Colo Applications\Colo App MPT\1-01-15012-004 (SHN00053) Application Rev 4.xlsx</v>
      </c>
      <c r="BJ130" s="104"/>
      <c r="BK130" s="3"/>
      <c r="BL130" s="3"/>
      <c r="CJ130" s="5"/>
      <c r="CK130" s="5"/>
      <c r="CL130" s="3"/>
      <c r="CN130" s="5"/>
      <c r="CR130" s="3"/>
      <c r="CS130" s="3"/>
      <c r="CT130" s="5"/>
      <c r="CV130" s="3"/>
      <c r="DR130" s="5"/>
      <c r="DT130" s="3"/>
      <c r="EF130" s="7"/>
      <c r="EG130" s="7"/>
      <c r="EJ130" s="4"/>
      <c r="EK130" s="4"/>
      <c r="EU130" s="2"/>
      <c r="EV130" s="2"/>
    </row>
    <row r="131" spans="1:152">
      <c r="A131" s="287">
        <v>3507</v>
      </c>
      <c r="B131" s="288" t="s">
        <v>1272</v>
      </c>
      <c r="C131" s="288" t="s">
        <v>278</v>
      </c>
      <c r="D131" s="288" t="s">
        <v>127</v>
      </c>
      <c r="E131" s="288" t="s">
        <v>1273</v>
      </c>
      <c r="F131" s="288" t="s">
        <v>35</v>
      </c>
      <c r="G131" s="288" t="s">
        <v>1292</v>
      </c>
      <c r="H131" s="288" t="s">
        <v>1285</v>
      </c>
      <c r="I131" s="288" t="s">
        <v>1006</v>
      </c>
      <c r="J131" s="288" t="s">
        <v>668</v>
      </c>
      <c r="K131" s="289">
        <v>43447</v>
      </c>
      <c r="L131" s="290">
        <v>1.399</v>
      </c>
      <c r="M131" s="290">
        <v>2.2610000000000001</v>
      </c>
      <c r="N131" s="288">
        <v>5.6059999999999999</v>
      </c>
      <c r="O131" s="288" t="s">
        <v>687</v>
      </c>
      <c r="P131" s="291" t="s">
        <v>695</v>
      </c>
      <c r="Q131" s="291" t="s">
        <v>696</v>
      </c>
      <c r="R131" s="288" t="s">
        <v>24</v>
      </c>
      <c r="S131" s="288"/>
      <c r="T131" s="292" t="s">
        <v>615</v>
      </c>
      <c r="U131" s="288"/>
      <c r="V131" s="292" t="s">
        <v>120</v>
      </c>
      <c r="W131" s="288"/>
      <c r="X131" s="292" t="s">
        <v>120</v>
      </c>
      <c r="Y131" s="288" t="s">
        <v>1319</v>
      </c>
      <c r="Z131" s="293" t="s">
        <v>120</v>
      </c>
      <c r="AA131" s="294"/>
      <c r="AB131" s="294"/>
      <c r="AC131" s="295" t="s">
        <v>123</v>
      </c>
      <c r="AD131" s="288" t="s">
        <v>1440</v>
      </c>
      <c r="AE131" s="292" t="s">
        <v>120</v>
      </c>
      <c r="AF131" s="289" t="s">
        <v>1441</v>
      </c>
      <c r="AG131" s="296"/>
      <c r="AH131" s="296"/>
      <c r="AI131" s="288" t="s">
        <v>1303</v>
      </c>
      <c r="AJ131" s="292" t="s">
        <v>120</v>
      </c>
      <c r="AK131" s="288" t="s">
        <v>123</v>
      </c>
      <c r="AL131" s="288" t="s">
        <v>935</v>
      </c>
      <c r="AM131" s="292"/>
      <c r="AN131" s="288"/>
      <c r="AO131" s="288"/>
      <c r="AP131" s="297"/>
      <c r="AQ131" s="288"/>
      <c r="AR131" s="292"/>
      <c r="AS131" s="288"/>
      <c r="AT131" s="289">
        <v>43448.468703935199</v>
      </c>
      <c r="AU131" s="289">
        <v>43451.370486458298</v>
      </c>
      <c r="AV131" s="289">
        <v>43451.639467824098</v>
      </c>
      <c r="AW131" s="289">
        <v>43448.468703935199</v>
      </c>
      <c r="AX131" s="289"/>
      <c r="AY131" s="289">
        <v>43447.715339351897</v>
      </c>
      <c r="AZ131" s="298">
        <v>43451.712502199101</v>
      </c>
      <c r="BA13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4.7125021991014364</v>
      </c>
      <c r="BB131" s="300">
        <f>COUNTIFS(_05preva_view43[Site ID],_05preva_view43[[#This Row],[Site ID]],_05preva_view43[Prevalidation Status],"Under Prevalidation")</f>
        <v>0</v>
      </c>
      <c r="BC13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1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1-01-15013-008 (SHN00087) Application Rev 1.xlsx</v>
      </c>
      <c r="BE131" s="64">
        <f t="shared" ca="1" si="3"/>
        <v>50</v>
      </c>
      <c r="BF131" s="104" t="str">
        <f ca="1">LEFT(CELL("filename",A116),_05preva_view43[[#This Row],[Find Process &amp; Database]]-1)</f>
        <v>D:\OneDrive - apollo-towers.com\Apollo Towers\00-</v>
      </c>
      <c r="BG131" s="104" t="str">
        <f ca="1">_05preva_view43[Folder Path1]&amp;"Process &amp; Database\Documentation\Colo Applications"</f>
        <v>D:\OneDrive - apollo-towers.com\Apollo Towers\00-Process &amp; Database\Documentation\Colo Applications</v>
      </c>
      <c r="BH13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1" s="63" t="str">
        <f ca="1">_05preva_view43[[#This Row],[Folder Path3]]&amp;_05preva_view43[[#This Row],[File Name]]</f>
        <v>D:\OneDrive - apollo-towers.com\Apollo Towers\00-Process &amp; Database\Documentation\Colo Applications\Colo App MPT\1-01-15013-008 (SHN00087) Application Rev 1.xlsx</v>
      </c>
      <c r="BJ131" s="104"/>
      <c r="BK131" s="3"/>
      <c r="BL131" s="3"/>
      <c r="CJ131" s="5"/>
      <c r="CK131" s="5"/>
      <c r="CL131" s="3"/>
      <c r="CN131" s="5"/>
      <c r="CR131" s="3"/>
      <c r="CS131" s="3"/>
      <c r="CT131" s="5"/>
      <c r="CV131" s="3"/>
      <c r="DR131" s="5"/>
      <c r="DT131" s="3"/>
      <c r="EF131" s="7"/>
      <c r="EG131" s="7"/>
      <c r="EJ131" s="4"/>
      <c r="EK131" s="4"/>
      <c r="EU131" s="2"/>
      <c r="EV131" s="2"/>
    </row>
    <row r="132" spans="1:152">
      <c r="A132" s="287">
        <v>3508</v>
      </c>
      <c r="B132" s="288" t="s">
        <v>1274</v>
      </c>
      <c r="C132" s="288" t="s">
        <v>278</v>
      </c>
      <c r="D132" s="288" t="s">
        <v>153</v>
      </c>
      <c r="E132" s="288" t="s">
        <v>1275</v>
      </c>
      <c r="F132" s="288" t="s">
        <v>35</v>
      </c>
      <c r="G132" s="288" t="s">
        <v>1292</v>
      </c>
      <c r="H132" s="288" t="s">
        <v>1285</v>
      </c>
      <c r="I132" s="288" t="s">
        <v>790</v>
      </c>
      <c r="J132" s="288" t="s">
        <v>686</v>
      </c>
      <c r="K132" s="289">
        <v>43447</v>
      </c>
      <c r="L132" s="290">
        <v>2.48</v>
      </c>
      <c r="M132" s="290">
        <v>3.1</v>
      </c>
      <c r="N132" s="288">
        <v>3.86</v>
      </c>
      <c r="O132" s="288" t="s">
        <v>687</v>
      </c>
      <c r="P132" s="291" t="s">
        <v>695</v>
      </c>
      <c r="Q132" s="291" t="s">
        <v>696</v>
      </c>
      <c r="R132" s="288" t="s">
        <v>24</v>
      </c>
      <c r="S132" s="288"/>
      <c r="T132" s="292" t="s">
        <v>615</v>
      </c>
      <c r="U132" s="288"/>
      <c r="V132" s="292" t="s">
        <v>120</v>
      </c>
      <c r="W132" s="288"/>
      <c r="X132" s="292" t="s">
        <v>120</v>
      </c>
      <c r="Y132" s="288" t="s">
        <v>1320</v>
      </c>
      <c r="Z132" s="293" t="s">
        <v>120</v>
      </c>
      <c r="AA132" s="294"/>
      <c r="AB132" s="294"/>
      <c r="AC132" s="295" t="s">
        <v>123</v>
      </c>
      <c r="AD132" s="288" t="s">
        <v>1442</v>
      </c>
      <c r="AE132" s="292" t="s">
        <v>120</v>
      </c>
      <c r="AF132" s="289" t="s">
        <v>1443</v>
      </c>
      <c r="AG132" s="296"/>
      <c r="AH132" s="296"/>
      <c r="AI132" s="288" t="s">
        <v>1306</v>
      </c>
      <c r="AJ132" s="292" t="s">
        <v>120</v>
      </c>
      <c r="AK132" s="288" t="s">
        <v>123</v>
      </c>
      <c r="AL132" s="288" t="s">
        <v>935</v>
      </c>
      <c r="AM132" s="292"/>
      <c r="AN132" s="288"/>
      <c r="AO132" s="288"/>
      <c r="AP132" s="297"/>
      <c r="AQ132" s="288"/>
      <c r="AR132" s="292"/>
      <c r="AS132" s="288"/>
      <c r="AT132" s="289">
        <v>43448.468706250002</v>
      </c>
      <c r="AU132" s="289">
        <v>43451.370487268498</v>
      </c>
      <c r="AV132" s="289">
        <v>43451.655901157399</v>
      </c>
      <c r="AW132" s="289">
        <v>43448.468706250002</v>
      </c>
      <c r="AX132" s="289"/>
      <c r="AY132" s="289">
        <v>43447.715341203701</v>
      </c>
      <c r="AZ132" s="298">
        <v>43451.712503009301</v>
      </c>
      <c r="BA13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4.7125030093011446</v>
      </c>
      <c r="BB132" s="300">
        <f>COUNTIFS(_05preva_view43[Site ID],_05preva_view43[[#This Row],[Site ID]],_05preva_view43[Prevalidation Status],"Under Prevalidation")</f>
        <v>0</v>
      </c>
      <c r="BC13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2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1-01-17016-011 (AWD00293) Application Rev 2.xlsx</v>
      </c>
      <c r="BE132" s="64">
        <f t="shared" ca="1" si="3"/>
        <v>50</v>
      </c>
      <c r="BF132" s="104" t="str">
        <f ca="1">LEFT(CELL("filename",A117),_05preva_view43[[#This Row],[Find Process &amp; Database]]-1)</f>
        <v>D:\OneDrive - apollo-towers.com\Apollo Towers\00-</v>
      </c>
      <c r="BG132" s="104" t="str">
        <f ca="1">_05preva_view43[Folder Path1]&amp;"Process &amp; Database\Documentation\Colo Applications"</f>
        <v>D:\OneDrive - apollo-towers.com\Apollo Towers\00-Process &amp; Database\Documentation\Colo Applications</v>
      </c>
      <c r="BH13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2" s="63" t="str">
        <f ca="1">_05preva_view43[[#This Row],[Folder Path3]]&amp;_05preva_view43[[#This Row],[File Name]]</f>
        <v>D:\OneDrive - apollo-towers.com\Apollo Towers\00-Process &amp; Database\Documentation\Colo Applications\Colo App MPT\1-01-17016-011 (AWD00293) Application Rev 2.xlsx</v>
      </c>
      <c r="BJ132" s="104"/>
      <c r="BK132" s="3"/>
      <c r="BL132" s="3"/>
      <c r="CJ132" s="5"/>
      <c r="CK132" s="5"/>
      <c r="CL132" s="3"/>
      <c r="CN132" s="5"/>
      <c r="CR132" s="3"/>
      <c r="CS132" s="3"/>
      <c r="CT132" s="5"/>
      <c r="CV132" s="3"/>
      <c r="DR132" s="5"/>
      <c r="DT132" s="3"/>
      <c r="EF132" s="7"/>
      <c r="EG132" s="7"/>
      <c r="EJ132" s="4"/>
      <c r="EK132" s="4"/>
      <c r="EU132" s="2"/>
      <c r="EV132" s="2"/>
    </row>
    <row r="133" spans="1:152">
      <c r="A133" s="287">
        <v>3509</v>
      </c>
      <c r="B133" s="288" t="s">
        <v>1276</v>
      </c>
      <c r="C133" s="288" t="s">
        <v>278</v>
      </c>
      <c r="D133" s="288" t="s">
        <v>153</v>
      </c>
      <c r="E133" s="288" t="s">
        <v>1277</v>
      </c>
      <c r="F133" s="288" t="s">
        <v>35</v>
      </c>
      <c r="G133" s="288" t="s">
        <v>1292</v>
      </c>
      <c r="H133" s="288" t="s">
        <v>1285</v>
      </c>
      <c r="I133" s="288" t="s">
        <v>785</v>
      </c>
      <c r="J133" s="288" t="s">
        <v>668</v>
      </c>
      <c r="K133" s="289">
        <v>43447</v>
      </c>
      <c r="L133" s="290">
        <v>2.64</v>
      </c>
      <c r="M133" s="290">
        <v>3.3</v>
      </c>
      <c r="N133" s="288">
        <v>4.0949999999999998</v>
      </c>
      <c r="O133" s="288" t="s">
        <v>687</v>
      </c>
      <c r="P133" s="291" t="s">
        <v>765</v>
      </c>
      <c r="Q133" s="291" t="s">
        <v>766</v>
      </c>
      <c r="R133" s="288" t="s">
        <v>24</v>
      </c>
      <c r="S133" s="288"/>
      <c r="T133" s="292" t="s">
        <v>615</v>
      </c>
      <c r="U133" s="288"/>
      <c r="V133" s="292" t="s">
        <v>120</v>
      </c>
      <c r="W133" s="288"/>
      <c r="X133" s="292" t="s">
        <v>120</v>
      </c>
      <c r="Y133" s="288" t="s">
        <v>1321</v>
      </c>
      <c r="Z133" s="293" t="s">
        <v>120</v>
      </c>
      <c r="AA133" s="294"/>
      <c r="AB133" s="294"/>
      <c r="AC133" s="295" t="s">
        <v>123</v>
      </c>
      <c r="AD133" s="288" t="s">
        <v>1322</v>
      </c>
      <c r="AE133" s="292" t="s">
        <v>120</v>
      </c>
      <c r="AF133" s="289" t="s">
        <v>1444</v>
      </c>
      <c r="AG133" s="296"/>
      <c r="AH133" s="296"/>
      <c r="AI133" s="288" t="s">
        <v>1306</v>
      </c>
      <c r="AJ133" s="292" t="s">
        <v>120</v>
      </c>
      <c r="AK133" s="288" t="s">
        <v>123</v>
      </c>
      <c r="AL133" s="288" t="s">
        <v>935</v>
      </c>
      <c r="AM133" s="292"/>
      <c r="AN133" s="288"/>
      <c r="AO133" s="288"/>
      <c r="AP133" s="297"/>
      <c r="AQ133" s="288"/>
      <c r="AR133" s="292"/>
      <c r="AS133" s="288"/>
      <c r="AT133" s="289">
        <v>43448.468708564797</v>
      </c>
      <c r="AU133" s="289">
        <v>43451.370488425899</v>
      </c>
      <c r="AV133" s="289">
        <v>43451.397135879597</v>
      </c>
      <c r="AW133" s="289">
        <v>43448.468708564797</v>
      </c>
      <c r="AX133" s="289"/>
      <c r="AY133" s="289">
        <v>43447.715346874997</v>
      </c>
      <c r="AZ133" s="298">
        <v>43451.411472685199</v>
      </c>
      <c r="BA13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4.4114726851985324</v>
      </c>
      <c r="BB133" s="300">
        <f>COUNTIFS(_05preva_view43[Site ID],_05preva_view43[[#This Row],[Site ID]],_05preva_view43[Prevalidation Status],"Under Prevalidation")</f>
        <v>0</v>
      </c>
      <c r="BC13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3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1-01-17017-001 (AWD00871) Application Rev 1.xlsx</v>
      </c>
      <c r="BE133" s="64">
        <f t="shared" ca="1" si="3"/>
        <v>50</v>
      </c>
      <c r="BF133" s="104" t="str">
        <f ca="1">LEFT(CELL("filename",A118),_05preva_view43[[#This Row],[Find Process &amp; Database]]-1)</f>
        <v>D:\OneDrive - apollo-towers.com\Apollo Towers\00-</v>
      </c>
      <c r="BG133" s="104" t="str">
        <f ca="1">_05preva_view43[Folder Path1]&amp;"Process &amp; Database\Documentation\Colo Applications"</f>
        <v>D:\OneDrive - apollo-towers.com\Apollo Towers\00-Process &amp; Database\Documentation\Colo Applications</v>
      </c>
      <c r="BH13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3" s="63" t="str">
        <f ca="1">_05preva_view43[[#This Row],[Folder Path3]]&amp;_05preva_view43[[#This Row],[File Name]]</f>
        <v>D:\OneDrive - apollo-towers.com\Apollo Towers\00-Process &amp; Database\Documentation\Colo Applications\Colo App MPT\1-01-17017-001 (AWD00871) Application Rev 1.xlsx</v>
      </c>
      <c r="BJ133" s="104"/>
      <c r="BK133" s="3"/>
      <c r="BL133" s="3"/>
      <c r="CJ133" s="5"/>
      <c r="CK133" s="5"/>
      <c r="CL133" s="3"/>
      <c r="CN133" s="5"/>
      <c r="CR133" s="3"/>
      <c r="CS133" s="3"/>
      <c r="CT133" s="5"/>
      <c r="CV133" s="3"/>
      <c r="DR133" s="5"/>
      <c r="DT133" s="3"/>
      <c r="EF133" s="7"/>
      <c r="EG133" s="7"/>
      <c r="EJ133" s="4"/>
      <c r="EK133" s="4"/>
      <c r="EU133" s="2"/>
      <c r="EV133" s="2"/>
    </row>
    <row r="134" spans="1:152">
      <c r="A134" s="287">
        <v>3510</v>
      </c>
      <c r="B134" s="288" t="s">
        <v>1278</v>
      </c>
      <c r="C134" s="288" t="s">
        <v>278</v>
      </c>
      <c r="D134" s="288" t="s">
        <v>127</v>
      </c>
      <c r="E134" s="288" t="s">
        <v>1279</v>
      </c>
      <c r="F134" s="288" t="s">
        <v>35</v>
      </c>
      <c r="G134" s="288" t="s">
        <v>1292</v>
      </c>
      <c r="H134" s="288" t="s">
        <v>1285</v>
      </c>
      <c r="I134" s="288" t="s">
        <v>875</v>
      </c>
      <c r="J134" s="288" t="s">
        <v>694</v>
      </c>
      <c r="K134" s="289">
        <v>43447</v>
      </c>
      <c r="L134" s="290">
        <v>1.1080000000000001</v>
      </c>
      <c r="M134" s="290">
        <v>1.52</v>
      </c>
      <c r="N134" s="288">
        <v>3.1070000000000002</v>
      </c>
      <c r="O134" s="288" t="s">
        <v>687</v>
      </c>
      <c r="P134" s="291" t="s">
        <v>695</v>
      </c>
      <c r="Q134" s="291" t="s">
        <v>696</v>
      </c>
      <c r="R134" s="288" t="s">
        <v>24</v>
      </c>
      <c r="S134" s="288"/>
      <c r="T134" s="292" t="s">
        <v>615</v>
      </c>
      <c r="U134" s="288"/>
      <c r="V134" s="292" t="s">
        <v>120</v>
      </c>
      <c r="W134" s="288"/>
      <c r="X134" s="292" t="s">
        <v>120</v>
      </c>
      <c r="Y134" s="288" t="s">
        <v>1323</v>
      </c>
      <c r="Z134" s="293" t="s">
        <v>120</v>
      </c>
      <c r="AA134" s="294"/>
      <c r="AB134" s="294"/>
      <c r="AC134" s="295" t="s">
        <v>123</v>
      </c>
      <c r="AD134" s="288" t="s">
        <v>1445</v>
      </c>
      <c r="AE134" s="292" t="s">
        <v>615</v>
      </c>
      <c r="AF134" s="289" t="s">
        <v>977</v>
      </c>
      <c r="AG134" s="296"/>
      <c r="AH134" s="296"/>
      <c r="AI134" s="288"/>
      <c r="AJ134" s="292" t="s">
        <v>120</v>
      </c>
      <c r="AK134" s="288" t="s">
        <v>123</v>
      </c>
      <c r="AL134" s="288" t="s">
        <v>935</v>
      </c>
      <c r="AM134" s="292"/>
      <c r="AN134" s="288"/>
      <c r="AO134" s="288"/>
      <c r="AP134" s="297"/>
      <c r="AQ134" s="288"/>
      <c r="AR134" s="292"/>
      <c r="AS134" s="288"/>
      <c r="AT134" s="289">
        <v>43448.468711111098</v>
      </c>
      <c r="AU134" s="289"/>
      <c r="AV134" s="289">
        <v>43451.560683680596</v>
      </c>
      <c r="AW134" s="289">
        <v>43448.468711111098</v>
      </c>
      <c r="AX134" s="289"/>
      <c r="AY134" s="289">
        <v>43447.715380092603</v>
      </c>
      <c r="AZ134" s="298">
        <v>43451.712503703697</v>
      </c>
      <c r="BA13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4.7125037036967115</v>
      </c>
      <c r="BB134" s="300">
        <f>COUNTIFS(_05preva_view43[Site ID],_05preva_view43[[#This Row],[Site ID]],_05preva_view43[Prevalidation Status],"Under Prevalidation")</f>
        <v>0</v>
      </c>
      <c r="BC13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4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4.xlsx</v>
      </c>
      <c r="BE134" s="64">
        <f t="shared" ca="1" si="3"/>
        <v>50</v>
      </c>
      <c r="BF134" s="104" t="str">
        <f ca="1">LEFT(CELL("filename",A119),_05preva_view43[[#This Row],[Find Process &amp; Database]]-1)</f>
        <v>D:\OneDrive - apollo-towers.com\Apollo Towers\00-</v>
      </c>
      <c r="BG134" s="104" t="str">
        <f ca="1">_05preva_view43[Folder Path1]&amp;"Process &amp; Database\Documentation\Colo Applications"</f>
        <v>D:\OneDrive - apollo-towers.com\Apollo Towers\00-Process &amp; Database\Documentation\Colo Applications</v>
      </c>
      <c r="BH13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4" s="63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4.xlsx</v>
      </c>
      <c r="BJ134" s="104"/>
      <c r="BK134" s="3"/>
      <c r="BL134" s="3"/>
      <c r="CJ134" s="5"/>
      <c r="CK134" s="5"/>
      <c r="CL134" s="3"/>
      <c r="CN134" s="5"/>
      <c r="CR134" s="3"/>
      <c r="CS134" s="3"/>
      <c r="CT134" s="5"/>
      <c r="CV134" s="3"/>
      <c r="DR134" s="5"/>
      <c r="DT134" s="3"/>
      <c r="EF134" s="7"/>
      <c r="EG134" s="7"/>
      <c r="EJ134" s="4"/>
      <c r="EK134" s="4"/>
      <c r="EU134" s="2"/>
      <c r="EV134" s="2"/>
    </row>
    <row r="135" spans="1:152">
      <c r="A135" s="287">
        <v>3511</v>
      </c>
      <c r="B135" s="288" t="s">
        <v>1278</v>
      </c>
      <c r="C135" s="288" t="s">
        <v>278</v>
      </c>
      <c r="D135" s="288" t="s">
        <v>127</v>
      </c>
      <c r="E135" s="288" t="s">
        <v>1279</v>
      </c>
      <c r="F135" s="288" t="s">
        <v>35</v>
      </c>
      <c r="G135" s="288" t="s">
        <v>1292</v>
      </c>
      <c r="H135" s="288" t="s">
        <v>1285</v>
      </c>
      <c r="I135" s="288" t="s">
        <v>1280</v>
      </c>
      <c r="J135" s="288" t="s">
        <v>1022</v>
      </c>
      <c r="K135" s="289">
        <v>43447</v>
      </c>
      <c r="L135" s="290">
        <v>1.399</v>
      </c>
      <c r="M135" s="290">
        <v>2.1989999999999998</v>
      </c>
      <c r="N135" s="288">
        <v>3.2650000000000001</v>
      </c>
      <c r="O135" s="288" t="s">
        <v>687</v>
      </c>
      <c r="P135" s="291" t="s">
        <v>695</v>
      </c>
      <c r="Q135" s="291" t="s">
        <v>696</v>
      </c>
      <c r="R135" s="288" t="s">
        <v>24</v>
      </c>
      <c r="S135" s="288"/>
      <c r="T135" s="292" t="s">
        <v>615</v>
      </c>
      <c r="U135" s="288"/>
      <c r="V135" s="292" t="s">
        <v>120</v>
      </c>
      <c r="W135" s="288"/>
      <c r="X135" s="292" t="s">
        <v>120</v>
      </c>
      <c r="Y135" s="288" t="s">
        <v>1324</v>
      </c>
      <c r="Z135" s="293" t="s">
        <v>120</v>
      </c>
      <c r="AA135" s="294"/>
      <c r="AB135" s="294"/>
      <c r="AC135" s="295" t="s">
        <v>123</v>
      </c>
      <c r="AD135" s="288" t="s">
        <v>1446</v>
      </c>
      <c r="AE135" s="292" t="s">
        <v>615</v>
      </c>
      <c r="AF135" s="289" t="s">
        <v>977</v>
      </c>
      <c r="AG135" s="296"/>
      <c r="AH135" s="296"/>
      <c r="AI135" s="288"/>
      <c r="AJ135" s="292" t="s">
        <v>120</v>
      </c>
      <c r="AK135" s="288" t="s">
        <v>123</v>
      </c>
      <c r="AL135" s="288" t="s">
        <v>935</v>
      </c>
      <c r="AM135" s="292"/>
      <c r="AN135" s="288"/>
      <c r="AO135" s="288"/>
      <c r="AP135" s="297"/>
      <c r="AQ135" s="288"/>
      <c r="AR135" s="292"/>
      <c r="AS135" s="288"/>
      <c r="AT135" s="289">
        <v>43448.468713657399</v>
      </c>
      <c r="AU135" s="289"/>
      <c r="AV135" s="289">
        <v>43451.560684259297</v>
      </c>
      <c r="AW135" s="289">
        <v>43448.468713657399</v>
      </c>
      <c r="AX135" s="289"/>
      <c r="AY135" s="289">
        <v>43447.715381597198</v>
      </c>
      <c r="AZ135" s="298">
        <v>43451.712504398201</v>
      </c>
      <c r="BA13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4.7125043982014176</v>
      </c>
      <c r="BB135" s="300">
        <f>COUNTIFS(_05preva_view43[Site ID],_05preva_view43[[#This Row],[Site ID]],_05preva_view43[Prevalidation Status],"Under Prevalidation")</f>
        <v>0</v>
      </c>
      <c r="BC13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5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1-01-01014-005 (KCN00119) Application Rev 5.xlsx</v>
      </c>
      <c r="BE135" s="64">
        <f t="shared" ca="1" si="3"/>
        <v>50</v>
      </c>
      <c r="BF135" s="104" t="str">
        <f ca="1">LEFT(CELL("filename",A120),_05preva_view43[[#This Row],[Find Process &amp; Database]]-1)</f>
        <v>D:\OneDrive - apollo-towers.com\Apollo Towers\00-</v>
      </c>
      <c r="BG135" s="104" t="str">
        <f ca="1">_05preva_view43[Folder Path1]&amp;"Process &amp; Database\Documentation\Colo Applications"</f>
        <v>D:\OneDrive - apollo-towers.com\Apollo Towers\00-Process &amp; Database\Documentation\Colo Applications</v>
      </c>
      <c r="BH13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5" s="63" t="str">
        <f ca="1">_05preva_view43[[#This Row],[Folder Path3]]&amp;_05preva_view43[[#This Row],[File Name]]</f>
        <v>D:\OneDrive - apollo-towers.com\Apollo Towers\00-Process &amp; Database\Documentation\Colo Applications\Colo App MPT\1-01-01014-005 (KCN00119) Application Rev 5.xlsx</v>
      </c>
      <c r="BJ135" s="104"/>
      <c r="BK135" s="3"/>
      <c r="BL135" s="3"/>
      <c r="CJ135" s="5"/>
      <c r="CK135" s="5"/>
      <c r="CL135" s="3"/>
      <c r="CN135" s="5"/>
      <c r="CR135" s="3"/>
      <c r="CS135" s="3"/>
      <c r="CT135" s="5"/>
      <c r="CV135" s="3"/>
      <c r="DR135" s="5"/>
      <c r="DT135" s="3"/>
      <c r="EF135" s="7"/>
      <c r="EG135" s="7"/>
      <c r="EJ135" s="4"/>
      <c r="EK135" s="4"/>
      <c r="EU135" s="2"/>
      <c r="EV135" s="2"/>
    </row>
    <row r="136" spans="1:152">
      <c r="A136" s="287">
        <v>3496</v>
      </c>
      <c r="B136" s="288" t="s">
        <v>665</v>
      </c>
      <c r="C136" s="288" t="s">
        <v>116</v>
      </c>
      <c r="D136" s="288" t="s">
        <v>127</v>
      </c>
      <c r="E136" s="288" t="s">
        <v>666</v>
      </c>
      <c r="F136" s="288" t="s">
        <v>35</v>
      </c>
      <c r="G136" s="288" t="s">
        <v>1287</v>
      </c>
      <c r="H136" s="288" t="s">
        <v>1285</v>
      </c>
      <c r="I136" s="288" t="s">
        <v>981</v>
      </c>
      <c r="J136" s="288" t="s">
        <v>677</v>
      </c>
      <c r="K136" s="289">
        <v>43446</v>
      </c>
      <c r="L136" s="290">
        <v>1</v>
      </c>
      <c r="M136" s="290">
        <v>1.4</v>
      </c>
      <c r="N136" s="288">
        <v>6.52</v>
      </c>
      <c r="O136" s="288" t="s">
        <v>119</v>
      </c>
      <c r="P136" s="291" t="s">
        <v>655</v>
      </c>
      <c r="Q136" s="291" t="s">
        <v>669</v>
      </c>
      <c r="R136" s="288" t="s">
        <v>24</v>
      </c>
      <c r="S136" s="288"/>
      <c r="T136" s="292" t="s">
        <v>615</v>
      </c>
      <c r="U136" s="288"/>
      <c r="V136" s="292" t="s">
        <v>120</v>
      </c>
      <c r="W136" s="288"/>
      <c r="X136" s="292" t="s">
        <v>120</v>
      </c>
      <c r="Y136" s="288" t="s">
        <v>1254</v>
      </c>
      <c r="Z136" s="293" t="s">
        <v>120</v>
      </c>
      <c r="AA136" s="294"/>
      <c r="AB136" s="294"/>
      <c r="AC136" s="295" t="s">
        <v>123</v>
      </c>
      <c r="AD136" s="288" t="s">
        <v>1281</v>
      </c>
      <c r="AE136" s="292" t="s">
        <v>120</v>
      </c>
      <c r="AF136" s="289"/>
      <c r="AG136" s="296"/>
      <c r="AH136" s="296"/>
      <c r="AI136" s="288"/>
      <c r="AJ136" s="292" t="s">
        <v>120</v>
      </c>
      <c r="AK136" s="288" t="s">
        <v>123</v>
      </c>
      <c r="AL136" s="288" t="s">
        <v>935</v>
      </c>
      <c r="AM136" s="292"/>
      <c r="AN136" s="288"/>
      <c r="AO136" s="288"/>
      <c r="AP136" s="297"/>
      <c r="AQ136" s="288"/>
      <c r="AR136" s="292"/>
      <c r="AS136" s="288"/>
      <c r="AT136" s="289">
        <v>43446.578254513901</v>
      </c>
      <c r="AU136" s="289">
        <v>43447.716954166703</v>
      </c>
      <c r="AV136" s="289">
        <v>43447.423204976898</v>
      </c>
      <c r="AW136" s="289">
        <v>43446.578254513901</v>
      </c>
      <c r="AX136" s="289"/>
      <c r="AY136" s="289">
        <v>43446.542578125001</v>
      </c>
      <c r="AZ136" s="298">
        <v>43448.7279530093</v>
      </c>
      <c r="BA13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2.7279530093001085</v>
      </c>
      <c r="BB136" s="300">
        <f>COUNTIFS(_05preva_view43[Site ID],_05preva_view43[[#This Row],[Site ID]],_05preva_view43[Prevalidation Status],"Under Prevalidation")</f>
        <v>0</v>
      </c>
      <c r="BC13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6" s="30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0.xlsx</v>
      </c>
      <c r="BE136" s="64">
        <f t="shared" ca="1" si="3"/>
        <v>50</v>
      </c>
      <c r="BF136" s="104" t="str">
        <f ca="1">LEFT(CELL("filename",A121),_05preva_view43[[#This Row],[Find Process &amp; Database]]-1)</f>
        <v>D:\OneDrive - apollo-towers.com\Apollo Towers\00-</v>
      </c>
      <c r="BG136" s="104" t="str">
        <f ca="1">_05preva_view43[Folder Path1]&amp;"Process &amp; Database\Documentation\Colo Applications"</f>
        <v>D:\OneDrive - apollo-towers.com\Apollo Towers\00-Process &amp; Database\Documentation\Colo Applications</v>
      </c>
      <c r="BH1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6" s="63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0.xlsx</v>
      </c>
      <c r="BJ136" s="104"/>
      <c r="BK136" s="3"/>
      <c r="BL136" s="3"/>
      <c r="CJ136" s="5"/>
      <c r="CK136" s="5"/>
      <c r="CL136" s="3"/>
      <c r="CN136" s="5"/>
      <c r="CR136" s="3"/>
      <c r="CS136" s="3"/>
      <c r="CT136" s="5"/>
      <c r="CV136" s="3"/>
      <c r="DR136" s="5"/>
      <c r="DT136" s="3"/>
      <c r="EF136" s="7"/>
      <c r="EG136" s="7"/>
      <c r="EJ136" s="4"/>
      <c r="EK136" s="4"/>
      <c r="EU136" s="2"/>
      <c r="EV136" s="2"/>
    </row>
    <row r="137" spans="1:152">
      <c r="A137" s="287">
        <v>3497</v>
      </c>
      <c r="B137" s="288" t="s">
        <v>1255</v>
      </c>
      <c r="C137" s="288" t="s">
        <v>116</v>
      </c>
      <c r="D137" s="288" t="s">
        <v>153</v>
      </c>
      <c r="E137" s="288" t="s">
        <v>1256</v>
      </c>
      <c r="F137" s="288" t="s">
        <v>35</v>
      </c>
      <c r="G137" s="288" t="s">
        <v>1287</v>
      </c>
      <c r="H137" s="288" t="s">
        <v>1285</v>
      </c>
      <c r="I137" s="288" t="s">
        <v>888</v>
      </c>
      <c r="J137" s="288" t="s">
        <v>677</v>
      </c>
      <c r="K137" s="289">
        <v>43446</v>
      </c>
      <c r="L137" s="290">
        <v>2.16</v>
      </c>
      <c r="M137" s="290">
        <v>2.7</v>
      </c>
      <c r="N137" s="288">
        <v>5.41</v>
      </c>
      <c r="O137" s="288" t="s">
        <v>119</v>
      </c>
      <c r="P137" s="291" t="s">
        <v>280</v>
      </c>
      <c r="Q137" s="291" t="s">
        <v>281</v>
      </c>
      <c r="R137" s="288" t="s">
        <v>24</v>
      </c>
      <c r="S137" s="288"/>
      <c r="T137" s="292" t="s">
        <v>615</v>
      </c>
      <c r="U137" s="288"/>
      <c r="V137" s="292" t="s">
        <v>120</v>
      </c>
      <c r="W137" s="288"/>
      <c r="X137" s="292" t="s">
        <v>120</v>
      </c>
      <c r="Y137" s="288" t="s">
        <v>1257</v>
      </c>
      <c r="Z137" s="293" t="s">
        <v>120</v>
      </c>
      <c r="AA137" s="294"/>
      <c r="AB137" s="294"/>
      <c r="AC137" s="295" t="s">
        <v>123</v>
      </c>
      <c r="AD137" s="288" t="s">
        <v>1282</v>
      </c>
      <c r="AE137" s="292" t="s">
        <v>120</v>
      </c>
      <c r="AF137" s="289"/>
      <c r="AG137" s="296"/>
      <c r="AH137" s="296"/>
      <c r="AI137" s="288"/>
      <c r="AJ137" s="292" t="s">
        <v>120</v>
      </c>
      <c r="AK137" s="288" t="s">
        <v>123</v>
      </c>
      <c r="AL137" s="288" t="s">
        <v>935</v>
      </c>
      <c r="AM137" s="292"/>
      <c r="AN137" s="288"/>
      <c r="AO137" s="288"/>
      <c r="AP137" s="297"/>
      <c r="AQ137" s="288"/>
      <c r="AR137" s="292"/>
      <c r="AS137" s="288"/>
      <c r="AT137" s="289">
        <v>43446.578255902801</v>
      </c>
      <c r="AU137" s="289">
        <v>43447.716957523102</v>
      </c>
      <c r="AV137" s="289">
        <v>43447.629941088002</v>
      </c>
      <c r="AW137" s="289">
        <v>43446.578255902801</v>
      </c>
      <c r="AX137" s="289"/>
      <c r="AY137" s="289">
        <v>43447.641160763902</v>
      </c>
      <c r="AZ137" s="298">
        <v>43448.727954050897</v>
      </c>
      <c r="BA13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2.7279540508970967</v>
      </c>
      <c r="BB137" s="300">
        <f>COUNTIFS(_05preva_view43[Site ID],_05preva_view43[[#This Row],[Site ID]],_05preva_view43[Prevalidation Status],"Under Prevalidation")</f>
        <v>0</v>
      </c>
      <c r="BC13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7" s="302" t="str">
        <f>CONCATENATE(_05preva_view43[[#This Row],[Site ID]]," (",_05preva_view43[[#This Row],[tenant id]],") Application",IF(_05preva_view43[[#This Row],[Colo Rev]]&gt;0," Rev "&amp;_05preva_view43[[#This Row],[Colo Rev]],""),".xlsx")</f>
        <v>AYYN_0300 (YGN00953) Application Rev 0.xlsx</v>
      </c>
      <c r="BE137" s="64">
        <f t="shared" ca="1" si="3"/>
        <v>50</v>
      </c>
      <c r="BF137" s="104" t="str">
        <f ca="1">LEFT(CELL("filename",A122),_05preva_view43[[#This Row],[Find Process &amp; Database]]-1)</f>
        <v>D:\OneDrive - apollo-towers.com\Apollo Towers\00-</v>
      </c>
      <c r="BG137" s="104" t="str">
        <f ca="1">_05preva_view43[Folder Path1]&amp;"Process &amp; Database\Documentation\Colo Applications"</f>
        <v>D:\OneDrive - apollo-towers.com\Apollo Towers\00-Process &amp; Database\Documentation\Colo Applications</v>
      </c>
      <c r="BH1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7" s="63" t="str">
        <f ca="1">_05preva_view43[[#This Row],[Folder Path3]]&amp;_05preva_view43[[#This Row],[File Name]]</f>
        <v>D:\OneDrive - apollo-towers.com\Apollo Towers\00-Process &amp; Database\Documentation\Colo Applications\Colo App MPT\AYYN_0300 (YGN00953) Application Rev 0.xlsx</v>
      </c>
      <c r="BJ137" s="104"/>
      <c r="BK137" s="3"/>
      <c r="BL137" s="3"/>
      <c r="CJ137" s="5"/>
      <c r="CK137" s="5"/>
      <c r="CL137" s="3"/>
      <c r="CN137" s="5"/>
      <c r="CR137" s="3"/>
      <c r="CS137" s="3"/>
      <c r="CT137" s="5"/>
      <c r="CV137" s="3"/>
      <c r="DR137" s="5"/>
      <c r="DT137" s="3"/>
      <c r="EF137" s="7"/>
      <c r="EG137" s="7"/>
      <c r="EJ137" s="4"/>
      <c r="EK137" s="4"/>
      <c r="EU137" s="2"/>
      <c r="EV137" s="2"/>
    </row>
    <row r="138" spans="1:152">
      <c r="A138" s="287">
        <v>3493</v>
      </c>
      <c r="B138" s="288" t="s">
        <v>1246</v>
      </c>
      <c r="C138" s="288" t="s">
        <v>116</v>
      </c>
      <c r="D138" s="288" t="s">
        <v>127</v>
      </c>
      <c r="E138" s="288" t="s">
        <v>1247</v>
      </c>
      <c r="F138" s="288" t="s">
        <v>35</v>
      </c>
      <c r="G138" s="288" t="s">
        <v>1287</v>
      </c>
      <c r="H138" s="288" t="s">
        <v>1285</v>
      </c>
      <c r="I138" s="288" t="s">
        <v>1242</v>
      </c>
      <c r="J138" s="288" t="s">
        <v>677</v>
      </c>
      <c r="K138" s="289">
        <v>43445</v>
      </c>
      <c r="L138" s="290">
        <v>1.399</v>
      </c>
      <c r="M138" s="290">
        <v>2.1989999999999998</v>
      </c>
      <c r="N138" s="288">
        <v>4.13</v>
      </c>
      <c r="O138" s="288" t="s">
        <v>119</v>
      </c>
      <c r="P138" s="291" t="s">
        <v>1164</v>
      </c>
      <c r="Q138" s="291" t="s">
        <v>533</v>
      </c>
      <c r="R138" s="288" t="s">
        <v>24</v>
      </c>
      <c r="S138" s="288"/>
      <c r="T138" s="292" t="s">
        <v>615</v>
      </c>
      <c r="U138" s="288"/>
      <c r="V138" s="292" t="s">
        <v>120</v>
      </c>
      <c r="W138" s="288"/>
      <c r="X138" s="292" t="s">
        <v>120</v>
      </c>
      <c r="Y138" s="288" t="s">
        <v>1248</v>
      </c>
      <c r="Z138" s="293" t="s">
        <v>120</v>
      </c>
      <c r="AA138" s="294"/>
      <c r="AB138" s="294"/>
      <c r="AC138" s="295" t="s">
        <v>123</v>
      </c>
      <c r="AD138" s="288" t="s">
        <v>1249</v>
      </c>
      <c r="AE138" s="292" t="s">
        <v>120</v>
      </c>
      <c r="AF138" s="289"/>
      <c r="AG138" s="296"/>
      <c r="AH138" s="296"/>
      <c r="AI138" s="288"/>
      <c r="AJ138" s="292" t="s">
        <v>120</v>
      </c>
      <c r="AK138" s="288" t="s">
        <v>123</v>
      </c>
      <c r="AL138" s="288" t="s">
        <v>935</v>
      </c>
      <c r="AM138" s="292"/>
      <c r="AN138" s="288"/>
      <c r="AO138" s="288"/>
      <c r="AP138" s="297"/>
      <c r="AQ138" s="288"/>
      <c r="AR138" s="292"/>
      <c r="AS138" s="288"/>
      <c r="AT138" s="289">
        <v>43446.4726368056</v>
      </c>
      <c r="AU138" s="289">
        <v>43445.639607523102</v>
      </c>
      <c r="AV138" s="289">
        <v>43446.611587847197</v>
      </c>
      <c r="AW138" s="289">
        <v>43446.4726368056</v>
      </c>
      <c r="AX138" s="289"/>
      <c r="AY138" s="289">
        <v>43445.434493402798</v>
      </c>
      <c r="AZ138" s="298">
        <v>43447.425436689802</v>
      </c>
      <c r="BA13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2.4254366898021544</v>
      </c>
      <c r="BB138" s="300">
        <f>COUNTIFS(_05preva_view43[Site ID],_05preva_view43[[#This Row],[Site ID]],_05preva_view43[Prevalidation Status],"Under Prevalidation")</f>
        <v>0</v>
      </c>
      <c r="BC13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8" s="302" t="str">
        <f>CONCATENATE(_05preva_view43[[#This Row],[Site ID]]," (",_05preva_view43[[#This Row],[tenant id]],") Application",IF(_05preva_view43[[#This Row],[Colo Rev]]&gt;0," Rev "&amp;_05preva_view43[[#This Row],[Colo Rev]],""),".xlsx")</f>
        <v>ANMD_0022 (MDY00913) Application Rev 0.xlsx</v>
      </c>
      <c r="BE138" s="64">
        <f t="shared" ca="1" si="3"/>
        <v>50</v>
      </c>
      <c r="BF138" s="104" t="str">
        <f ca="1">LEFT(CELL("filename",A123),_05preva_view43[[#This Row],[Find Process &amp; Database]]-1)</f>
        <v>D:\OneDrive - apollo-towers.com\Apollo Towers\00-</v>
      </c>
      <c r="BG138" s="104" t="str">
        <f ca="1">_05preva_view43[Folder Path1]&amp;"Process &amp; Database\Documentation\Colo Applications"</f>
        <v>D:\OneDrive - apollo-towers.com\Apollo Towers\00-Process &amp; Database\Documentation\Colo Applications</v>
      </c>
      <c r="BH1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8" s="63" t="str">
        <f ca="1">_05preva_view43[[#This Row],[Folder Path3]]&amp;_05preva_view43[[#This Row],[File Name]]</f>
        <v>D:\OneDrive - apollo-towers.com\Apollo Towers\00-Process &amp; Database\Documentation\Colo Applications\Colo App MPT\ANMD_0022 (MDY00913) Application Rev 0.xlsx</v>
      </c>
      <c r="BJ138" s="104"/>
      <c r="BK138" s="3"/>
      <c r="BL138" s="3"/>
      <c r="CJ138" s="5"/>
      <c r="CK138" s="5"/>
      <c r="CL138" s="3"/>
      <c r="CN138" s="5"/>
      <c r="CR138" s="3"/>
      <c r="CS138" s="3"/>
      <c r="CT138" s="5"/>
      <c r="CV138" s="3"/>
      <c r="DR138" s="5"/>
      <c r="DT138" s="3"/>
      <c r="EF138" s="7"/>
      <c r="EG138" s="7"/>
      <c r="EJ138" s="4"/>
      <c r="EK138" s="4"/>
      <c r="EU138" s="2"/>
      <c r="EV138" s="2"/>
    </row>
    <row r="139" spans="1:152">
      <c r="A139" s="287">
        <v>3494</v>
      </c>
      <c r="B139" s="288" t="s">
        <v>826</v>
      </c>
      <c r="C139" s="288" t="s">
        <v>116</v>
      </c>
      <c r="D139" s="288" t="s">
        <v>127</v>
      </c>
      <c r="E139" s="288" t="s">
        <v>827</v>
      </c>
      <c r="F139" s="288" t="s">
        <v>35</v>
      </c>
      <c r="G139" s="288" t="s">
        <v>1287</v>
      </c>
      <c r="H139" s="288" t="s">
        <v>1285</v>
      </c>
      <c r="I139" s="288" t="s">
        <v>981</v>
      </c>
      <c r="J139" s="288" t="s">
        <v>686</v>
      </c>
      <c r="K139" s="289">
        <v>43445</v>
      </c>
      <c r="L139" s="290">
        <v>1</v>
      </c>
      <c r="M139" s="290">
        <v>1.4</v>
      </c>
      <c r="N139" s="288">
        <v>4.51</v>
      </c>
      <c r="O139" s="288" t="s">
        <v>119</v>
      </c>
      <c r="P139" s="291" t="s">
        <v>655</v>
      </c>
      <c r="Q139" s="291" t="s">
        <v>669</v>
      </c>
      <c r="R139" s="288" t="s">
        <v>24</v>
      </c>
      <c r="S139" s="288"/>
      <c r="T139" s="292" t="s">
        <v>615</v>
      </c>
      <c r="U139" s="288"/>
      <c r="V139" s="292" t="s">
        <v>120</v>
      </c>
      <c r="W139" s="288"/>
      <c r="X139" s="292" t="s">
        <v>120</v>
      </c>
      <c r="Y139" s="288" t="s">
        <v>1250</v>
      </c>
      <c r="Z139" s="293" t="s">
        <v>120</v>
      </c>
      <c r="AA139" s="294"/>
      <c r="AB139" s="294"/>
      <c r="AC139" s="295" t="s">
        <v>123</v>
      </c>
      <c r="AD139" s="288" t="s">
        <v>1251</v>
      </c>
      <c r="AE139" s="292" t="s">
        <v>120</v>
      </c>
      <c r="AF139" s="289"/>
      <c r="AG139" s="296"/>
      <c r="AH139" s="296"/>
      <c r="AI139" s="288"/>
      <c r="AJ139" s="292" t="s">
        <v>120</v>
      </c>
      <c r="AK139" s="288" t="s">
        <v>123</v>
      </c>
      <c r="AL139" s="288" t="s">
        <v>935</v>
      </c>
      <c r="AM139" s="292"/>
      <c r="AN139" s="288"/>
      <c r="AO139" s="288"/>
      <c r="AP139" s="297"/>
      <c r="AQ139" s="288"/>
      <c r="AR139" s="292"/>
      <c r="AS139" s="288"/>
      <c r="AT139" s="289">
        <v>43446.472638541702</v>
      </c>
      <c r="AU139" s="289">
        <v>43445.639608680598</v>
      </c>
      <c r="AV139" s="289">
        <v>43446.590792361101</v>
      </c>
      <c r="AW139" s="289">
        <v>43446.472638541702</v>
      </c>
      <c r="AX139" s="289"/>
      <c r="AY139" s="289">
        <v>43452.513665972197</v>
      </c>
      <c r="AZ139" s="298">
        <v>43452.584169560199</v>
      </c>
      <c r="BA13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7.5841695601993706</v>
      </c>
      <c r="BB139" s="300">
        <f>COUNTIFS(_05preva_view43[Site ID],_05preva_view43[[#This Row],[Site ID]],_05preva_view43[Prevalidation Status],"Under Prevalidation")</f>
        <v>0</v>
      </c>
      <c r="BC13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39" s="30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2.xlsx</v>
      </c>
      <c r="BE139" s="64">
        <f t="shared" ca="1" si="3"/>
        <v>50</v>
      </c>
      <c r="BF139" s="104" t="str">
        <f ca="1">LEFT(CELL("filename",A124),_05preva_view43[[#This Row],[Find Process &amp; Database]]-1)</f>
        <v>D:\OneDrive - apollo-towers.com\Apollo Towers\00-</v>
      </c>
      <c r="BG139" s="104" t="str">
        <f ca="1">_05preva_view43[Folder Path1]&amp;"Process &amp; Database\Documentation\Colo Applications"</f>
        <v>D:\OneDrive - apollo-towers.com\Apollo Towers\00-Process &amp; Database\Documentation\Colo Applications</v>
      </c>
      <c r="BH13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39" s="63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2.xlsx</v>
      </c>
      <c r="BJ139" s="104"/>
      <c r="BK139" s="3"/>
      <c r="BL139" s="3"/>
      <c r="CJ139" s="5"/>
      <c r="CK139" s="5"/>
      <c r="CL139" s="3"/>
      <c r="CN139" s="5"/>
      <c r="CR139" s="3"/>
      <c r="CS139" s="3"/>
      <c r="CT139" s="5"/>
      <c r="CV139" s="3"/>
      <c r="DR139" s="5"/>
      <c r="DT139" s="3"/>
      <c r="EF139" s="7"/>
      <c r="EG139" s="7"/>
      <c r="EJ139" s="4"/>
      <c r="EK139" s="4"/>
      <c r="EU139" s="2"/>
      <c r="EV139" s="2"/>
    </row>
    <row r="140" spans="1:152">
      <c r="A140" s="287">
        <v>3495</v>
      </c>
      <c r="B140" s="288" t="s">
        <v>1252</v>
      </c>
      <c r="C140" s="288" t="s">
        <v>278</v>
      </c>
      <c r="D140" s="288" t="s">
        <v>117</v>
      </c>
      <c r="E140" s="288" t="s">
        <v>1253</v>
      </c>
      <c r="F140" s="288" t="s">
        <v>35</v>
      </c>
      <c r="G140" s="288" t="s">
        <v>1292</v>
      </c>
      <c r="H140" s="288" t="s">
        <v>1290</v>
      </c>
      <c r="I140" s="288" t="s">
        <v>970</v>
      </c>
      <c r="J140" s="288" t="s">
        <v>677</v>
      </c>
      <c r="K140" s="289">
        <v>43445</v>
      </c>
      <c r="L140" s="290">
        <v>1</v>
      </c>
      <c r="M140" s="290">
        <v>1.462</v>
      </c>
      <c r="N140" s="288"/>
      <c r="O140" s="288" t="s">
        <v>687</v>
      </c>
      <c r="P140" s="291" t="s">
        <v>695</v>
      </c>
      <c r="Q140" s="291" t="s">
        <v>696</v>
      </c>
      <c r="R140" s="288" t="s">
        <v>24</v>
      </c>
      <c r="S140" s="288"/>
      <c r="T140" s="292" t="s">
        <v>615</v>
      </c>
      <c r="U140" s="288"/>
      <c r="V140" s="292" t="s">
        <v>615</v>
      </c>
      <c r="W140" s="288"/>
      <c r="X140" s="292" t="s">
        <v>615</v>
      </c>
      <c r="Y140" s="288"/>
      <c r="Z140" s="293" t="s">
        <v>615</v>
      </c>
      <c r="AA140" s="294"/>
      <c r="AB140" s="294"/>
      <c r="AC140" s="295"/>
      <c r="AD140" s="288"/>
      <c r="AE140" s="292" t="s">
        <v>120</v>
      </c>
      <c r="AF140" s="289"/>
      <c r="AG140" s="296"/>
      <c r="AH140" s="296"/>
      <c r="AI140" s="288"/>
      <c r="AJ140" s="292" t="s">
        <v>615</v>
      </c>
      <c r="AK140" s="288"/>
      <c r="AL140" s="288"/>
      <c r="AM140" s="292"/>
      <c r="AN140" s="288"/>
      <c r="AO140" s="288"/>
      <c r="AP140" s="297"/>
      <c r="AQ140" s="288"/>
      <c r="AR140" s="292"/>
      <c r="AS140" s="288"/>
      <c r="AT140" s="289"/>
      <c r="AU140" s="289">
        <v>43445.639611342602</v>
      </c>
      <c r="AV140" s="289"/>
      <c r="AW140" s="289"/>
      <c r="AX140" s="289"/>
      <c r="AY140" s="289"/>
      <c r="AZ140" s="298">
        <v>43445.714635879602</v>
      </c>
      <c r="BA14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0.71463587960170116</v>
      </c>
      <c r="BB140" s="300">
        <f>COUNTIFS(_05preva_view43[Site ID],_05preva_view43[[#This Row],[Site ID]],_05preva_view43[Prevalidation Status],"Under Prevalidation")</f>
        <v>0</v>
      </c>
      <c r="BC14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0" s="302" t="str">
        <f>CONCATENATE(_05preva_view43[[#This Row],[Site ID]]," (",_05preva_view43[[#This Row],[tenant id]],") Application",IF(_05preva_view43[[#This Row],[Colo Rev]]&gt;0," Rev "&amp;_05preva_view43[[#This Row],[Colo Rev]],""),".xlsx")</f>
        <v>1-01-09022-005 (MGW00780) Application Rev 0.xlsx</v>
      </c>
      <c r="BE140" s="64">
        <f t="shared" ca="1" si="3"/>
        <v>50</v>
      </c>
      <c r="BF140" s="104" t="str">
        <f ca="1">LEFT(CELL("filename",A125),_05preva_view43[[#This Row],[Find Process &amp; Database]]-1)</f>
        <v>D:\OneDrive - apollo-towers.com\Apollo Towers\00-</v>
      </c>
      <c r="BG140" s="104" t="str">
        <f ca="1">_05preva_view43[Folder Path1]&amp;"Process &amp; Database\Documentation\Colo Applications"</f>
        <v>D:\OneDrive - apollo-towers.com\Apollo Towers\00-Process &amp; Database\Documentation\Colo Applications</v>
      </c>
      <c r="BH14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0" s="63" t="str">
        <f ca="1">_05preva_view43[[#This Row],[Folder Path3]]&amp;_05preva_view43[[#This Row],[File Name]]</f>
        <v>D:\OneDrive - apollo-towers.com\Apollo Towers\00-Process &amp; Database\Documentation\Colo Applications\Colo App MPT\1-01-09022-005 (MGW00780) Application Rev 0.xlsx</v>
      </c>
      <c r="BJ140" s="104"/>
      <c r="BK140" s="3"/>
      <c r="BL140" s="3"/>
      <c r="CJ140" s="5"/>
      <c r="CK140" s="5"/>
      <c r="CL140" s="3"/>
      <c r="CN140" s="5"/>
      <c r="CR140" s="3"/>
      <c r="CS140" s="3"/>
      <c r="CT140" s="5"/>
      <c r="CV140" s="3"/>
      <c r="DR140" s="5"/>
      <c r="DT140" s="3"/>
      <c r="EF140" s="7"/>
      <c r="EG140" s="7"/>
      <c r="EJ140" s="4"/>
      <c r="EK140" s="4"/>
      <c r="EU140" s="2"/>
      <c r="EV140" s="2"/>
    </row>
    <row r="141" spans="1:152">
      <c r="A141" s="287">
        <v>3487</v>
      </c>
      <c r="B141" s="288" t="s">
        <v>1222</v>
      </c>
      <c r="C141" s="288" t="s">
        <v>278</v>
      </c>
      <c r="D141" s="288" t="s">
        <v>127</v>
      </c>
      <c r="E141" s="288" t="s">
        <v>1223</v>
      </c>
      <c r="F141" s="288" t="s">
        <v>35</v>
      </c>
      <c r="G141" s="288" t="s">
        <v>1292</v>
      </c>
      <c r="H141" s="288" t="s">
        <v>1290</v>
      </c>
      <c r="I141" s="288" t="s">
        <v>814</v>
      </c>
      <c r="J141" s="288" t="s">
        <v>668</v>
      </c>
      <c r="K141" s="289">
        <v>43444</v>
      </c>
      <c r="L141" s="290">
        <v>1</v>
      </c>
      <c r="M141" s="290">
        <v>1.462</v>
      </c>
      <c r="N141" s="288"/>
      <c r="O141" s="288" t="s">
        <v>687</v>
      </c>
      <c r="P141" s="291" t="s">
        <v>526</v>
      </c>
      <c r="Q141" s="291" t="s">
        <v>629</v>
      </c>
      <c r="R141" s="288" t="s">
        <v>24</v>
      </c>
      <c r="S141" s="288"/>
      <c r="T141" s="292" t="s">
        <v>615</v>
      </c>
      <c r="U141" s="288"/>
      <c r="V141" s="292" t="s">
        <v>615</v>
      </c>
      <c r="W141" s="288"/>
      <c r="X141" s="292" t="s">
        <v>615</v>
      </c>
      <c r="Y141" s="288"/>
      <c r="Z141" s="293" t="s">
        <v>615</v>
      </c>
      <c r="AA141" s="294"/>
      <c r="AB141" s="294"/>
      <c r="AC141" s="295"/>
      <c r="AD141" s="288"/>
      <c r="AE141" s="292" t="s">
        <v>120</v>
      </c>
      <c r="AF141" s="289" t="s">
        <v>904</v>
      </c>
      <c r="AG141" s="296"/>
      <c r="AH141" s="296"/>
      <c r="AI141" s="288" t="s">
        <v>1224</v>
      </c>
      <c r="AJ141" s="292" t="s">
        <v>615</v>
      </c>
      <c r="AK141" s="288"/>
      <c r="AL141" s="288"/>
      <c r="AM141" s="292"/>
      <c r="AN141" s="288"/>
      <c r="AO141" s="288"/>
      <c r="AP141" s="297"/>
      <c r="AQ141" s="288"/>
      <c r="AR141" s="292"/>
      <c r="AS141" s="288"/>
      <c r="AT141" s="289"/>
      <c r="AU141" s="289">
        <v>43444.680435995397</v>
      </c>
      <c r="AV141" s="289"/>
      <c r="AW141" s="289"/>
      <c r="AX141" s="289"/>
      <c r="AY141" s="289"/>
      <c r="AZ141" s="298">
        <v>43445.483934837997</v>
      </c>
      <c r="BA14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1.4839348379973671</v>
      </c>
      <c r="BB141" s="300">
        <f>COUNTIFS(_05preva_view43[Site ID],_05preva_view43[[#This Row],[Site ID]],_05preva_view43[Prevalidation Status],"Under Prevalidation")</f>
        <v>0</v>
      </c>
      <c r="BC14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1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1-01-01010-012 (KCN00455) Application Rev 1.xlsx</v>
      </c>
      <c r="BE141" s="64">
        <f t="shared" ca="1" si="3"/>
        <v>50</v>
      </c>
      <c r="BF141" s="104" t="str">
        <f ca="1">LEFT(CELL("filename",A126),_05preva_view43[[#This Row],[Find Process &amp; Database]]-1)</f>
        <v>D:\OneDrive - apollo-towers.com\Apollo Towers\00-</v>
      </c>
      <c r="BG141" s="104" t="str">
        <f ca="1">_05preva_view43[Folder Path1]&amp;"Process &amp; Database\Documentation\Colo Applications"</f>
        <v>D:\OneDrive - apollo-towers.com\Apollo Towers\00-Process &amp; Database\Documentation\Colo Applications</v>
      </c>
      <c r="BH14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1" s="63" t="str">
        <f ca="1">_05preva_view43[[#This Row],[Folder Path3]]&amp;_05preva_view43[[#This Row],[File Name]]</f>
        <v>D:\OneDrive - apollo-towers.com\Apollo Towers\00-Process &amp; Database\Documentation\Colo Applications\Colo App MPT\1-01-01010-012 (KCN00455) Application Rev 1.xlsx</v>
      </c>
      <c r="BJ141" s="104"/>
      <c r="BK141" s="3"/>
      <c r="BL141" s="3"/>
      <c r="CJ141" s="5"/>
      <c r="CK141" s="5"/>
      <c r="CL141" s="3"/>
      <c r="CN141" s="5"/>
      <c r="CR141" s="3"/>
      <c r="CS141" s="3"/>
      <c r="CT141" s="5"/>
      <c r="CV141" s="3"/>
      <c r="DR141" s="5"/>
      <c r="DT141" s="3"/>
      <c r="EF141" s="7"/>
      <c r="EG141" s="7"/>
      <c r="EJ141" s="4"/>
      <c r="EK141" s="4"/>
      <c r="EU141" s="2"/>
      <c r="EV141" s="2"/>
    </row>
    <row r="142" spans="1:152">
      <c r="A142" s="287">
        <v>3488</v>
      </c>
      <c r="B142" s="288" t="s">
        <v>1225</v>
      </c>
      <c r="C142" s="288" t="s">
        <v>278</v>
      </c>
      <c r="D142" s="288" t="s">
        <v>153</v>
      </c>
      <c r="E142" s="288" t="s">
        <v>1226</v>
      </c>
      <c r="F142" s="288" t="s">
        <v>38</v>
      </c>
      <c r="G142" s="288" t="s">
        <v>1295</v>
      </c>
      <c r="H142" s="288" t="s">
        <v>1285</v>
      </c>
      <c r="I142" s="288" t="s">
        <v>1227</v>
      </c>
      <c r="J142" s="288" t="s">
        <v>668</v>
      </c>
      <c r="K142" s="289">
        <v>43444</v>
      </c>
      <c r="L142" s="290"/>
      <c r="M142" s="290"/>
      <c r="N142" s="288">
        <v>4.6100000000000003</v>
      </c>
      <c r="O142" s="288" t="s">
        <v>687</v>
      </c>
      <c r="P142" s="291" t="s">
        <v>993</v>
      </c>
      <c r="Q142" s="291" t="s">
        <v>994</v>
      </c>
      <c r="R142" s="288" t="s">
        <v>24</v>
      </c>
      <c r="S142" s="288"/>
      <c r="T142" s="292" t="s">
        <v>615</v>
      </c>
      <c r="U142" s="288"/>
      <c r="V142" s="292" t="s">
        <v>615</v>
      </c>
      <c r="W142" s="288"/>
      <c r="X142" s="292" t="s">
        <v>120</v>
      </c>
      <c r="Y142" s="288" t="s">
        <v>1228</v>
      </c>
      <c r="Z142" s="293" t="s">
        <v>120</v>
      </c>
      <c r="AA142" s="294"/>
      <c r="AB142" s="294"/>
      <c r="AC142" s="295" t="s">
        <v>123</v>
      </c>
      <c r="AD142" s="288" t="s">
        <v>1229</v>
      </c>
      <c r="AE142" s="292" t="s">
        <v>615</v>
      </c>
      <c r="AF142" s="289"/>
      <c r="AG142" s="296"/>
      <c r="AH142" s="296"/>
      <c r="AI142" s="288"/>
      <c r="AJ142" s="292" t="s">
        <v>120</v>
      </c>
      <c r="AK142" s="288" t="s">
        <v>123</v>
      </c>
      <c r="AL142" s="288" t="s">
        <v>935</v>
      </c>
      <c r="AM142" s="292"/>
      <c r="AN142" s="288"/>
      <c r="AO142" s="288"/>
      <c r="AP142" s="297"/>
      <c r="AQ142" s="288"/>
      <c r="AR142" s="292"/>
      <c r="AS142" s="288"/>
      <c r="AT142" s="289">
        <v>43444.601477430602</v>
      </c>
      <c r="AU142" s="289"/>
      <c r="AV142" s="289">
        <v>43444.701096990699</v>
      </c>
      <c r="AW142" s="289">
        <v>43444.601477430602</v>
      </c>
      <c r="AX142" s="289"/>
      <c r="AY142" s="289"/>
      <c r="AZ142" s="298">
        <v>43445.588910763901</v>
      </c>
      <c r="BA14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1.5889107639013673</v>
      </c>
      <c r="BB142" s="300">
        <f>COUNTIFS(_05preva_view43[Site ID],_05preva_view43[[#This Row],[Site ID]],_05preva_view43[Prevalidation Status],"Under Prevalidation")</f>
        <v>0</v>
      </c>
      <c r="BC14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2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1-01-17003-008 (AY0830) Application Rev 1.xlsx</v>
      </c>
      <c r="BE142" s="64">
        <f t="shared" ca="1" si="3"/>
        <v>50</v>
      </c>
      <c r="BF142" s="104" t="str">
        <f ca="1">LEFT(CELL("filename",A127),_05preva_view43[[#This Row],[Find Process &amp; Database]]-1)</f>
        <v>D:\OneDrive - apollo-towers.com\Apollo Towers\00-</v>
      </c>
      <c r="BG142" s="104" t="str">
        <f ca="1">_05preva_view43[Folder Path1]&amp;"Process &amp; Database\Documentation\Colo Applications"</f>
        <v>D:\OneDrive - apollo-towers.com\Apollo Towers\00-Process &amp; Database\Documentation\Colo Applications</v>
      </c>
      <c r="BH142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42" s="63" t="str">
        <f ca="1">_05preva_view43[[#This Row],[Folder Path3]]&amp;_05preva_view43[[#This Row],[File Name]]</f>
        <v>D:\OneDrive - apollo-towers.com\Apollo Towers\00-Process &amp; Database\Documentation\Colo Applications\Colo App Telenor\1-01-17003-008 (AY0830) Application Rev 1.xlsx</v>
      </c>
      <c r="BJ142" s="104"/>
      <c r="BK142" s="3"/>
      <c r="BL142" s="3"/>
      <c r="CJ142" s="5"/>
      <c r="CK142" s="5"/>
      <c r="CL142" s="3"/>
      <c r="CN142" s="5"/>
      <c r="CR142" s="3"/>
      <c r="CS142" s="3"/>
      <c r="CT142" s="5"/>
      <c r="CV142" s="3"/>
      <c r="DR142" s="5"/>
      <c r="DT142" s="3"/>
      <c r="EF142" s="7"/>
      <c r="EG142" s="7"/>
      <c r="EJ142" s="4"/>
      <c r="EK142" s="4"/>
      <c r="EU142" s="2"/>
      <c r="EV142" s="2"/>
    </row>
    <row r="143" spans="1:152">
      <c r="A143" s="287">
        <v>3489</v>
      </c>
      <c r="B143" s="288" t="s">
        <v>1230</v>
      </c>
      <c r="C143" s="288" t="s">
        <v>278</v>
      </c>
      <c r="D143" s="288" t="s">
        <v>127</v>
      </c>
      <c r="E143" s="288" t="s">
        <v>1231</v>
      </c>
      <c r="F143" s="288" t="s">
        <v>35</v>
      </c>
      <c r="G143" s="288" t="s">
        <v>1292</v>
      </c>
      <c r="H143" s="288" t="s">
        <v>1290</v>
      </c>
      <c r="I143" s="288" t="s">
        <v>970</v>
      </c>
      <c r="J143" s="288" t="s">
        <v>677</v>
      </c>
      <c r="K143" s="289">
        <v>43444</v>
      </c>
      <c r="L143" s="290">
        <v>1</v>
      </c>
      <c r="M143" s="290">
        <v>1.462</v>
      </c>
      <c r="N143" s="288"/>
      <c r="O143" s="288" t="s">
        <v>687</v>
      </c>
      <c r="P143" s="291" t="s">
        <v>279</v>
      </c>
      <c r="Q143" s="291" t="s">
        <v>526</v>
      </c>
      <c r="R143" s="288" t="s">
        <v>24</v>
      </c>
      <c r="S143" s="288"/>
      <c r="T143" s="292" t="s">
        <v>615</v>
      </c>
      <c r="U143" s="288"/>
      <c r="V143" s="292" t="s">
        <v>615</v>
      </c>
      <c r="W143" s="288"/>
      <c r="X143" s="292" t="s">
        <v>615</v>
      </c>
      <c r="Y143" s="288"/>
      <c r="Z143" s="293" t="s">
        <v>615</v>
      </c>
      <c r="AA143" s="294"/>
      <c r="AB143" s="294"/>
      <c r="AC143" s="295"/>
      <c r="AD143" s="288"/>
      <c r="AE143" s="292" t="s">
        <v>120</v>
      </c>
      <c r="AF143" s="289" t="s">
        <v>904</v>
      </c>
      <c r="AG143" s="296"/>
      <c r="AH143" s="296"/>
      <c r="AI143" s="288" t="s">
        <v>1232</v>
      </c>
      <c r="AJ143" s="292" t="s">
        <v>615</v>
      </c>
      <c r="AK143" s="288"/>
      <c r="AL143" s="288"/>
      <c r="AM143" s="292"/>
      <c r="AN143" s="288"/>
      <c r="AO143" s="288"/>
      <c r="AP143" s="297"/>
      <c r="AQ143" s="288"/>
      <c r="AR143" s="292"/>
      <c r="AS143" s="288"/>
      <c r="AT143" s="289"/>
      <c r="AU143" s="289">
        <v>43444.680442013901</v>
      </c>
      <c r="AV143" s="289"/>
      <c r="AW143" s="289"/>
      <c r="AX143" s="289"/>
      <c r="AY143" s="289"/>
      <c r="AZ143" s="298">
        <v>43445.483935648102</v>
      </c>
      <c r="BA14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1.4839356481024879</v>
      </c>
      <c r="BB143" s="300">
        <f>COUNTIFS(_05preva_view43[Site ID],_05preva_view43[[#This Row],[Site ID]],_05preva_view43[Prevalidation Status],"Under Prevalidation")</f>
        <v>0</v>
      </c>
      <c r="BC14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3" s="302" t="str">
        <f>CONCATENATE(_05preva_view43[[#This Row],[Site ID]]," (",_05preva_view43[[#This Row],[tenant id]],") Application",IF(_05preva_view43[[#This Row],[Colo Rev]]&gt;0," Rev "&amp;_05preva_view43[[#This Row],[Colo Rev]],""),".xlsx")</f>
        <v>1-01-01010-013 (KCN00442) Application Rev 0.xlsx</v>
      </c>
      <c r="BE143" s="64">
        <f t="shared" ca="1" si="3"/>
        <v>50</v>
      </c>
      <c r="BF143" s="104" t="str">
        <f ca="1">LEFT(CELL("filename",A128),_05preva_view43[[#This Row],[Find Process &amp; Database]]-1)</f>
        <v>D:\OneDrive - apollo-towers.com\Apollo Towers\00-</v>
      </c>
      <c r="BG143" s="104" t="str">
        <f ca="1">_05preva_view43[Folder Path1]&amp;"Process &amp; Database\Documentation\Colo Applications"</f>
        <v>D:\OneDrive - apollo-towers.com\Apollo Towers\00-Process &amp; Database\Documentation\Colo Applications</v>
      </c>
      <c r="BH14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3" s="63" t="str">
        <f ca="1">_05preva_view43[[#This Row],[Folder Path3]]&amp;_05preva_view43[[#This Row],[File Name]]</f>
        <v>D:\OneDrive - apollo-towers.com\Apollo Towers\00-Process &amp; Database\Documentation\Colo Applications\Colo App MPT\1-01-01010-013 (KCN00442) Application Rev 0.xlsx</v>
      </c>
      <c r="BJ143" s="104"/>
      <c r="BK143" s="3"/>
      <c r="BL143" s="3"/>
      <c r="CJ143" s="5"/>
      <c r="CK143" s="5"/>
      <c r="CL143" s="3"/>
      <c r="CN143" s="5"/>
      <c r="CR143" s="3"/>
      <c r="CS143" s="3"/>
      <c r="CT143" s="5"/>
      <c r="CV143" s="3"/>
      <c r="DR143" s="5"/>
      <c r="DT143" s="3"/>
      <c r="EF143" s="7"/>
      <c r="EG143" s="7"/>
      <c r="EJ143" s="4"/>
      <c r="EK143" s="4"/>
      <c r="EU143" s="2"/>
      <c r="EV143" s="2"/>
    </row>
    <row r="144" spans="1:152">
      <c r="A144" s="287">
        <v>3490</v>
      </c>
      <c r="B144" s="288" t="s">
        <v>1233</v>
      </c>
      <c r="C144" s="288" t="s">
        <v>116</v>
      </c>
      <c r="D144" s="288" t="s">
        <v>127</v>
      </c>
      <c r="E144" s="288" t="s">
        <v>1234</v>
      </c>
      <c r="F144" s="288" t="s">
        <v>41</v>
      </c>
      <c r="G144" s="288" t="s">
        <v>1129</v>
      </c>
      <c r="H144" s="288" t="s">
        <v>1037</v>
      </c>
      <c r="I144" s="288" t="s">
        <v>880</v>
      </c>
      <c r="J144" s="288" t="s">
        <v>677</v>
      </c>
      <c r="K144" s="289">
        <v>43444</v>
      </c>
      <c r="L144" s="290"/>
      <c r="M144" s="290">
        <v>2</v>
      </c>
      <c r="N144" s="288">
        <v>3</v>
      </c>
      <c r="O144" s="288" t="s">
        <v>119</v>
      </c>
      <c r="P144" s="291" t="s">
        <v>1022</v>
      </c>
      <c r="Q144" s="291" t="s">
        <v>966</v>
      </c>
      <c r="R144" s="288" t="s">
        <v>24</v>
      </c>
      <c r="S144" s="288"/>
      <c r="T144" s="292" t="s">
        <v>120</v>
      </c>
      <c r="U144" s="288" t="s">
        <v>1447</v>
      </c>
      <c r="V144" s="292" t="s">
        <v>120</v>
      </c>
      <c r="W144" s="288"/>
      <c r="X144" s="292" t="s">
        <v>120</v>
      </c>
      <c r="Y144" s="288" t="s">
        <v>1235</v>
      </c>
      <c r="Z144" s="293" t="s">
        <v>120</v>
      </c>
      <c r="AA144" s="294"/>
      <c r="AB144" s="294"/>
      <c r="AC144" s="295" t="s">
        <v>123</v>
      </c>
      <c r="AD144" s="288" t="s">
        <v>1236</v>
      </c>
      <c r="AE144" s="292" t="s">
        <v>120</v>
      </c>
      <c r="AF144" s="289" t="s">
        <v>639</v>
      </c>
      <c r="AG144" s="296"/>
      <c r="AH144" s="296"/>
      <c r="AI144" s="288" t="s">
        <v>1134</v>
      </c>
      <c r="AJ144" s="292" t="s">
        <v>120</v>
      </c>
      <c r="AK144" s="288" t="s">
        <v>206</v>
      </c>
      <c r="AL144" s="288" t="s">
        <v>1237</v>
      </c>
      <c r="AM144" s="292"/>
      <c r="AN144" s="288"/>
      <c r="AO144" s="288"/>
      <c r="AP144" s="297"/>
      <c r="AQ144" s="288"/>
      <c r="AR144" s="292"/>
      <c r="AS144" s="288"/>
      <c r="AT144" s="289">
        <v>43444.601481134298</v>
      </c>
      <c r="AU144" s="289">
        <v>43444.680445601902</v>
      </c>
      <c r="AV144" s="289">
        <v>43445.6883550926</v>
      </c>
      <c r="AW144" s="289">
        <v>43444.601481134298</v>
      </c>
      <c r="AX144" s="289">
        <v>43460.604111226901</v>
      </c>
      <c r="AY144" s="289">
        <v>43444.668289236099</v>
      </c>
      <c r="AZ144" s="298">
        <v>43476.382870833302</v>
      </c>
      <c r="BA14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32.38287083330215</v>
      </c>
      <c r="BB144" s="300">
        <f>COUNTIFS(_05preva_view43[Site ID],_05preva_view43[[#This Row],[Site ID]],_05preva_view43[Prevalidation Status],"Under Prevalidation")</f>
        <v>0</v>
      </c>
      <c r="BC14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4" s="302" t="str">
        <f>CONCATENATE(_05preva_view43[[#This Row],[Site ID]]," (",_05preva_view43[[#This Row],[tenant id]],") Application",IF(_05preva_view43[[#This Row],[Colo Rev]]&gt;0," Rev "&amp;_05preva_view43[[#This Row],[Colo Rev]],""),".xlsx")</f>
        <v>ANMD_0169 (MDYPGTG007ML) Application Rev 0.xlsx</v>
      </c>
      <c r="BE144" s="64">
        <f t="shared" ref="BE144:BE207" ca="1" si="4">FIND("Process &amp; Database\",CELL("filename",$A$1))</f>
        <v>50</v>
      </c>
      <c r="BF144" s="104" t="str">
        <f ca="1">LEFT(CELL("filename",A129),_05preva_view43[[#This Row],[Find Process &amp; Database]]-1)</f>
        <v>D:\OneDrive - apollo-towers.com\Apollo Towers\00-</v>
      </c>
      <c r="BG144" s="104" t="str">
        <f ca="1">_05preva_view43[Folder Path1]&amp;"Process &amp; Database\Documentation\Colo Applications"</f>
        <v>D:\OneDrive - apollo-towers.com\Apollo Towers\00-Process &amp; Database\Documentation\Colo Applications</v>
      </c>
      <c r="BH14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44" s="63" t="str">
        <f ca="1">_05preva_view43[[#This Row],[Folder Path3]]&amp;_05preva_view43[[#This Row],[File Name]]</f>
        <v>D:\OneDrive - apollo-towers.com\Apollo Towers\00-Process &amp; Database\Documentation\Colo Applications\Colo App Amara\ANMD_0169 (MDYPGTG007ML) Application Rev 0.xlsx</v>
      </c>
      <c r="BJ144" s="104"/>
      <c r="BK144" s="3"/>
      <c r="BL144" s="3"/>
      <c r="CJ144" s="5"/>
      <c r="CK144" s="5"/>
      <c r="CL144" s="3"/>
      <c r="CN144" s="5"/>
      <c r="CR144" s="3"/>
      <c r="CS144" s="3"/>
      <c r="CT144" s="5"/>
      <c r="CV144" s="3"/>
      <c r="DR144" s="5"/>
      <c r="DT144" s="3"/>
      <c r="EF144" s="7"/>
      <c r="EG144" s="7"/>
      <c r="EJ144" s="4"/>
      <c r="EK144" s="4"/>
      <c r="EU144" s="2"/>
      <c r="EV144" s="2"/>
    </row>
    <row r="145" spans="1:152">
      <c r="A145" s="287">
        <v>3491</v>
      </c>
      <c r="B145" s="288" t="s">
        <v>1238</v>
      </c>
      <c r="C145" s="288" t="s">
        <v>278</v>
      </c>
      <c r="D145" s="288" t="s">
        <v>127</v>
      </c>
      <c r="E145" s="288" t="s">
        <v>1239</v>
      </c>
      <c r="F145" s="288" t="s">
        <v>35</v>
      </c>
      <c r="G145" s="288" t="s">
        <v>1292</v>
      </c>
      <c r="H145" s="288" t="s">
        <v>1285</v>
      </c>
      <c r="I145" s="288" t="s">
        <v>970</v>
      </c>
      <c r="J145" s="288" t="s">
        <v>668</v>
      </c>
      <c r="K145" s="289">
        <v>43444</v>
      </c>
      <c r="L145" s="290">
        <v>1.39</v>
      </c>
      <c r="M145" s="290">
        <v>1.7949999999999999</v>
      </c>
      <c r="N145" s="288"/>
      <c r="O145" s="288" t="s">
        <v>687</v>
      </c>
      <c r="P145" s="291" t="s">
        <v>240</v>
      </c>
      <c r="Q145" s="291" t="s">
        <v>241</v>
      </c>
      <c r="R145" s="288" t="s">
        <v>24</v>
      </c>
      <c r="S145" s="288"/>
      <c r="T145" s="292" t="s">
        <v>615</v>
      </c>
      <c r="U145" s="288"/>
      <c r="V145" s="292" t="s">
        <v>615</v>
      </c>
      <c r="W145" s="288"/>
      <c r="X145" s="292" t="s">
        <v>615</v>
      </c>
      <c r="Y145" s="288"/>
      <c r="Z145" s="293" t="s">
        <v>615</v>
      </c>
      <c r="AA145" s="294"/>
      <c r="AB145" s="294"/>
      <c r="AC145" s="295"/>
      <c r="AD145" s="288"/>
      <c r="AE145" s="292" t="s">
        <v>120</v>
      </c>
      <c r="AF145" s="289" t="s">
        <v>904</v>
      </c>
      <c r="AG145" s="296"/>
      <c r="AH145" s="296"/>
      <c r="AI145" s="288" t="s">
        <v>1232</v>
      </c>
      <c r="AJ145" s="292" t="s">
        <v>615</v>
      </c>
      <c r="AK145" s="288"/>
      <c r="AL145" s="288"/>
      <c r="AM145" s="292"/>
      <c r="AN145" s="288"/>
      <c r="AO145" s="288"/>
      <c r="AP145" s="297"/>
      <c r="AQ145" s="288"/>
      <c r="AR145" s="292"/>
      <c r="AS145" s="288"/>
      <c r="AT145" s="289"/>
      <c r="AU145" s="289">
        <v>43444.680447685198</v>
      </c>
      <c r="AV145" s="289"/>
      <c r="AW145" s="289"/>
      <c r="AX145" s="289"/>
      <c r="AY145" s="289"/>
      <c r="AZ145" s="298">
        <v>43445.483937037003</v>
      </c>
      <c r="BA14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1.4839370370027609</v>
      </c>
      <c r="BB145" s="300">
        <f>COUNTIFS(_05preva_view43[Site ID],_05preva_view43[[#This Row],[Site ID]],_05preva_view43[Prevalidation Status],"Under Prevalidation")</f>
        <v>0</v>
      </c>
      <c r="BC14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5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1-01-01009-002 (KCN00139) Application Rev 1.xlsx</v>
      </c>
      <c r="BE145" s="64">
        <f t="shared" ca="1" si="4"/>
        <v>50</v>
      </c>
      <c r="BF145" s="104" t="str">
        <f ca="1">LEFT(CELL("filename",A130),_05preva_view43[[#This Row],[Find Process &amp; Database]]-1)</f>
        <v>D:\OneDrive - apollo-towers.com\Apollo Towers\00-</v>
      </c>
      <c r="BG145" s="104" t="str">
        <f ca="1">_05preva_view43[Folder Path1]&amp;"Process &amp; Database\Documentation\Colo Applications"</f>
        <v>D:\OneDrive - apollo-towers.com\Apollo Towers\00-Process &amp; Database\Documentation\Colo Applications</v>
      </c>
      <c r="BH14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5" s="63" t="str">
        <f ca="1">_05preva_view43[[#This Row],[Folder Path3]]&amp;_05preva_view43[[#This Row],[File Name]]</f>
        <v>D:\OneDrive - apollo-towers.com\Apollo Towers\00-Process &amp; Database\Documentation\Colo Applications\Colo App MPT\1-01-01009-002 (KCN00139) Application Rev 1.xlsx</v>
      </c>
      <c r="BJ145" s="104"/>
      <c r="BK145" s="3"/>
      <c r="BL145" s="3"/>
      <c r="CJ145" s="5"/>
      <c r="CK145" s="5"/>
      <c r="CL145" s="3"/>
      <c r="CN145" s="5"/>
      <c r="CR145" s="3"/>
      <c r="CS145" s="3"/>
      <c r="CT145" s="5"/>
      <c r="CV145" s="3"/>
      <c r="DR145" s="5"/>
      <c r="DT145" s="3"/>
      <c r="EF145" s="7"/>
      <c r="EG145" s="7"/>
      <c r="EJ145" s="4"/>
      <c r="EK145" s="4"/>
      <c r="EU145" s="2"/>
      <c r="EV145" s="2"/>
    </row>
    <row r="146" spans="1:152">
      <c r="A146" s="287">
        <v>3492</v>
      </c>
      <c r="B146" s="288" t="s">
        <v>1240</v>
      </c>
      <c r="C146" s="288" t="s">
        <v>116</v>
      </c>
      <c r="D146" s="288" t="s">
        <v>127</v>
      </c>
      <c r="E146" s="288" t="s">
        <v>1241</v>
      </c>
      <c r="F146" s="288" t="s">
        <v>35</v>
      </c>
      <c r="G146" s="288" t="s">
        <v>1287</v>
      </c>
      <c r="H146" s="288" t="s">
        <v>1285</v>
      </c>
      <c r="I146" s="288" t="s">
        <v>1242</v>
      </c>
      <c r="J146" s="288" t="s">
        <v>677</v>
      </c>
      <c r="K146" s="289">
        <v>43444</v>
      </c>
      <c r="L146" s="290">
        <v>1.399</v>
      </c>
      <c r="M146" s="290">
        <v>2.1989999999999998</v>
      </c>
      <c r="N146" s="288">
        <v>4.13</v>
      </c>
      <c r="O146" s="288" t="s">
        <v>119</v>
      </c>
      <c r="P146" s="291" t="s">
        <v>240</v>
      </c>
      <c r="Q146" s="291" t="s">
        <v>241</v>
      </c>
      <c r="R146" s="288" t="s">
        <v>24</v>
      </c>
      <c r="S146" s="288"/>
      <c r="T146" s="292" t="s">
        <v>615</v>
      </c>
      <c r="U146" s="288"/>
      <c r="V146" s="292" t="s">
        <v>120</v>
      </c>
      <c r="W146" s="288"/>
      <c r="X146" s="292" t="s">
        <v>120</v>
      </c>
      <c r="Y146" s="288" t="s">
        <v>1243</v>
      </c>
      <c r="Z146" s="293" t="s">
        <v>120</v>
      </c>
      <c r="AA146" s="294"/>
      <c r="AB146" s="294"/>
      <c r="AC146" s="295" t="s">
        <v>123</v>
      </c>
      <c r="AD146" s="288" t="s">
        <v>1244</v>
      </c>
      <c r="AE146" s="292" t="s">
        <v>120</v>
      </c>
      <c r="AF146" s="289"/>
      <c r="AG146" s="296"/>
      <c r="AH146" s="296"/>
      <c r="AI146" s="288" t="s">
        <v>1245</v>
      </c>
      <c r="AJ146" s="292" t="s">
        <v>120</v>
      </c>
      <c r="AK146" s="288" t="s">
        <v>123</v>
      </c>
      <c r="AL146" s="288" t="s">
        <v>935</v>
      </c>
      <c r="AM146" s="292"/>
      <c r="AN146" s="288"/>
      <c r="AO146" s="288"/>
      <c r="AP146" s="297"/>
      <c r="AQ146" s="288"/>
      <c r="AR146" s="292"/>
      <c r="AS146" s="288"/>
      <c r="AT146" s="289">
        <v>43446.472635879603</v>
      </c>
      <c r="AU146" s="289">
        <v>43445.639606365701</v>
      </c>
      <c r="AV146" s="289">
        <v>43446.542096411999</v>
      </c>
      <c r="AW146" s="289">
        <v>43446.472635879603</v>
      </c>
      <c r="AX146" s="289"/>
      <c r="AY146" s="289">
        <v>43445.434492824097</v>
      </c>
      <c r="AZ146" s="298">
        <v>43447.425435300902</v>
      </c>
      <c r="BA14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3.4254353009018814</v>
      </c>
      <c r="BB146" s="300">
        <f>COUNTIFS(_05preva_view43[Site ID],_05preva_view43[[#This Row],[Site ID]],_05preva_view43[Prevalidation Status],"Under Prevalidation")</f>
        <v>0</v>
      </c>
      <c r="BC14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6" s="302" t="str">
        <f>CONCATENATE(_05preva_view43[[#This Row],[Site ID]]," (",_05preva_view43[[#This Row],[tenant id]],") Application",IF(_05preva_view43[[#This Row],[Colo Rev]]&gt;0," Rev "&amp;_05preva_view43[[#This Row],[Colo Rev]],""),".xlsx")</f>
        <v>ANMD_0195 (MDY00607) Application Rev 0.xlsx</v>
      </c>
      <c r="BE146" s="64">
        <f t="shared" ca="1" si="4"/>
        <v>50</v>
      </c>
      <c r="BF146" s="104" t="str">
        <f ca="1">LEFT(CELL("filename",A131),_05preva_view43[[#This Row],[Find Process &amp; Database]]-1)</f>
        <v>D:\OneDrive - apollo-towers.com\Apollo Towers\00-</v>
      </c>
      <c r="BG146" s="104" t="str">
        <f ca="1">_05preva_view43[Folder Path1]&amp;"Process &amp; Database\Documentation\Colo Applications"</f>
        <v>D:\OneDrive - apollo-towers.com\Apollo Towers\00-Process &amp; Database\Documentation\Colo Applications</v>
      </c>
      <c r="BH14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6" s="63" t="str">
        <f ca="1">_05preva_view43[[#This Row],[Folder Path3]]&amp;_05preva_view43[[#This Row],[File Name]]</f>
        <v>D:\OneDrive - apollo-towers.com\Apollo Towers\00-Process &amp; Database\Documentation\Colo Applications\Colo App MPT\ANMD_0195 (MDY00607) Application Rev 0.xlsx</v>
      </c>
      <c r="BJ146" s="104"/>
      <c r="BK146" s="3"/>
      <c r="BL146" s="3"/>
      <c r="CJ146" s="5"/>
      <c r="CK146" s="5"/>
      <c r="CL146" s="3"/>
      <c r="CN146" s="5"/>
      <c r="CR146" s="3"/>
      <c r="CS146" s="3"/>
      <c r="CT146" s="5"/>
      <c r="CV146" s="3"/>
      <c r="DR146" s="5"/>
      <c r="DT146" s="3"/>
      <c r="EF146" s="7"/>
      <c r="EG146" s="7"/>
      <c r="EJ146" s="4"/>
      <c r="EK146" s="4"/>
      <c r="EU146" s="2"/>
      <c r="EV146" s="2"/>
    </row>
    <row r="147" spans="1:152">
      <c r="A147" s="287">
        <v>3483</v>
      </c>
      <c r="B147" s="288" t="s">
        <v>1208</v>
      </c>
      <c r="C147" s="288" t="s">
        <v>116</v>
      </c>
      <c r="D147" s="288" t="s">
        <v>153</v>
      </c>
      <c r="E147" s="288" t="s">
        <v>1209</v>
      </c>
      <c r="F147" s="288" t="s">
        <v>35</v>
      </c>
      <c r="G147" s="288" t="s">
        <v>1287</v>
      </c>
      <c r="H147" s="288" t="s">
        <v>1285</v>
      </c>
      <c r="I147" s="288" t="s">
        <v>1090</v>
      </c>
      <c r="J147" s="288" t="s">
        <v>668</v>
      </c>
      <c r="K147" s="289">
        <v>43441</v>
      </c>
      <c r="L147" s="290">
        <v>3.28</v>
      </c>
      <c r="M147" s="290">
        <v>4.0999999999999996</v>
      </c>
      <c r="N147" s="288">
        <v>5</v>
      </c>
      <c r="O147" s="288" t="s">
        <v>119</v>
      </c>
      <c r="P147" s="291" t="s">
        <v>1159</v>
      </c>
      <c r="Q147" s="291" t="s">
        <v>1210</v>
      </c>
      <c r="R147" s="288" t="s">
        <v>24</v>
      </c>
      <c r="S147" s="288"/>
      <c r="T147" s="292" t="s">
        <v>615</v>
      </c>
      <c r="U147" s="288"/>
      <c r="V147" s="292" t="s">
        <v>615</v>
      </c>
      <c r="W147" s="288"/>
      <c r="X147" s="292" t="s">
        <v>120</v>
      </c>
      <c r="Y147" s="288" t="s">
        <v>1211</v>
      </c>
      <c r="Z147" s="293" t="s">
        <v>120</v>
      </c>
      <c r="AA147" s="294"/>
      <c r="AB147" s="294"/>
      <c r="AC147" s="295" t="s">
        <v>123</v>
      </c>
      <c r="AD147" s="288" t="s">
        <v>1212</v>
      </c>
      <c r="AE147" s="292" t="s">
        <v>120</v>
      </c>
      <c r="AF147" s="289"/>
      <c r="AG147" s="296"/>
      <c r="AH147" s="296"/>
      <c r="AI147" s="288" t="s">
        <v>1213</v>
      </c>
      <c r="AJ147" s="292" t="s">
        <v>120</v>
      </c>
      <c r="AK147" s="288" t="s">
        <v>123</v>
      </c>
      <c r="AL147" s="288" t="s">
        <v>935</v>
      </c>
      <c r="AM147" s="292"/>
      <c r="AN147" s="288"/>
      <c r="AO147" s="288"/>
      <c r="AP147" s="297"/>
      <c r="AQ147" s="288"/>
      <c r="AR147" s="292"/>
      <c r="AS147" s="288"/>
      <c r="AT147" s="289">
        <v>43443.930115393501</v>
      </c>
      <c r="AU147" s="289">
        <v>43444.680423611098</v>
      </c>
      <c r="AV147" s="289">
        <v>43445.5993190972</v>
      </c>
      <c r="AW147" s="289">
        <v>43443.930115393501</v>
      </c>
      <c r="AX147" s="289"/>
      <c r="AY147" s="289"/>
      <c r="AZ147" s="298">
        <v>43445.682352546297</v>
      </c>
      <c r="BA14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4.6823525462968973</v>
      </c>
      <c r="BB147" s="300">
        <f>COUNTIFS(_05preva_view43[Site ID],_05preva_view43[[#This Row],[Site ID]],_05preva_view43[Prevalidation Status],"Under Prevalidation")</f>
        <v>0</v>
      </c>
      <c r="BC14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7" s="302" t="str">
        <f>CONCATENATE(_05preva_view43[[#This Row],[Site ID]]," (",_05preva_view43[[#This Row],[tenant id]],") Application",IF(_05preva_view43[[#This Row],[Colo Rev]]&gt;0," Rev "&amp;_05preva_view43[[#This Row],[Colo Rev]],""),".xlsx")</f>
        <v>AYYN_0225 (YGN00526) Application Rev 1.xlsx</v>
      </c>
      <c r="BE147" s="64">
        <f t="shared" ca="1" si="4"/>
        <v>50</v>
      </c>
      <c r="BF147" s="104" t="str">
        <f ca="1">LEFT(CELL("filename",A132),_05preva_view43[[#This Row],[Find Process &amp; Database]]-1)</f>
        <v>D:\OneDrive - apollo-towers.com\Apollo Towers\00-</v>
      </c>
      <c r="BG147" s="104" t="str">
        <f ca="1">_05preva_view43[Folder Path1]&amp;"Process &amp; Database\Documentation\Colo Applications"</f>
        <v>D:\OneDrive - apollo-towers.com\Apollo Towers\00-Process &amp; Database\Documentation\Colo Applications</v>
      </c>
      <c r="BH14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7" s="63" t="str">
        <f ca="1">_05preva_view43[[#This Row],[Folder Path3]]&amp;_05preva_view43[[#This Row],[File Name]]</f>
        <v>D:\OneDrive - apollo-towers.com\Apollo Towers\00-Process &amp; Database\Documentation\Colo Applications\Colo App MPT\AYYN_0225 (YGN00526) Application Rev 1.xlsx</v>
      </c>
      <c r="BJ147" s="104"/>
      <c r="BK147" s="3"/>
      <c r="BL147" s="3"/>
      <c r="CJ147" s="5"/>
      <c r="CK147" s="5"/>
      <c r="CL147" s="3"/>
      <c r="CN147" s="5"/>
      <c r="CR147" s="3"/>
      <c r="CS147" s="3"/>
      <c r="CT147" s="5"/>
      <c r="CV147" s="3"/>
      <c r="DR147" s="5"/>
      <c r="DT147" s="3"/>
      <c r="EF147" s="7"/>
      <c r="EG147" s="7"/>
      <c r="EJ147" s="4"/>
      <c r="EK147" s="4"/>
      <c r="EU147" s="2"/>
      <c r="EV147" s="2"/>
    </row>
    <row r="148" spans="1:152">
      <c r="A148" s="287">
        <v>3484</v>
      </c>
      <c r="B148" s="288" t="s">
        <v>1214</v>
      </c>
      <c r="C148" s="288" t="s">
        <v>278</v>
      </c>
      <c r="D148" s="288" t="s">
        <v>153</v>
      </c>
      <c r="E148" s="288" t="s">
        <v>1215</v>
      </c>
      <c r="F148" s="288" t="s">
        <v>35</v>
      </c>
      <c r="G148" s="288" t="s">
        <v>1292</v>
      </c>
      <c r="H148" s="288" t="s">
        <v>1285</v>
      </c>
      <c r="I148" s="288" t="s">
        <v>790</v>
      </c>
      <c r="J148" s="288" t="s">
        <v>686</v>
      </c>
      <c r="K148" s="289">
        <v>43441</v>
      </c>
      <c r="L148" s="290">
        <v>2.96</v>
      </c>
      <c r="M148" s="290">
        <v>3.7</v>
      </c>
      <c r="N148" s="288"/>
      <c r="O148" s="288" t="s">
        <v>687</v>
      </c>
      <c r="P148" s="291" t="s">
        <v>508</v>
      </c>
      <c r="Q148" s="291" t="s">
        <v>509</v>
      </c>
      <c r="R148" s="288" t="s">
        <v>24</v>
      </c>
      <c r="S148" s="288"/>
      <c r="T148" s="292" t="s">
        <v>615</v>
      </c>
      <c r="U148" s="288"/>
      <c r="V148" s="292" t="s">
        <v>615</v>
      </c>
      <c r="W148" s="288"/>
      <c r="X148" s="292" t="s">
        <v>615</v>
      </c>
      <c r="Y148" s="288"/>
      <c r="Z148" s="293" t="s">
        <v>615</v>
      </c>
      <c r="AA148" s="294"/>
      <c r="AB148" s="294"/>
      <c r="AC148" s="295"/>
      <c r="AD148" s="288"/>
      <c r="AE148" s="292" t="s">
        <v>120</v>
      </c>
      <c r="AF148" s="289" t="s">
        <v>904</v>
      </c>
      <c r="AG148" s="296"/>
      <c r="AH148" s="296"/>
      <c r="AI148" s="288" t="s">
        <v>1216</v>
      </c>
      <c r="AJ148" s="292" t="s">
        <v>615</v>
      </c>
      <c r="AK148" s="288"/>
      <c r="AL148" s="288"/>
      <c r="AM148" s="292"/>
      <c r="AN148" s="288"/>
      <c r="AO148" s="288"/>
      <c r="AP148" s="297"/>
      <c r="AQ148" s="288"/>
      <c r="AR148" s="292"/>
      <c r="AS148" s="288"/>
      <c r="AT148" s="289"/>
      <c r="AU148" s="289">
        <v>43444.680427777799</v>
      </c>
      <c r="AV148" s="289"/>
      <c r="AW148" s="289"/>
      <c r="AX148" s="289"/>
      <c r="AY148" s="289"/>
      <c r="AZ148" s="298">
        <v>43445.483932407398</v>
      </c>
      <c r="BA14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4.4839324073982425</v>
      </c>
      <c r="BB148" s="300">
        <f>COUNTIFS(_05preva_view43[Site ID],_05preva_view43[[#This Row],[Site ID]],_05preva_view43[Prevalidation Status],"Under Prevalidation")</f>
        <v>0</v>
      </c>
      <c r="BC14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8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1-01-17019-002 (AWD00413) Application Rev 2.xlsx</v>
      </c>
      <c r="BE148" s="64">
        <f t="shared" ca="1" si="4"/>
        <v>50</v>
      </c>
      <c r="BF148" s="104" t="str">
        <f ca="1">LEFT(CELL("filename",A133),_05preva_view43[[#This Row],[Find Process &amp; Database]]-1)</f>
        <v>D:\OneDrive - apollo-towers.com\Apollo Towers\00-</v>
      </c>
      <c r="BG148" s="104" t="str">
        <f ca="1">_05preva_view43[Folder Path1]&amp;"Process &amp; Database\Documentation\Colo Applications"</f>
        <v>D:\OneDrive - apollo-towers.com\Apollo Towers\00-Process &amp; Database\Documentation\Colo Applications</v>
      </c>
      <c r="BH14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8" s="63" t="str">
        <f ca="1">_05preva_view43[[#This Row],[Folder Path3]]&amp;_05preva_view43[[#This Row],[File Name]]</f>
        <v>D:\OneDrive - apollo-towers.com\Apollo Towers\00-Process &amp; Database\Documentation\Colo Applications\Colo App MPT\1-01-17019-002 (AWD00413) Application Rev 2.xlsx</v>
      </c>
      <c r="BJ148" s="104"/>
      <c r="BK148" s="3"/>
      <c r="BL148" s="3"/>
      <c r="CJ148" s="5"/>
      <c r="CK148" s="5"/>
      <c r="CL148" s="3"/>
      <c r="CN148" s="5"/>
      <c r="CR148" s="3"/>
      <c r="CS148" s="3"/>
      <c r="CT148" s="5"/>
      <c r="CV148" s="3"/>
      <c r="DR148" s="5"/>
      <c r="DT148" s="3"/>
      <c r="EF148" s="7"/>
      <c r="EG148" s="7"/>
      <c r="EJ148" s="4"/>
      <c r="EK148" s="4"/>
      <c r="EU148" s="2"/>
      <c r="EV148" s="2"/>
    </row>
    <row r="149" spans="1:152">
      <c r="A149" s="287">
        <v>3485</v>
      </c>
      <c r="B149" s="288" t="s">
        <v>1217</v>
      </c>
      <c r="C149" s="288" t="s">
        <v>278</v>
      </c>
      <c r="D149" s="288" t="s">
        <v>153</v>
      </c>
      <c r="E149" s="288" t="s">
        <v>1218</v>
      </c>
      <c r="F149" s="288" t="s">
        <v>35</v>
      </c>
      <c r="G149" s="288" t="s">
        <v>1292</v>
      </c>
      <c r="H149" s="288" t="s">
        <v>1285</v>
      </c>
      <c r="I149" s="288" t="s">
        <v>790</v>
      </c>
      <c r="J149" s="288" t="s">
        <v>727</v>
      </c>
      <c r="K149" s="289">
        <v>43441</v>
      </c>
      <c r="L149" s="290">
        <v>2.96</v>
      </c>
      <c r="M149" s="290">
        <v>3.7</v>
      </c>
      <c r="N149" s="288"/>
      <c r="O149" s="288" t="s">
        <v>687</v>
      </c>
      <c r="P149" s="291" t="s">
        <v>695</v>
      </c>
      <c r="Q149" s="291" t="s">
        <v>696</v>
      </c>
      <c r="R149" s="288" t="s">
        <v>24</v>
      </c>
      <c r="S149" s="288"/>
      <c r="T149" s="292" t="s">
        <v>615</v>
      </c>
      <c r="U149" s="288"/>
      <c r="V149" s="292" t="s">
        <v>615</v>
      </c>
      <c r="W149" s="288"/>
      <c r="X149" s="292" t="s">
        <v>615</v>
      </c>
      <c r="Y149" s="288"/>
      <c r="Z149" s="293" t="s">
        <v>615</v>
      </c>
      <c r="AA149" s="294"/>
      <c r="AB149" s="294"/>
      <c r="AC149" s="295"/>
      <c r="AD149" s="288"/>
      <c r="AE149" s="292" t="s">
        <v>120</v>
      </c>
      <c r="AF149" s="289" t="s">
        <v>904</v>
      </c>
      <c r="AG149" s="296"/>
      <c r="AH149" s="296"/>
      <c r="AI149" s="288" t="s">
        <v>1216</v>
      </c>
      <c r="AJ149" s="292" t="s">
        <v>615</v>
      </c>
      <c r="AK149" s="288"/>
      <c r="AL149" s="288"/>
      <c r="AM149" s="292"/>
      <c r="AN149" s="288"/>
      <c r="AO149" s="288"/>
      <c r="AP149" s="297"/>
      <c r="AQ149" s="288"/>
      <c r="AR149" s="292"/>
      <c r="AS149" s="288"/>
      <c r="AT149" s="289"/>
      <c r="AU149" s="289">
        <v>43444.680430208296</v>
      </c>
      <c r="AV149" s="289"/>
      <c r="AW149" s="289"/>
      <c r="AX149" s="289"/>
      <c r="AY149" s="289"/>
      <c r="AZ149" s="298">
        <v>43445.483933449097</v>
      </c>
      <c r="BA14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4.4839334490970941</v>
      </c>
      <c r="BB149" s="300">
        <f>COUNTIFS(_05preva_view43[Site ID],_05preva_view43[[#This Row],[Site ID]],_05preva_view43[Prevalidation Status],"Under Prevalidation")</f>
        <v>0</v>
      </c>
      <c r="BC14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49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1-01-17011-006 (AWD00287) Application Rev 3.xlsx</v>
      </c>
      <c r="BE149" s="64">
        <f t="shared" ca="1" si="4"/>
        <v>50</v>
      </c>
      <c r="BF149" s="104" t="str">
        <f ca="1">LEFT(CELL("filename",A134),_05preva_view43[[#This Row],[Find Process &amp; Database]]-1)</f>
        <v>D:\OneDrive - apollo-towers.com\Apollo Towers\00-</v>
      </c>
      <c r="BG149" s="104" t="str">
        <f ca="1">_05preva_view43[Folder Path1]&amp;"Process &amp; Database\Documentation\Colo Applications"</f>
        <v>D:\OneDrive - apollo-towers.com\Apollo Towers\00-Process &amp; Database\Documentation\Colo Applications</v>
      </c>
      <c r="BH14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49" s="63" t="str">
        <f ca="1">_05preva_view43[[#This Row],[Folder Path3]]&amp;_05preva_view43[[#This Row],[File Name]]</f>
        <v>D:\OneDrive - apollo-towers.com\Apollo Towers\00-Process &amp; Database\Documentation\Colo Applications\Colo App MPT\1-01-17011-006 (AWD00287) Application Rev 3.xlsx</v>
      </c>
      <c r="BJ149" s="104"/>
      <c r="BK149" s="3"/>
      <c r="BL149" s="3"/>
      <c r="CJ149" s="5"/>
      <c r="CK149" s="5"/>
      <c r="CL149" s="3"/>
      <c r="CN149" s="5"/>
      <c r="CR149" s="3"/>
      <c r="CS149" s="3"/>
      <c r="CT149" s="5"/>
      <c r="CV149" s="3"/>
      <c r="DR149" s="5"/>
      <c r="DT149" s="3"/>
      <c r="EF149" s="7"/>
      <c r="EG149" s="7"/>
      <c r="EJ149" s="4"/>
      <c r="EK149" s="4"/>
      <c r="EU149" s="2"/>
      <c r="EV149" s="2"/>
    </row>
    <row r="150" spans="1:152">
      <c r="A150" s="287">
        <v>3486</v>
      </c>
      <c r="B150" s="288" t="s">
        <v>1219</v>
      </c>
      <c r="C150" s="288" t="s">
        <v>278</v>
      </c>
      <c r="D150" s="288" t="s">
        <v>153</v>
      </c>
      <c r="E150" s="288" t="s">
        <v>1220</v>
      </c>
      <c r="F150" s="288" t="s">
        <v>35</v>
      </c>
      <c r="G150" s="288" t="s">
        <v>1292</v>
      </c>
      <c r="H150" s="288" t="s">
        <v>1290</v>
      </c>
      <c r="I150" s="288" t="s">
        <v>970</v>
      </c>
      <c r="J150" s="288" t="s">
        <v>828</v>
      </c>
      <c r="K150" s="289">
        <v>43441</v>
      </c>
      <c r="L150" s="290">
        <v>1.5</v>
      </c>
      <c r="M150" s="290"/>
      <c r="N150" s="288"/>
      <c r="O150" s="288" t="s">
        <v>687</v>
      </c>
      <c r="P150" s="291" t="s">
        <v>284</v>
      </c>
      <c r="Q150" s="291" t="s">
        <v>240</v>
      </c>
      <c r="R150" s="288" t="s">
        <v>24</v>
      </c>
      <c r="S150" s="288"/>
      <c r="T150" s="292" t="s">
        <v>615</v>
      </c>
      <c r="U150" s="288"/>
      <c r="V150" s="292" t="s">
        <v>615</v>
      </c>
      <c r="W150" s="288"/>
      <c r="X150" s="292" t="s">
        <v>615</v>
      </c>
      <c r="Y150" s="288"/>
      <c r="Z150" s="293" t="s">
        <v>615</v>
      </c>
      <c r="AA150" s="294"/>
      <c r="AB150" s="294"/>
      <c r="AC150" s="295"/>
      <c r="AD150" s="288"/>
      <c r="AE150" s="292" t="s">
        <v>120</v>
      </c>
      <c r="AF150" s="289" t="s">
        <v>1448</v>
      </c>
      <c r="AG150" s="296"/>
      <c r="AH150" s="296"/>
      <c r="AI150" s="288" t="s">
        <v>1221</v>
      </c>
      <c r="AJ150" s="292" t="s">
        <v>615</v>
      </c>
      <c r="AK150" s="288"/>
      <c r="AL150" s="288"/>
      <c r="AM150" s="292"/>
      <c r="AN150" s="288"/>
      <c r="AO150" s="288"/>
      <c r="AP150" s="297"/>
      <c r="AQ150" s="288"/>
      <c r="AR150" s="292"/>
      <c r="AS150" s="288"/>
      <c r="AT150" s="289"/>
      <c r="AU150" s="289">
        <v>43451.370477546297</v>
      </c>
      <c r="AV150" s="289"/>
      <c r="AW150" s="289"/>
      <c r="AX150" s="289"/>
      <c r="AY150" s="289"/>
      <c r="AZ150" s="298">
        <v>43451.4114625</v>
      </c>
      <c r="BA15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10.411462500000198</v>
      </c>
      <c r="BB150" s="300">
        <f>COUNTIFS(_05preva_view43[Site ID],_05preva_view43[[#This Row],[Site ID]],_05preva_view43[Prevalidation Status],"Under Prevalidation")</f>
        <v>0</v>
      </c>
      <c r="BC15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0" s="302" t="str">
        <f>CONCATENATE(_05preva_view43[[#This Row],[Site ID]]," (",_05preva_view43[[#This Row],[tenant id]],") Application",IF(_05preva_view43[[#This Row],[Colo Rev]]&gt;0," Rev "&amp;_05preva_view43[[#This Row],[Colo Rev]],""),".xlsx")</f>
        <v>1-03-06008-014 (TNY00361) Application Rev .xlsx</v>
      </c>
      <c r="BE150" s="64">
        <f t="shared" ca="1" si="4"/>
        <v>50</v>
      </c>
      <c r="BF150" s="104" t="str">
        <f ca="1">LEFT(CELL("filename",A135),_05preva_view43[[#This Row],[Find Process &amp; Database]]-1)</f>
        <v>D:\OneDrive - apollo-towers.com\Apollo Towers\00-</v>
      </c>
      <c r="BG150" s="104" t="str">
        <f ca="1">_05preva_view43[Folder Path1]&amp;"Process &amp; Database\Documentation\Colo Applications"</f>
        <v>D:\OneDrive - apollo-towers.com\Apollo Towers\00-Process &amp; Database\Documentation\Colo Applications</v>
      </c>
      <c r="BH15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50" s="63" t="str">
        <f ca="1">_05preva_view43[[#This Row],[Folder Path3]]&amp;_05preva_view43[[#This Row],[File Name]]</f>
        <v>D:\OneDrive - apollo-towers.com\Apollo Towers\00-Process &amp; Database\Documentation\Colo Applications\Colo App MPT\1-03-06008-014 (TNY00361) Application Rev .xlsx</v>
      </c>
      <c r="BJ150" s="104"/>
      <c r="BK150" s="3"/>
      <c r="BL150" s="3"/>
      <c r="CJ150" s="5"/>
      <c r="CK150" s="5"/>
      <c r="CL150" s="3"/>
      <c r="CN150" s="5"/>
      <c r="CR150" s="3"/>
      <c r="CS150" s="3"/>
      <c r="CT150" s="5"/>
      <c r="CV150" s="3"/>
      <c r="DR150" s="5"/>
      <c r="DT150" s="3"/>
      <c r="EF150" s="7"/>
      <c r="EG150" s="7"/>
      <c r="EJ150" s="4"/>
      <c r="EK150" s="4"/>
      <c r="EU150" s="2"/>
      <c r="EV150" s="2"/>
    </row>
    <row r="151" spans="1:152">
      <c r="A151" s="287">
        <v>3477</v>
      </c>
      <c r="B151" s="288" t="s">
        <v>288</v>
      </c>
      <c r="C151" s="288" t="s">
        <v>116</v>
      </c>
      <c r="D151" s="288" t="s">
        <v>127</v>
      </c>
      <c r="E151" s="288" t="s">
        <v>1193</v>
      </c>
      <c r="F151" s="288" t="s">
        <v>41</v>
      </c>
      <c r="G151" s="288" t="s">
        <v>1129</v>
      </c>
      <c r="H151" s="288" t="s">
        <v>1037</v>
      </c>
      <c r="I151" s="288" t="s">
        <v>880</v>
      </c>
      <c r="J151" s="288" t="s">
        <v>677</v>
      </c>
      <c r="K151" s="289">
        <v>43440</v>
      </c>
      <c r="L151" s="290"/>
      <c r="M151" s="290">
        <v>2</v>
      </c>
      <c r="N151" s="288">
        <v>3</v>
      </c>
      <c r="O151" s="288" t="s">
        <v>119</v>
      </c>
      <c r="P151" s="291" t="s">
        <v>281</v>
      </c>
      <c r="Q151" s="291" t="s">
        <v>220</v>
      </c>
      <c r="R151" s="288" t="s">
        <v>24</v>
      </c>
      <c r="S151" s="288"/>
      <c r="T151" s="292" t="s">
        <v>615</v>
      </c>
      <c r="U151" s="288" t="s">
        <v>1449</v>
      </c>
      <c r="V151" s="292" t="s">
        <v>120</v>
      </c>
      <c r="W151" s="288"/>
      <c r="X151" s="292" t="s">
        <v>120</v>
      </c>
      <c r="Y151" s="288" t="s">
        <v>1194</v>
      </c>
      <c r="Z151" s="293" t="s">
        <v>120</v>
      </c>
      <c r="AA151" s="294"/>
      <c r="AB151" s="294"/>
      <c r="AC151" s="295" t="s">
        <v>123</v>
      </c>
      <c r="AD151" s="288" t="s">
        <v>1195</v>
      </c>
      <c r="AE151" s="292" t="s">
        <v>120</v>
      </c>
      <c r="AF151" s="289" t="s">
        <v>904</v>
      </c>
      <c r="AG151" s="296"/>
      <c r="AH151" s="296"/>
      <c r="AI151" s="288" t="s">
        <v>1134</v>
      </c>
      <c r="AJ151" s="292" t="s">
        <v>120</v>
      </c>
      <c r="AK151" s="288" t="s">
        <v>123</v>
      </c>
      <c r="AL151" s="288" t="s">
        <v>1135</v>
      </c>
      <c r="AM151" s="292"/>
      <c r="AN151" s="288"/>
      <c r="AO151" s="288"/>
      <c r="AP151" s="297"/>
      <c r="AQ151" s="288"/>
      <c r="AR151" s="292"/>
      <c r="AS151" s="288"/>
      <c r="AT151" s="289">
        <v>43440.497927893499</v>
      </c>
      <c r="AU151" s="289">
        <v>43444.680405555599</v>
      </c>
      <c r="AV151" s="289">
        <v>43441.421344907401</v>
      </c>
      <c r="AW151" s="289">
        <v>43440.497927893499</v>
      </c>
      <c r="AX151" s="289"/>
      <c r="AY151" s="289">
        <v>43444.668278240701</v>
      </c>
      <c r="AZ151" s="298">
        <v>43482.756292245402</v>
      </c>
      <c r="BA15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42.75629224540171</v>
      </c>
      <c r="BB151" s="300">
        <f>COUNTIFS(_05preva_view43[Site ID],_05preva_view43[[#This Row],[Site ID]],_05preva_view43[Prevalidation Status],"Under Prevalidation")</f>
        <v>0</v>
      </c>
      <c r="BC15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1" s="302" t="str">
        <f>CONCATENATE(_05preva_view43[[#This Row],[Site ID]]," (",_05preva_view43[[#This Row],[tenant id]],") Application",IF(_05preva_view43[[#This Row],[Colo Rev]]&gt;0," Rev "&amp;_05preva_view43[[#This Row],[Colo Rev]],""),".xlsx")</f>
        <v>ANMD_0004 (MDYAMTZ010) Application Rev 0.xlsx</v>
      </c>
      <c r="BE151" s="64">
        <f t="shared" ca="1" si="4"/>
        <v>50</v>
      </c>
      <c r="BF151" s="104" t="str">
        <f ca="1">LEFT(CELL("filename",A136),_05preva_view43[[#This Row],[Find Process &amp; Database]]-1)</f>
        <v>D:\OneDrive - apollo-towers.com\Apollo Towers\00-</v>
      </c>
      <c r="BG151" s="104" t="str">
        <f ca="1">_05preva_view43[Folder Path1]&amp;"Process &amp; Database\Documentation\Colo Applications"</f>
        <v>D:\OneDrive - apollo-towers.com\Apollo Towers\00-Process &amp; Database\Documentation\Colo Applications</v>
      </c>
      <c r="BH15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1" s="63" t="str">
        <f ca="1">_05preva_view43[[#This Row],[Folder Path3]]&amp;_05preva_view43[[#This Row],[File Name]]</f>
        <v>D:\OneDrive - apollo-towers.com\Apollo Towers\00-Process &amp; Database\Documentation\Colo Applications\Colo App Amara\ANMD_0004 (MDYAMTZ010) Application Rev 0.xlsx</v>
      </c>
      <c r="BJ151" s="104"/>
      <c r="BK151" s="3"/>
      <c r="BL151" s="3"/>
      <c r="CJ151" s="5"/>
      <c r="CK151" s="5"/>
      <c r="CL151" s="3"/>
      <c r="CN151" s="5"/>
      <c r="CR151" s="3"/>
      <c r="CS151" s="3"/>
      <c r="CT151" s="5"/>
      <c r="CV151" s="3"/>
      <c r="DR151" s="5"/>
      <c r="DT151" s="3"/>
      <c r="EF151" s="7"/>
      <c r="EG151" s="7"/>
      <c r="EJ151" s="4"/>
      <c r="EK151" s="4"/>
      <c r="EU151" s="2"/>
      <c r="EV151" s="2"/>
    </row>
    <row r="152" spans="1:152">
      <c r="A152" s="287">
        <v>3478</v>
      </c>
      <c r="B152" s="288" t="s">
        <v>1196</v>
      </c>
      <c r="C152" s="288" t="s">
        <v>116</v>
      </c>
      <c r="D152" s="288" t="s">
        <v>127</v>
      </c>
      <c r="E152" s="288" t="s">
        <v>1197</v>
      </c>
      <c r="F152" s="288" t="s">
        <v>41</v>
      </c>
      <c r="G152" s="288" t="s">
        <v>1129</v>
      </c>
      <c r="H152" s="288" t="s">
        <v>1037</v>
      </c>
      <c r="I152" s="288" t="s">
        <v>880</v>
      </c>
      <c r="J152" s="288" t="s">
        <v>677</v>
      </c>
      <c r="K152" s="289">
        <v>43440</v>
      </c>
      <c r="L152" s="290"/>
      <c r="M152" s="290">
        <v>2</v>
      </c>
      <c r="N152" s="288">
        <v>3</v>
      </c>
      <c r="O152" s="288" t="s">
        <v>119</v>
      </c>
      <c r="P152" s="291" t="s">
        <v>280</v>
      </c>
      <c r="Q152" s="291" t="s">
        <v>281</v>
      </c>
      <c r="R152" s="288" t="s">
        <v>24</v>
      </c>
      <c r="S152" s="288"/>
      <c r="T152" s="292" t="s">
        <v>120</v>
      </c>
      <c r="U152" s="288" t="s">
        <v>1447</v>
      </c>
      <c r="V152" s="292" t="s">
        <v>120</v>
      </c>
      <c r="W152" s="288"/>
      <c r="X152" s="292" t="s">
        <v>120</v>
      </c>
      <c r="Y152" s="288" t="s">
        <v>1198</v>
      </c>
      <c r="Z152" s="293" t="s">
        <v>120</v>
      </c>
      <c r="AA152" s="294"/>
      <c r="AB152" s="294"/>
      <c r="AC152" s="295" t="s">
        <v>123</v>
      </c>
      <c r="AD152" s="288" t="s">
        <v>1199</v>
      </c>
      <c r="AE152" s="292" t="s">
        <v>120</v>
      </c>
      <c r="AF152" s="289" t="s">
        <v>904</v>
      </c>
      <c r="AG152" s="296"/>
      <c r="AH152" s="296"/>
      <c r="AI152" s="288" t="s">
        <v>1134</v>
      </c>
      <c r="AJ152" s="292" t="s">
        <v>120</v>
      </c>
      <c r="AK152" s="288" t="s">
        <v>123</v>
      </c>
      <c r="AL152" s="288" t="s">
        <v>1135</v>
      </c>
      <c r="AM152" s="292"/>
      <c r="AN152" s="288"/>
      <c r="AO152" s="288"/>
      <c r="AP152" s="297"/>
      <c r="AQ152" s="288"/>
      <c r="AR152" s="292"/>
      <c r="AS152" s="288"/>
      <c r="AT152" s="289">
        <v>43440.4979290509</v>
      </c>
      <c r="AU152" s="289">
        <v>43444.680409375003</v>
      </c>
      <c r="AV152" s="289">
        <v>43441.421349768498</v>
      </c>
      <c r="AW152" s="289">
        <v>43440.4979290509</v>
      </c>
      <c r="AX152" s="289">
        <v>43460.604108217602</v>
      </c>
      <c r="AY152" s="289">
        <v>43444.668279166697</v>
      </c>
      <c r="AZ152" s="298">
        <v>43475.681592013898</v>
      </c>
      <c r="BA15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35.681592013897898</v>
      </c>
      <c r="BB152" s="300">
        <f>COUNTIFS(_05preva_view43[Site ID],_05preva_view43[[#This Row],[Site ID]],_05preva_view43[Prevalidation Status],"Under Prevalidation")</f>
        <v>0</v>
      </c>
      <c r="BC15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2" s="302" t="str">
        <f>CONCATENATE(_05preva_view43[[#This Row],[Site ID]]," (",_05preva_view43[[#This Row],[tenant id]],") Application",IF(_05preva_view43[[#This Row],[Colo Rev]]&gt;0," Rev "&amp;_05preva_view43[[#This Row],[Colo Rev]],""),".xlsx")</f>
        <v>ANMD_0173 (MDYPGTG007) Application Rev 0.xlsx</v>
      </c>
      <c r="BE152" s="64">
        <f t="shared" ca="1" si="4"/>
        <v>50</v>
      </c>
      <c r="BF152" s="104" t="str">
        <f ca="1">LEFT(CELL("filename",A137),_05preva_view43[[#This Row],[Find Process &amp; Database]]-1)</f>
        <v>D:\OneDrive - apollo-towers.com\Apollo Towers\00-</v>
      </c>
      <c r="BG152" s="104" t="str">
        <f ca="1">_05preva_view43[Folder Path1]&amp;"Process &amp; Database\Documentation\Colo Applications"</f>
        <v>D:\OneDrive - apollo-towers.com\Apollo Towers\00-Process &amp; Database\Documentation\Colo Applications</v>
      </c>
      <c r="BH15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2" s="63" t="str">
        <f ca="1">_05preva_view43[[#This Row],[Folder Path3]]&amp;_05preva_view43[[#This Row],[File Name]]</f>
        <v>D:\OneDrive - apollo-towers.com\Apollo Towers\00-Process &amp; Database\Documentation\Colo Applications\Colo App Amara\ANMD_0173 (MDYPGTG007) Application Rev 0.xlsx</v>
      </c>
      <c r="BJ152" s="104"/>
      <c r="BK152" s="3"/>
      <c r="BL152" s="3"/>
      <c r="CJ152" s="5"/>
      <c r="CK152" s="5"/>
      <c r="CL152" s="3"/>
      <c r="CN152" s="5"/>
      <c r="CR152" s="3"/>
      <c r="CS152" s="3"/>
      <c r="CT152" s="5"/>
      <c r="CV152" s="3"/>
      <c r="DR152" s="5"/>
      <c r="DT152" s="3"/>
      <c r="EF152" s="7"/>
      <c r="EG152" s="7"/>
      <c r="EJ152" s="4"/>
      <c r="EK152" s="4"/>
      <c r="EU152" s="2"/>
      <c r="EV152" s="2"/>
    </row>
    <row r="153" spans="1:152">
      <c r="A153" s="287">
        <v>3479</v>
      </c>
      <c r="B153" s="288" t="s">
        <v>463</v>
      </c>
      <c r="C153" s="288" t="s">
        <v>116</v>
      </c>
      <c r="D153" s="288" t="s">
        <v>127</v>
      </c>
      <c r="E153" s="288" t="s">
        <v>1200</v>
      </c>
      <c r="F153" s="288" t="s">
        <v>41</v>
      </c>
      <c r="G153" s="288" t="s">
        <v>1129</v>
      </c>
      <c r="H153" s="288" t="s">
        <v>1037</v>
      </c>
      <c r="I153" s="288" t="s">
        <v>880</v>
      </c>
      <c r="J153" s="288" t="s">
        <v>677</v>
      </c>
      <c r="K153" s="289">
        <v>43440</v>
      </c>
      <c r="L153" s="290"/>
      <c r="M153" s="290">
        <v>2</v>
      </c>
      <c r="N153" s="288">
        <v>3</v>
      </c>
      <c r="O153" s="288" t="s">
        <v>119</v>
      </c>
      <c r="P153" s="291" t="s">
        <v>234</v>
      </c>
      <c r="Q153" s="291" t="s">
        <v>247</v>
      </c>
      <c r="R153" s="288" t="s">
        <v>24</v>
      </c>
      <c r="S153" s="288"/>
      <c r="T153" s="292" t="s">
        <v>120</v>
      </c>
      <c r="U153" s="288" t="s">
        <v>1408</v>
      </c>
      <c r="V153" s="292" t="s">
        <v>120</v>
      </c>
      <c r="W153" s="288"/>
      <c r="X153" s="292" t="s">
        <v>120</v>
      </c>
      <c r="Y153" s="288" t="s">
        <v>1201</v>
      </c>
      <c r="Z153" s="293" t="s">
        <v>120</v>
      </c>
      <c r="AA153" s="294"/>
      <c r="AB153" s="294"/>
      <c r="AC153" s="295" t="s">
        <v>123</v>
      </c>
      <c r="AD153" s="288" t="s">
        <v>1202</v>
      </c>
      <c r="AE153" s="292" t="s">
        <v>120</v>
      </c>
      <c r="AF153" s="289" t="s">
        <v>904</v>
      </c>
      <c r="AG153" s="296"/>
      <c r="AH153" s="296"/>
      <c r="AI153" s="288" t="s">
        <v>1134</v>
      </c>
      <c r="AJ153" s="292" t="s">
        <v>120</v>
      </c>
      <c r="AK153" s="288" t="s">
        <v>123</v>
      </c>
      <c r="AL153" s="288" t="s">
        <v>1135</v>
      </c>
      <c r="AM153" s="292"/>
      <c r="AN153" s="288"/>
      <c r="AO153" s="288"/>
      <c r="AP153" s="297"/>
      <c r="AQ153" s="288"/>
      <c r="AR153" s="292"/>
      <c r="AS153" s="288"/>
      <c r="AT153" s="289">
        <v>43440.497929976897</v>
      </c>
      <c r="AU153" s="289">
        <v>43444.680411574103</v>
      </c>
      <c r="AV153" s="289">
        <v>43441.421354861101</v>
      </c>
      <c r="AW153" s="289">
        <v>43440.497929976897</v>
      </c>
      <c r="AX153" s="289">
        <v>43460.604110185202</v>
      </c>
      <c r="AY153" s="289">
        <v>43444.668283796302</v>
      </c>
      <c r="AZ153" s="298">
        <v>43475.681592708301</v>
      </c>
      <c r="BA15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35.681592708300741</v>
      </c>
      <c r="BB153" s="300">
        <f>COUNTIFS(_05preva_view43[Site ID],_05preva_view43[[#This Row],[Site ID]],_05preva_view43[Prevalidation Status],"Under Prevalidation")</f>
        <v>0</v>
      </c>
      <c r="BC15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3" s="302" t="str">
        <f>CONCATENATE(_05preva_view43[[#This Row],[Site ID]]," (",_05preva_view43[[#This Row],[tenant id]],") Application",IF(_05preva_view43[[#This Row],[Colo Rev]]&gt;0," Rev "&amp;_05preva_view43[[#This Row],[Colo Rev]],""),".xlsx")</f>
        <v>ANMD_0164 (MDYPGTG010) Application Rev 0.xlsx</v>
      </c>
      <c r="BE153" s="64">
        <f t="shared" ca="1" si="4"/>
        <v>50</v>
      </c>
      <c r="BF153" s="104" t="str">
        <f ca="1">LEFT(CELL("filename",A138),_05preva_view43[[#This Row],[Find Process &amp; Database]]-1)</f>
        <v>D:\OneDrive - apollo-towers.com\Apollo Towers\00-</v>
      </c>
      <c r="BG153" s="104" t="str">
        <f ca="1">_05preva_view43[Folder Path1]&amp;"Process &amp; Database\Documentation\Colo Applications"</f>
        <v>D:\OneDrive - apollo-towers.com\Apollo Towers\00-Process &amp; Database\Documentation\Colo Applications</v>
      </c>
      <c r="BH15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3" s="63" t="str">
        <f ca="1">_05preva_view43[[#This Row],[Folder Path3]]&amp;_05preva_view43[[#This Row],[File Name]]</f>
        <v>D:\OneDrive - apollo-towers.com\Apollo Towers\00-Process &amp; Database\Documentation\Colo Applications\Colo App Amara\ANMD_0164 (MDYPGTG010) Application Rev 0.xlsx</v>
      </c>
      <c r="BJ153" s="104"/>
      <c r="BK153" s="3"/>
      <c r="BL153" s="3"/>
      <c r="CJ153" s="5"/>
      <c r="CK153" s="5"/>
      <c r="CL153" s="3"/>
      <c r="CN153" s="5"/>
      <c r="CR153" s="3"/>
      <c r="CS153" s="3"/>
      <c r="CT153" s="5"/>
      <c r="CV153" s="3"/>
      <c r="DR153" s="5"/>
      <c r="DT153" s="3"/>
      <c r="EF153" s="7"/>
      <c r="EG153" s="7"/>
      <c r="EJ153" s="4"/>
      <c r="EK153" s="4"/>
      <c r="EU153" s="2"/>
      <c r="EV153" s="2"/>
    </row>
    <row r="154" spans="1:152">
      <c r="A154" s="287">
        <v>3481</v>
      </c>
      <c r="B154" s="288" t="s">
        <v>1203</v>
      </c>
      <c r="C154" s="288" t="s">
        <v>278</v>
      </c>
      <c r="D154" s="288" t="s">
        <v>127</v>
      </c>
      <c r="E154" s="288" t="s">
        <v>1204</v>
      </c>
      <c r="F154" s="288" t="s">
        <v>41</v>
      </c>
      <c r="G154" s="288" t="s">
        <v>1129</v>
      </c>
      <c r="H154" s="288" t="s">
        <v>1037</v>
      </c>
      <c r="I154" s="288" t="s">
        <v>880</v>
      </c>
      <c r="J154" s="288" t="s">
        <v>677</v>
      </c>
      <c r="K154" s="289">
        <v>43440</v>
      </c>
      <c r="L154" s="290"/>
      <c r="M154" s="290">
        <v>2</v>
      </c>
      <c r="N154" s="288">
        <v>3</v>
      </c>
      <c r="O154" s="288" t="s">
        <v>119</v>
      </c>
      <c r="P154" s="291" t="s">
        <v>247</v>
      </c>
      <c r="Q154" s="291" t="s">
        <v>227</v>
      </c>
      <c r="R154" s="288" t="s">
        <v>24</v>
      </c>
      <c r="S154" s="288"/>
      <c r="T154" s="292" t="s">
        <v>120</v>
      </c>
      <c r="U154" s="288"/>
      <c r="V154" s="292" t="s">
        <v>120</v>
      </c>
      <c r="W154" s="288"/>
      <c r="X154" s="292" t="s">
        <v>120</v>
      </c>
      <c r="Y154" s="288" t="s">
        <v>1205</v>
      </c>
      <c r="Z154" s="293" t="s">
        <v>120</v>
      </c>
      <c r="AA154" s="294"/>
      <c r="AB154" s="294"/>
      <c r="AC154" s="295" t="s">
        <v>123</v>
      </c>
      <c r="AD154" s="288" t="s">
        <v>1206</v>
      </c>
      <c r="AE154" s="292" t="s">
        <v>120</v>
      </c>
      <c r="AF154" s="289" t="s">
        <v>904</v>
      </c>
      <c r="AG154" s="296"/>
      <c r="AH154" s="296"/>
      <c r="AI154" s="288" t="s">
        <v>1134</v>
      </c>
      <c r="AJ154" s="292" t="s">
        <v>120</v>
      </c>
      <c r="AK154" s="288" t="s">
        <v>206</v>
      </c>
      <c r="AL154" s="288" t="s">
        <v>1207</v>
      </c>
      <c r="AM154" s="292"/>
      <c r="AN154" s="288"/>
      <c r="AO154" s="288"/>
      <c r="AP154" s="297"/>
      <c r="AQ154" s="288"/>
      <c r="AR154" s="292"/>
      <c r="AS154" s="288"/>
      <c r="AT154" s="289">
        <v>43441.359249421301</v>
      </c>
      <c r="AU154" s="289">
        <v>43444.680417592601</v>
      </c>
      <c r="AV154" s="289">
        <v>43444.452038194402</v>
      </c>
      <c r="AW154" s="289">
        <v>43441.359249421301</v>
      </c>
      <c r="AX154" s="289">
        <v>43472.656799536999</v>
      </c>
      <c r="AY154" s="289">
        <v>43479.4084925926</v>
      </c>
      <c r="AZ154" s="298">
        <v>43479.610190277803</v>
      </c>
      <c r="BA15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39.610190277802758</v>
      </c>
      <c r="BB154" s="300">
        <f>COUNTIFS(_05preva_view43[Site ID],_05preva_view43[[#This Row],[Site ID]],_05preva_view43[Prevalidation Status],"Under Prevalidation")</f>
        <v>0</v>
      </c>
      <c r="BC15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4" s="302" t="str">
        <f>CONCATENATE(_05preva_view43[[#This Row],[Site ID]]," (",_05preva_view43[[#This Row],[tenant id]],") Application",IF(_05preva_view43[[#This Row],[Colo Rev]]&gt;0," Rev "&amp;_05preva_view43[[#This Row],[Colo Rev]],""),".xlsx")</f>
        <v>1-01-10006-004 (MDYAMPR005) Application Rev 0.xlsx</v>
      </c>
      <c r="BE154" s="64">
        <f t="shared" ca="1" si="4"/>
        <v>50</v>
      </c>
      <c r="BF154" s="104" t="str">
        <f ca="1">LEFT(CELL("filename",A139),_05preva_view43[[#This Row],[Find Process &amp; Database]]-1)</f>
        <v>D:\OneDrive - apollo-towers.com\Apollo Towers\00-</v>
      </c>
      <c r="BG154" s="104" t="str">
        <f ca="1">_05preva_view43[Folder Path1]&amp;"Process &amp; Database\Documentation\Colo Applications"</f>
        <v>D:\OneDrive - apollo-towers.com\Apollo Towers\00-Process &amp; Database\Documentation\Colo Applications</v>
      </c>
      <c r="BH15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4" s="63" t="str">
        <f ca="1">_05preva_view43[[#This Row],[Folder Path3]]&amp;_05preva_view43[[#This Row],[File Name]]</f>
        <v>D:\OneDrive - apollo-towers.com\Apollo Towers\00-Process &amp; Database\Documentation\Colo Applications\Colo App Amara\1-01-10006-004 (MDYAMPR005) Application Rev 0.xlsx</v>
      </c>
      <c r="BJ154" s="104"/>
      <c r="BK154" s="3"/>
      <c r="BL154" s="3"/>
      <c r="CJ154" s="5"/>
      <c r="CK154" s="5"/>
      <c r="CL154" s="3"/>
      <c r="CN154" s="5"/>
      <c r="CR154" s="3"/>
      <c r="CS154" s="3"/>
      <c r="CT154" s="5"/>
      <c r="CV154" s="3"/>
      <c r="DR154" s="5"/>
      <c r="DT154" s="3"/>
      <c r="EF154" s="7"/>
      <c r="EG154" s="7"/>
      <c r="EJ154" s="4"/>
      <c r="EK154" s="4"/>
      <c r="EU154" s="2"/>
      <c r="EV154" s="2"/>
    </row>
    <row r="155" spans="1:152">
      <c r="A155" s="287">
        <v>3462</v>
      </c>
      <c r="B155" s="288" t="s">
        <v>1127</v>
      </c>
      <c r="C155" s="288" t="s">
        <v>116</v>
      </c>
      <c r="D155" s="288" t="s">
        <v>127</v>
      </c>
      <c r="E155" s="288" t="s">
        <v>1128</v>
      </c>
      <c r="F155" s="288" t="s">
        <v>41</v>
      </c>
      <c r="G155" s="288" t="s">
        <v>1129</v>
      </c>
      <c r="H155" s="288" t="s">
        <v>1037</v>
      </c>
      <c r="I155" s="288" t="s">
        <v>880</v>
      </c>
      <c r="J155" s="288" t="s">
        <v>677</v>
      </c>
      <c r="K155" s="289">
        <v>43437</v>
      </c>
      <c r="L155" s="290"/>
      <c r="M155" s="290">
        <v>2</v>
      </c>
      <c r="N155" s="288">
        <v>3</v>
      </c>
      <c r="O155" s="288" t="s">
        <v>119</v>
      </c>
      <c r="P155" s="291" t="s">
        <v>228</v>
      </c>
      <c r="Q155" s="291" t="s">
        <v>284</v>
      </c>
      <c r="R155" s="288" t="s">
        <v>24</v>
      </c>
      <c r="S155" s="288"/>
      <c r="T155" s="292" t="s">
        <v>120</v>
      </c>
      <c r="U155" s="288" t="s">
        <v>1130</v>
      </c>
      <c r="V155" s="292" t="s">
        <v>120</v>
      </c>
      <c r="W155" s="288"/>
      <c r="X155" s="292" t="s">
        <v>120</v>
      </c>
      <c r="Y155" s="288" t="s">
        <v>1131</v>
      </c>
      <c r="Z155" s="293" t="s">
        <v>120</v>
      </c>
      <c r="AA155" s="294"/>
      <c r="AB155" s="294"/>
      <c r="AC155" s="295" t="s">
        <v>123</v>
      </c>
      <c r="AD155" s="288" t="s">
        <v>1132</v>
      </c>
      <c r="AE155" s="292" t="s">
        <v>120</v>
      </c>
      <c r="AF155" s="289" t="s">
        <v>1133</v>
      </c>
      <c r="AG155" s="296"/>
      <c r="AH155" s="296"/>
      <c r="AI155" s="288" t="s">
        <v>1134</v>
      </c>
      <c r="AJ155" s="292" t="s">
        <v>120</v>
      </c>
      <c r="AK155" s="288" t="s">
        <v>123</v>
      </c>
      <c r="AL155" s="288" t="s">
        <v>1135</v>
      </c>
      <c r="AM155" s="292"/>
      <c r="AN155" s="288"/>
      <c r="AO155" s="288"/>
      <c r="AP155" s="297"/>
      <c r="AQ155" s="288"/>
      <c r="AR155" s="292"/>
      <c r="AS155" s="288"/>
      <c r="AT155" s="289">
        <v>43437.721829861097</v>
      </c>
      <c r="AU155" s="289">
        <v>43439.507182986097</v>
      </c>
      <c r="AV155" s="289">
        <v>43438.692452314797</v>
      </c>
      <c r="AW155" s="289">
        <v>43438.482049189799</v>
      </c>
      <c r="AX155" s="289">
        <v>43438.738735648098</v>
      </c>
      <c r="AY155" s="289">
        <v>43437.702622222198</v>
      </c>
      <c r="AZ155" s="298">
        <v>43441.389728009301</v>
      </c>
      <c r="BA15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4.3897280093005975</v>
      </c>
      <c r="BB155" s="300">
        <f>COUNTIFS(_05preva_view43[Site ID],_05preva_view43[[#This Row],[Site ID]],_05preva_view43[Prevalidation Status],"Under Prevalidation")</f>
        <v>0</v>
      </c>
      <c r="BC15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5" s="302" t="str">
        <f>CONCATENATE(_05preva_view43[[#This Row],[Site ID]]," (",_05preva_view43[[#This Row],[tenant id]],") Application",IF(_05preva_view43[[#This Row],[Colo Rev]]&gt;0," Rev "&amp;_05preva_view43[[#This Row],[Colo Rev]],""),".xlsx")</f>
        <v>ANMD_0069 (MDYAMPR004) Application Rev 0.xlsx</v>
      </c>
      <c r="BE155" s="64">
        <f t="shared" ca="1" si="4"/>
        <v>50</v>
      </c>
      <c r="BF155" s="104" t="str">
        <f ca="1">LEFT(CELL("filename",A140),_05preva_view43[[#This Row],[Find Process &amp; Database]]-1)</f>
        <v>D:\OneDrive - apollo-towers.com\Apollo Towers\00-</v>
      </c>
      <c r="BG155" s="104" t="str">
        <f ca="1">_05preva_view43[Folder Path1]&amp;"Process &amp; Database\Documentation\Colo Applications"</f>
        <v>D:\OneDrive - apollo-towers.com\Apollo Towers\00-Process &amp; Database\Documentation\Colo Applications</v>
      </c>
      <c r="BH15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5" s="63" t="str">
        <f ca="1">_05preva_view43[[#This Row],[Folder Path3]]&amp;_05preva_view43[[#This Row],[File Name]]</f>
        <v>D:\OneDrive - apollo-towers.com\Apollo Towers\00-Process &amp; Database\Documentation\Colo Applications\Colo App Amara\ANMD_0069 (MDYAMPR004) Application Rev 0.xlsx</v>
      </c>
      <c r="BJ155" s="104"/>
      <c r="BK155" s="3"/>
      <c r="BL155" s="3"/>
      <c r="CJ155" s="5"/>
      <c r="CK155" s="5"/>
      <c r="CL155" s="3"/>
      <c r="CN155" s="5"/>
      <c r="CR155" s="3"/>
      <c r="CS155" s="3"/>
      <c r="CT155" s="5"/>
      <c r="CV155" s="3"/>
      <c r="DR155" s="5"/>
      <c r="DT155" s="3"/>
      <c r="EF155" s="7"/>
      <c r="EG155" s="7"/>
      <c r="EJ155" s="4"/>
      <c r="EK155" s="4"/>
      <c r="EU155" s="2"/>
      <c r="EV155" s="2"/>
    </row>
    <row r="156" spans="1:152">
      <c r="A156" s="287">
        <v>3463</v>
      </c>
      <c r="B156" s="288" t="s">
        <v>1136</v>
      </c>
      <c r="C156" s="288" t="s">
        <v>116</v>
      </c>
      <c r="D156" s="288" t="s">
        <v>127</v>
      </c>
      <c r="E156" s="288" t="s">
        <v>1137</v>
      </c>
      <c r="F156" s="288" t="s">
        <v>41</v>
      </c>
      <c r="G156" s="288" t="s">
        <v>1129</v>
      </c>
      <c r="H156" s="288" t="s">
        <v>1037</v>
      </c>
      <c r="I156" s="288" t="s">
        <v>880</v>
      </c>
      <c r="J156" s="288" t="s">
        <v>677</v>
      </c>
      <c r="K156" s="289">
        <v>43437</v>
      </c>
      <c r="L156" s="290"/>
      <c r="M156" s="290">
        <v>1.9</v>
      </c>
      <c r="N156" s="288">
        <v>3</v>
      </c>
      <c r="O156" s="288" t="s">
        <v>119</v>
      </c>
      <c r="P156" s="291" t="s">
        <v>246</v>
      </c>
      <c r="Q156" s="291" t="s">
        <v>247</v>
      </c>
      <c r="R156" s="288" t="s">
        <v>24</v>
      </c>
      <c r="S156" s="288"/>
      <c r="T156" s="292" t="s">
        <v>120</v>
      </c>
      <c r="U156" s="288" t="s">
        <v>1130</v>
      </c>
      <c r="V156" s="292" t="s">
        <v>120</v>
      </c>
      <c r="W156" s="288"/>
      <c r="X156" s="292" t="s">
        <v>120</v>
      </c>
      <c r="Y156" s="288" t="s">
        <v>1138</v>
      </c>
      <c r="Z156" s="293" t="s">
        <v>120</v>
      </c>
      <c r="AA156" s="294"/>
      <c r="AB156" s="294"/>
      <c r="AC156" s="295" t="s">
        <v>123</v>
      </c>
      <c r="AD156" s="288" t="s">
        <v>1139</v>
      </c>
      <c r="AE156" s="292" t="s">
        <v>120</v>
      </c>
      <c r="AF156" s="289" t="s">
        <v>1133</v>
      </c>
      <c r="AG156" s="296"/>
      <c r="AH156" s="296"/>
      <c r="AI156" s="288" t="s">
        <v>1134</v>
      </c>
      <c r="AJ156" s="292" t="s">
        <v>120</v>
      </c>
      <c r="AK156" s="288" t="s">
        <v>123</v>
      </c>
      <c r="AL156" s="288" t="s">
        <v>1135</v>
      </c>
      <c r="AM156" s="292"/>
      <c r="AN156" s="288"/>
      <c r="AO156" s="288"/>
      <c r="AP156" s="297"/>
      <c r="AQ156" s="288"/>
      <c r="AR156" s="292"/>
      <c r="AS156" s="288"/>
      <c r="AT156" s="289">
        <v>43437.721831481504</v>
      </c>
      <c r="AU156" s="289">
        <v>43439.507184027803</v>
      </c>
      <c r="AV156" s="289">
        <v>43438.692453124997</v>
      </c>
      <c r="AW156" s="289">
        <v>43438.482050694402</v>
      </c>
      <c r="AX156" s="289">
        <v>43438.738740046298</v>
      </c>
      <c r="AY156" s="289">
        <v>43437.702622569399</v>
      </c>
      <c r="AZ156" s="298">
        <v>43441.389728472197</v>
      </c>
      <c r="BA15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4.3897284721970209</v>
      </c>
      <c r="BB156" s="300">
        <f>COUNTIFS(_05preva_view43[Site ID],_05preva_view43[[#This Row],[Site ID]],_05preva_view43[Prevalidation Status],"Under Prevalidation")</f>
        <v>0</v>
      </c>
      <c r="BC15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6" s="302" t="str">
        <f>CONCATENATE(_05preva_view43[[#This Row],[Site ID]]," (",_05preva_view43[[#This Row],[tenant id]],") Application",IF(_05preva_view43[[#This Row],[Colo Rev]]&gt;0," Rev "&amp;_05preva_view43[[#This Row],[Colo Rev]],""),".xlsx")</f>
        <v>ANMD_0066 (MDYAMPR011) Application Rev 0.xlsx</v>
      </c>
      <c r="BE156" s="64">
        <f t="shared" ca="1" si="4"/>
        <v>50</v>
      </c>
      <c r="BF156" s="104" t="str">
        <f ca="1">LEFT(CELL("filename",A141),_05preva_view43[[#This Row],[Find Process &amp; Database]]-1)</f>
        <v>D:\OneDrive - apollo-towers.com\Apollo Towers\00-</v>
      </c>
      <c r="BG156" s="104" t="str">
        <f ca="1">_05preva_view43[Folder Path1]&amp;"Process &amp; Database\Documentation\Colo Applications"</f>
        <v>D:\OneDrive - apollo-towers.com\Apollo Towers\00-Process &amp; Database\Documentation\Colo Applications</v>
      </c>
      <c r="BH15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6" s="63" t="str">
        <f ca="1">_05preva_view43[[#This Row],[Folder Path3]]&amp;_05preva_view43[[#This Row],[File Name]]</f>
        <v>D:\OneDrive - apollo-towers.com\Apollo Towers\00-Process &amp; Database\Documentation\Colo Applications\Colo App Amara\ANMD_0066 (MDYAMPR011) Application Rev 0.xlsx</v>
      </c>
      <c r="BJ156" s="104"/>
      <c r="BK156" s="3"/>
      <c r="BL156" s="3"/>
      <c r="CJ156" s="5"/>
      <c r="CK156" s="5"/>
      <c r="CL156" s="3"/>
      <c r="CN156" s="5"/>
      <c r="CR156" s="3"/>
      <c r="CS156" s="3"/>
      <c r="CT156" s="5"/>
      <c r="CV156" s="3"/>
      <c r="DR156" s="5"/>
      <c r="DT156" s="3"/>
      <c r="EF156" s="7"/>
      <c r="EG156" s="7"/>
      <c r="EJ156" s="4"/>
      <c r="EK156" s="4"/>
      <c r="EU156" s="2"/>
      <c r="EV156" s="2"/>
    </row>
    <row r="157" spans="1:152">
      <c r="A157" s="287">
        <v>3464</v>
      </c>
      <c r="B157" s="288" t="s">
        <v>1140</v>
      </c>
      <c r="C157" s="288" t="s">
        <v>116</v>
      </c>
      <c r="D157" s="288" t="s">
        <v>127</v>
      </c>
      <c r="E157" s="288" t="s">
        <v>1141</v>
      </c>
      <c r="F157" s="288" t="s">
        <v>41</v>
      </c>
      <c r="G157" s="288" t="s">
        <v>1129</v>
      </c>
      <c r="H157" s="288" t="s">
        <v>1037</v>
      </c>
      <c r="I157" s="288" t="s">
        <v>880</v>
      </c>
      <c r="J157" s="288" t="s">
        <v>677</v>
      </c>
      <c r="K157" s="289">
        <v>43437</v>
      </c>
      <c r="L157" s="290"/>
      <c r="M157" s="290">
        <v>2.5</v>
      </c>
      <c r="N157" s="288">
        <v>3</v>
      </c>
      <c r="O157" s="288" t="s">
        <v>119</v>
      </c>
      <c r="P157" s="291" t="s">
        <v>246</v>
      </c>
      <c r="Q157" s="291" t="s">
        <v>247</v>
      </c>
      <c r="R157" s="288" t="s">
        <v>24</v>
      </c>
      <c r="S157" s="288"/>
      <c r="T157" s="292" t="s">
        <v>120</v>
      </c>
      <c r="U157" s="288" t="s">
        <v>1130</v>
      </c>
      <c r="V157" s="292" t="s">
        <v>120</v>
      </c>
      <c r="W157" s="288"/>
      <c r="X157" s="292" t="s">
        <v>120</v>
      </c>
      <c r="Y157" s="288" t="s">
        <v>1142</v>
      </c>
      <c r="Z157" s="293" t="s">
        <v>120</v>
      </c>
      <c r="AA157" s="294"/>
      <c r="AB157" s="294"/>
      <c r="AC157" s="295" t="s">
        <v>123</v>
      </c>
      <c r="AD157" s="288" t="s">
        <v>1143</v>
      </c>
      <c r="AE157" s="292" t="s">
        <v>120</v>
      </c>
      <c r="AF157" s="289" t="s">
        <v>1133</v>
      </c>
      <c r="AG157" s="296"/>
      <c r="AH157" s="296"/>
      <c r="AI157" s="288" t="s">
        <v>1144</v>
      </c>
      <c r="AJ157" s="292" t="s">
        <v>120</v>
      </c>
      <c r="AK157" s="288" t="s">
        <v>123</v>
      </c>
      <c r="AL157" s="288" t="s">
        <v>1135</v>
      </c>
      <c r="AM157" s="292"/>
      <c r="AN157" s="288"/>
      <c r="AO157" s="288"/>
      <c r="AP157" s="297"/>
      <c r="AQ157" s="288"/>
      <c r="AR157" s="292"/>
      <c r="AS157" s="288"/>
      <c r="AT157" s="289">
        <v>43437.721833217598</v>
      </c>
      <c r="AU157" s="289">
        <v>43439.507185532399</v>
      </c>
      <c r="AV157" s="289">
        <v>43438.692454861099</v>
      </c>
      <c r="AW157" s="289">
        <v>43438.482052314801</v>
      </c>
      <c r="AX157" s="289">
        <v>43438.738743634298</v>
      </c>
      <c r="AY157" s="289">
        <v>43437.702624189798</v>
      </c>
      <c r="AZ157" s="298">
        <v>43441.389729976901</v>
      </c>
      <c r="BA15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4.3897299769014353</v>
      </c>
      <c r="BB157" s="300">
        <f>COUNTIFS(_05preva_view43[Site ID],_05preva_view43[[#This Row],[Site ID]],_05preva_view43[Prevalidation Status],"Under Prevalidation")</f>
        <v>0</v>
      </c>
      <c r="BC15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7" s="302" t="str">
        <f>CONCATENATE(_05preva_view43[[#This Row],[Site ID]]," (",_05preva_view43[[#This Row],[tenant id]],") Application",IF(_05preva_view43[[#This Row],[Colo Rev]]&gt;0," Rev "&amp;_05preva_view43[[#This Row],[Colo Rev]],""),".xlsx")</f>
        <v>ANMD_0067 (MDYAMPR012) Application Rev 0.xlsx</v>
      </c>
      <c r="BE157" s="64">
        <f t="shared" ca="1" si="4"/>
        <v>50</v>
      </c>
      <c r="BF157" s="104" t="str">
        <f ca="1">LEFT(CELL("filename",A142),_05preva_view43[[#This Row],[Find Process &amp; Database]]-1)</f>
        <v>D:\OneDrive - apollo-towers.com\Apollo Towers\00-</v>
      </c>
      <c r="BG157" s="104" t="str">
        <f ca="1">_05preva_view43[Folder Path1]&amp;"Process &amp; Database\Documentation\Colo Applications"</f>
        <v>D:\OneDrive - apollo-towers.com\Apollo Towers\00-Process &amp; Database\Documentation\Colo Applications</v>
      </c>
      <c r="BH157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7" s="63" t="str">
        <f ca="1">_05preva_view43[[#This Row],[Folder Path3]]&amp;_05preva_view43[[#This Row],[File Name]]</f>
        <v>D:\OneDrive - apollo-towers.com\Apollo Towers\00-Process &amp; Database\Documentation\Colo Applications\Colo App Amara\ANMD_0067 (MDYAMPR012) Application Rev 0.xlsx</v>
      </c>
      <c r="BJ157" s="104"/>
      <c r="BK157" s="3"/>
      <c r="BL157" s="3"/>
      <c r="CJ157" s="5"/>
      <c r="CK157" s="5"/>
      <c r="CL157" s="3"/>
      <c r="CN157" s="5"/>
      <c r="CR157" s="3"/>
      <c r="CS157" s="3"/>
      <c r="CT157" s="5"/>
      <c r="CV157" s="3"/>
      <c r="DR157" s="5"/>
      <c r="DT157" s="3"/>
      <c r="EF157" s="7"/>
      <c r="EG157" s="7"/>
      <c r="EJ157" s="4"/>
      <c r="EK157" s="4"/>
      <c r="EU157" s="2"/>
      <c r="EV157" s="2"/>
    </row>
    <row r="158" spans="1:152">
      <c r="A158" s="287">
        <v>3465</v>
      </c>
      <c r="B158" s="288" t="s">
        <v>1145</v>
      </c>
      <c r="C158" s="288" t="s">
        <v>116</v>
      </c>
      <c r="D158" s="288" t="s">
        <v>127</v>
      </c>
      <c r="E158" s="288" t="s">
        <v>1146</v>
      </c>
      <c r="F158" s="288" t="s">
        <v>41</v>
      </c>
      <c r="G158" s="288" t="s">
        <v>1129</v>
      </c>
      <c r="H158" s="288" t="s">
        <v>1037</v>
      </c>
      <c r="I158" s="288" t="s">
        <v>880</v>
      </c>
      <c r="J158" s="288" t="s">
        <v>677</v>
      </c>
      <c r="K158" s="289">
        <v>43437</v>
      </c>
      <c r="L158" s="290"/>
      <c r="M158" s="290">
        <v>2.5</v>
      </c>
      <c r="N158" s="288">
        <v>3</v>
      </c>
      <c r="O158" s="288" t="s">
        <v>119</v>
      </c>
      <c r="P158" s="291" t="s">
        <v>247</v>
      </c>
      <c r="Q158" s="291" t="s">
        <v>227</v>
      </c>
      <c r="R158" s="288" t="s">
        <v>24</v>
      </c>
      <c r="S158" s="288"/>
      <c r="T158" s="292" t="s">
        <v>120</v>
      </c>
      <c r="U158" s="288" t="s">
        <v>1147</v>
      </c>
      <c r="V158" s="292" t="s">
        <v>120</v>
      </c>
      <c r="W158" s="288"/>
      <c r="X158" s="292" t="s">
        <v>120</v>
      </c>
      <c r="Y158" s="288" t="s">
        <v>1148</v>
      </c>
      <c r="Z158" s="293" t="s">
        <v>120</v>
      </c>
      <c r="AA158" s="294"/>
      <c r="AB158" s="294"/>
      <c r="AC158" s="295" t="s">
        <v>123</v>
      </c>
      <c r="AD158" s="288" t="s">
        <v>1149</v>
      </c>
      <c r="AE158" s="292" t="s">
        <v>120</v>
      </c>
      <c r="AF158" s="289" t="s">
        <v>1133</v>
      </c>
      <c r="AG158" s="296"/>
      <c r="AH158" s="296"/>
      <c r="AI158" s="288" t="s">
        <v>1134</v>
      </c>
      <c r="AJ158" s="292" t="s">
        <v>120</v>
      </c>
      <c r="AK158" s="288" t="s">
        <v>123</v>
      </c>
      <c r="AL158" s="288" t="s">
        <v>1135</v>
      </c>
      <c r="AM158" s="292"/>
      <c r="AN158" s="288"/>
      <c r="AO158" s="288"/>
      <c r="AP158" s="297"/>
      <c r="AQ158" s="288"/>
      <c r="AR158" s="292"/>
      <c r="AS158" s="288"/>
      <c r="AT158" s="289">
        <v>43438.4820539352</v>
      </c>
      <c r="AU158" s="289">
        <v>43439.507186574097</v>
      </c>
      <c r="AV158" s="289">
        <v>43438.692456481498</v>
      </c>
      <c r="AW158" s="289">
        <v>43438.4820539352</v>
      </c>
      <c r="AX158" s="289">
        <v>43438.738747685202</v>
      </c>
      <c r="AY158" s="289">
        <v>43437.702625694401</v>
      </c>
      <c r="AZ158" s="298">
        <v>43441.389730902803</v>
      </c>
      <c r="BA15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4.3897309028034215</v>
      </c>
      <c r="BB158" s="300">
        <f>COUNTIFS(_05preva_view43[Site ID],_05preva_view43[[#This Row],[Site ID]],_05preva_view43[Prevalidation Status],"Under Prevalidation")</f>
        <v>0</v>
      </c>
      <c r="BC15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8" s="302" t="str">
        <f>CONCATENATE(_05preva_view43[[#This Row],[Site ID]]," (",_05preva_view43[[#This Row],[tenant id]],") Application",IF(_05preva_view43[[#This Row],[Colo Rev]]&gt;0," Rev "&amp;_05preva_view43[[#This Row],[Colo Rev]],""),".xlsx")</f>
        <v>ANMD_0070 (MDYAMPR013) Application Rev 0.xlsx</v>
      </c>
      <c r="BE158" s="64">
        <f t="shared" ca="1" si="4"/>
        <v>50</v>
      </c>
      <c r="BF158" s="104" t="str">
        <f ca="1">LEFT(CELL("filename",A143),_05preva_view43[[#This Row],[Find Process &amp; Database]]-1)</f>
        <v>D:\OneDrive - apollo-towers.com\Apollo Towers\00-</v>
      </c>
      <c r="BG158" s="104" t="str">
        <f ca="1">_05preva_view43[Folder Path1]&amp;"Process &amp; Database\Documentation\Colo Applications"</f>
        <v>D:\OneDrive - apollo-towers.com\Apollo Towers\00-Process &amp; Database\Documentation\Colo Applications</v>
      </c>
      <c r="BH15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8" s="63" t="str">
        <f ca="1">_05preva_view43[[#This Row],[Folder Path3]]&amp;_05preva_view43[[#This Row],[File Name]]</f>
        <v>D:\OneDrive - apollo-towers.com\Apollo Towers\00-Process &amp; Database\Documentation\Colo Applications\Colo App Amara\ANMD_0070 (MDYAMPR013) Application Rev 0.xlsx</v>
      </c>
      <c r="BJ158" s="104"/>
      <c r="BK158" s="3"/>
      <c r="BL158" s="3"/>
      <c r="CJ158" s="5"/>
      <c r="CK158" s="5"/>
      <c r="CL158" s="3"/>
      <c r="CN158" s="5"/>
      <c r="CR158" s="3"/>
      <c r="CS158" s="3"/>
      <c r="CT158" s="5"/>
      <c r="CV158" s="3"/>
      <c r="DR158" s="5"/>
      <c r="DT158" s="3"/>
      <c r="EF158" s="7"/>
      <c r="EG158" s="7"/>
      <c r="EJ158" s="4"/>
      <c r="EK158" s="4"/>
      <c r="EU158" s="2"/>
      <c r="EV158" s="2"/>
    </row>
    <row r="159" spans="1:152">
      <c r="A159" s="287">
        <v>3466</v>
      </c>
      <c r="B159" s="288" t="s">
        <v>1150</v>
      </c>
      <c r="C159" s="288" t="s">
        <v>116</v>
      </c>
      <c r="D159" s="288" t="s">
        <v>127</v>
      </c>
      <c r="E159" s="288" t="s">
        <v>1151</v>
      </c>
      <c r="F159" s="288" t="s">
        <v>41</v>
      </c>
      <c r="G159" s="288" t="s">
        <v>1129</v>
      </c>
      <c r="H159" s="288" t="s">
        <v>1037</v>
      </c>
      <c r="I159" s="288" t="s">
        <v>880</v>
      </c>
      <c r="J159" s="288" t="s">
        <v>677</v>
      </c>
      <c r="K159" s="289">
        <v>43437</v>
      </c>
      <c r="L159" s="290"/>
      <c r="M159" s="290">
        <v>2</v>
      </c>
      <c r="N159" s="288">
        <v>3</v>
      </c>
      <c r="O159" s="288" t="s">
        <v>119</v>
      </c>
      <c r="P159" s="291" t="s">
        <v>227</v>
      </c>
      <c r="Q159" s="291" t="s">
        <v>228</v>
      </c>
      <c r="R159" s="288" t="s">
        <v>24</v>
      </c>
      <c r="S159" s="288"/>
      <c r="T159" s="292" t="s">
        <v>120</v>
      </c>
      <c r="U159" s="288" t="s">
        <v>1147</v>
      </c>
      <c r="V159" s="292" t="s">
        <v>120</v>
      </c>
      <c r="W159" s="288"/>
      <c r="X159" s="292" t="s">
        <v>120</v>
      </c>
      <c r="Y159" s="288" t="s">
        <v>1152</v>
      </c>
      <c r="Z159" s="293" t="s">
        <v>120</v>
      </c>
      <c r="AA159" s="294"/>
      <c r="AB159" s="294"/>
      <c r="AC159" s="295" t="s">
        <v>123</v>
      </c>
      <c r="AD159" s="288" t="s">
        <v>1153</v>
      </c>
      <c r="AE159" s="292" t="s">
        <v>120</v>
      </c>
      <c r="AF159" s="289" t="s">
        <v>1133</v>
      </c>
      <c r="AG159" s="296"/>
      <c r="AH159" s="296"/>
      <c r="AI159" s="288" t="s">
        <v>1144</v>
      </c>
      <c r="AJ159" s="292" t="s">
        <v>120</v>
      </c>
      <c r="AK159" s="288" t="s">
        <v>123</v>
      </c>
      <c r="AL159" s="288" t="s">
        <v>1135</v>
      </c>
      <c r="AM159" s="292"/>
      <c r="AN159" s="288"/>
      <c r="AO159" s="288"/>
      <c r="AP159" s="297"/>
      <c r="AQ159" s="288"/>
      <c r="AR159" s="292"/>
      <c r="AS159" s="288"/>
      <c r="AT159" s="289">
        <v>43438.482055208297</v>
      </c>
      <c r="AU159" s="289">
        <v>43439.507187962998</v>
      </c>
      <c r="AV159" s="289">
        <v>43438.692457060199</v>
      </c>
      <c r="AW159" s="289">
        <v>43438.482055208297</v>
      </c>
      <c r="AX159" s="289">
        <v>43438.738751504599</v>
      </c>
      <c r="AY159" s="289">
        <v>43437.702626157399</v>
      </c>
      <c r="AZ159" s="298">
        <v>43441.389732523101</v>
      </c>
      <c r="BA15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4.3897325231009745</v>
      </c>
      <c r="BB159" s="300">
        <f>COUNTIFS(_05preva_view43[Site ID],_05preva_view43[[#This Row],[Site ID]],_05preva_view43[Prevalidation Status],"Under Prevalidation")</f>
        <v>0</v>
      </c>
      <c r="BC15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59" s="302" t="str">
        <f>CONCATENATE(_05preva_view43[[#This Row],[Site ID]]," (",_05preva_view43[[#This Row],[tenant id]],") Application",IF(_05preva_view43[[#This Row],[Colo Rev]]&gt;0," Rev "&amp;_05preva_view43[[#This Row],[Colo Rev]],""),".xlsx")</f>
        <v>ANMD_0071 (MDYAMPR014) Application Rev 0.xlsx</v>
      </c>
      <c r="BE159" s="64">
        <f t="shared" ca="1" si="4"/>
        <v>50</v>
      </c>
      <c r="BF159" s="104" t="str">
        <f ca="1">LEFT(CELL("filename",A144),_05preva_view43[[#This Row],[Find Process &amp; Database]]-1)</f>
        <v>D:\OneDrive - apollo-towers.com\Apollo Towers\00-</v>
      </c>
      <c r="BG159" s="104" t="str">
        <f ca="1">_05preva_view43[Folder Path1]&amp;"Process &amp; Database\Documentation\Colo Applications"</f>
        <v>D:\OneDrive - apollo-towers.com\Apollo Towers\00-Process &amp; Database\Documentation\Colo Applications</v>
      </c>
      <c r="BH15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59" s="63" t="str">
        <f ca="1">_05preva_view43[[#This Row],[Folder Path3]]&amp;_05preva_view43[[#This Row],[File Name]]</f>
        <v>D:\OneDrive - apollo-towers.com\Apollo Towers\00-Process &amp; Database\Documentation\Colo Applications\Colo App Amara\ANMD_0071 (MDYAMPR014) Application Rev 0.xlsx</v>
      </c>
      <c r="BJ159" s="104"/>
      <c r="BK159" s="3"/>
      <c r="BL159" s="3"/>
      <c r="CJ159" s="5"/>
      <c r="CK159" s="5"/>
      <c r="CL159" s="3"/>
      <c r="CN159" s="5"/>
      <c r="CR159" s="3"/>
      <c r="CS159" s="3"/>
      <c r="CT159" s="5"/>
      <c r="CV159" s="3"/>
      <c r="DR159" s="5"/>
      <c r="DT159" s="3"/>
      <c r="EF159" s="7"/>
      <c r="EG159" s="7"/>
      <c r="EJ159" s="4"/>
      <c r="EK159" s="4"/>
      <c r="EU159" s="2"/>
      <c r="EV159" s="2"/>
    </row>
    <row r="160" spans="1:152">
      <c r="A160" s="287">
        <v>3467</v>
      </c>
      <c r="B160" s="288" t="s">
        <v>1154</v>
      </c>
      <c r="C160" s="288" t="s">
        <v>116</v>
      </c>
      <c r="D160" s="288" t="s">
        <v>127</v>
      </c>
      <c r="E160" s="288" t="s">
        <v>1155</v>
      </c>
      <c r="F160" s="288" t="s">
        <v>41</v>
      </c>
      <c r="G160" s="288" t="s">
        <v>1129</v>
      </c>
      <c r="H160" s="288" t="s">
        <v>1037</v>
      </c>
      <c r="I160" s="288" t="s">
        <v>880</v>
      </c>
      <c r="J160" s="288" t="s">
        <v>677</v>
      </c>
      <c r="K160" s="289">
        <v>43437</v>
      </c>
      <c r="L160" s="290"/>
      <c r="M160" s="290">
        <v>2.5</v>
      </c>
      <c r="N160" s="288">
        <v>3</v>
      </c>
      <c r="O160" s="288" t="s">
        <v>119</v>
      </c>
      <c r="P160" s="291" t="s">
        <v>780</v>
      </c>
      <c r="Q160" s="291" t="s">
        <v>221</v>
      </c>
      <c r="R160" s="288" t="s">
        <v>24</v>
      </c>
      <c r="S160" s="288"/>
      <c r="T160" s="292" t="s">
        <v>120</v>
      </c>
      <c r="U160" s="288" t="s">
        <v>1147</v>
      </c>
      <c r="V160" s="292" t="s">
        <v>120</v>
      </c>
      <c r="W160" s="288"/>
      <c r="X160" s="292" t="s">
        <v>120</v>
      </c>
      <c r="Y160" s="288" t="s">
        <v>1156</v>
      </c>
      <c r="Z160" s="293" t="s">
        <v>120</v>
      </c>
      <c r="AA160" s="294"/>
      <c r="AB160" s="294"/>
      <c r="AC160" s="295" t="s">
        <v>123</v>
      </c>
      <c r="AD160" s="288" t="s">
        <v>1157</v>
      </c>
      <c r="AE160" s="292" t="s">
        <v>120</v>
      </c>
      <c r="AF160" s="289" t="s">
        <v>1133</v>
      </c>
      <c r="AG160" s="296"/>
      <c r="AH160" s="296"/>
      <c r="AI160" s="288" t="s">
        <v>1134</v>
      </c>
      <c r="AJ160" s="292" t="s">
        <v>120</v>
      </c>
      <c r="AK160" s="288" t="s">
        <v>123</v>
      </c>
      <c r="AL160" s="288" t="s">
        <v>1135</v>
      </c>
      <c r="AM160" s="292"/>
      <c r="AN160" s="288"/>
      <c r="AO160" s="288"/>
      <c r="AP160" s="297"/>
      <c r="AQ160" s="288"/>
      <c r="AR160" s="292"/>
      <c r="AS160" s="288"/>
      <c r="AT160" s="289">
        <v>43438.482056713001</v>
      </c>
      <c r="AU160" s="289">
        <v>43439.507189120399</v>
      </c>
      <c r="AV160" s="289">
        <v>43438.692457986101</v>
      </c>
      <c r="AW160" s="289">
        <v>43438.482056713001</v>
      </c>
      <c r="AX160" s="289">
        <v>43438.738754629601</v>
      </c>
      <c r="AY160" s="289">
        <v>43437.702628009298</v>
      </c>
      <c r="AZ160" s="298">
        <v>43441.389733217598</v>
      </c>
      <c r="BA16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4.3897332175984047</v>
      </c>
      <c r="BB160" s="300">
        <f>COUNTIFS(_05preva_view43[Site ID],_05preva_view43[[#This Row],[Site ID]],_05preva_view43[Prevalidation Status],"Under Prevalidation")</f>
        <v>0</v>
      </c>
      <c r="BC16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0" s="302" t="str">
        <f>CONCATENATE(_05preva_view43[[#This Row],[Site ID]]," (",_05preva_view43[[#This Row],[tenant id]],") Application",IF(_05preva_view43[[#This Row],[Colo Rev]]&gt;0," Rev "&amp;_05preva_view43[[#This Row],[Colo Rev]],""),".xlsx")</f>
        <v>ANMD_0077 (MDYAMPR015) Application Rev 0.xlsx</v>
      </c>
      <c r="BE160" s="64">
        <f t="shared" ca="1" si="4"/>
        <v>50</v>
      </c>
      <c r="BF160" s="104" t="str">
        <f ca="1">LEFT(CELL("filename",A145),_05preva_view43[[#This Row],[Find Process &amp; Database]]-1)</f>
        <v>D:\OneDrive - apollo-towers.com\Apollo Towers\00-</v>
      </c>
      <c r="BG160" s="104" t="str">
        <f ca="1">_05preva_view43[Folder Path1]&amp;"Process &amp; Database\Documentation\Colo Applications"</f>
        <v>D:\OneDrive - apollo-towers.com\Apollo Towers\00-Process &amp; Database\Documentation\Colo Applications</v>
      </c>
      <c r="BH16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0" s="63" t="str">
        <f ca="1">_05preva_view43[[#This Row],[Folder Path3]]&amp;_05preva_view43[[#This Row],[File Name]]</f>
        <v>D:\OneDrive - apollo-towers.com\Apollo Towers\00-Process &amp; Database\Documentation\Colo Applications\Colo App Amara\ANMD_0077 (MDYAMPR015) Application Rev 0.xlsx</v>
      </c>
      <c r="BJ160" s="104"/>
      <c r="BK160" s="3"/>
      <c r="BL160" s="3"/>
      <c r="CJ160" s="5"/>
      <c r="CK160" s="5"/>
      <c r="CL160" s="3"/>
      <c r="CN160" s="5"/>
      <c r="CR160" s="3"/>
      <c r="CS160" s="3"/>
      <c r="CT160" s="5"/>
      <c r="CV160" s="3"/>
      <c r="DR160" s="5"/>
      <c r="DT160" s="3"/>
      <c r="EF160" s="7"/>
      <c r="EG160" s="7"/>
      <c r="EJ160" s="4"/>
      <c r="EK160" s="4"/>
      <c r="EU160" s="2"/>
      <c r="EV160" s="2"/>
    </row>
    <row r="161" spans="1:152">
      <c r="A161" s="287">
        <v>3468</v>
      </c>
      <c r="B161" s="288" t="s">
        <v>449</v>
      </c>
      <c r="C161" s="288" t="s">
        <v>116</v>
      </c>
      <c r="D161" s="288" t="s">
        <v>127</v>
      </c>
      <c r="E161" s="288" t="s">
        <v>1158</v>
      </c>
      <c r="F161" s="288" t="s">
        <v>41</v>
      </c>
      <c r="G161" s="288" t="s">
        <v>1129</v>
      </c>
      <c r="H161" s="288" t="s">
        <v>1037</v>
      </c>
      <c r="I161" s="288" t="s">
        <v>880</v>
      </c>
      <c r="J161" s="288" t="s">
        <v>677</v>
      </c>
      <c r="K161" s="289">
        <v>43437</v>
      </c>
      <c r="L161" s="290"/>
      <c r="M161" s="290">
        <v>2</v>
      </c>
      <c r="N161" s="288">
        <v>3</v>
      </c>
      <c r="O161" s="288" t="s">
        <v>119</v>
      </c>
      <c r="P161" s="291" t="s">
        <v>780</v>
      </c>
      <c r="Q161" s="291" t="s">
        <v>1159</v>
      </c>
      <c r="R161" s="288" t="s">
        <v>24</v>
      </c>
      <c r="S161" s="288"/>
      <c r="T161" s="292" t="s">
        <v>120</v>
      </c>
      <c r="U161" s="288" t="s">
        <v>1130</v>
      </c>
      <c r="V161" s="292" t="s">
        <v>120</v>
      </c>
      <c r="W161" s="288"/>
      <c r="X161" s="292" t="s">
        <v>120</v>
      </c>
      <c r="Y161" s="288" t="s">
        <v>1160</v>
      </c>
      <c r="Z161" s="293" t="s">
        <v>120</v>
      </c>
      <c r="AA161" s="294"/>
      <c r="AB161" s="294"/>
      <c r="AC161" s="295" t="s">
        <v>123</v>
      </c>
      <c r="AD161" s="288" t="s">
        <v>1161</v>
      </c>
      <c r="AE161" s="292" t="s">
        <v>120</v>
      </c>
      <c r="AF161" s="289" t="s">
        <v>1133</v>
      </c>
      <c r="AG161" s="296"/>
      <c r="AH161" s="296"/>
      <c r="AI161" s="288" t="s">
        <v>1144</v>
      </c>
      <c r="AJ161" s="292" t="s">
        <v>120</v>
      </c>
      <c r="AK161" s="288" t="s">
        <v>123</v>
      </c>
      <c r="AL161" s="288" t="s">
        <v>1135</v>
      </c>
      <c r="AM161" s="292"/>
      <c r="AN161" s="288"/>
      <c r="AO161" s="288"/>
      <c r="AP161" s="297"/>
      <c r="AQ161" s="288"/>
      <c r="AR161" s="292"/>
      <c r="AS161" s="288"/>
      <c r="AT161" s="289">
        <v>43438.482057986097</v>
      </c>
      <c r="AU161" s="289">
        <v>43439.507190625001</v>
      </c>
      <c r="AV161" s="289">
        <v>43438.692459953701</v>
      </c>
      <c r="AW161" s="289">
        <v>43438.482057986097</v>
      </c>
      <c r="AX161" s="289">
        <v>43438.738757407402</v>
      </c>
      <c r="AY161" s="289">
        <v>43437.702629976899</v>
      </c>
      <c r="AZ161" s="298">
        <v>43441.389734722201</v>
      </c>
      <c r="BA16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4.3897347222009557</v>
      </c>
      <c r="BB161" s="300">
        <f>COUNTIFS(_05preva_view43[Site ID],_05preva_view43[[#This Row],[Site ID]],_05preva_view43[Prevalidation Status],"Under Prevalidation")</f>
        <v>0</v>
      </c>
      <c r="BC16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1" s="302" t="str">
        <f>CONCATENATE(_05preva_view43[[#This Row],[Site ID]]," (",_05preva_view43[[#This Row],[tenant id]],") Application",IF(_05preva_view43[[#This Row],[Colo Rev]]&gt;0," Rev "&amp;_05preva_view43[[#This Row],[Colo Rev]],""),".xlsx")</f>
        <v>ANMD_0266 (MDYPGTG020) Application Rev 0.xlsx</v>
      </c>
      <c r="BE161" s="64">
        <f t="shared" ca="1" si="4"/>
        <v>50</v>
      </c>
      <c r="BF161" s="104" t="str">
        <f ca="1">LEFT(CELL("filename",A146),_05preva_view43[[#This Row],[Find Process &amp; Database]]-1)</f>
        <v>D:\OneDrive - apollo-towers.com\Apollo Towers\00-</v>
      </c>
      <c r="BG161" s="104" t="str">
        <f ca="1">_05preva_view43[Folder Path1]&amp;"Process &amp; Database\Documentation\Colo Applications"</f>
        <v>D:\OneDrive - apollo-towers.com\Apollo Towers\00-Process &amp; Database\Documentation\Colo Applications</v>
      </c>
      <c r="BH16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1" s="63" t="str">
        <f ca="1">_05preva_view43[[#This Row],[Folder Path3]]&amp;_05preva_view43[[#This Row],[File Name]]</f>
        <v>D:\OneDrive - apollo-towers.com\Apollo Towers\00-Process &amp; Database\Documentation\Colo Applications\Colo App Amara\ANMD_0266 (MDYPGTG020) Application Rev 0.xlsx</v>
      </c>
      <c r="BJ161" s="104"/>
      <c r="BK161" s="3"/>
      <c r="BL161" s="3"/>
      <c r="CJ161" s="5"/>
      <c r="CK161" s="5"/>
      <c r="CL161" s="3"/>
      <c r="CN161" s="5"/>
      <c r="CR161" s="3"/>
      <c r="CS161" s="3"/>
      <c r="CT161" s="5"/>
      <c r="CV161" s="3"/>
      <c r="DR161" s="5"/>
      <c r="DT161" s="3"/>
      <c r="EF161" s="7"/>
      <c r="EG161" s="7"/>
      <c r="EJ161" s="4"/>
      <c r="EK161" s="4"/>
      <c r="EU161" s="2"/>
      <c r="EV161" s="2"/>
    </row>
    <row r="162" spans="1:152">
      <c r="A162" s="287">
        <v>3469</v>
      </c>
      <c r="B162" s="288" t="s">
        <v>1162</v>
      </c>
      <c r="C162" s="288" t="s">
        <v>116</v>
      </c>
      <c r="D162" s="288" t="s">
        <v>127</v>
      </c>
      <c r="E162" s="288" t="s">
        <v>1163</v>
      </c>
      <c r="F162" s="288" t="s">
        <v>41</v>
      </c>
      <c r="G162" s="288" t="s">
        <v>1129</v>
      </c>
      <c r="H162" s="288" t="s">
        <v>1037</v>
      </c>
      <c r="I162" s="288" t="s">
        <v>880</v>
      </c>
      <c r="J162" s="288" t="s">
        <v>677</v>
      </c>
      <c r="K162" s="289">
        <v>43437</v>
      </c>
      <c r="L162" s="290"/>
      <c r="M162" s="290">
        <v>2</v>
      </c>
      <c r="N162" s="288">
        <v>3</v>
      </c>
      <c r="O162" s="288" t="s">
        <v>119</v>
      </c>
      <c r="P162" s="291" t="s">
        <v>1164</v>
      </c>
      <c r="Q162" s="291" t="s">
        <v>533</v>
      </c>
      <c r="R162" s="288" t="s">
        <v>24</v>
      </c>
      <c r="S162" s="288"/>
      <c r="T162" s="292" t="s">
        <v>120</v>
      </c>
      <c r="U162" s="288" t="s">
        <v>1130</v>
      </c>
      <c r="V162" s="292" t="s">
        <v>120</v>
      </c>
      <c r="W162" s="288"/>
      <c r="X162" s="292" t="s">
        <v>120</v>
      </c>
      <c r="Y162" s="288" t="s">
        <v>1165</v>
      </c>
      <c r="Z162" s="293" t="s">
        <v>120</v>
      </c>
      <c r="AA162" s="294"/>
      <c r="AB162" s="294"/>
      <c r="AC162" s="295" t="s">
        <v>123</v>
      </c>
      <c r="AD162" s="288" t="s">
        <v>1166</v>
      </c>
      <c r="AE162" s="292" t="s">
        <v>120</v>
      </c>
      <c r="AF162" s="289" t="s">
        <v>1133</v>
      </c>
      <c r="AG162" s="296"/>
      <c r="AH162" s="296"/>
      <c r="AI162" s="288" t="s">
        <v>1144</v>
      </c>
      <c r="AJ162" s="292" t="s">
        <v>120</v>
      </c>
      <c r="AK162" s="288" t="s">
        <v>123</v>
      </c>
      <c r="AL162" s="288" t="s">
        <v>1135</v>
      </c>
      <c r="AM162" s="292"/>
      <c r="AN162" s="288"/>
      <c r="AO162" s="288"/>
      <c r="AP162" s="297"/>
      <c r="AQ162" s="288"/>
      <c r="AR162" s="292"/>
      <c r="AS162" s="288"/>
      <c r="AT162" s="289">
        <v>43438.482059259302</v>
      </c>
      <c r="AU162" s="289">
        <v>43439.507191782403</v>
      </c>
      <c r="AV162" s="289">
        <v>43438.692460763901</v>
      </c>
      <c r="AW162" s="289">
        <v>43438.482059259302</v>
      </c>
      <c r="AX162" s="289">
        <v>43438.738761342604</v>
      </c>
      <c r="AY162" s="289">
        <v>43437.702630439802</v>
      </c>
      <c r="AZ162" s="298">
        <v>43441.3897363426</v>
      </c>
      <c r="BA16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4.3897363426003722</v>
      </c>
      <c r="BB162" s="300">
        <f>COUNTIFS(_05preva_view43[Site ID],_05preva_view43[[#This Row],[Site ID]],_05preva_view43[Prevalidation Status],"Under Prevalidation")</f>
        <v>0</v>
      </c>
      <c r="BC16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2" s="302" t="str">
        <f>CONCATENATE(_05preva_view43[[#This Row],[Site ID]]," (",_05preva_view43[[#This Row],[tenant id]],") Application",IF(_05preva_view43[[#This Row],[Colo Rev]]&gt;0," Rev "&amp;_05preva_view43[[#This Row],[Colo Rev]],""),".xlsx")</f>
        <v>ANMD_0165 (MDYPGTG033) Application Rev 0.xlsx</v>
      </c>
      <c r="BE162" s="64">
        <f t="shared" ca="1" si="4"/>
        <v>50</v>
      </c>
      <c r="BF162" s="104" t="str">
        <f ca="1">LEFT(CELL("filename",A147),_05preva_view43[[#This Row],[Find Process &amp; Database]]-1)</f>
        <v>D:\OneDrive - apollo-towers.com\Apollo Towers\00-</v>
      </c>
      <c r="BG162" s="104" t="str">
        <f ca="1">_05preva_view43[Folder Path1]&amp;"Process &amp; Database\Documentation\Colo Applications"</f>
        <v>D:\OneDrive - apollo-towers.com\Apollo Towers\00-Process &amp; Database\Documentation\Colo Applications</v>
      </c>
      <c r="BH16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2" s="63" t="str">
        <f ca="1">_05preva_view43[[#This Row],[Folder Path3]]&amp;_05preva_view43[[#This Row],[File Name]]</f>
        <v>D:\OneDrive - apollo-towers.com\Apollo Towers\00-Process &amp; Database\Documentation\Colo Applications\Colo App Amara\ANMD_0165 (MDYPGTG033) Application Rev 0.xlsx</v>
      </c>
      <c r="BJ162" s="104"/>
      <c r="BK162" s="3"/>
      <c r="BL162" s="3"/>
      <c r="CJ162" s="5"/>
      <c r="CK162" s="5"/>
      <c r="CL162" s="3"/>
      <c r="CN162" s="5"/>
      <c r="CR162" s="3"/>
      <c r="CS162" s="3"/>
      <c r="CT162" s="5"/>
      <c r="CV162" s="3"/>
      <c r="DR162" s="5"/>
      <c r="DT162" s="3"/>
      <c r="EF162" s="7"/>
      <c r="EG162" s="7"/>
      <c r="EJ162" s="4"/>
      <c r="EK162" s="4"/>
      <c r="EU162" s="2"/>
      <c r="EV162" s="2"/>
    </row>
    <row r="163" spans="1:152">
      <c r="A163" s="287">
        <v>3470</v>
      </c>
      <c r="B163" s="288" t="s">
        <v>451</v>
      </c>
      <c r="C163" s="288" t="s">
        <v>116</v>
      </c>
      <c r="D163" s="288" t="s">
        <v>127</v>
      </c>
      <c r="E163" s="288" t="s">
        <v>1167</v>
      </c>
      <c r="F163" s="288" t="s">
        <v>41</v>
      </c>
      <c r="G163" s="288" t="s">
        <v>1129</v>
      </c>
      <c r="H163" s="288" t="s">
        <v>1037</v>
      </c>
      <c r="I163" s="288" t="s">
        <v>880</v>
      </c>
      <c r="J163" s="288" t="s">
        <v>677</v>
      </c>
      <c r="K163" s="289">
        <v>43437</v>
      </c>
      <c r="L163" s="290"/>
      <c r="M163" s="290">
        <v>2</v>
      </c>
      <c r="N163" s="288">
        <v>3</v>
      </c>
      <c r="O163" s="288" t="s">
        <v>119</v>
      </c>
      <c r="P163" s="291" t="s">
        <v>1164</v>
      </c>
      <c r="Q163" s="291" t="s">
        <v>533</v>
      </c>
      <c r="R163" s="288" t="s">
        <v>24</v>
      </c>
      <c r="S163" s="288"/>
      <c r="T163" s="292" t="s">
        <v>120</v>
      </c>
      <c r="U163" s="288" t="s">
        <v>1130</v>
      </c>
      <c r="V163" s="292" t="s">
        <v>120</v>
      </c>
      <c r="W163" s="288"/>
      <c r="X163" s="292" t="s">
        <v>120</v>
      </c>
      <c r="Y163" s="288" t="s">
        <v>1168</v>
      </c>
      <c r="Z163" s="293" t="s">
        <v>120</v>
      </c>
      <c r="AA163" s="294"/>
      <c r="AB163" s="294"/>
      <c r="AC163" s="295" t="s">
        <v>123</v>
      </c>
      <c r="AD163" s="288" t="s">
        <v>1169</v>
      </c>
      <c r="AE163" s="292" t="s">
        <v>120</v>
      </c>
      <c r="AF163" s="289" t="s">
        <v>1133</v>
      </c>
      <c r="AG163" s="296"/>
      <c r="AH163" s="296"/>
      <c r="AI163" s="288" t="s">
        <v>1144</v>
      </c>
      <c r="AJ163" s="292" t="s">
        <v>120</v>
      </c>
      <c r="AK163" s="288" t="s">
        <v>123</v>
      </c>
      <c r="AL163" s="288" t="s">
        <v>1135</v>
      </c>
      <c r="AM163" s="292"/>
      <c r="AN163" s="288"/>
      <c r="AO163" s="288"/>
      <c r="AP163" s="297"/>
      <c r="AQ163" s="288"/>
      <c r="AR163" s="292"/>
      <c r="AS163" s="288"/>
      <c r="AT163" s="289">
        <v>43438.482060416703</v>
      </c>
      <c r="AU163" s="289">
        <v>43439.507193402802</v>
      </c>
      <c r="AV163" s="289">
        <v>43438.692462384301</v>
      </c>
      <c r="AW163" s="289">
        <v>43438.482060416703</v>
      </c>
      <c r="AX163" s="289">
        <v>43438.7387640046</v>
      </c>
      <c r="AY163" s="289">
        <v>43437.702632060202</v>
      </c>
      <c r="AZ163" s="298">
        <v>43441.389737037003</v>
      </c>
      <c r="BA16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4.3897370370032149</v>
      </c>
      <c r="BB163" s="300">
        <f>COUNTIFS(_05preva_view43[Site ID],_05preva_view43[[#This Row],[Site ID]],_05preva_view43[Prevalidation Status],"Under Prevalidation")</f>
        <v>0</v>
      </c>
      <c r="BC16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3" s="302" t="str">
        <f>CONCATENATE(_05preva_view43[[#This Row],[Site ID]]," (",_05preva_view43[[#This Row],[tenant id]],") Application",IF(_05preva_view43[[#This Row],[Colo Rev]]&gt;0," Rev "&amp;_05preva_view43[[#This Row],[Colo Rev]],""),".xlsx")</f>
        <v>ANMD_0167 (MDYPGTG036) Application Rev 0.xlsx</v>
      </c>
      <c r="BE163" s="64">
        <f t="shared" ca="1" si="4"/>
        <v>50</v>
      </c>
      <c r="BF163" s="104" t="str">
        <f ca="1">LEFT(CELL("filename",A148),_05preva_view43[[#This Row],[Find Process &amp; Database]]-1)</f>
        <v>D:\OneDrive - apollo-towers.com\Apollo Towers\00-</v>
      </c>
      <c r="BG163" s="104" t="str">
        <f ca="1">_05preva_view43[Folder Path1]&amp;"Process &amp; Database\Documentation\Colo Applications"</f>
        <v>D:\OneDrive - apollo-towers.com\Apollo Towers\00-Process &amp; Database\Documentation\Colo Applications</v>
      </c>
      <c r="BH16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3" s="63" t="str">
        <f ca="1">_05preva_view43[[#This Row],[Folder Path3]]&amp;_05preva_view43[[#This Row],[File Name]]</f>
        <v>D:\OneDrive - apollo-towers.com\Apollo Towers\00-Process &amp; Database\Documentation\Colo Applications\Colo App Amara\ANMD_0167 (MDYPGTG036) Application Rev 0.xlsx</v>
      </c>
      <c r="BJ163" s="104"/>
      <c r="BK163" s="3"/>
      <c r="BL163" s="3"/>
      <c r="CJ163" s="5"/>
      <c r="CK163" s="5"/>
      <c r="CL163" s="3"/>
      <c r="CN163" s="5"/>
      <c r="CR163" s="3"/>
      <c r="CS163" s="3"/>
      <c r="CT163" s="5"/>
      <c r="CV163" s="3"/>
      <c r="DR163" s="5"/>
      <c r="DT163" s="3"/>
      <c r="EF163" s="7"/>
      <c r="EG163" s="7"/>
      <c r="EJ163" s="4"/>
      <c r="EK163" s="4"/>
      <c r="EU163" s="2"/>
      <c r="EV163" s="2"/>
    </row>
    <row r="164" spans="1:152">
      <c r="A164" s="287">
        <v>3471</v>
      </c>
      <c r="B164" s="288" t="s">
        <v>1170</v>
      </c>
      <c r="C164" s="288" t="s">
        <v>116</v>
      </c>
      <c r="D164" s="288" t="s">
        <v>127</v>
      </c>
      <c r="E164" s="288" t="s">
        <v>1171</v>
      </c>
      <c r="F164" s="288" t="s">
        <v>41</v>
      </c>
      <c r="G164" s="288" t="s">
        <v>1129</v>
      </c>
      <c r="H164" s="288" t="s">
        <v>1037</v>
      </c>
      <c r="I164" s="288" t="s">
        <v>880</v>
      </c>
      <c r="J164" s="288" t="s">
        <v>677</v>
      </c>
      <c r="K164" s="289">
        <v>43437</v>
      </c>
      <c r="L164" s="290"/>
      <c r="M164" s="290">
        <v>2.5</v>
      </c>
      <c r="N164" s="288">
        <v>5</v>
      </c>
      <c r="O164" s="288" t="s">
        <v>119</v>
      </c>
      <c r="P164" s="291" t="s">
        <v>1172</v>
      </c>
      <c r="Q164" s="291" t="s">
        <v>292</v>
      </c>
      <c r="R164" s="288" t="s">
        <v>24</v>
      </c>
      <c r="S164" s="288"/>
      <c r="T164" s="292" t="s">
        <v>120</v>
      </c>
      <c r="U164" s="288" t="s">
        <v>1130</v>
      </c>
      <c r="V164" s="292" t="s">
        <v>120</v>
      </c>
      <c r="W164" s="288"/>
      <c r="X164" s="292" t="s">
        <v>120</v>
      </c>
      <c r="Y164" s="288" t="s">
        <v>1173</v>
      </c>
      <c r="Z164" s="293" t="s">
        <v>120</v>
      </c>
      <c r="AA164" s="294"/>
      <c r="AB164" s="294"/>
      <c r="AC164" s="295" t="s">
        <v>123</v>
      </c>
      <c r="AD164" s="288" t="s">
        <v>1174</v>
      </c>
      <c r="AE164" s="292" t="s">
        <v>120</v>
      </c>
      <c r="AF164" s="289" t="s">
        <v>1133</v>
      </c>
      <c r="AG164" s="296"/>
      <c r="AH164" s="296"/>
      <c r="AI164" s="288" t="s">
        <v>1144</v>
      </c>
      <c r="AJ164" s="292" t="s">
        <v>120</v>
      </c>
      <c r="AK164" s="288" t="s">
        <v>123</v>
      </c>
      <c r="AL164" s="288" t="s">
        <v>1135</v>
      </c>
      <c r="AM164" s="292"/>
      <c r="AN164" s="288"/>
      <c r="AO164" s="288"/>
      <c r="AP164" s="297"/>
      <c r="AQ164" s="288"/>
      <c r="AR164" s="292"/>
      <c r="AS164" s="288"/>
      <c r="AT164" s="289">
        <v>43438.482061921299</v>
      </c>
      <c r="AU164" s="289">
        <v>43439.507194560203</v>
      </c>
      <c r="AV164" s="289">
        <v>43438.692463310203</v>
      </c>
      <c r="AW164" s="289">
        <v>43438.482061921299</v>
      </c>
      <c r="AX164" s="289">
        <v>43438.738765856499</v>
      </c>
      <c r="AY164" s="289">
        <v>43437.702632407403</v>
      </c>
      <c r="AZ164" s="298">
        <v>43441.389737731501</v>
      </c>
      <c r="BA16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4.3897377315006452</v>
      </c>
      <c r="BB164" s="300">
        <f>COUNTIFS(_05preva_view43[Site ID],_05preva_view43[[#This Row],[Site ID]],_05preva_view43[Prevalidation Status],"Under Prevalidation")</f>
        <v>0</v>
      </c>
      <c r="BC16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4" s="302" t="str">
        <f>CONCATENATE(_05preva_view43[[#This Row],[Site ID]]," (",_05preva_view43[[#This Row],[tenant id]],") Application",IF(_05preva_view43[[#This Row],[Colo Rev]]&gt;0," Rev "&amp;_05preva_view43[[#This Row],[Colo Rev]],""),".xlsx")</f>
        <v>ANMD_0172 (MDYPGTG039) Application Rev 0.xlsx</v>
      </c>
      <c r="BE164" s="64">
        <f t="shared" ca="1" si="4"/>
        <v>50</v>
      </c>
      <c r="BF164" s="104" t="str">
        <f ca="1">LEFT(CELL("filename",A149),_05preva_view43[[#This Row],[Find Process &amp; Database]]-1)</f>
        <v>D:\OneDrive - apollo-towers.com\Apollo Towers\00-</v>
      </c>
      <c r="BG164" s="104" t="str">
        <f ca="1">_05preva_view43[Folder Path1]&amp;"Process &amp; Database\Documentation\Colo Applications"</f>
        <v>D:\OneDrive - apollo-towers.com\Apollo Towers\00-Process &amp; Database\Documentation\Colo Applications</v>
      </c>
      <c r="BH16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4" s="63" t="str">
        <f ca="1">_05preva_view43[[#This Row],[Folder Path3]]&amp;_05preva_view43[[#This Row],[File Name]]</f>
        <v>D:\OneDrive - apollo-towers.com\Apollo Towers\00-Process &amp; Database\Documentation\Colo Applications\Colo App Amara\ANMD_0172 (MDYPGTG039) Application Rev 0.xlsx</v>
      </c>
      <c r="BJ164" s="104"/>
      <c r="BK164" s="3"/>
      <c r="BL164" s="3"/>
      <c r="CJ164" s="5"/>
      <c r="CK164" s="5"/>
      <c r="CL164" s="3"/>
      <c r="CN164" s="5"/>
      <c r="CR164" s="3"/>
      <c r="CS164" s="3"/>
      <c r="CT164" s="5"/>
      <c r="CV164" s="3"/>
      <c r="DR164" s="5"/>
      <c r="DT164" s="3"/>
      <c r="EF164" s="7"/>
      <c r="EG164" s="7"/>
      <c r="EJ164" s="4"/>
      <c r="EK164" s="4"/>
      <c r="EU164" s="2"/>
      <c r="EV164" s="2"/>
    </row>
    <row r="165" spans="1:152">
      <c r="A165" s="287">
        <v>3472</v>
      </c>
      <c r="B165" s="288" t="s">
        <v>1175</v>
      </c>
      <c r="C165" s="288" t="s">
        <v>116</v>
      </c>
      <c r="D165" s="288" t="s">
        <v>153</v>
      </c>
      <c r="E165" s="288" t="s">
        <v>1176</v>
      </c>
      <c r="F165" s="288" t="s">
        <v>35</v>
      </c>
      <c r="G165" s="288" t="s">
        <v>1287</v>
      </c>
      <c r="H165" s="288" t="s">
        <v>1285</v>
      </c>
      <c r="I165" s="288" t="s">
        <v>928</v>
      </c>
      <c r="J165" s="288" t="s">
        <v>686</v>
      </c>
      <c r="K165" s="289">
        <v>43437</v>
      </c>
      <c r="L165" s="290">
        <v>1.44</v>
      </c>
      <c r="M165" s="290">
        <v>1.8</v>
      </c>
      <c r="N165" s="288"/>
      <c r="O165" s="288" t="s">
        <v>119</v>
      </c>
      <c r="P165" s="291" t="s">
        <v>227</v>
      </c>
      <c r="Q165" s="291" t="s">
        <v>228</v>
      </c>
      <c r="R165" s="288" t="s">
        <v>24</v>
      </c>
      <c r="S165" s="288"/>
      <c r="T165" s="292" t="s">
        <v>120</v>
      </c>
      <c r="U165" s="288" t="s">
        <v>1177</v>
      </c>
      <c r="V165" s="292" t="s">
        <v>120</v>
      </c>
      <c r="W165" s="288"/>
      <c r="X165" s="292" t="s">
        <v>120</v>
      </c>
      <c r="Y165" s="288" t="s">
        <v>1178</v>
      </c>
      <c r="Z165" s="293" t="s">
        <v>120</v>
      </c>
      <c r="AA165" s="294"/>
      <c r="AB165" s="294"/>
      <c r="AC165" s="295" t="s">
        <v>123</v>
      </c>
      <c r="AD165" s="288" t="s">
        <v>1450</v>
      </c>
      <c r="AE165" s="292" t="s">
        <v>120</v>
      </c>
      <c r="AF165" s="289" t="s">
        <v>1133</v>
      </c>
      <c r="AG165" s="296"/>
      <c r="AH165" s="296"/>
      <c r="AI165" s="288" t="s">
        <v>1134</v>
      </c>
      <c r="AJ165" s="292" t="s">
        <v>120</v>
      </c>
      <c r="AK165" s="288" t="s">
        <v>123</v>
      </c>
      <c r="AL165" s="288" t="s">
        <v>935</v>
      </c>
      <c r="AM165" s="292"/>
      <c r="AN165" s="288"/>
      <c r="AO165" s="288"/>
      <c r="AP165" s="297"/>
      <c r="AQ165" s="288"/>
      <c r="AR165" s="292"/>
      <c r="AS165" s="288"/>
      <c r="AT165" s="289">
        <v>43438.482062962998</v>
      </c>
      <c r="AU165" s="289">
        <v>43440.687472800899</v>
      </c>
      <c r="AV165" s="289">
        <v>43451.650541319403</v>
      </c>
      <c r="AW165" s="289">
        <v>43438.482062962998</v>
      </c>
      <c r="AX165" s="289">
        <v>43444.484554976902</v>
      </c>
      <c r="AY165" s="289">
        <v>43437.702634027803</v>
      </c>
      <c r="AZ165" s="298">
        <v>43451.712499189802</v>
      </c>
      <c r="BA16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14.712499189801747</v>
      </c>
      <c r="BB165" s="300">
        <f>COUNTIFS(_05preva_view43[Site ID],_05preva_view43[[#This Row],[Site ID]],_05preva_view43[Prevalidation Status],"Under Prevalidation")</f>
        <v>0</v>
      </c>
      <c r="BC16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5" s="302" t="str">
        <f>CONCATENATE(_05preva_view43[[#This Row],[Site ID]]," (",_05preva_view43[[#This Row],[tenant id]],") Application",IF(_05preva_view43[[#This Row],[Colo Rev]]&gt;0," Rev "&amp;_05preva_view43[[#This Row],[Colo Rev]],""),".xlsx")</f>
        <v>ACAY_0122 (AWD00530) Application Rev 2.xlsx</v>
      </c>
      <c r="BE165" s="64">
        <f t="shared" ca="1" si="4"/>
        <v>50</v>
      </c>
      <c r="BF165" s="104" t="str">
        <f ca="1">LEFT(CELL("filename",A150),_05preva_view43[[#This Row],[Find Process &amp; Database]]-1)</f>
        <v>D:\OneDrive - apollo-towers.com\Apollo Towers\00-</v>
      </c>
      <c r="BG165" s="104" t="str">
        <f ca="1">_05preva_view43[Folder Path1]&amp;"Process &amp; Database\Documentation\Colo Applications"</f>
        <v>D:\OneDrive - apollo-towers.com\Apollo Towers\00-Process &amp; Database\Documentation\Colo Applications</v>
      </c>
      <c r="BH16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5" s="63" t="str">
        <f ca="1">_05preva_view43[[#This Row],[Folder Path3]]&amp;_05preva_view43[[#This Row],[File Name]]</f>
        <v>D:\OneDrive - apollo-towers.com\Apollo Towers\00-Process &amp; Database\Documentation\Colo Applications\Colo App MPT\ACAY_0122 (AWD00530) Application Rev 2.xlsx</v>
      </c>
      <c r="BJ165" s="104"/>
      <c r="BK165" s="3"/>
      <c r="BL165" s="3"/>
      <c r="CJ165" s="5"/>
      <c r="CK165" s="5"/>
      <c r="CL165" s="3"/>
      <c r="CN165" s="5"/>
      <c r="CR165" s="3"/>
      <c r="CS165" s="3"/>
      <c r="CT165" s="5"/>
      <c r="CV165" s="3"/>
      <c r="DR165" s="5"/>
      <c r="DT165" s="3"/>
      <c r="EF165" s="7"/>
      <c r="EG165" s="7"/>
      <c r="EJ165" s="4"/>
      <c r="EK165" s="4"/>
      <c r="EU165" s="2"/>
      <c r="EV165" s="2"/>
    </row>
    <row r="166" spans="1:152">
      <c r="A166" s="287">
        <v>3473</v>
      </c>
      <c r="B166" s="288" t="s">
        <v>1179</v>
      </c>
      <c r="C166" s="288" t="s">
        <v>116</v>
      </c>
      <c r="D166" s="288" t="s">
        <v>127</v>
      </c>
      <c r="E166" s="288" t="s">
        <v>1180</v>
      </c>
      <c r="F166" s="288" t="s">
        <v>41</v>
      </c>
      <c r="G166" s="288" t="s">
        <v>1129</v>
      </c>
      <c r="H166" s="288" t="s">
        <v>1037</v>
      </c>
      <c r="I166" s="288" t="s">
        <v>880</v>
      </c>
      <c r="J166" s="288" t="s">
        <v>677</v>
      </c>
      <c r="K166" s="289">
        <v>43437</v>
      </c>
      <c r="L166" s="290"/>
      <c r="M166" s="290">
        <v>2.5</v>
      </c>
      <c r="N166" s="288">
        <v>3</v>
      </c>
      <c r="O166" s="288" t="s">
        <v>119</v>
      </c>
      <c r="P166" s="291" t="s">
        <v>612</v>
      </c>
      <c r="Q166" s="291" t="s">
        <v>246</v>
      </c>
      <c r="R166" s="288" t="s">
        <v>24</v>
      </c>
      <c r="S166" s="288"/>
      <c r="T166" s="292" t="s">
        <v>615</v>
      </c>
      <c r="U166" s="288" t="s">
        <v>1181</v>
      </c>
      <c r="V166" s="292" t="s">
        <v>120</v>
      </c>
      <c r="W166" s="288"/>
      <c r="X166" s="292" t="s">
        <v>120</v>
      </c>
      <c r="Y166" s="288" t="s">
        <v>1182</v>
      </c>
      <c r="Z166" s="293" t="s">
        <v>120</v>
      </c>
      <c r="AA166" s="294"/>
      <c r="AB166" s="294"/>
      <c r="AC166" s="295" t="s">
        <v>123</v>
      </c>
      <c r="AD166" s="288" t="s">
        <v>1183</v>
      </c>
      <c r="AE166" s="292" t="s">
        <v>120</v>
      </c>
      <c r="AF166" s="289" t="s">
        <v>1133</v>
      </c>
      <c r="AG166" s="296"/>
      <c r="AH166" s="296"/>
      <c r="AI166" s="288" t="s">
        <v>1134</v>
      </c>
      <c r="AJ166" s="292" t="s">
        <v>120</v>
      </c>
      <c r="AK166" s="288" t="s">
        <v>123</v>
      </c>
      <c r="AL166" s="288" t="s">
        <v>1135</v>
      </c>
      <c r="AM166" s="292"/>
      <c r="AN166" s="288"/>
      <c r="AO166" s="288"/>
      <c r="AP166" s="297"/>
      <c r="AQ166" s="288"/>
      <c r="AR166" s="292"/>
      <c r="AS166" s="288"/>
      <c r="AT166" s="289">
        <v>43438.482064120399</v>
      </c>
      <c r="AU166" s="289">
        <v>43440.687473611099</v>
      </c>
      <c r="AV166" s="289">
        <v>43438.692468055597</v>
      </c>
      <c r="AW166" s="289">
        <v>43438.482064120399</v>
      </c>
      <c r="AX166" s="289"/>
      <c r="AY166" s="289">
        <v>43437.702634490699</v>
      </c>
      <c r="AZ166" s="298">
        <v>43482.756289814803</v>
      </c>
      <c r="BA16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45.756289814802585</v>
      </c>
      <c r="BB166" s="300">
        <f>COUNTIFS(_05preva_view43[Site ID],_05preva_view43[[#This Row],[Site ID]],_05preva_view43[Prevalidation Status],"Under Prevalidation")</f>
        <v>0</v>
      </c>
      <c r="BC16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6" s="302" t="str">
        <f>CONCATENATE(_05preva_view43[[#This Row],[Site ID]]," (",_05preva_view43[[#This Row],[tenant id]],") Application",IF(_05preva_view43[[#This Row],[Colo Rev]]&gt;0," Rev "&amp;_05preva_view43[[#This Row],[Colo Rev]],""),".xlsx")</f>
        <v>ANMD_0153 (MDYPTGI008) Application Rev 0.xlsx</v>
      </c>
      <c r="BE166" s="64">
        <f t="shared" ca="1" si="4"/>
        <v>50</v>
      </c>
      <c r="BF166" s="104" t="str">
        <f ca="1">LEFT(CELL("filename",A151),_05preva_view43[[#This Row],[Find Process &amp; Database]]-1)</f>
        <v>D:\OneDrive - apollo-towers.com\Apollo Towers\00-</v>
      </c>
      <c r="BG166" s="104" t="str">
        <f ca="1">_05preva_view43[Folder Path1]&amp;"Process &amp; Database\Documentation\Colo Applications"</f>
        <v>D:\OneDrive - apollo-towers.com\Apollo Towers\00-Process &amp; Database\Documentation\Colo Applications</v>
      </c>
      <c r="BH16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166" s="63" t="str">
        <f ca="1">_05preva_view43[[#This Row],[Folder Path3]]&amp;_05preva_view43[[#This Row],[File Name]]</f>
        <v>D:\OneDrive - apollo-towers.com\Apollo Towers\00-Process &amp; Database\Documentation\Colo Applications\Colo App Amara\ANMD_0153 (MDYPTGI008) Application Rev 0.xlsx</v>
      </c>
      <c r="BJ166" s="104"/>
      <c r="BK166" s="3"/>
      <c r="BL166" s="3"/>
      <c r="CJ166" s="5"/>
      <c r="CK166" s="5"/>
      <c r="CL166" s="3"/>
      <c r="CN166" s="5"/>
      <c r="CR166" s="3"/>
      <c r="CS166" s="3"/>
      <c r="CT166" s="5"/>
      <c r="CV166" s="3"/>
      <c r="DR166" s="5"/>
      <c r="DT166" s="3"/>
      <c r="EF166" s="7"/>
      <c r="EG166" s="7"/>
      <c r="EJ166" s="4"/>
      <c r="EK166" s="4"/>
      <c r="EU166" s="2"/>
      <c r="EV166" s="2"/>
    </row>
    <row r="167" spans="1:152">
      <c r="A167" s="287">
        <v>3474</v>
      </c>
      <c r="B167" s="288" t="s">
        <v>1184</v>
      </c>
      <c r="C167" s="288" t="s">
        <v>278</v>
      </c>
      <c r="D167" s="288" t="s">
        <v>127</v>
      </c>
      <c r="E167" s="288" t="s">
        <v>1185</v>
      </c>
      <c r="F167" s="288" t="s">
        <v>35</v>
      </c>
      <c r="G167" s="288" t="s">
        <v>1292</v>
      </c>
      <c r="H167" s="288" t="s">
        <v>1285</v>
      </c>
      <c r="I167" s="288" t="s">
        <v>1006</v>
      </c>
      <c r="J167" s="288" t="s">
        <v>727</v>
      </c>
      <c r="K167" s="289">
        <v>43437</v>
      </c>
      <c r="L167" s="290">
        <v>1.329</v>
      </c>
      <c r="M167" s="290">
        <v>2.1989999999999998</v>
      </c>
      <c r="N167" s="288"/>
      <c r="O167" s="288" t="s">
        <v>687</v>
      </c>
      <c r="P167" s="291" t="s">
        <v>1186</v>
      </c>
      <c r="Q167" s="291" t="s">
        <v>1187</v>
      </c>
      <c r="R167" s="288" t="s">
        <v>24</v>
      </c>
      <c r="S167" s="288"/>
      <c r="T167" s="292" t="s">
        <v>120</v>
      </c>
      <c r="U167" s="288" t="s">
        <v>982</v>
      </c>
      <c r="V167" s="292" t="s">
        <v>120</v>
      </c>
      <c r="W167" s="288"/>
      <c r="X167" s="292" t="s">
        <v>120</v>
      </c>
      <c r="Y167" s="288" t="s">
        <v>1188</v>
      </c>
      <c r="Z167" s="293" t="s">
        <v>120</v>
      </c>
      <c r="AA167" s="294"/>
      <c r="AB167" s="294"/>
      <c r="AC167" s="295" t="s">
        <v>123</v>
      </c>
      <c r="AD167" s="288" t="s">
        <v>1189</v>
      </c>
      <c r="AE167" s="292" t="s">
        <v>120</v>
      </c>
      <c r="AF167" s="289" t="s">
        <v>1451</v>
      </c>
      <c r="AG167" s="296"/>
      <c r="AH167" s="296"/>
      <c r="AI167" s="288" t="s">
        <v>1122</v>
      </c>
      <c r="AJ167" s="292" t="s">
        <v>120</v>
      </c>
      <c r="AK167" s="288" t="s">
        <v>123</v>
      </c>
      <c r="AL167" s="288" t="s">
        <v>935</v>
      </c>
      <c r="AM167" s="292"/>
      <c r="AN167" s="288"/>
      <c r="AO167" s="288"/>
      <c r="AP167" s="297"/>
      <c r="AQ167" s="288"/>
      <c r="AR167" s="292"/>
      <c r="AS167" s="288"/>
      <c r="AT167" s="289">
        <v>43438.482065046301</v>
      </c>
      <c r="AU167" s="289">
        <v>43451.370473379597</v>
      </c>
      <c r="AV167" s="289">
        <v>43441.577858912002</v>
      </c>
      <c r="AW167" s="289">
        <v>43438.482065046301</v>
      </c>
      <c r="AX167" s="289">
        <v>43438.644208564801</v>
      </c>
      <c r="AY167" s="289">
        <v>43437.694959027802</v>
      </c>
      <c r="AZ167" s="298">
        <v>43451.411460879601</v>
      </c>
      <c r="BA16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14.411460879600781</v>
      </c>
      <c r="BB167" s="300">
        <f>COUNTIFS(_05preva_view43[Site ID],_05preva_view43[[#This Row],[Site ID]],_05preva_view43[Prevalidation Status],"Under Prevalidation")</f>
        <v>0</v>
      </c>
      <c r="BC16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7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1-01-05012-001 (SGG00200) Application Rev 3.xlsx</v>
      </c>
      <c r="BE167" s="64">
        <f t="shared" ca="1" si="4"/>
        <v>50</v>
      </c>
      <c r="BF167" s="104" t="str">
        <f ca="1">LEFT(CELL("filename",A152),_05preva_view43[[#This Row],[Find Process &amp; Database]]-1)</f>
        <v>D:\OneDrive - apollo-towers.com\Apollo Towers\00-</v>
      </c>
      <c r="BG167" s="104" t="str">
        <f ca="1">_05preva_view43[Folder Path1]&amp;"Process &amp; Database\Documentation\Colo Applications"</f>
        <v>D:\OneDrive - apollo-towers.com\Apollo Towers\00-Process &amp; Database\Documentation\Colo Applications</v>
      </c>
      <c r="BH16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7" s="63" t="str">
        <f ca="1">_05preva_view43[[#This Row],[Folder Path3]]&amp;_05preva_view43[[#This Row],[File Name]]</f>
        <v>D:\OneDrive - apollo-towers.com\Apollo Towers\00-Process &amp; Database\Documentation\Colo Applications\Colo App MPT\1-01-05012-001 (SGG00200) Application Rev 3.xlsx</v>
      </c>
      <c r="BJ167" s="104"/>
      <c r="BK167" s="3"/>
      <c r="BL167" s="3"/>
      <c r="CJ167" s="5"/>
      <c r="CK167" s="5"/>
      <c r="CL167" s="3"/>
      <c r="CN167" s="5"/>
      <c r="CR167" s="3"/>
      <c r="CS167" s="3"/>
      <c r="CT167" s="5"/>
      <c r="CV167" s="3"/>
      <c r="DR167" s="5"/>
      <c r="DT167" s="3"/>
      <c r="EF167" s="7"/>
      <c r="EG167" s="7"/>
      <c r="EJ167" s="4"/>
      <c r="EK167" s="4"/>
      <c r="EU167" s="2"/>
      <c r="EV167" s="2"/>
    </row>
    <row r="168" spans="1:152">
      <c r="A168" s="287">
        <v>3475</v>
      </c>
      <c r="B168" s="288" t="s">
        <v>991</v>
      </c>
      <c r="C168" s="288" t="s">
        <v>278</v>
      </c>
      <c r="D168" s="288" t="s">
        <v>127</v>
      </c>
      <c r="E168" s="288" t="s">
        <v>992</v>
      </c>
      <c r="F168" s="288" t="s">
        <v>35</v>
      </c>
      <c r="G168" s="288" t="s">
        <v>1292</v>
      </c>
      <c r="H168" s="288" t="s">
        <v>1285</v>
      </c>
      <c r="I168" s="288" t="s">
        <v>790</v>
      </c>
      <c r="J168" s="288" t="s">
        <v>727</v>
      </c>
      <c r="K168" s="289">
        <v>43437</v>
      </c>
      <c r="L168" s="290">
        <v>2.673</v>
      </c>
      <c r="M168" s="290">
        <v>4.556</v>
      </c>
      <c r="N168" s="288"/>
      <c r="O168" s="288" t="s">
        <v>687</v>
      </c>
      <c r="P168" s="291" t="s">
        <v>993</v>
      </c>
      <c r="Q168" s="291" t="s">
        <v>994</v>
      </c>
      <c r="R168" s="288" t="s">
        <v>24</v>
      </c>
      <c r="S168" s="288"/>
      <c r="T168" s="292" t="s">
        <v>120</v>
      </c>
      <c r="U168" s="288" t="s">
        <v>982</v>
      </c>
      <c r="V168" s="292" t="s">
        <v>120</v>
      </c>
      <c r="W168" s="288"/>
      <c r="X168" s="292" t="s">
        <v>120</v>
      </c>
      <c r="Y168" s="288" t="s">
        <v>1190</v>
      </c>
      <c r="Z168" s="293" t="s">
        <v>120</v>
      </c>
      <c r="AA168" s="294"/>
      <c r="AB168" s="294"/>
      <c r="AC168" s="295" t="s">
        <v>123</v>
      </c>
      <c r="AD168" s="288" t="s">
        <v>1191</v>
      </c>
      <c r="AE168" s="292" t="s">
        <v>120</v>
      </c>
      <c r="AF168" s="289" t="s">
        <v>1452</v>
      </c>
      <c r="AG168" s="296"/>
      <c r="AH168" s="296"/>
      <c r="AI168" s="288" t="s">
        <v>1192</v>
      </c>
      <c r="AJ168" s="292" t="s">
        <v>120</v>
      </c>
      <c r="AK168" s="288" t="s">
        <v>123</v>
      </c>
      <c r="AL168" s="288" t="s">
        <v>935</v>
      </c>
      <c r="AM168" s="292"/>
      <c r="AN168" s="288"/>
      <c r="AO168" s="288"/>
      <c r="AP168" s="297"/>
      <c r="AQ168" s="288"/>
      <c r="AR168" s="292"/>
      <c r="AS168" s="288"/>
      <c r="AT168" s="289">
        <v>43438.482066550903</v>
      </c>
      <c r="AU168" s="289">
        <v>43451.370473958297</v>
      </c>
      <c r="AV168" s="289">
        <v>43441.577859837998</v>
      </c>
      <c r="AW168" s="289">
        <v>43438.482066550903</v>
      </c>
      <c r="AX168" s="289">
        <v>43438.6442104167</v>
      </c>
      <c r="AY168" s="289">
        <v>43437.694959606502</v>
      </c>
      <c r="AZ168" s="298">
        <v>43451.4114616898</v>
      </c>
      <c r="BA16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14.41146168980049</v>
      </c>
      <c r="BB168" s="300">
        <f>COUNTIFS(_05preva_view43[Site ID],_05preva_view43[[#This Row],[Site ID]],_05preva_view43[Prevalidation Status],"Under Prevalidation")</f>
        <v>0</v>
      </c>
      <c r="BC16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8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3.xlsx</v>
      </c>
      <c r="BE168" s="64">
        <f t="shared" ca="1" si="4"/>
        <v>50</v>
      </c>
      <c r="BF168" s="104" t="str">
        <f ca="1">LEFT(CELL("filename",A153),_05preva_view43[[#This Row],[Find Process &amp; Database]]-1)</f>
        <v>D:\OneDrive - apollo-towers.com\Apollo Towers\00-</v>
      </c>
      <c r="BG168" s="104" t="str">
        <f ca="1">_05preva_view43[Folder Path1]&amp;"Process &amp; Database\Documentation\Colo Applications"</f>
        <v>D:\OneDrive - apollo-towers.com\Apollo Towers\00-Process &amp; Database\Documentation\Colo Applications</v>
      </c>
      <c r="BH16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8" s="63" t="str">
        <f ca="1">_05preva_view43[[#This Row],[Folder Path3]]&amp;_05preva_view43[[#This Row],[File Name]]</f>
        <v>D:\OneDrive - apollo-towers.com\Apollo Towers\00-Process &amp; Database\Documentation\Colo Applications\Colo App MPT\1-01-05009-003 (SGG00236) Application Rev 3.xlsx</v>
      </c>
      <c r="BJ168" s="104"/>
      <c r="BK168" s="3"/>
      <c r="BL168" s="3"/>
      <c r="CJ168" s="5"/>
      <c r="CK168" s="5"/>
      <c r="CL168" s="3"/>
      <c r="CN168" s="5"/>
      <c r="CR168" s="3"/>
      <c r="CS168" s="3"/>
      <c r="CT168" s="5"/>
      <c r="CV168" s="3"/>
      <c r="DR168" s="5"/>
      <c r="DT168" s="3"/>
      <c r="EF168" s="7"/>
      <c r="EG168" s="7"/>
      <c r="EJ168" s="4"/>
      <c r="EK168" s="4"/>
      <c r="EU168" s="2"/>
      <c r="EV168" s="2"/>
    </row>
    <row r="169" spans="1:152">
      <c r="A169" s="287">
        <v>3453</v>
      </c>
      <c r="B169" s="288" t="s">
        <v>1088</v>
      </c>
      <c r="C169" s="288" t="s">
        <v>278</v>
      </c>
      <c r="D169" s="288" t="s">
        <v>117</v>
      </c>
      <c r="E169" s="288" t="s">
        <v>1089</v>
      </c>
      <c r="F169" s="288" t="s">
        <v>35</v>
      </c>
      <c r="G169" s="288" t="s">
        <v>1292</v>
      </c>
      <c r="H169" s="288" t="s">
        <v>1285</v>
      </c>
      <c r="I169" s="288" t="s">
        <v>1090</v>
      </c>
      <c r="J169" s="288" t="s">
        <v>668</v>
      </c>
      <c r="K169" s="289">
        <v>43434</v>
      </c>
      <c r="L169" s="290">
        <v>1</v>
      </c>
      <c r="M169" s="290">
        <v>1.44</v>
      </c>
      <c r="N169" s="288">
        <v>2.82</v>
      </c>
      <c r="O169" s="288" t="s">
        <v>687</v>
      </c>
      <c r="P169" s="291" t="s">
        <v>695</v>
      </c>
      <c r="Q169" s="291" t="s">
        <v>696</v>
      </c>
      <c r="R169" s="288" t="s">
        <v>24</v>
      </c>
      <c r="S169" s="288"/>
      <c r="T169" s="292" t="s">
        <v>120</v>
      </c>
      <c r="U169" s="288" t="s">
        <v>982</v>
      </c>
      <c r="V169" s="292" t="s">
        <v>120</v>
      </c>
      <c r="W169" s="288"/>
      <c r="X169" s="292" t="s">
        <v>120</v>
      </c>
      <c r="Y169" s="288" t="s">
        <v>1091</v>
      </c>
      <c r="Z169" s="293" t="s">
        <v>120</v>
      </c>
      <c r="AA169" s="294"/>
      <c r="AB169" s="294"/>
      <c r="AC169" s="295" t="s">
        <v>123</v>
      </c>
      <c r="AD169" s="288" t="s">
        <v>1092</v>
      </c>
      <c r="AE169" s="292" t="s">
        <v>120</v>
      </c>
      <c r="AF169" s="289"/>
      <c r="AG169" s="296"/>
      <c r="AH169" s="296"/>
      <c r="AI169" s="288"/>
      <c r="AJ169" s="292" t="s">
        <v>120</v>
      </c>
      <c r="AK169" s="288" t="s">
        <v>123</v>
      </c>
      <c r="AL169" s="288" t="s">
        <v>935</v>
      </c>
      <c r="AM169" s="292"/>
      <c r="AN169" s="288"/>
      <c r="AO169" s="288"/>
      <c r="AP169" s="297"/>
      <c r="AQ169" s="288"/>
      <c r="AR169" s="292"/>
      <c r="AS169" s="288"/>
      <c r="AT169" s="289">
        <v>43437.615585879597</v>
      </c>
      <c r="AU169" s="289">
        <v>43439.638374421302</v>
      </c>
      <c r="AV169" s="289">
        <v>43440.7054907407</v>
      </c>
      <c r="AW169" s="289">
        <v>43437.615585879597</v>
      </c>
      <c r="AX169" s="289">
        <v>43438.644190161998</v>
      </c>
      <c r="AY169" s="289">
        <v>43434.674923611099</v>
      </c>
      <c r="AZ169" s="298">
        <v>43441.4197810185</v>
      </c>
      <c r="BA16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7.4197810184996342</v>
      </c>
      <c r="BB169" s="300">
        <f>COUNTIFS(_05preva_view43[Site ID],_05preva_view43[[#This Row],[Site ID]],_05preva_view43[Prevalidation Status],"Under Prevalidation")</f>
        <v>0</v>
      </c>
      <c r="BC16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69" s="302" t="str">
        <f>CONCATENATE(_05preva_view43[[#This Row],[Site ID]]," (",_05preva_view43[[#This Row],[tenant id]],") Application",IF(_05preva_view43[[#This Row],[Colo Rev]]&gt;0," Rev "&amp;_05preva_view43[[#This Row],[Colo Rev]],""),".xlsx")</f>
        <v>1-01-04002-004 (CHN00147) Application Rev 1.xlsx</v>
      </c>
      <c r="BE169" s="64">
        <f t="shared" ca="1" si="4"/>
        <v>50</v>
      </c>
      <c r="BF169" s="104" t="str">
        <f ca="1">LEFT(CELL("filename",A154),_05preva_view43[[#This Row],[Find Process &amp; Database]]-1)</f>
        <v>D:\OneDrive - apollo-towers.com\Apollo Towers\00-</v>
      </c>
      <c r="BG169" s="104" t="str">
        <f ca="1">_05preva_view43[Folder Path1]&amp;"Process &amp; Database\Documentation\Colo Applications"</f>
        <v>D:\OneDrive - apollo-towers.com\Apollo Towers\00-Process &amp; Database\Documentation\Colo Applications</v>
      </c>
      <c r="BH16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69" s="63" t="str">
        <f ca="1">_05preva_view43[[#This Row],[Folder Path3]]&amp;_05preva_view43[[#This Row],[File Name]]</f>
        <v>D:\OneDrive - apollo-towers.com\Apollo Towers\00-Process &amp; Database\Documentation\Colo Applications\Colo App MPT\1-01-04002-004 (CHN00147) Application Rev 1.xlsx</v>
      </c>
      <c r="BJ169" s="104"/>
      <c r="BK169" s="3"/>
      <c r="BL169" s="3"/>
      <c r="CJ169" s="5"/>
      <c r="CK169" s="5"/>
      <c r="CL169" s="3"/>
      <c r="CN169" s="5"/>
      <c r="CR169" s="3"/>
      <c r="CS169" s="3"/>
      <c r="CT169" s="5"/>
      <c r="CV169" s="3"/>
      <c r="DR169" s="5"/>
      <c r="DT169" s="3"/>
      <c r="EF169" s="7"/>
      <c r="EG169" s="7"/>
      <c r="EJ169" s="4"/>
      <c r="EK169" s="4"/>
      <c r="EU169" s="2"/>
      <c r="EV169" s="2"/>
    </row>
    <row r="170" spans="1:152">
      <c r="A170" s="287">
        <v>3454</v>
      </c>
      <c r="B170" s="288" t="s">
        <v>1093</v>
      </c>
      <c r="C170" s="288" t="s">
        <v>278</v>
      </c>
      <c r="D170" s="288" t="s">
        <v>117</v>
      </c>
      <c r="E170" s="288" t="s">
        <v>1094</v>
      </c>
      <c r="F170" s="288" t="s">
        <v>35</v>
      </c>
      <c r="G170" s="288" t="s">
        <v>1292</v>
      </c>
      <c r="H170" s="288" t="s">
        <v>1285</v>
      </c>
      <c r="I170" s="288" t="s">
        <v>981</v>
      </c>
      <c r="J170" s="288" t="s">
        <v>686</v>
      </c>
      <c r="K170" s="289">
        <v>43434</v>
      </c>
      <c r="L170" s="290">
        <v>1</v>
      </c>
      <c r="M170" s="290">
        <v>1.4</v>
      </c>
      <c r="N170" s="288">
        <v>3.59</v>
      </c>
      <c r="O170" s="288" t="s">
        <v>687</v>
      </c>
      <c r="P170" s="291" t="s">
        <v>1095</v>
      </c>
      <c r="Q170" s="291" t="s">
        <v>858</v>
      </c>
      <c r="R170" s="288" t="s">
        <v>24</v>
      </c>
      <c r="S170" s="288"/>
      <c r="T170" s="292" t="s">
        <v>120</v>
      </c>
      <c r="U170" s="288" t="s">
        <v>982</v>
      </c>
      <c r="V170" s="292" t="s">
        <v>120</v>
      </c>
      <c r="W170" s="288"/>
      <c r="X170" s="292" t="s">
        <v>120</v>
      </c>
      <c r="Y170" s="288" t="s">
        <v>1096</v>
      </c>
      <c r="Z170" s="293" t="s">
        <v>120</v>
      </c>
      <c r="AA170" s="294"/>
      <c r="AB170" s="294"/>
      <c r="AC170" s="295" t="s">
        <v>123</v>
      </c>
      <c r="AD170" s="288" t="s">
        <v>1097</v>
      </c>
      <c r="AE170" s="292" t="s">
        <v>120</v>
      </c>
      <c r="AF170" s="289" t="s">
        <v>1453</v>
      </c>
      <c r="AG170" s="296"/>
      <c r="AH170" s="296"/>
      <c r="AI170" s="288" t="s">
        <v>1098</v>
      </c>
      <c r="AJ170" s="292" t="s">
        <v>120</v>
      </c>
      <c r="AK170" s="288" t="s">
        <v>123</v>
      </c>
      <c r="AL170" s="288" t="s">
        <v>935</v>
      </c>
      <c r="AM170" s="292"/>
      <c r="AN170" s="288"/>
      <c r="AO170" s="288"/>
      <c r="AP170" s="297"/>
      <c r="AQ170" s="288"/>
      <c r="AR170" s="292"/>
      <c r="AS170" s="288"/>
      <c r="AT170" s="289">
        <v>43437.615589120403</v>
      </c>
      <c r="AU170" s="289">
        <v>43451.370469444402</v>
      </c>
      <c r="AV170" s="289">
        <v>43440.494380439799</v>
      </c>
      <c r="AW170" s="289">
        <v>43437.615589120403</v>
      </c>
      <c r="AX170" s="289">
        <v>43438.644191782398</v>
      </c>
      <c r="AY170" s="289">
        <v>43434.674924305597</v>
      </c>
      <c r="AZ170" s="298">
        <v>43451.411458449104</v>
      </c>
      <c r="BA17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17.41145844910352</v>
      </c>
      <c r="BB170" s="300">
        <f>COUNTIFS(_05preva_view43[Site ID],_05preva_view43[[#This Row],[Site ID]],_05preva_view43[Prevalidation Status],"Under Prevalidation")</f>
        <v>0</v>
      </c>
      <c r="BC17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0" s="302" t="str">
        <f>CONCATENATE(_05preva_view43[[#This Row],[Site ID]]," (",_05preva_view43[[#This Row],[tenant id]],") Application",IF(_05preva_view43[[#This Row],[Colo Rev]]&gt;0," Rev "&amp;_05preva_view43[[#This Row],[Colo Rev]],""),".xlsx")</f>
        <v>1-01-08009-002 (MGW00400) Application Rev 2.xlsx</v>
      </c>
      <c r="BE170" s="64">
        <f t="shared" ca="1" si="4"/>
        <v>50</v>
      </c>
      <c r="BF170" s="104" t="str">
        <f ca="1">LEFT(CELL("filename",A155),_05preva_view43[[#This Row],[Find Process &amp; Database]]-1)</f>
        <v>D:\OneDrive - apollo-towers.com\Apollo Towers\00-</v>
      </c>
      <c r="BG170" s="104" t="str">
        <f ca="1">_05preva_view43[Folder Path1]&amp;"Process &amp; Database\Documentation\Colo Applications"</f>
        <v>D:\OneDrive - apollo-towers.com\Apollo Towers\00-Process &amp; Database\Documentation\Colo Applications</v>
      </c>
      <c r="BH17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0" s="63" t="str">
        <f ca="1">_05preva_view43[[#This Row],[Folder Path3]]&amp;_05preva_view43[[#This Row],[File Name]]</f>
        <v>D:\OneDrive - apollo-towers.com\Apollo Towers\00-Process &amp; Database\Documentation\Colo Applications\Colo App MPT\1-01-08009-002 (MGW00400) Application Rev 2.xlsx</v>
      </c>
      <c r="BJ170" s="104"/>
      <c r="BK170" s="3"/>
      <c r="BL170" s="3"/>
      <c r="CJ170" s="5"/>
      <c r="CK170" s="5"/>
      <c r="CL170" s="3"/>
      <c r="CN170" s="5"/>
      <c r="CR170" s="3"/>
      <c r="CS170" s="3"/>
      <c r="CT170" s="5"/>
      <c r="CV170" s="3"/>
      <c r="DR170" s="5"/>
      <c r="DT170" s="3"/>
      <c r="EF170" s="7"/>
      <c r="EG170" s="7"/>
      <c r="EJ170" s="4"/>
      <c r="EK170" s="4"/>
      <c r="EU170" s="2"/>
      <c r="EV170" s="2"/>
    </row>
    <row r="171" spans="1:152">
      <c r="A171" s="287">
        <v>3455</v>
      </c>
      <c r="B171" s="288" t="s">
        <v>1099</v>
      </c>
      <c r="C171" s="288" t="s">
        <v>278</v>
      </c>
      <c r="D171" s="288" t="s">
        <v>117</v>
      </c>
      <c r="E171" s="288" t="s">
        <v>1100</v>
      </c>
      <c r="F171" s="288" t="s">
        <v>35</v>
      </c>
      <c r="G171" s="288" t="s">
        <v>1292</v>
      </c>
      <c r="H171" s="288" t="s">
        <v>1285</v>
      </c>
      <c r="I171" s="288" t="s">
        <v>981</v>
      </c>
      <c r="J171" s="288" t="s">
        <v>668</v>
      </c>
      <c r="K171" s="289">
        <v>43434</v>
      </c>
      <c r="L171" s="290">
        <v>1</v>
      </c>
      <c r="M171" s="290">
        <v>1.4</v>
      </c>
      <c r="N171" s="288">
        <v>4.29</v>
      </c>
      <c r="O171" s="288" t="s">
        <v>687</v>
      </c>
      <c r="P171" s="291" t="s">
        <v>799</v>
      </c>
      <c r="Q171" s="291" t="s">
        <v>695</v>
      </c>
      <c r="R171" s="288" t="s">
        <v>24</v>
      </c>
      <c r="S171" s="288"/>
      <c r="T171" s="292" t="s">
        <v>120</v>
      </c>
      <c r="U171" s="288" t="s">
        <v>982</v>
      </c>
      <c r="V171" s="292" t="s">
        <v>120</v>
      </c>
      <c r="W171" s="288"/>
      <c r="X171" s="292" t="s">
        <v>120</v>
      </c>
      <c r="Y171" s="288" t="s">
        <v>1101</v>
      </c>
      <c r="Z171" s="293" t="s">
        <v>120</v>
      </c>
      <c r="AA171" s="294"/>
      <c r="AB171" s="294"/>
      <c r="AC171" s="295" t="s">
        <v>123</v>
      </c>
      <c r="AD171" s="288" t="s">
        <v>1102</v>
      </c>
      <c r="AE171" s="292" t="s">
        <v>120</v>
      </c>
      <c r="AF171" s="289"/>
      <c r="AG171" s="296"/>
      <c r="AH171" s="296"/>
      <c r="AI171" s="288"/>
      <c r="AJ171" s="292" t="s">
        <v>120</v>
      </c>
      <c r="AK171" s="288" t="s">
        <v>123</v>
      </c>
      <c r="AL171" s="288" t="s">
        <v>935</v>
      </c>
      <c r="AM171" s="292"/>
      <c r="AN171" s="288"/>
      <c r="AO171" s="288"/>
      <c r="AP171" s="297"/>
      <c r="AQ171" s="288"/>
      <c r="AR171" s="292"/>
      <c r="AS171" s="288"/>
      <c r="AT171" s="289">
        <v>43437.615591898102</v>
      </c>
      <c r="AU171" s="289">
        <v>43440.428031249998</v>
      </c>
      <c r="AV171" s="289">
        <v>43440.494381365701</v>
      </c>
      <c r="AW171" s="289">
        <v>43437.615591898102</v>
      </c>
      <c r="AX171" s="289">
        <v>43438.644192939799</v>
      </c>
      <c r="AY171" s="289">
        <v>43434.6749247685</v>
      </c>
      <c r="AZ171" s="298">
        <v>43441.419782291698</v>
      </c>
      <c r="BA17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7.4197822916976293</v>
      </c>
      <c r="BB171" s="300">
        <f>COUNTIFS(_05preva_view43[Site ID],_05preva_view43[[#This Row],[Site ID]],_05preva_view43[Prevalidation Status],"Under Prevalidation")</f>
        <v>0</v>
      </c>
      <c r="BC17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1" s="302" t="str">
        <f>CONCATENATE(_05preva_view43[[#This Row],[Site ID]]," (",_05preva_view43[[#This Row],[tenant id]],") Application",IF(_05preva_view43[[#This Row],[Colo Rev]]&gt;0," Rev "&amp;_05preva_view43[[#This Row],[Colo Rev]],""),".xlsx")</f>
        <v>1-01-09017-004 (MGW00413) Application Rev 1.xlsx</v>
      </c>
      <c r="BE171" s="64">
        <f t="shared" ca="1" si="4"/>
        <v>50</v>
      </c>
      <c r="BF171" s="104" t="str">
        <f ca="1">LEFT(CELL("filename",A156),_05preva_view43[[#This Row],[Find Process &amp; Database]]-1)</f>
        <v>D:\OneDrive - apollo-towers.com\Apollo Towers\00-</v>
      </c>
      <c r="BG171" s="104" t="str">
        <f ca="1">_05preva_view43[Folder Path1]&amp;"Process &amp; Database\Documentation\Colo Applications"</f>
        <v>D:\OneDrive - apollo-towers.com\Apollo Towers\00-Process &amp; Database\Documentation\Colo Applications</v>
      </c>
      <c r="BH17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1" s="63" t="str">
        <f ca="1">_05preva_view43[[#This Row],[Folder Path3]]&amp;_05preva_view43[[#This Row],[File Name]]</f>
        <v>D:\OneDrive - apollo-towers.com\Apollo Towers\00-Process &amp; Database\Documentation\Colo Applications\Colo App MPT\1-01-09017-004 (MGW00413) Application Rev 1.xlsx</v>
      </c>
      <c r="BJ171" s="104"/>
      <c r="BK171" s="3"/>
      <c r="BL171" s="3"/>
      <c r="CJ171" s="5"/>
      <c r="CK171" s="5"/>
      <c r="CL171" s="3"/>
      <c r="CN171" s="5"/>
      <c r="CR171" s="3"/>
      <c r="CS171" s="3"/>
      <c r="CT171" s="5"/>
      <c r="CV171" s="3"/>
      <c r="DR171" s="5"/>
      <c r="DT171" s="3"/>
      <c r="EF171" s="7"/>
      <c r="EG171" s="7"/>
      <c r="EJ171" s="4"/>
      <c r="EK171" s="4"/>
      <c r="EU171" s="2"/>
      <c r="EV171" s="2"/>
    </row>
    <row r="172" spans="1:152">
      <c r="A172" s="287">
        <v>3456</v>
      </c>
      <c r="B172" s="288" t="s">
        <v>979</v>
      </c>
      <c r="C172" s="288" t="s">
        <v>278</v>
      </c>
      <c r="D172" s="288" t="s">
        <v>127</v>
      </c>
      <c r="E172" s="288" t="s">
        <v>980</v>
      </c>
      <c r="F172" s="288" t="s">
        <v>35</v>
      </c>
      <c r="G172" s="288" t="s">
        <v>1292</v>
      </c>
      <c r="H172" s="288" t="s">
        <v>1285</v>
      </c>
      <c r="I172" s="288" t="s">
        <v>790</v>
      </c>
      <c r="J172" s="288" t="s">
        <v>686</v>
      </c>
      <c r="K172" s="289">
        <v>43434</v>
      </c>
      <c r="L172" s="290">
        <v>2.0590000000000002</v>
      </c>
      <c r="M172" s="290">
        <v>3.5489999999999999</v>
      </c>
      <c r="N172" s="288">
        <v>5.56</v>
      </c>
      <c r="O172" s="288" t="s">
        <v>687</v>
      </c>
      <c r="P172" s="291" t="s">
        <v>695</v>
      </c>
      <c r="Q172" s="291" t="s">
        <v>696</v>
      </c>
      <c r="R172" s="288" t="s">
        <v>24</v>
      </c>
      <c r="S172" s="288"/>
      <c r="T172" s="292" t="s">
        <v>120</v>
      </c>
      <c r="U172" s="288" t="s">
        <v>982</v>
      </c>
      <c r="V172" s="292" t="s">
        <v>120</v>
      </c>
      <c r="W172" s="288"/>
      <c r="X172" s="292" t="s">
        <v>120</v>
      </c>
      <c r="Y172" s="288" t="s">
        <v>1103</v>
      </c>
      <c r="Z172" s="293" t="s">
        <v>120</v>
      </c>
      <c r="AA172" s="294"/>
      <c r="AB172" s="294"/>
      <c r="AC172" s="295" t="s">
        <v>123</v>
      </c>
      <c r="AD172" s="288" t="s">
        <v>1104</v>
      </c>
      <c r="AE172" s="292" t="s">
        <v>120</v>
      </c>
      <c r="AF172" s="289" t="s">
        <v>1105</v>
      </c>
      <c r="AG172" s="296"/>
      <c r="AH172" s="296"/>
      <c r="AI172" s="288" t="s">
        <v>1106</v>
      </c>
      <c r="AJ172" s="292" t="s">
        <v>120</v>
      </c>
      <c r="AK172" s="288" t="s">
        <v>123</v>
      </c>
      <c r="AL172" s="288" t="s">
        <v>935</v>
      </c>
      <c r="AM172" s="292"/>
      <c r="AN172" s="288"/>
      <c r="AO172" s="288"/>
      <c r="AP172" s="297"/>
      <c r="AQ172" s="288"/>
      <c r="AR172" s="292"/>
      <c r="AS172" s="288"/>
      <c r="AT172" s="289">
        <v>43437.615594328701</v>
      </c>
      <c r="AU172" s="289">
        <v>43440.428033449098</v>
      </c>
      <c r="AV172" s="289">
        <v>43440.7054929398</v>
      </c>
      <c r="AW172" s="289">
        <v>43437.615594328701</v>
      </c>
      <c r="AX172" s="289">
        <v>43438.644194675901</v>
      </c>
      <c r="AY172" s="289">
        <v>43434.674926041698</v>
      </c>
      <c r="AZ172" s="298">
        <v>43441.4197829861</v>
      </c>
      <c r="BA17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7.419782986100472</v>
      </c>
      <c r="BB172" s="300">
        <f>COUNTIFS(_05preva_view43[Site ID],_05preva_view43[[#This Row],[Site ID]],_05preva_view43[Prevalidation Status],"Under Prevalidation")</f>
        <v>0</v>
      </c>
      <c r="BC17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2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2.xlsx</v>
      </c>
      <c r="BE172" s="64">
        <f t="shared" ca="1" si="4"/>
        <v>50</v>
      </c>
      <c r="BF172" s="104" t="str">
        <f ca="1">LEFT(CELL("filename",A157),_05preva_view43[[#This Row],[Find Process &amp; Database]]-1)</f>
        <v>D:\OneDrive - apollo-towers.com\Apollo Towers\00-</v>
      </c>
      <c r="BG172" s="104" t="str">
        <f ca="1">_05preva_view43[Folder Path1]&amp;"Process &amp; Database\Documentation\Colo Applications"</f>
        <v>D:\OneDrive - apollo-towers.com\Apollo Towers\00-Process &amp; Database\Documentation\Colo Applications</v>
      </c>
      <c r="BH17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2" s="63" t="str">
        <f ca="1">_05preva_view43[[#This Row],[Folder Path3]]&amp;_05preva_view43[[#This Row],[File Name]]</f>
        <v>D:\OneDrive - apollo-towers.com\Apollo Towers\00-Process &amp; Database\Documentation\Colo Applications\Colo App MPT\1-01-05010-002 (SGG00209) Application Rev 2.xlsx</v>
      </c>
      <c r="BJ172" s="104"/>
      <c r="BK172" s="3"/>
      <c r="BL172" s="3"/>
      <c r="CJ172" s="5"/>
      <c r="CK172" s="5"/>
      <c r="CL172" s="3"/>
      <c r="CN172" s="5"/>
      <c r="CR172" s="3"/>
      <c r="CS172" s="3"/>
      <c r="CT172" s="5"/>
      <c r="CV172" s="3"/>
      <c r="DR172" s="5"/>
      <c r="DT172" s="3"/>
      <c r="EF172" s="7"/>
      <c r="EG172" s="7"/>
      <c r="EJ172" s="4"/>
      <c r="EK172" s="4"/>
      <c r="EU172" s="2"/>
      <c r="EV172" s="2"/>
    </row>
    <row r="173" spans="1:152">
      <c r="A173" s="287">
        <v>3457</v>
      </c>
      <c r="B173" s="288" t="s">
        <v>1107</v>
      </c>
      <c r="C173" s="288" t="s">
        <v>278</v>
      </c>
      <c r="D173" s="288" t="s">
        <v>127</v>
      </c>
      <c r="E173" s="288" t="s">
        <v>1108</v>
      </c>
      <c r="F173" s="288" t="s">
        <v>35</v>
      </c>
      <c r="G173" s="288" t="s">
        <v>1292</v>
      </c>
      <c r="H173" s="288" t="s">
        <v>1285</v>
      </c>
      <c r="I173" s="288" t="s">
        <v>981</v>
      </c>
      <c r="J173" s="288" t="s">
        <v>686</v>
      </c>
      <c r="K173" s="289">
        <v>43434</v>
      </c>
      <c r="L173" s="290">
        <v>1</v>
      </c>
      <c r="M173" s="290">
        <v>1.462</v>
      </c>
      <c r="N173" s="288">
        <v>4.24</v>
      </c>
      <c r="O173" s="288" t="s">
        <v>687</v>
      </c>
      <c r="P173" s="291" t="s">
        <v>695</v>
      </c>
      <c r="Q173" s="291" t="s">
        <v>696</v>
      </c>
      <c r="R173" s="288" t="s">
        <v>24</v>
      </c>
      <c r="S173" s="288"/>
      <c r="T173" s="292" t="s">
        <v>120</v>
      </c>
      <c r="U173" s="288" t="s">
        <v>982</v>
      </c>
      <c r="V173" s="292" t="s">
        <v>120</v>
      </c>
      <c r="W173" s="288"/>
      <c r="X173" s="292" t="s">
        <v>120</v>
      </c>
      <c r="Y173" s="288" t="s">
        <v>1109</v>
      </c>
      <c r="Z173" s="293" t="s">
        <v>120</v>
      </c>
      <c r="AA173" s="294"/>
      <c r="AB173" s="294"/>
      <c r="AC173" s="295" t="s">
        <v>123</v>
      </c>
      <c r="AD173" s="288" t="s">
        <v>1110</v>
      </c>
      <c r="AE173" s="292" t="s">
        <v>120</v>
      </c>
      <c r="AF173" s="289"/>
      <c r="AG173" s="296"/>
      <c r="AH173" s="296"/>
      <c r="AI173" s="288"/>
      <c r="AJ173" s="292" t="s">
        <v>120</v>
      </c>
      <c r="AK173" s="288" t="s">
        <v>123</v>
      </c>
      <c r="AL173" s="288" t="s">
        <v>935</v>
      </c>
      <c r="AM173" s="292"/>
      <c r="AN173" s="288"/>
      <c r="AO173" s="288"/>
      <c r="AP173" s="297"/>
      <c r="AQ173" s="288"/>
      <c r="AR173" s="292"/>
      <c r="AS173" s="288"/>
      <c r="AT173" s="289">
        <v>43437.615600231497</v>
      </c>
      <c r="AU173" s="289">
        <v>43440.687456481501</v>
      </c>
      <c r="AV173" s="289">
        <v>43440.705493865702</v>
      </c>
      <c r="AW173" s="289">
        <v>43437.615600231497</v>
      </c>
      <c r="AX173" s="289">
        <v>43438.644195254601</v>
      </c>
      <c r="AY173" s="289">
        <v>43434.674927083302</v>
      </c>
      <c r="AZ173" s="298">
        <v>43441.419783912002</v>
      </c>
      <c r="BA17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7.4197839120024582</v>
      </c>
      <c r="BB173" s="300">
        <f>COUNTIFS(_05preva_view43[Site ID],_05preva_view43[[#This Row],[Site ID]],_05preva_view43[Prevalidation Status],"Under Prevalidation")</f>
        <v>0</v>
      </c>
      <c r="BC17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3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1-01-05005-002 (SGG00219) Application Rev 2.xlsx</v>
      </c>
      <c r="BE173" s="64">
        <f t="shared" ca="1" si="4"/>
        <v>50</v>
      </c>
      <c r="BF173" s="104" t="str">
        <f ca="1">LEFT(CELL("filename",A158),_05preva_view43[[#This Row],[Find Process &amp; Database]]-1)</f>
        <v>D:\OneDrive - apollo-towers.com\Apollo Towers\00-</v>
      </c>
      <c r="BG173" s="104" t="str">
        <f ca="1">_05preva_view43[Folder Path1]&amp;"Process &amp; Database\Documentation\Colo Applications"</f>
        <v>D:\OneDrive - apollo-towers.com\Apollo Towers\00-Process &amp; Database\Documentation\Colo Applications</v>
      </c>
      <c r="BH17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3" s="63" t="str">
        <f ca="1">_05preva_view43[[#This Row],[Folder Path3]]&amp;_05preva_view43[[#This Row],[File Name]]</f>
        <v>D:\OneDrive - apollo-towers.com\Apollo Towers\00-Process &amp; Database\Documentation\Colo Applications\Colo App MPT\1-01-05005-002 (SGG00219) Application Rev 2.xlsx</v>
      </c>
      <c r="BJ173" s="104"/>
      <c r="BK173" s="3"/>
      <c r="BL173" s="3"/>
      <c r="CJ173" s="5"/>
      <c r="CK173" s="5"/>
      <c r="CL173" s="3"/>
      <c r="CN173" s="5"/>
      <c r="CR173" s="3"/>
      <c r="CS173" s="3"/>
      <c r="CT173" s="5"/>
      <c r="CV173" s="3"/>
      <c r="DR173" s="5"/>
      <c r="DT173" s="3"/>
      <c r="EF173" s="7"/>
      <c r="EG173" s="7"/>
      <c r="EJ173" s="4"/>
      <c r="EK173" s="4"/>
      <c r="EU173" s="2"/>
      <c r="EV173" s="2"/>
    </row>
    <row r="174" spans="1:152">
      <c r="A174" s="287">
        <v>3458</v>
      </c>
      <c r="B174" s="288" t="s">
        <v>986</v>
      </c>
      <c r="C174" s="288" t="s">
        <v>278</v>
      </c>
      <c r="D174" s="288" t="s">
        <v>127</v>
      </c>
      <c r="E174" s="288" t="s">
        <v>987</v>
      </c>
      <c r="F174" s="288" t="s">
        <v>35</v>
      </c>
      <c r="G174" s="288" t="s">
        <v>1292</v>
      </c>
      <c r="H174" s="288" t="s">
        <v>1285</v>
      </c>
      <c r="I174" s="288" t="s">
        <v>790</v>
      </c>
      <c r="J174" s="288" t="s">
        <v>727</v>
      </c>
      <c r="K174" s="289">
        <v>43434</v>
      </c>
      <c r="L174" s="290">
        <v>2.0590000000000002</v>
      </c>
      <c r="M174" s="290">
        <v>3.649</v>
      </c>
      <c r="N174" s="288">
        <v>11.26</v>
      </c>
      <c r="O174" s="288" t="s">
        <v>687</v>
      </c>
      <c r="P174" s="291" t="s">
        <v>988</v>
      </c>
      <c r="Q174" s="291" t="s">
        <v>989</v>
      </c>
      <c r="R174" s="288" t="s">
        <v>24</v>
      </c>
      <c r="S174" s="288"/>
      <c r="T174" s="292" t="s">
        <v>120</v>
      </c>
      <c r="U174" s="288" t="s">
        <v>982</v>
      </c>
      <c r="V174" s="292" t="s">
        <v>120</v>
      </c>
      <c r="W174" s="288"/>
      <c r="X174" s="292" t="s">
        <v>120</v>
      </c>
      <c r="Y174" s="288" t="s">
        <v>1111</v>
      </c>
      <c r="Z174" s="293" t="s">
        <v>120</v>
      </c>
      <c r="AA174" s="294"/>
      <c r="AB174" s="294"/>
      <c r="AC174" s="295" t="s">
        <v>123</v>
      </c>
      <c r="AD174" s="288" t="s">
        <v>1112</v>
      </c>
      <c r="AE174" s="292" t="s">
        <v>120</v>
      </c>
      <c r="AF174" s="289" t="s">
        <v>1105</v>
      </c>
      <c r="AG174" s="296">
        <v>2.5</v>
      </c>
      <c r="AH174" s="296"/>
      <c r="AI174" s="288" t="s">
        <v>1113</v>
      </c>
      <c r="AJ174" s="292" t="s">
        <v>120</v>
      </c>
      <c r="AK174" s="288" t="s">
        <v>123</v>
      </c>
      <c r="AL174" s="288" t="s">
        <v>935</v>
      </c>
      <c r="AM174" s="292"/>
      <c r="AN174" s="288"/>
      <c r="AO174" s="288"/>
      <c r="AP174" s="297"/>
      <c r="AQ174" s="288"/>
      <c r="AR174" s="292"/>
      <c r="AS174" s="288"/>
      <c r="AT174" s="289">
        <v>43437.615603009297</v>
      </c>
      <c r="AU174" s="289">
        <v>43440.687457523098</v>
      </c>
      <c r="AV174" s="289">
        <v>43439.707483680599</v>
      </c>
      <c r="AW174" s="289">
        <v>43437.615603009297</v>
      </c>
      <c r="AX174" s="289">
        <v>43438.644195949099</v>
      </c>
      <c r="AY174" s="289">
        <v>43434.6749283565</v>
      </c>
      <c r="AZ174" s="298">
        <v>43441.4197846065</v>
      </c>
      <c r="BA17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7.4197846064998885</v>
      </c>
      <c r="BB174" s="300">
        <f>COUNTIFS(_05preva_view43[Site ID],_05preva_view43[[#This Row],[Site ID]],_05preva_view43[Prevalidation Status],"Under Prevalidation")</f>
        <v>0</v>
      </c>
      <c r="BC17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4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3.xlsx</v>
      </c>
      <c r="BE174" s="64">
        <f t="shared" ca="1" si="4"/>
        <v>50</v>
      </c>
      <c r="BF174" s="104" t="str">
        <f ca="1">LEFT(CELL("filename",A159),_05preva_view43[[#This Row],[Find Process &amp; Database]]-1)</f>
        <v>D:\OneDrive - apollo-towers.com\Apollo Towers\00-</v>
      </c>
      <c r="BG174" s="104" t="str">
        <f ca="1">_05preva_view43[Folder Path1]&amp;"Process &amp; Database\Documentation\Colo Applications"</f>
        <v>D:\OneDrive - apollo-towers.com\Apollo Towers\00-Process &amp; Database\Documentation\Colo Applications</v>
      </c>
      <c r="BH17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4" s="63" t="str">
        <f ca="1">_05preva_view43[[#This Row],[Folder Path3]]&amp;_05preva_view43[[#This Row],[File Name]]</f>
        <v>D:\OneDrive - apollo-towers.com\Apollo Towers\00-Process &amp; Database\Documentation\Colo Applications\Colo App MPT\1-01-05010-006 (SGG00232) Application Rev 3.xlsx</v>
      </c>
      <c r="BJ174" s="104"/>
      <c r="BK174" s="3"/>
      <c r="BL174" s="3"/>
      <c r="CJ174" s="5"/>
      <c r="CK174" s="5"/>
      <c r="CL174" s="3"/>
      <c r="CN174" s="5"/>
      <c r="CR174" s="3"/>
      <c r="CS174" s="3"/>
      <c r="CT174" s="5"/>
      <c r="CV174" s="3"/>
      <c r="DR174" s="5"/>
      <c r="DT174" s="3"/>
      <c r="EF174" s="7"/>
      <c r="EG174" s="7"/>
      <c r="EJ174" s="4"/>
      <c r="EK174" s="4"/>
      <c r="EU174" s="2"/>
      <c r="EV174" s="2"/>
    </row>
    <row r="175" spans="1:152">
      <c r="A175" s="287">
        <v>3459</v>
      </c>
      <c r="B175" s="288" t="s">
        <v>1114</v>
      </c>
      <c r="C175" s="288" t="s">
        <v>278</v>
      </c>
      <c r="D175" s="288" t="s">
        <v>127</v>
      </c>
      <c r="E175" s="288" t="s">
        <v>1115</v>
      </c>
      <c r="F175" s="288" t="s">
        <v>35</v>
      </c>
      <c r="G175" s="288" t="s">
        <v>1292</v>
      </c>
      <c r="H175" s="288" t="s">
        <v>1285</v>
      </c>
      <c r="I175" s="288" t="s">
        <v>981</v>
      </c>
      <c r="J175" s="288" t="s">
        <v>686</v>
      </c>
      <c r="K175" s="289">
        <v>43434</v>
      </c>
      <c r="L175" s="290">
        <v>1</v>
      </c>
      <c r="M175" s="290">
        <v>1.4</v>
      </c>
      <c r="N175" s="288">
        <v>3.56</v>
      </c>
      <c r="O175" s="288" t="s">
        <v>687</v>
      </c>
      <c r="P175" s="291" t="s">
        <v>695</v>
      </c>
      <c r="Q175" s="291" t="s">
        <v>696</v>
      </c>
      <c r="R175" s="288" t="s">
        <v>24</v>
      </c>
      <c r="S175" s="288"/>
      <c r="T175" s="292" t="s">
        <v>120</v>
      </c>
      <c r="U175" s="288" t="s">
        <v>982</v>
      </c>
      <c r="V175" s="292" t="s">
        <v>120</v>
      </c>
      <c r="W175" s="288"/>
      <c r="X175" s="292" t="s">
        <v>120</v>
      </c>
      <c r="Y175" s="288" t="s">
        <v>1116</v>
      </c>
      <c r="Z175" s="293" t="s">
        <v>120</v>
      </c>
      <c r="AA175" s="294"/>
      <c r="AB175" s="294"/>
      <c r="AC175" s="295" t="s">
        <v>123</v>
      </c>
      <c r="AD175" s="288" t="s">
        <v>1117</v>
      </c>
      <c r="AE175" s="292" t="s">
        <v>120</v>
      </c>
      <c r="AF175" s="289"/>
      <c r="AG175" s="296"/>
      <c r="AH175" s="296"/>
      <c r="AI175" s="288"/>
      <c r="AJ175" s="292" t="s">
        <v>120</v>
      </c>
      <c r="AK175" s="288" t="s">
        <v>123</v>
      </c>
      <c r="AL175" s="288" t="s">
        <v>935</v>
      </c>
      <c r="AM175" s="292"/>
      <c r="AN175" s="288"/>
      <c r="AO175" s="288"/>
      <c r="AP175" s="297"/>
      <c r="AQ175" s="288"/>
      <c r="AR175" s="292"/>
      <c r="AS175" s="288"/>
      <c r="AT175" s="289">
        <v>43437.615606250001</v>
      </c>
      <c r="AU175" s="289">
        <v>43440.687459606503</v>
      </c>
      <c r="AV175" s="289">
        <v>43439.707484722203</v>
      </c>
      <c r="AW175" s="289">
        <v>43437.615606250001</v>
      </c>
      <c r="AX175" s="289">
        <v>43438.644197222202</v>
      </c>
      <c r="AY175" s="289">
        <v>43434.674929398097</v>
      </c>
      <c r="AZ175" s="298">
        <v>43441.419785532402</v>
      </c>
      <c r="BA17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7.4197855324018747</v>
      </c>
      <c r="BB175" s="300">
        <f>COUNTIFS(_05preva_view43[Site ID],_05preva_view43[[#This Row],[Site ID]],_05preva_view43[Prevalidation Status],"Under Prevalidation")</f>
        <v>0</v>
      </c>
      <c r="BC17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1-01-05007-006 (SGG00780) Application Rev 2.xlsx</v>
      </c>
      <c r="BE175" s="64">
        <f t="shared" ca="1" si="4"/>
        <v>50</v>
      </c>
      <c r="BF175" s="104" t="str">
        <f ca="1">LEFT(CELL("filename",A160),_05preva_view43[[#This Row],[Find Process &amp; Database]]-1)</f>
        <v>D:\OneDrive - apollo-towers.com\Apollo Towers\00-</v>
      </c>
      <c r="BG175" s="104" t="str">
        <f ca="1">_05preva_view43[Folder Path1]&amp;"Process &amp; Database\Documentation\Colo Applications"</f>
        <v>D:\OneDrive - apollo-towers.com\Apollo Towers\00-Process &amp; Database\Documentation\Colo Applications</v>
      </c>
      <c r="BH17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5" s="63" t="str">
        <f ca="1">_05preva_view43[[#This Row],[Folder Path3]]&amp;_05preva_view43[[#This Row],[File Name]]</f>
        <v>D:\OneDrive - apollo-towers.com\Apollo Towers\00-Process &amp; Database\Documentation\Colo Applications\Colo App MPT\1-01-05007-006 (SGG00780) Application Rev 2.xlsx</v>
      </c>
      <c r="BJ175" s="104"/>
      <c r="BK175" s="3"/>
      <c r="BL175" s="3"/>
      <c r="CJ175" s="5"/>
      <c r="CK175" s="5"/>
      <c r="CL175" s="3"/>
      <c r="CN175" s="5"/>
      <c r="CR175" s="3"/>
      <c r="CS175" s="3"/>
      <c r="CT175" s="5"/>
      <c r="CV175" s="3"/>
      <c r="DR175" s="5"/>
      <c r="DT175" s="3"/>
      <c r="EF175" s="7"/>
      <c r="EG175" s="7"/>
      <c r="EJ175" s="4"/>
      <c r="EK175" s="4"/>
      <c r="EU175" s="2"/>
      <c r="EV175" s="2"/>
    </row>
    <row r="176" spans="1:152">
      <c r="A176" s="287">
        <v>3460</v>
      </c>
      <c r="B176" s="288" t="s">
        <v>1118</v>
      </c>
      <c r="C176" s="288" t="s">
        <v>278</v>
      </c>
      <c r="D176" s="288" t="s">
        <v>127</v>
      </c>
      <c r="E176" s="288" t="s">
        <v>1119</v>
      </c>
      <c r="F176" s="288" t="s">
        <v>35</v>
      </c>
      <c r="G176" s="288" t="s">
        <v>1292</v>
      </c>
      <c r="H176" s="288" t="s">
        <v>1285</v>
      </c>
      <c r="I176" s="288" t="s">
        <v>981</v>
      </c>
      <c r="J176" s="288" t="s">
        <v>727</v>
      </c>
      <c r="K176" s="289">
        <v>43434</v>
      </c>
      <c r="L176" s="290">
        <v>1</v>
      </c>
      <c r="M176" s="290">
        <v>1.462</v>
      </c>
      <c r="N176" s="288">
        <v>3.56</v>
      </c>
      <c r="O176" s="288" t="s">
        <v>687</v>
      </c>
      <c r="P176" s="291" t="s">
        <v>993</v>
      </c>
      <c r="Q176" s="291" t="s">
        <v>994</v>
      </c>
      <c r="R176" s="288" t="s">
        <v>24</v>
      </c>
      <c r="S176" s="288"/>
      <c r="T176" s="292" t="s">
        <v>120</v>
      </c>
      <c r="U176" s="288" t="s">
        <v>982</v>
      </c>
      <c r="V176" s="292" t="s">
        <v>120</v>
      </c>
      <c r="W176" s="288"/>
      <c r="X176" s="292" t="s">
        <v>120</v>
      </c>
      <c r="Y176" s="288" t="s">
        <v>1120</v>
      </c>
      <c r="Z176" s="293" t="s">
        <v>120</v>
      </c>
      <c r="AA176" s="294"/>
      <c r="AB176" s="294"/>
      <c r="AC176" s="295" t="s">
        <v>123</v>
      </c>
      <c r="AD176" s="288" t="s">
        <v>1121</v>
      </c>
      <c r="AE176" s="292" t="s">
        <v>120</v>
      </c>
      <c r="AF176" s="289" t="s">
        <v>1432</v>
      </c>
      <c r="AG176" s="296"/>
      <c r="AH176" s="296"/>
      <c r="AI176" s="288" t="s">
        <v>1122</v>
      </c>
      <c r="AJ176" s="292" t="s">
        <v>120</v>
      </c>
      <c r="AK176" s="288" t="s">
        <v>123</v>
      </c>
      <c r="AL176" s="288" t="s">
        <v>935</v>
      </c>
      <c r="AM176" s="292"/>
      <c r="AN176" s="288"/>
      <c r="AO176" s="288"/>
      <c r="AP176" s="297"/>
      <c r="AQ176" s="288"/>
      <c r="AR176" s="292"/>
      <c r="AS176" s="288"/>
      <c r="AT176" s="289">
        <v>43437.615609375003</v>
      </c>
      <c r="AU176" s="289">
        <v>43451.370470833303</v>
      </c>
      <c r="AV176" s="289">
        <v>43439.707486226798</v>
      </c>
      <c r="AW176" s="289">
        <v>43437.615609375003</v>
      </c>
      <c r="AX176" s="289">
        <v>43438.644197916699</v>
      </c>
      <c r="AY176" s="289">
        <v>43434.6749305556</v>
      </c>
      <c r="AZ176" s="298">
        <v>43451.411459259303</v>
      </c>
      <c r="BA17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17.411459259303228</v>
      </c>
      <c r="BB176" s="300">
        <f>COUNTIFS(_05preva_view43[Site ID],_05preva_view43[[#This Row],[Site ID]],_05preva_view43[Prevalidation Status],"Under Prevalidation")</f>
        <v>0</v>
      </c>
      <c r="BC17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6" s="302" t="str">
        <f>CONCATENATE(_05preva_view43[[#This Row],[Site ID]]," (",_05preva_view43[[#This Row],[tenant id]],") Application",IF(_05preva_view43[[#This Row],[Colo Rev]]&gt;0," Rev "&amp;_05preva_view43[[#This Row],[Colo Rev]],""),".xlsx")</f>
        <v>1-01-15009-006 (SHN00051) Application Rev 3.xlsx</v>
      </c>
      <c r="BE176" s="64">
        <f t="shared" ca="1" si="4"/>
        <v>50</v>
      </c>
      <c r="BF176" s="104" t="str">
        <f ca="1">LEFT(CELL("filename",A161),_05preva_view43[[#This Row],[Find Process &amp; Database]]-1)</f>
        <v>D:\OneDrive - apollo-towers.com\Apollo Towers\00-</v>
      </c>
      <c r="BG176" s="104" t="str">
        <f ca="1">_05preva_view43[Folder Path1]&amp;"Process &amp; Database\Documentation\Colo Applications"</f>
        <v>D:\OneDrive - apollo-towers.com\Apollo Towers\00-Process &amp; Database\Documentation\Colo Applications</v>
      </c>
      <c r="BH17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6" s="63" t="str">
        <f ca="1">_05preva_view43[[#This Row],[Folder Path3]]&amp;_05preva_view43[[#This Row],[File Name]]</f>
        <v>D:\OneDrive - apollo-towers.com\Apollo Towers\00-Process &amp; Database\Documentation\Colo Applications\Colo App MPT\1-01-15009-006 (SHN00051) Application Rev 3.xlsx</v>
      </c>
      <c r="BJ176" s="104"/>
      <c r="BK176" s="3"/>
      <c r="BL176" s="3"/>
      <c r="CJ176" s="5"/>
      <c r="CK176" s="5"/>
      <c r="CL176" s="3"/>
      <c r="CN176" s="5"/>
      <c r="CR176" s="3"/>
      <c r="CS176" s="3"/>
      <c r="CT176" s="5"/>
      <c r="CV176" s="3"/>
      <c r="DR176" s="5"/>
      <c r="DT176" s="3"/>
      <c r="EF176" s="7"/>
      <c r="EG176" s="7"/>
      <c r="EJ176" s="4"/>
      <c r="EK176" s="4"/>
      <c r="EU176" s="2"/>
      <c r="EV176" s="2"/>
    </row>
    <row r="177" spans="1:152">
      <c r="A177" s="287">
        <v>3461</v>
      </c>
      <c r="B177" s="288" t="s">
        <v>1123</v>
      </c>
      <c r="C177" s="288" t="s">
        <v>278</v>
      </c>
      <c r="D177" s="288" t="s">
        <v>127</v>
      </c>
      <c r="E177" s="288" t="s">
        <v>1124</v>
      </c>
      <c r="F177" s="288" t="s">
        <v>35</v>
      </c>
      <c r="G177" s="288" t="s">
        <v>1292</v>
      </c>
      <c r="H177" s="288" t="s">
        <v>1285</v>
      </c>
      <c r="I177" s="288" t="s">
        <v>981</v>
      </c>
      <c r="J177" s="288" t="s">
        <v>727</v>
      </c>
      <c r="K177" s="289">
        <v>43434</v>
      </c>
      <c r="L177" s="290">
        <v>1</v>
      </c>
      <c r="M177" s="290">
        <v>1.462</v>
      </c>
      <c r="N177" s="288">
        <v>4.1900000000000004</v>
      </c>
      <c r="O177" s="288" t="s">
        <v>687</v>
      </c>
      <c r="P177" s="291" t="s">
        <v>808</v>
      </c>
      <c r="Q177" s="291" t="s">
        <v>809</v>
      </c>
      <c r="R177" s="288" t="s">
        <v>24</v>
      </c>
      <c r="S177" s="288"/>
      <c r="T177" s="292" t="s">
        <v>120</v>
      </c>
      <c r="U177" s="288" t="s">
        <v>982</v>
      </c>
      <c r="V177" s="292" t="s">
        <v>120</v>
      </c>
      <c r="W177" s="288"/>
      <c r="X177" s="292" t="s">
        <v>120</v>
      </c>
      <c r="Y177" s="288" t="s">
        <v>1125</v>
      </c>
      <c r="Z177" s="293" t="s">
        <v>120</v>
      </c>
      <c r="AA177" s="294"/>
      <c r="AB177" s="294"/>
      <c r="AC177" s="295" t="s">
        <v>123</v>
      </c>
      <c r="AD177" s="288" t="s">
        <v>1126</v>
      </c>
      <c r="AE177" s="292" t="s">
        <v>120</v>
      </c>
      <c r="AF177" s="289" t="s">
        <v>1105</v>
      </c>
      <c r="AG177" s="296"/>
      <c r="AH177" s="296"/>
      <c r="AI177" s="288"/>
      <c r="AJ177" s="292" t="s">
        <v>120</v>
      </c>
      <c r="AK177" s="288" t="s">
        <v>123</v>
      </c>
      <c r="AL177" s="288" t="s">
        <v>935</v>
      </c>
      <c r="AM177" s="292"/>
      <c r="AN177" s="288"/>
      <c r="AO177" s="288"/>
      <c r="AP177" s="297"/>
      <c r="AQ177" s="288"/>
      <c r="AR177" s="292"/>
      <c r="AS177" s="288"/>
      <c r="AT177" s="289">
        <v>43437.615612152797</v>
      </c>
      <c r="AU177" s="289">
        <v>43440.6874626157</v>
      </c>
      <c r="AV177" s="289">
        <v>43440.494384375001</v>
      </c>
      <c r="AW177" s="289">
        <v>43437.615612152797</v>
      </c>
      <c r="AX177" s="289">
        <v>43438.6441984954</v>
      </c>
      <c r="AY177" s="289">
        <v>43434.674931713002</v>
      </c>
      <c r="AZ177" s="298">
        <v>43441.419787268504</v>
      </c>
      <c r="BA17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7.4197872685035691</v>
      </c>
      <c r="BB177" s="300">
        <f>COUNTIFS(_05preva_view43[Site ID],_05preva_view43[[#This Row],[Site ID]],_05preva_view43[Prevalidation Status],"Under Prevalidation")</f>
        <v>0</v>
      </c>
      <c r="BC17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7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1-01-15012-004 (SHN00053) Application Rev 3.xlsx</v>
      </c>
      <c r="BE177" s="64">
        <f t="shared" ca="1" si="4"/>
        <v>50</v>
      </c>
      <c r="BF177" s="104" t="str">
        <f ca="1">LEFT(CELL("filename",A162),_05preva_view43[[#This Row],[Find Process &amp; Database]]-1)</f>
        <v>D:\OneDrive - apollo-towers.com\Apollo Towers\00-</v>
      </c>
      <c r="BG177" s="104" t="str">
        <f ca="1">_05preva_view43[Folder Path1]&amp;"Process &amp; Database\Documentation\Colo Applications"</f>
        <v>D:\OneDrive - apollo-towers.com\Apollo Towers\00-Process &amp; Database\Documentation\Colo Applications</v>
      </c>
      <c r="BH17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7" s="63" t="str">
        <f ca="1">_05preva_view43[[#This Row],[Folder Path3]]&amp;_05preva_view43[[#This Row],[File Name]]</f>
        <v>D:\OneDrive - apollo-towers.com\Apollo Towers\00-Process &amp; Database\Documentation\Colo Applications\Colo App MPT\1-01-15012-004 (SHN00053) Application Rev 3.xlsx</v>
      </c>
      <c r="BJ177" s="104"/>
      <c r="BK177" s="3"/>
      <c r="BL177" s="3"/>
      <c r="CJ177" s="5"/>
      <c r="CK177" s="5"/>
      <c r="CL177" s="3"/>
      <c r="CN177" s="5"/>
      <c r="CR177" s="3"/>
      <c r="CS177" s="3"/>
      <c r="CT177" s="5"/>
      <c r="CV177" s="3"/>
      <c r="DR177" s="5"/>
      <c r="DT177" s="3"/>
      <c r="EF177" s="7"/>
      <c r="EG177" s="7"/>
      <c r="EJ177" s="4"/>
      <c r="EK177" s="4"/>
      <c r="EU177" s="2"/>
      <c r="EV177" s="2"/>
    </row>
    <row r="178" spans="1:152">
      <c r="A178" s="287">
        <v>3446</v>
      </c>
      <c r="B178" s="288" t="s">
        <v>1061</v>
      </c>
      <c r="C178" s="288" t="s">
        <v>278</v>
      </c>
      <c r="D178" s="288" t="s">
        <v>127</v>
      </c>
      <c r="E178" s="288" t="s">
        <v>1062</v>
      </c>
      <c r="F178" s="288" t="s">
        <v>35</v>
      </c>
      <c r="G178" s="288" t="s">
        <v>1292</v>
      </c>
      <c r="H178" s="288" t="s">
        <v>1285</v>
      </c>
      <c r="I178" s="288" t="s">
        <v>981</v>
      </c>
      <c r="J178" s="288" t="s">
        <v>686</v>
      </c>
      <c r="K178" s="289">
        <v>43432</v>
      </c>
      <c r="L178" s="290">
        <v>1</v>
      </c>
      <c r="M178" s="290">
        <v>1.4</v>
      </c>
      <c r="N178" s="288">
        <v>3.56</v>
      </c>
      <c r="O178" s="288" t="s">
        <v>687</v>
      </c>
      <c r="P178" s="291" t="s">
        <v>993</v>
      </c>
      <c r="Q178" s="291" t="s">
        <v>994</v>
      </c>
      <c r="R178" s="288" t="s">
        <v>24</v>
      </c>
      <c r="S178" s="288"/>
      <c r="T178" s="292" t="s">
        <v>120</v>
      </c>
      <c r="U178" s="288" t="s">
        <v>982</v>
      </c>
      <c r="V178" s="292" t="s">
        <v>120</v>
      </c>
      <c r="W178" s="288"/>
      <c r="X178" s="292" t="s">
        <v>120</v>
      </c>
      <c r="Y178" s="288" t="s">
        <v>1063</v>
      </c>
      <c r="Z178" s="293" t="s">
        <v>120</v>
      </c>
      <c r="AA178" s="294"/>
      <c r="AB178" s="294"/>
      <c r="AC178" s="295" t="s">
        <v>123</v>
      </c>
      <c r="AD178" s="288" t="s">
        <v>1064</v>
      </c>
      <c r="AE178" s="292" t="s">
        <v>120</v>
      </c>
      <c r="AF178" s="289"/>
      <c r="AG178" s="296"/>
      <c r="AH178" s="296"/>
      <c r="AI178" s="288" t="s">
        <v>1065</v>
      </c>
      <c r="AJ178" s="292" t="s">
        <v>120</v>
      </c>
      <c r="AK178" s="288" t="s">
        <v>123</v>
      </c>
      <c r="AL178" s="288" t="s">
        <v>935</v>
      </c>
      <c r="AM178" s="292"/>
      <c r="AN178" s="288"/>
      <c r="AO178" s="288"/>
      <c r="AP178" s="297"/>
      <c r="AQ178" s="288"/>
      <c r="AR178" s="292"/>
      <c r="AS178" s="288"/>
      <c r="AT178" s="289">
        <v>43433.679719791697</v>
      </c>
      <c r="AU178" s="289">
        <v>43433.627221296301</v>
      </c>
      <c r="AV178" s="289">
        <v>43434.722880208297</v>
      </c>
      <c r="AW178" s="289">
        <v>43433.679719791697</v>
      </c>
      <c r="AX178" s="289">
        <v>43438.644180671297</v>
      </c>
      <c r="AY178" s="289">
        <v>43433.472604050898</v>
      </c>
      <c r="AZ178" s="298">
        <v>43439.634170138903</v>
      </c>
      <c r="BA17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7.6341701389028458</v>
      </c>
      <c r="BB178" s="300">
        <f>COUNTIFS(_05preva_view43[Site ID],_05preva_view43[[#This Row],[Site ID]],_05preva_view43[Prevalidation Status],"Under Prevalidation")</f>
        <v>0</v>
      </c>
      <c r="BC17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8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1-01-15013-004 (SHN00327) Application Rev 2.xlsx</v>
      </c>
      <c r="BE178" s="64">
        <f t="shared" ca="1" si="4"/>
        <v>50</v>
      </c>
      <c r="BF178" s="104" t="str">
        <f ca="1">LEFT(CELL("filename",A163),_05preva_view43[[#This Row],[Find Process &amp; Database]]-1)</f>
        <v>D:\OneDrive - apollo-towers.com\Apollo Towers\00-</v>
      </c>
      <c r="BG178" s="104" t="str">
        <f ca="1">_05preva_view43[Folder Path1]&amp;"Process &amp; Database\Documentation\Colo Applications"</f>
        <v>D:\OneDrive - apollo-towers.com\Apollo Towers\00-Process &amp; Database\Documentation\Colo Applications</v>
      </c>
      <c r="BH17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8" s="63" t="str">
        <f ca="1">_05preva_view43[[#This Row],[Folder Path3]]&amp;_05preva_view43[[#This Row],[File Name]]</f>
        <v>D:\OneDrive - apollo-towers.com\Apollo Towers\00-Process &amp; Database\Documentation\Colo Applications\Colo App MPT\1-01-15013-004 (SHN00327) Application Rev 2.xlsx</v>
      </c>
      <c r="BJ178" s="104"/>
      <c r="BK178" s="3"/>
      <c r="BL178" s="3"/>
      <c r="CJ178" s="5"/>
      <c r="CK178" s="5"/>
      <c r="CL178" s="3"/>
      <c r="CN178" s="5"/>
      <c r="CR178" s="3"/>
      <c r="CS178" s="3"/>
      <c r="CT178" s="5"/>
      <c r="CV178" s="3"/>
      <c r="DR178" s="5"/>
      <c r="DT178" s="3"/>
      <c r="EF178" s="7"/>
      <c r="EG178" s="7"/>
      <c r="EJ178" s="4"/>
      <c r="EK178" s="4"/>
      <c r="EU178" s="2"/>
      <c r="EV178" s="2"/>
    </row>
    <row r="179" spans="1:152">
      <c r="A179" s="287">
        <v>3447</v>
      </c>
      <c r="B179" s="288" t="s">
        <v>1066</v>
      </c>
      <c r="C179" s="288" t="s">
        <v>278</v>
      </c>
      <c r="D179" s="288" t="s">
        <v>153</v>
      </c>
      <c r="E179" s="288" t="s">
        <v>1067</v>
      </c>
      <c r="F179" s="288" t="s">
        <v>35</v>
      </c>
      <c r="G179" s="288" t="s">
        <v>1292</v>
      </c>
      <c r="H179" s="288" t="s">
        <v>1285</v>
      </c>
      <c r="I179" s="288" t="s">
        <v>1068</v>
      </c>
      <c r="J179" s="288" t="s">
        <v>668</v>
      </c>
      <c r="K179" s="289">
        <v>43432</v>
      </c>
      <c r="L179" s="290">
        <v>3.36</v>
      </c>
      <c r="M179" s="290">
        <v>4.2</v>
      </c>
      <c r="N179" s="288">
        <v>3.98</v>
      </c>
      <c r="O179" s="288" t="s">
        <v>687</v>
      </c>
      <c r="P179" s="291" t="s">
        <v>694</v>
      </c>
      <c r="Q179" s="291" t="s">
        <v>1069</v>
      </c>
      <c r="R179" s="288" t="s">
        <v>24</v>
      </c>
      <c r="S179" s="288"/>
      <c r="T179" s="292" t="s">
        <v>120</v>
      </c>
      <c r="U179" s="288" t="s">
        <v>982</v>
      </c>
      <c r="V179" s="292" t="s">
        <v>120</v>
      </c>
      <c r="W179" s="288"/>
      <c r="X179" s="292" t="s">
        <v>120</v>
      </c>
      <c r="Y179" s="288" t="s">
        <v>1070</v>
      </c>
      <c r="Z179" s="293" t="s">
        <v>120</v>
      </c>
      <c r="AA179" s="294"/>
      <c r="AB179" s="294"/>
      <c r="AC179" s="295" t="s">
        <v>123</v>
      </c>
      <c r="AD179" s="288" t="s">
        <v>1071</v>
      </c>
      <c r="AE179" s="292" t="s">
        <v>120</v>
      </c>
      <c r="AF179" s="289" t="s">
        <v>1454</v>
      </c>
      <c r="AG179" s="296"/>
      <c r="AH179" s="296"/>
      <c r="AI179" s="288" t="s">
        <v>1305</v>
      </c>
      <c r="AJ179" s="292" t="s">
        <v>120</v>
      </c>
      <c r="AK179" s="288" t="s">
        <v>123</v>
      </c>
      <c r="AL179" s="288" t="s">
        <v>935</v>
      </c>
      <c r="AM179" s="292"/>
      <c r="AN179" s="288"/>
      <c r="AO179" s="288"/>
      <c r="AP179" s="297"/>
      <c r="AQ179" s="288"/>
      <c r="AR179" s="292"/>
      <c r="AS179" s="288"/>
      <c r="AT179" s="289">
        <v>43433.679725578702</v>
      </c>
      <c r="AU179" s="289">
        <v>43451.370464583299</v>
      </c>
      <c r="AV179" s="289">
        <v>43434.722880786998</v>
      </c>
      <c r="AW179" s="289">
        <v>43433.679725578702</v>
      </c>
      <c r="AX179" s="289">
        <v>43438.644181597199</v>
      </c>
      <c r="AY179" s="289">
        <v>43433.472604513903</v>
      </c>
      <c r="AZ179" s="298">
        <v>43451.411454282403</v>
      </c>
      <c r="BA17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19.411454282402701</v>
      </c>
      <c r="BB179" s="300">
        <f>COUNTIFS(_05preva_view43[Site ID],_05preva_view43[[#This Row],[Site ID]],_05preva_view43[Prevalidation Status],"Under Prevalidation")</f>
        <v>0</v>
      </c>
      <c r="BC17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79" s="302" t="str">
        <f>CONCATENATE(_05preva_view43[[#This Row],[Site ID]]," (",_05preva_view43[[#This Row],[tenant id]],") Application",IF(_05preva_view43[[#This Row],[Colo Rev]]&gt;0," Rev "&amp;_05preva_view43[[#This Row],[Colo Rev]],""),".xlsx")</f>
        <v>1-01-11009-002 (MON00311) Application Rev 1.xlsx</v>
      </c>
      <c r="BE179" s="64">
        <f t="shared" ca="1" si="4"/>
        <v>50</v>
      </c>
      <c r="BF179" s="104" t="str">
        <f ca="1">LEFT(CELL("filename",A164),_05preva_view43[[#This Row],[Find Process &amp; Database]]-1)</f>
        <v>D:\OneDrive - apollo-towers.com\Apollo Towers\00-</v>
      </c>
      <c r="BG179" s="104" t="str">
        <f ca="1">_05preva_view43[Folder Path1]&amp;"Process &amp; Database\Documentation\Colo Applications"</f>
        <v>D:\OneDrive - apollo-towers.com\Apollo Towers\00-Process &amp; Database\Documentation\Colo Applications</v>
      </c>
      <c r="BH17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79" s="63" t="str">
        <f ca="1">_05preva_view43[[#This Row],[Folder Path3]]&amp;_05preva_view43[[#This Row],[File Name]]</f>
        <v>D:\OneDrive - apollo-towers.com\Apollo Towers\00-Process &amp; Database\Documentation\Colo Applications\Colo App MPT\1-01-11009-002 (MON00311) Application Rev 1.xlsx</v>
      </c>
      <c r="BJ179" s="104"/>
      <c r="BK179" s="3"/>
      <c r="BL179" s="3"/>
      <c r="CJ179" s="5"/>
      <c r="CK179" s="5"/>
      <c r="CL179" s="3"/>
      <c r="CN179" s="5"/>
      <c r="CR179" s="3"/>
      <c r="CS179" s="3"/>
      <c r="CT179" s="5"/>
      <c r="CV179" s="3"/>
      <c r="DR179" s="5"/>
      <c r="DT179" s="3"/>
      <c r="EF179" s="7"/>
      <c r="EG179" s="7"/>
      <c r="EJ179" s="4"/>
      <c r="EK179" s="4"/>
      <c r="EU179" s="2"/>
      <c r="EV179" s="2"/>
    </row>
    <row r="180" spans="1:152">
      <c r="A180" s="287">
        <v>3448</v>
      </c>
      <c r="B180" s="288" t="s">
        <v>802</v>
      </c>
      <c r="C180" s="288" t="s">
        <v>278</v>
      </c>
      <c r="D180" s="288" t="s">
        <v>117</v>
      </c>
      <c r="E180" s="288" t="s">
        <v>803</v>
      </c>
      <c r="F180" s="288" t="s">
        <v>35</v>
      </c>
      <c r="G180" s="288" t="s">
        <v>1292</v>
      </c>
      <c r="H180" s="288" t="s">
        <v>1285</v>
      </c>
      <c r="I180" s="288" t="s">
        <v>1068</v>
      </c>
      <c r="J180" s="288" t="s">
        <v>1022</v>
      </c>
      <c r="K180" s="289">
        <v>43432</v>
      </c>
      <c r="L180" s="290">
        <v>3.12</v>
      </c>
      <c r="M180" s="290">
        <v>3.9</v>
      </c>
      <c r="N180" s="288">
        <v>4.21</v>
      </c>
      <c r="O180" s="288" t="s">
        <v>687</v>
      </c>
      <c r="P180" s="291" t="s">
        <v>508</v>
      </c>
      <c r="Q180" s="291" t="s">
        <v>509</v>
      </c>
      <c r="R180" s="288" t="s">
        <v>24</v>
      </c>
      <c r="S180" s="288"/>
      <c r="T180" s="292" t="s">
        <v>120</v>
      </c>
      <c r="U180" s="288" t="s">
        <v>982</v>
      </c>
      <c r="V180" s="292" t="s">
        <v>120</v>
      </c>
      <c r="W180" s="288"/>
      <c r="X180" s="292" t="s">
        <v>120</v>
      </c>
      <c r="Y180" s="288" t="s">
        <v>1073</v>
      </c>
      <c r="Z180" s="293" t="s">
        <v>120</v>
      </c>
      <c r="AA180" s="294"/>
      <c r="AB180" s="294"/>
      <c r="AC180" s="295" t="s">
        <v>123</v>
      </c>
      <c r="AD180" s="288" t="s">
        <v>1074</v>
      </c>
      <c r="AE180" s="292" t="s">
        <v>120</v>
      </c>
      <c r="AF180" s="289" t="s">
        <v>1455</v>
      </c>
      <c r="AG180" s="296"/>
      <c r="AH180" s="296"/>
      <c r="AI180" s="288" t="s">
        <v>1306</v>
      </c>
      <c r="AJ180" s="292" t="s">
        <v>120</v>
      </c>
      <c r="AK180" s="288" t="s">
        <v>123</v>
      </c>
      <c r="AL180" s="288" t="s">
        <v>935</v>
      </c>
      <c r="AM180" s="292"/>
      <c r="AN180" s="288"/>
      <c r="AO180" s="288"/>
      <c r="AP180" s="297"/>
      <c r="AQ180" s="288"/>
      <c r="AR180" s="292"/>
      <c r="AS180" s="288"/>
      <c r="AT180" s="289">
        <v>43433.679731944401</v>
      </c>
      <c r="AU180" s="289">
        <v>43451.370466088003</v>
      </c>
      <c r="AV180" s="289">
        <v>43434.722881713002</v>
      </c>
      <c r="AW180" s="289">
        <v>43433.679731944401</v>
      </c>
      <c r="AX180" s="289">
        <v>43438.644183449098</v>
      </c>
      <c r="AY180" s="289">
        <v>43433.472604976901</v>
      </c>
      <c r="AZ180" s="298">
        <v>43451.411455208297</v>
      </c>
      <c r="BA18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19.411455208297411</v>
      </c>
      <c r="BB180" s="300">
        <f>COUNTIFS(_05preva_view43[Site ID],_05preva_view43[[#This Row],[Site ID]],_05preva_view43[Prevalidation Status],"Under Prevalidation")</f>
        <v>0</v>
      </c>
      <c r="BC18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0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5.xlsx</v>
      </c>
      <c r="BE180" s="64">
        <f t="shared" ca="1" si="4"/>
        <v>50</v>
      </c>
      <c r="BF180" s="104" t="str">
        <f ca="1">LEFT(CELL("filename",A165),_05preva_view43[[#This Row],[Find Process &amp; Database]]-1)</f>
        <v>D:\OneDrive - apollo-towers.com\Apollo Towers\00-</v>
      </c>
      <c r="BG180" s="104" t="str">
        <f ca="1">_05preva_view43[Folder Path1]&amp;"Process &amp; Database\Documentation\Colo Applications"</f>
        <v>D:\OneDrive - apollo-towers.com\Apollo Towers\00-Process &amp; Database\Documentation\Colo Applications</v>
      </c>
      <c r="BH18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0" s="63" t="str">
        <f ca="1">_05preva_view43[[#This Row],[Folder Path3]]&amp;_05preva_view43[[#This Row],[File Name]]</f>
        <v>D:\OneDrive - apollo-towers.com\Apollo Towers\00-Process &amp; Database\Documentation\Colo Applications\Colo App MPT\1-01-14001-015 (SHS00057) Application Rev 5.xlsx</v>
      </c>
      <c r="BJ180" s="104"/>
      <c r="BK180" s="3"/>
      <c r="BL180" s="3"/>
      <c r="CJ180" s="5"/>
      <c r="CK180" s="5"/>
      <c r="CL180" s="3"/>
      <c r="CN180" s="5"/>
      <c r="CR180" s="3"/>
      <c r="CS180" s="3"/>
      <c r="CT180" s="5"/>
      <c r="CV180" s="3"/>
      <c r="DR180" s="5"/>
      <c r="DT180" s="3"/>
      <c r="EF180" s="7"/>
      <c r="EG180" s="7"/>
      <c r="EJ180" s="4"/>
      <c r="EK180" s="4"/>
      <c r="EU180" s="2"/>
      <c r="EV180" s="2"/>
    </row>
    <row r="181" spans="1:152">
      <c r="A181" s="287">
        <v>3449</v>
      </c>
      <c r="B181" s="288" t="s">
        <v>873</v>
      </c>
      <c r="C181" s="288" t="s">
        <v>278</v>
      </c>
      <c r="D181" s="288" t="s">
        <v>117</v>
      </c>
      <c r="E181" s="288" t="s">
        <v>874</v>
      </c>
      <c r="F181" s="288" t="s">
        <v>35</v>
      </c>
      <c r="G181" s="288" t="s">
        <v>1292</v>
      </c>
      <c r="H181" s="288" t="s">
        <v>1285</v>
      </c>
      <c r="I181" s="288" t="s">
        <v>888</v>
      </c>
      <c r="J181" s="288" t="s">
        <v>694</v>
      </c>
      <c r="K181" s="289">
        <v>43432</v>
      </c>
      <c r="L181" s="290">
        <v>2.3199999999999998</v>
      </c>
      <c r="M181" s="290">
        <v>2.9</v>
      </c>
      <c r="N181" s="288">
        <v>2.88</v>
      </c>
      <c r="O181" s="288" t="s">
        <v>687</v>
      </c>
      <c r="P181" s="291" t="s">
        <v>695</v>
      </c>
      <c r="Q181" s="291" t="s">
        <v>696</v>
      </c>
      <c r="R181" s="288" t="s">
        <v>24</v>
      </c>
      <c r="S181" s="288"/>
      <c r="T181" s="292" t="s">
        <v>120</v>
      </c>
      <c r="U181" s="288" t="s">
        <v>982</v>
      </c>
      <c r="V181" s="292" t="s">
        <v>120</v>
      </c>
      <c r="W181" s="288"/>
      <c r="X181" s="292" t="s">
        <v>120</v>
      </c>
      <c r="Y181" s="288" t="s">
        <v>1075</v>
      </c>
      <c r="Z181" s="293" t="s">
        <v>120</v>
      </c>
      <c r="AA181" s="294"/>
      <c r="AB181" s="294"/>
      <c r="AC181" s="295" t="s">
        <v>123</v>
      </c>
      <c r="AD181" s="288" t="s">
        <v>1076</v>
      </c>
      <c r="AE181" s="292" t="s">
        <v>120</v>
      </c>
      <c r="AF181" s="289"/>
      <c r="AG181" s="296"/>
      <c r="AH181" s="296"/>
      <c r="AI181" s="288" t="s">
        <v>1077</v>
      </c>
      <c r="AJ181" s="292" t="s">
        <v>120</v>
      </c>
      <c r="AK181" s="288" t="s">
        <v>123</v>
      </c>
      <c r="AL181" s="288" t="s">
        <v>935</v>
      </c>
      <c r="AM181" s="292"/>
      <c r="AN181" s="288"/>
      <c r="AO181" s="288"/>
      <c r="AP181" s="297"/>
      <c r="AQ181" s="288"/>
      <c r="AR181" s="292"/>
      <c r="AS181" s="288"/>
      <c r="AT181" s="289">
        <v>43433.679737963001</v>
      </c>
      <c r="AU181" s="289">
        <v>43433.627222916701</v>
      </c>
      <c r="AV181" s="289">
        <v>43434.445667592598</v>
      </c>
      <c r="AW181" s="289">
        <v>43433.679737963001</v>
      </c>
      <c r="AX181" s="289">
        <v>43438.644185416699</v>
      </c>
      <c r="AY181" s="289">
        <v>43433.472606481497</v>
      </c>
      <c r="AZ181" s="298">
        <v>43439.634174305596</v>
      </c>
      <c r="BA18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7.6341743055963889</v>
      </c>
      <c r="BB181" s="300">
        <f>COUNTIFS(_05preva_view43[Site ID],_05preva_view43[[#This Row],[Site ID]],_05preva_view43[Prevalidation Status],"Under Prevalidation")</f>
        <v>0</v>
      </c>
      <c r="BC18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1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4.xlsx</v>
      </c>
      <c r="BE181" s="64">
        <f t="shared" ca="1" si="4"/>
        <v>50</v>
      </c>
      <c r="BF181" s="104" t="str">
        <f ca="1">LEFT(CELL("filename",A166),_05preva_view43[[#This Row],[Find Process &amp; Database]]-1)</f>
        <v>D:\OneDrive - apollo-towers.com\Apollo Towers\00-</v>
      </c>
      <c r="BG181" s="104" t="str">
        <f ca="1">_05preva_view43[Folder Path1]&amp;"Process &amp; Database\Documentation\Colo Applications"</f>
        <v>D:\OneDrive - apollo-towers.com\Apollo Towers\00-Process &amp; Database\Documentation\Colo Applications</v>
      </c>
      <c r="BH18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1" s="63" t="str">
        <f ca="1">_05preva_view43[[#This Row],[Folder Path3]]&amp;_05preva_view43[[#This Row],[File Name]]</f>
        <v>D:\OneDrive - apollo-towers.com\Apollo Towers\00-Process &amp; Database\Documentation\Colo Applications\Colo App MPT\1-01-14001-026 (SHS00070) Application Rev 4.xlsx</v>
      </c>
      <c r="BJ181" s="104"/>
      <c r="BK181" s="3"/>
      <c r="BL181" s="3"/>
      <c r="CJ181" s="5"/>
      <c r="CK181" s="5"/>
      <c r="CL181" s="3"/>
      <c r="CN181" s="5"/>
      <c r="CR181" s="3"/>
      <c r="CS181" s="3"/>
      <c r="CT181" s="5"/>
      <c r="CV181" s="3"/>
      <c r="DR181" s="5"/>
      <c r="DT181" s="3"/>
      <c r="EF181" s="7"/>
      <c r="EG181" s="7"/>
      <c r="EJ181" s="4"/>
      <c r="EK181" s="4"/>
      <c r="EU181" s="2"/>
      <c r="EV181" s="2"/>
    </row>
    <row r="182" spans="1:152">
      <c r="A182" s="287">
        <v>3450</v>
      </c>
      <c r="B182" s="288" t="s">
        <v>806</v>
      </c>
      <c r="C182" s="288" t="s">
        <v>278</v>
      </c>
      <c r="D182" s="288" t="s">
        <v>153</v>
      </c>
      <c r="E182" s="288" t="s">
        <v>807</v>
      </c>
      <c r="F182" s="288" t="s">
        <v>35</v>
      </c>
      <c r="G182" s="288" t="s">
        <v>1292</v>
      </c>
      <c r="H182" s="288" t="s">
        <v>1285</v>
      </c>
      <c r="I182" s="288" t="s">
        <v>1068</v>
      </c>
      <c r="J182" s="288" t="s">
        <v>694</v>
      </c>
      <c r="K182" s="289">
        <v>43432</v>
      </c>
      <c r="L182" s="290">
        <v>3.28</v>
      </c>
      <c r="M182" s="290">
        <v>4.0999999999999996</v>
      </c>
      <c r="N182" s="288">
        <v>4.42</v>
      </c>
      <c r="O182" s="288" t="s">
        <v>687</v>
      </c>
      <c r="P182" s="291" t="s">
        <v>808</v>
      </c>
      <c r="Q182" s="291" t="s">
        <v>809</v>
      </c>
      <c r="R182" s="288" t="s">
        <v>24</v>
      </c>
      <c r="S182" s="288"/>
      <c r="T182" s="292" t="s">
        <v>120</v>
      </c>
      <c r="U182" s="288" t="s">
        <v>982</v>
      </c>
      <c r="V182" s="292" t="s">
        <v>120</v>
      </c>
      <c r="W182" s="288"/>
      <c r="X182" s="292" t="s">
        <v>120</v>
      </c>
      <c r="Y182" s="288" t="s">
        <v>1078</v>
      </c>
      <c r="Z182" s="293" t="s">
        <v>120</v>
      </c>
      <c r="AA182" s="294"/>
      <c r="AB182" s="294"/>
      <c r="AC182" s="295" t="s">
        <v>123</v>
      </c>
      <c r="AD182" s="288" t="s">
        <v>1079</v>
      </c>
      <c r="AE182" s="292" t="s">
        <v>120</v>
      </c>
      <c r="AF182" s="289" t="s">
        <v>1456</v>
      </c>
      <c r="AG182" s="296"/>
      <c r="AH182" s="296"/>
      <c r="AI182" s="288" t="s">
        <v>1306</v>
      </c>
      <c r="AJ182" s="292" t="s">
        <v>120</v>
      </c>
      <c r="AK182" s="288" t="s">
        <v>123</v>
      </c>
      <c r="AL182" s="288" t="s">
        <v>935</v>
      </c>
      <c r="AM182" s="292"/>
      <c r="AN182" s="288"/>
      <c r="AO182" s="288"/>
      <c r="AP182" s="297"/>
      <c r="AQ182" s="288"/>
      <c r="AR182" s="292"/>
      <c r="AS182" s="288"/>
      <c r="AT182" s="289">
        <v>43433.6797443287</v>
      </c>
      <c r="AU182" s="289">
        <v>43451.370467361099</v>
      </c>
      <c r="AV182" s="289">
        <v>43434.578054398102</v>
      </c>
      <c r="AW182" s="289">
        <v>43433.6797443287</v>
      </c>
      <c r="AX182" s="289">
        <v>43438.644186689802</v>
      </c>
      <c r="AY182" s="289">
        <v>43433.4726077546</v>
      </c>
      <c r="AZ182" s="298">
        <v>43451.411456481503</v>
      </c>
      <c r="BA18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19.411456481502682</v>
      </c>
      <c r="BB182" s="300">
        <f>COUNTIFS(_05preva_view43[Site ID],_05preva_view43[[#This Row],[Site ID]],_05preva_view43[Prevalidation Status],"Under Prevalidation")</f>
        <v>0</v>
      </c>
      <c r="BC18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2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4.xlsx</v>
      </c>
      <c r="BE182" s="64">
        <f t="shared" ca="1" si="4"/>
        <v>50</v>
      </c>
      <c r="BF182" s="104" t="str">
        <f ca="1">LEFT(CELL("filename",A167),_05preva_view43[[#This Row],[Find Process &amp; Database]]-1)</f>
        <v>D:\OneDrive - apollo-towers.com\Apollo Towers\00-</v>
      </c>
      <c r="BG182" s="104" t="str">
        <f ca="1">_05preva_view43[Folder Path1]&amp;"Process &amp; Database\Documentation\Colo Applications"</f>
        <v>D:\OneDrive - apollo-towers.com\Apollo Towers\00-Process &amp; Database\Documentation\Colo Applications</v>
      </c>
      <c r="BH18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2" s="63" t="str">
        <f ca="1">_05preva_view43[[#This Row],[Folder Path3]]&amp;_05preva_view43[[#This Row],[File Name]]</f>
        <v>D:\OneDrive - apollo-towers.com\Apollo Towers\00-Process &amp; Database\Documentation\Colo Applications\Colo App MPT\1-01-06002-003 (TNY00206) Application Rev 4.xlsx</v>
      </c>
      <c r="BJ182" s="104"/>
      <c r="BK182" s="3"/>
      <c r="BL182" s="3"/>
      <c r="CJ182" s="5"/>
      <c r="CK182" s="5"/>
      <c r="CL182" s="3"/>
      <c r="CN182" s="5"/>
      <c r="CR182" s="3"/>
      <c r="CS182" s="3"/>
      <c r="CT182" s="5"/>
      <c r="CV182" s="3"/>
      <c r="DR182" s="5"/>
      <c r="DT182" s="3"/>
      <c r="EF182" s="7"/>
      <c r="EG182" s="7"/>
      <c r="EJ182" s="4"/>
      <c r="EK182" s="4"/>
      <c r="EU182" s="2"/>
      <c r="EV182" s="2"/>
    </row>
    <row r="183" spans="1:152">
      <c r="A183" s="287">
        <v>3451</v>
      </c>
      <c r="B183" s="288" t="s">
        <v>1080</v>
      </c>
      <c r="C183" s="288" t="s">
        <v>278</v>
      </c>
      <c r="D183" s="288" t="s">
        <v>153</v>
      </c>
      <c r="E183" s="288" t="s">
        <v>1081</v>
      </c>
      <c r="F183" s="288" t="s">
        <v>35</v>
      </c>
      <c r="G183" s="288" t="s">
        <v>1292</v>
      </c>
      <c r="H183" s="288" t="s">
        <v>1285</v>
      </c>
      <c r="I183" s="288" t="s">
        <v>888</v>
      </c>
      <c r="J183" s="288" t="s">
        <v>694</v>
      </c>
      <c r="K183" s="289">
        <v>43432</v>
      </c>
      <c r="L183" s="290">
        <v>1.92</v>
      </c>
      <c r="M183" s="290">
        <v>2.4</v>
      </c>
      <c r="N183" s="288">
        <v>3.72</v>
      </c>
      <c r="O183" s="288" t="s">
        <v>687</v>
      </c>
      <c r="P183" s="291" t="s">
        <v>526</v>
      </c>
      <c r="Q183" s="291" t="s">
        <v>629</v>
      </c>
      <c r="R183" s="288" t="s">
        <v>24</v>
      </c>
      <c r="S183" s="288"/>
      <c r="T183" s="292" t="s">
        <v>120</v>
      </c>
      <c r="U183" s="288" t="s">
        <v>982</v>
      </c>
      <c r="V183" s="292" t="s">
        <v>120</v>
      </c>
      <c r="W183" s="288"/>
      <c r="X183" s="292" t="s">
        <v>120</v>
      </c>
      <c r="Y183" s="288" t="s">
        <v>1082</v>
      </c>
      <c r="Z183" s="293" t="s">
        <v>120</v>
      </c>
      <c r="AA183" s="294"/>
      <c r="AB183" s="294"/>
      <c r="AC183" s="295" t="s">
        <v>123</v>
      </c>
      <c r="AD183" s="288" t="s">
        <v>1083</v>
      </c>
      <c r="AE183" s="292" t="s">
        <v>120</v>
      </c>
      <c r="AF183" s="289" t="s">
        <v>1457</v>
      </c>
      <c r="AG183" s="296"/>
      <c r="AH183" s="296"/>
      <c r="AI183" s="288" t="s">
        <v>1072</v>
      </c>
      <c r="AJ183" s="292" t="s">
        <v>120</v>
      </c>
      <c r="AK183" s="288" t="s">
        <v>123</v>
      </c>
      <c r="AL183" s="288" t="s">
        <v>935</v>
      </c>
      <c r="AM183" s="292"/>
      <c r="AN183" s="288"/>
      <c r="AO183" s="288"/>
      <c r="AP183" s="297"/>
      <c r="AQ183" s="288"/>
      <c r="AR183" s="292"/>
      <c r="AS183" s="288"/>
      <c r="AT183" s="289">
        <v>43433.679749884301</v>
      </c>
      <c r="AU183" s="289">
        <v>43451.370468055597</v>
      </c>
      <c r="AV183" s="289">
        <v>43434.629329166703</v>
      </c>
      <c r="AW183" s="289">
        <v>43433.679749884301</v>
      </c>
      <c r="AX183" s="289">
        <v>43438.644188310202</v>
      </c>
      <c r="AY183" s="289">
        <v>43433.472608217598</v>
      </c>
      <c r="AZ183" s="298">
        <v>43451.411457754599</v>
      </c>
      <c r="BA18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19.411457754598814</v>
      </c>
      <c r="BB183" s="300">
        <f>COUNTIFS(_05preva_view43[Site ID],_05preva_view43[[#This Row],[Site ID]],_05preva_view43[Prevalidation Status],"Under Prevalidation")</f>
        <v>0</v>
      </c>
      <c r="BC18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3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1-01-06001-002 (TNY00288) Application Rev 4.xlsx</v>
      </c>
      <c r="BE183" s="64">
        <f t="shared" ca="1" si="4"/>
        <v>50</v>
      </c>
      <c r="BF183" s="104" t="str">
        <f ca="1">LEFT(CELL("filename",A168),_05preva_view43[[#This Row],[Find Process &amp; Database]]-1)</f>
        <v>D:\OneDrive - apollo-towers.com\Apollo Towers\00-</v>
      </c>
      <c r="BG183" s="104" t="str">
        <f ca="1">_05preva_view43[Folder Path1]&amp;"Process &amp; Database\Documentation\Colo Applications"</f>
        <v>D:\OneDrive - apollo-towers.com\Apollo Towers\00-Process &amp; Database\Documentation\Colo Applications</v>
      </c>
      <c r="BH18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3" s="63" t="str">
        <f ca="1">_05preva_view43[[#This Row],[Folder Path3]]&amp;_05preva_view43[[#This Row],[File Name]]</f>
        <v>D:\OneDrive - apollo-towers.com\Apollo Towers\00-Process &amp; Database\Documentation\Colo Applications\Colo App MPT\1-01-06001-002 (TNY00288) Application Rev 4.xlsx</v>
      </c>
      <c r="BJ183" s="104"/>
      <c r="BK183" s="3"/>
      <c r="BL183" s="3"/>
      <c r="CJ183" s="5"/>
      <c r="CK183" s="5"/>
      <c r="CL183" s="3"/>
      <c r="CN183" s="5"/>
      <c r="CR183" s="3"/>
      <c r="CS183" s="3"/>
      <c r="CT183" s="5"/>
      <c r="CV183" s="3"/>
      <c r="DR183" s="5"/>
      <c r="DT183" s="3"/>
      <c r="EF183" s="7"/>
      <c r="EG183" s="7"/>
      <c r="EJ183" s="4"/>
      <c r="EK183" s="4"/>
      <c r="EU183" s="2"/>
      <c r="EV183" s="2"/>
    </row>
    <row r="184" spans="1:152">
      <c r="A184" s="287">
        <v>3452</v>
      </c>
      <c r="B184" s="288" t="s">
        <v>1084</v>
      </c>
      <c r="C184" s="288" t="s">
        <v>278</v>
      </c>
      <c r="D184" s="288" t="s">
        <v>153</v>
      </c>
      <c r="E184" s="288" t="s">
        <v>1085</v>
      </c>
      <c r="F184" s="288" t="s">
        <v>35</v>
      </c>
      <c r="G184" s="288" t="s">
        <v>1292</v>
      </c>
      <c r="H184" s="288" t="s">
        <v>1285</v>
      </c>
      <c r="I184" s="288" t="s">
        <v>888</v>
      </c>
      <c r="J184" s="288" t="s">
        <v>686</v>
      </c>
      <c r="K184" s="289">
        <v>43432</v>
      </c>
      <c r="L184" s="290">
        <v>2.16</v>
      </c>
      <c r="M184" s="290">
        <v>2.7</v>
      </c>
      <c r="N184" s="288">
        <v>3.47</v>
      </c>
      <c r="O184" s="288" t="s">
        <v>687</v>
      </c>
      <c r="P184" s="291" t="s">
        <v>508</v>
      </c>
      <c r="Q184" s="291" t="s">
        <v>509</v>
      </c>
      <c r="R184" s="288" t="s">
        <v>24</v>
      </c>
      <c r="S184" s="288"/>
      <c r="T184" s="292" t="s">
        <v>120</v>
      </c>
      <c r="U184" s="288" t="s">
        <v>982</v>
      </c>
      <c r="V184" s="292" t="s">
        <v>120</v>
      </c>
      <c r="W184" s="288"/>
      <c r="X184" s="292" t="s">
        <v>120</v>
      </c>
      <c r="Y184" s="288" t="s">
        <v>1086</v>
      </c>
      <c r="Z184" s="293" t="s">
        <v>120</v>
      </c>
      <c r="AA184" s="294"/>
      <c r="AB184" s="294"/>
      <c r="AC184" s="295" t="s">
        <v>123</v>
      </c>
      <c r="AD184" s="288" t="s">
        <v>1087</v>
      </c>
      <c r="AE184" s="292" t="s">
        <v>120</v>
      </c>
      <c r="AF184" s="289"/>
      <c r="AG184" s="296"/>
      <c r="AH184" s="296"/>
      <c r="AI184" s="288" t="s">
        <v>1065</v>
      </c>
      <c r="AJ184" s="292" t="s">
        <v>120</v>
      </c>
      <c r="AK184" s="288" t="s">
        <v>123</v>
      </c>
      <c r="AL184" s="288" t="s">
        <v>935</v>
      </c>
      <c r="AM184" s="292"/>
      <c r="AN184" s="288"/>
      <c r="AO184" s="288"/>
      <c r="AP184" s="297"/>
      <c r="AQ184" s="288"/>
      <c r="AR184" s="292"/>
      <c r="AS184" s="288"/>
      <c r="AT184" s="289">
        <v>43433.679755555597</v>
      </c>
      <c r="AU184" s="289">
        <v>43433.627225347198</v>
      </c>
      <c r="AV184" s="289">
        <v>43434.717072337997</v>
      </c>
      <c r="AW184" s="289">
        <v>43433.679755555597</v>
      </c>
      <c r="AX184" s="289">
        <v>43438.644189583298</v>
      </c>
      <c r="AY184" s="289">
        <v>43433.4726099537</v>
      </c>
      <c r="AZ184" s="298">
        <v>43439.634178819397</v>
      </c>
      <c r="BA18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7.6341788193967659</v>
      </c>
      <c r="BB184" s="300">
        <f>COUNTIFS(_05preva_view43[Site ID],_05preva_view43[[#This Row],[Site ID]],_05preva_view43[Prevalidation Status],"Under Prevalidation")</f>
        <v>0</v>
      </c>
      <c r="BC18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4" s="302" t="str">
        <f>CONCATENATE(_05preva_view43[[#This Row],[Site ID]]," (",_05preva_view43[[#This Row],[tenant id]],") Application",IF(_05preva_view43[[#This Row],[Colo Rev]]&gt;0," Rev "&amp;_05preva_view43[[#This Row],[Colo Rev]],""),".xlsx")</f>
        <v>1-01-13004-006 (YGN00927) Application Rev 2.xlsx</v>
      </c>
      <c r="BE184" s="64">
        <f t="shared" ca="1" si="4"/>
        <v>50</v>
      </c>
      <c r="BF184" s="104" t="str">
        <f ca="1">LEFT(CELL("filename",A169),_05preva_view43[[#This Row],[Find Process &amp; Database]]-1)</f>
        <v>D:\OneDrive - apollo-towers.com\Apollo Towers\00-</v>
      </c>
      <c r="BG184" s="104" t="str">
        <f ca="1">_05preva_view43[Folder Path1]&amp;"Process &amp; Database\Documentation\Colo Applications"</f>
        <v>D:\OneDrive - apollo-towers.com\Apollo Towers\00-Process &amp; Database\Documentation\Colo Applications</v>
      </c>
      <c r="BH18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4" s="63" t="str">
        <f ca="1">_05preva_view43[[#This Row],[Folder Path3]]&amp;_05preva_view43[[#This Row],[File Name]]</f>
        <v>D:\OneDrive - apollo-towers.com\Apollo Towers\00-Process &amp; Database\Documentation\Colo Applications\Colo App MPT\1-01-13004-006 (YGN00927) Application Rev 2.xlsx</v>
      </c>
      <c r="BJ184" s="104"/>
      <c r="BK184" s="3"/>
      <c r="BL184" s="3"/>
      <c r="CJ184" s="5"/>
      <c r="CK184" s="5"/>
      <c r="CL184" s="3"/>
      <c r="CN184" s="5"/>
      <c r="CR184" s="3"/>
      <c r="CS184" s="3"/>
      <c r="CT184" s="5"/>
      <c r="CV184" s="3"/>
      <c r="DR184" s="5"/>
      <c r="DT184" s="3"/>
      <c r="EF184" s="7"/>
      <c r="EG184" s="7"/>
      <c r="EJ184" s="4"/>
      <c r="EK184" s="4"/>
      <c r="EU184" s="2"/>
      <c r="EV184" s="2"/>
    </row>
    <row r="185" spans="1:152">
      <c r="A185" s="287">
        <v>3445</v>
      </c>
      <c r="B185" s="288" t="s">
        <v>1056</v>
      </c>
      <c r="C185" s="288" t="s">
        <v>278</v>
      </c>
      <c r="D185" s="288" t="s">
        <v>127</v>
      </c>
      <c r="E185" s="288" t="s">
        <v>1057</v>
      </c>
      <c r="F185" s="288" t="s">
        <v>38</v>
      </c>
      <c r="G185" s="288" t="s">
        <v>1295</v>
      </c>
      <c r="H185" s="288" t="s">
        <v>1285</v>
      </c>
      <c r="I185" s="288" t="s">
        <v>1058</v>
      </c>
      <c r="J185" s="288" t="s">
        <v>668</v>
      </c>
      <c r="K185" s="289">
        <v>43431</v>
      </c>
      <c r="L185" s="290"/>
      <c r="M185" s="290"/>
      <c r="N185" s="288">
        <v>4.8</v>
      </c>
      <c r="O185" s="288" t="s">
        <v>687</v>
      </c>
      <c r="P185" s="291" t="s">
        <v>765</v>
      </c>
      <c r="Q185" s="291" t="s">
        <v>766</v>
      </c>
      <c r="R185" s="288" t="s">
        <v>24</v>
      </c>
      <c r="S185" s="288"/>
      <c r="T185" s="292" t="s">
        <v>615</v>
      </c>
      <c r="U185" s="288"/>
      <c r="V185" s="292" t="s">
        <v>120</v>
      </c>
      <c r="W185" s="288" t="s">
        <v>120</v>
      </c>
      <c r="X185" s="292" t="s">
        <v>120</v>
      </c>
      <c r="Y185" s="288" t="s">
        <v>1059</v>
      </c>
      <c r="Z185" s="293" t="s">
        <v>120</v>
      </c>
      <c r="AA185" s="294"/>
      <c r="AB185" s="294"/>
      <c r="AC185" s="295" t="s">
        <v>123</v>
      </c>
      <c r="AD185" s="288" t="s">
        <v>1060</v>
      </c>
      <c r="AE185" s="292" t="s">
        <v>615</v>
      </c>
      <c r="AF185" s="289"/>
      <c r="AG185" s="296"/>
      <c r="AH185" s="296"/>
      <c r="AI185" s="288"/>
      <c r="AJ185" s="292" t="s">
        <v>120</v>
      </c>
      <c r="AK185" s="288" t="s">
        <v>123</v>
      </c>
      <c r="AL185" s="288" t="s">
        <v>935</v>
      </c>
      <c r="AM185" s="292"/>
      <c r="AN185" s="288"/>
      <c r="AO185" s="288"/>
      <c r="AP185" s="297"/>
      <c r="AQ185" s="288"/>
      <c r="AR185" s="292"/>
      <c r="AS185" s="288"/>
      <c r="AT185" s="289">
        <v>43431.631301273097</v>
      </c>
      <c r="AU185" s="289"/>
      <c r="AV185" s="289">
        <v>43434.4300329861</v>
      </c>
      <c r="AW185" s="289">
        <v>43431.631301273097</v>
      </c>
      <c r="AX185" s="289"/>
      <c r="AY185" s="289">
        <v>43431.6475726852</v>
      </c>
      <c r="AZ185" s="298">
        <v>43434.4300329861</v>
      </c>
      <c r="BA18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3.4300329860998318</v>
      </c>
      <c r="BB185" s="300">
        <f>COUNTIFS(_05preva_view43[Site ID],_05preva_view43[[#This Row],[Site ID]],_05preva_view43[Prevalidation Status],"Under Prevalidation")</f>
        <v>0</v>
      </c>
      <c r="BC18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1-01-05007-011 (SG1093) Application Rev 1.xlsx</v>
      </c>
      <c r="BE185" s="64">
        <f t="shared" ca="1" si="4"/>
        <v>50</v>
      </c>
      <c r="BF185" s="104" t="str">
        <f ca="1">LEFT(CELL("filename",A170),_05preva_view43[[#This Row],[Find Process &amp; Database]]-1)</f>
        <v>D:\OneDrive - apollo-towers.com\Apollo Towers\00-</v>
      </c>
      <c r="BG185" s="104" t="str">
        <f ca="1">_05preva_view43[Folder Path1]&amp;"Process &amp; Database\Documentation\Colo Applications"</f>
        <v>D:\OneDrive - apollo-towers.com\Apollo Towers\00-Process &amp; Database\Documentation\Colo Applications</v>
      </c>
      <c r="BH185" s="104" t="str">
        <f ca="1">_05preva_view43[Folder Path2]&amp;"\Colo App "&amp;_05preva_view43[[#This Row],[Operator]]&amp;"\"</f>
        <v>D:\OneDrive - apollo-towers.com\Apollo Towers\00-Process &amp; Database\Documentation\Colo Applications\Colo App Telenor\</v>
      </c>
      <c r="BI185" s="63" t="str">
        <f ca="1">_05preva_view43[[#This Row],[Folder Path3]]&amp;_05preva_view43[[#This Row],[File Name]]</f>
        <v>D:\OneDrive - apollo-towers.com\Apollo Towers\00-Process &amp; Database\Documentation\Colo Applications\Colo App Telenor\1-01-05007-011 (SG1093) Application Rev 1.xlsx</v>
      </c>
      <c r="BJ185" s="104"/>
      <c r="BK185" s="3"/>
      <c r="BL185" s="3"/>
      <c r="CJ185" s="5"/>
      <c r="CK185" s="5"/>
      <c r="CL185" s="3"/>
      <c r="CN185" s="5"/>
      <c r="CR185" s="3"/>
      <c r="CS185" s="3"/>
      <c r="CT185" s="5"/>
      <c r="CV185" s="3"/>
      <c r="DR185" s="5"/>
      <c r="DT185" s="3"/>
      <c r="EF185" s="7"/>
      <c r="EG185" s="7"/>
      <c r="EJ185" s="4"/>
      <c r="EK185" s="4"/>
      <c r="EU185" s="2"/>
      <c r="EV185" s="2"/>
    </row>
    <row r="186" spans="1:152">
      <c r="A186" s="287">
        <v>3435</v>
      </c>
      <c r="B186" s="288" t="s">
        <v>1009</v>
      </c>
      <c r="C186" s="288" t="s">
        <v>278</v>
      </c>
      <c r="D186" s="288" t="s">
        <v>127</v>
      </c>
      <c r="E186" s="288" t="s">
        <v>1010</v>
      </c>
      <c r="F186" s="288" t="s">
        <v>35</v>
      </c>
      <c r="G186" s="288" t="s">
        <v>1292</v>
      </c>
      <c r="H186" s="288" t="s">
        <v>1285</v>
      </c>
      <c r="I186" s="288" t="s">
        <v>790</v>
      </c>
      <c r="J186" s="288" t="s">
        <v>668</v>
      </c>
      <c r="K186" s="289">
        <v>43430</v>
      </c>
      <c r="L186" s="290">
        <v>2.0179999999999998</v>
      </c>
      <c r="M186" s="290">
        <v>3.22</v>
      </c>
      <c r="N186" s="288">
        <v>6.0659999999999998</v>
      </c>
      <c r="O186" s="288" t="s">
        <v>687</v>
      </c>
      <c r="P186" s="291" t="s">
        <v>695</v>
      </c>
      <c r="Q186" s="291" t="s">
        <v>696</v>
      </c>
      <c r="R186" s="288" t="s">
        <v>24</v>
      </c>
      <c r="S186" s="288"/>
      <c r="T186" s="292" t="s">
        <v>120</v>
      </c>
      <c r="U186" s="288" t="s">
        <v>1011</v>
      </c>
      <c r="V186" s="292" t="s">
        <v>120</v>
      </c>
      <c r="W186" s="288"/>
      <c r="X186" s="292" t="s">
        <v>120</v>
      </c>
      <c r="Y186" s="288" t="s">
        <v>1012</v>
      </c>
      <c r="Z186" s="293" t="s">
        <v>120</v>
      </c>
      <c r="AA186" s="294"/>
      <c r="AB186" s="294"/>
      <c r="AC186" s="295" t="s">
        <v>123</v>
      </c>
      <c r="AD186" s="288" t="s">
        <v>1045</v>
      </c>
      <c r="AE186" s="292" t="s">
        <v>120</v>
      </c>
      <c r="AF186" s="289" t="s">
        <v>1458</v>
      </c>
      <c r="AG186" s="296"/>
      <c r="AH186" s="296"/>
      <c r="AI186" s="288" t="s">
        <v>1003</v>
      </c>
      <c r="AJ186" s="292" t="s">
        <v>120</v>
      </c>
      <c r="AK186" s="288" t="s">
        <v>123</v>
      </c>
      <c r="AL186" s="288" t="s">
        <v>935</v>
      </c>
      <c r="AM186" s="292"/>
      <c r="AN186" s="288"/>
      <c r="AO186" s="288"/>
      <c r="AP186" s="297"/>
      <c r="AQ186" s="288"/>
      <c r="AR186" s="292"/>
      <c r="AS186" s="288"/>
      <c r="AT186" s="289">
        <v>43430.729991550899</v>
      </c>
      <c r="AU186" s="289">
        <v>43451.370457638899</v>
      </c>
      <c r="AV186" s="289">
        <v>43433.611970601902</v>
      </c>
      <c r="AW186" s="289">
        <v>43430.729991550899</v>
      </c>
      <c r="AX186" s="289">
        <v>43430.496678472198</v>
      </c>
      <c r="AY186" s="289">
        <v>43430.8437508102</v>
      </c>
      <c r="AZ186" s="298">
        <v>43451.389660300898</v>
      </c>
      <c r="BA18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21.389660300897958</v>
      </c>
      <c r="BB186" s="300">
        <f>COUNTIFS(_05preva_view43[Site ID],_05preva_view43[[#This Row],[Site ID]],_05preva_view43[Prevalidation Status],"Under Prevalidation")</f>
        <v>0</v>
      </c>
      <c r="BC18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6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1-01-05011-004 (SGG00215) Application Rev 1.xlsx</v>
      </c>
      <c r="BE186" s="64">
        <f t="shared" ca="1" si="4"/>
        <v>50</v>
      </c>
      <c r="BF186" s="104" t="str">
        <f ca="1">LEFT(CELL("filename",A171),_05preva_view43[[#This Row],[Find Process &amp; Database]]-1)</f>
        <v>D:\OneDrive - apollo-towers.com\Apollo Towers\00-</v>
      </c>
      <c r="BG186" s="104" t="str">
        <f ca="1">_05preva_view43[Folder Path1]&amp;"Process &amp; Database\Documentation\Colo Applications"</f>
        <v>D:\OneDrive - apollo-towers.com\Apollo Towers\00-Process &amp; Database\Documentation\Colo Applications</v>
      </c>
      <c r="BH18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6" s="63" t="str">
        <f ca="1">_05preva_view43[[#This Row],[Folder Path3]]&amp;_05preva_view43[[#This Row],[File Name]]</f>
        <v>D:\OneDrive - apollo-towers.com\Apollo Towers\00-Process &amp; Database\Documentation\Colo Applications\Colo App MPT\1-01-05011-004 (SGG00215) Application Rev 1.xlsx</v>
      </c>
      <c r="BJ186" s="104"/>
      <c r="BK186" s="3"/>
      <c r="BL186" s="3"/>
      <c r="CJ186" s="5"/>
      <c r="CK186" s="5"/>
      <c r="CL186" s="3"/>
      <c r="CN186" s="5"/>
      <c r="CR186" s="3"/>
      <c r="CS186" s="3"/>
      <c r="CT186" s="5"/>
      <c r="CV186" s="3"/>
      <c r="DR186" s="5"/>
      <c r="DT186" s="3"/>
      <c r="EF186" s="7"/>
      <c r="EG186" s="7"/>
      <c r="EJ186" s="4"/>
      <c r="EK186" s="4"/>
      <c r="EU186" s="2"/>
      <c r="EV186" s="2"/>
    </row>
    <row r="187" spans="1:152">
      <c r="A187" s="287">
        <v>3436</v>
      </c>
      <c r="B187" s="288" t="s">
        <v>1013</v>
      </c>
      <c r="C187" s="288" t="s">
        <v>278</v>
      </c>
      <c r="D187" s="288" t="s">
        <v>127</v>
      </c>
      <c r="E187" s="288" t="s">
        <v>1014</v>
      </c>
      <c r="F187" s="288" t="s">
        <v>35</v>
      </c>
      <c r="G187" s="288" t="s">
        <v>1292</v>
      </c>
      <c r="H187" s="288" t="s">
        <v>1285</v>
      </c>
      <c r="I187" s="288" t="s">
        <v>1006</v>
      </c>
      <c r="J187" s="288" t="s">
        <v>727</v>
      </c>
      <c r="K187" s="289">
        <v>43430</v>
      </c>
      <c r="L187" s="290">
        <v>1.399</v>
      </c>
      <c r="M187" s="290">
        <v>2.2610000000000001</v>
      </c>
      <c r="N187" s="288">
        <v>2.87</v>
      </c>
      <c r="O187" s="288" t="s">
        <v>687</v>
      </c>
      <c r="P187" s="291" t="s">
        <v>695</v>
      </c>
      <c r="Q187" s="291" t="s">
        <v>696</v>
      </c>
      <c r="R187" s="288" t="s">
        <v>24</v>
      </c>
      <c r="S187" s="288"/>
      <c r="T187" s="292" t="s">
        <v>120</v>
      </c>
      <c r="U187" s="288" t="s">
        <v>982</v>
      </c>
      <c r="V187" s="292" t="s">
        <v>120</v>
      </c>
      <c r="W187" s="288"/>
      <c r="X187" s="292" t="s">
        <v>120</v>
      </c>
      <c r="Y187" s="288" t="s">
        <v>1015</v>
      </c>
      <c r="Z187" s="293" t="s">
        <v>120</v>
      </c>
      <c r="AA187" s="294"/>
      <c r="AB187" s="294"/>
      <c r="AC187" s="295" t="s">
        <v>123</v>
      </c>
      <c r="AD187" s="288" t="s">
        <v>1046</v>
      </c>
      <c r="AE187" s="292" t="s">
        <v>120</v>
      </c>
      <c r="AF187" s="289" t="s">
        <v>1459</v>
      </c>
      <c r="AG187" s="296"/>
      <c r="AH187" s="296"/>
      <c r="AI187" s="288" t="s">
        <v>1003</v>
      </c>
      <c r="AJ187" s="292" t="s">
        <v>120</v>
      </c>
      <c r="AK187" s="288" t="s">
        <v>123</v>
      </c>
      <c r="AL187" s="288" t="s">
        <v>935</v>
      </c>
      <c r="AM187" s="292"/>
      <c r="AN187" s="288"/>
      <c r="AO187" s="288"/>
      <c r="AP187" s="297"/>
      <c r="AQ187" s="288"/>
      <c r="AR187" s="292"/>
      <c r="AS187" s="288"/>
      <c r="AT187" s="289">
        <v>43430.729993634297</v>
      </c>
      <c r="AU187" s="289">
        <v>43451.370458449099</v>
      </c>
      <c r="AV187" s="289">
        <v>43433.416367939797</v>
      </c>
      <c r="AW187" s="289">
        <v>43430.729993634297</v>
      </c>
      <c r="AX187" s="289">
        <v>43430.4966824074</v>
      </c>
      <c r="AY187" s="289">
        <v>43430.843755671303</v>
      </c>
      <c r="AZ187" s="298">
        <v>43451.389661458299</v>
      </c>
      <c r="BA18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21.389661458299088</v>
      </c>
      <c r="BB187" s="300">
        <f>COUNTIFS(_05preva_view43[Site ID],_05preva_view43[[#This Row],[Site ID]],_05preva_view43[Prevalidation Status],"Under Prevalidation")</f>
        <v>0</v>
      </c>
      <c r="BC18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7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1-01-05010-004 (SGG00233) Application Rev 3.xlsx</v>
      </c>
      <c r="BE187" s="64">
        <f t="shared" ca="1" si="4"/>
        <v>50</v>
      </c>
      <c r="BF187" s="104" t="str">
        <f ca="1">LEFT(CELL("filename",A172),_05preva_view43[[#This Row],[Find Process &amp; Database]]-1)</f>
        <v>D:\OneDrive - apollo-towers.com\Apollo Towers\00-</v>
      </c>
      <c r="BG187" s="104" t="str">
        <f ca="1">_05preva_view43[Folder Path1]&amp;"Process &amp; Database\Documentation\Colo Applications"</f>
        <v>D:\OneDrive - apollo-towers.com\Apollo Towers\00-Process &amp; Database\Documentation\Colo Applications</v>
      </c>
      <c r="BH18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7" s="63" t="str">
        <f ca="1">_05preva_view43[[#This Row],[Folder Path3]]&amp;_05preva_view43[[#This Row],[File Name]]</f>
        <v>D:\OneDrive - apollo-towers.com\Apollo Towers\00-Process &amp; Database\Documentation\Colo Applications\Colo App MPT\1-01-05010-004 (SGG00233) Application Rev 3.xlsx</v>
      </c>
      <c r="BJ187" s="104"/>
      <c r="BK187" s="3"/>
      <c r="BL187" s="3"/>
      <c r="CJ187" s="5"/>
      <c r="CK187" s="5"/>
      <c r="CL187" s="3"/>
      <c r="CN187" s="5"/>
      <c r="CR187" s="3"/>
      <c r="CS187" s="3"/>
      <c r="CT187" s="5"/>
      <c r="CV187" s="3"/>
      <c r="DR187" s="5"/>
      <c r="DT187" s="3"/>
      <c r="EF187" s="7"/>
      <c r="EG187" s="7"/>
      <c r="EJ187" s="4"/>
      <c r="EK187" s="4"/>
      <c r="EU187" s="2"/>
      <c r="EV187" s="2"/>
    </row>
    <row r="188" spans="1:152">
      <c r="A188" s="287">
        <v>3437</v>
      </c>
      <c r="B188" s="288" t="s">
        <v>931</v>
      </c>
      <c r="C188" s="288" t="s">
        <v>278</v>
      </c>
      <c r="D188" s="288" t="s">
        <v>127</v>
      </c>
      <c r="E188" s="288" t="s">
        <v>932</v>
      </c>
      <c r="F188" s="288" t="s">
        <v>35</v>
      </c>
      <c r="G188" s="288" t="s">
        <v>1292</v>
      </c>
      <c r="H188" s="288" t="s">
        <v>1285</v>
      </c>
      <c r="I188" s="288" t="s">
        <v>790</v>
      </c>
      <c r="J188" s="288" t="s">
        <v>727</v>
      </c>
      <c r="K188" s="289">
        <v>43430</v>
      </c>
      <c r="L188" s="290">
        <v>1.9890000000000001</v>
      </c>
      <c r="M188" s="290">
        <v>3.5489999999999999</v>
      </c>
      <c r="N188" s="288">
        <v>4.54</v>
      </c>
      <c r="O188" s="288" t="s">
        <v>687</v>
      </c>
      <c r="P188" s="291" t="s">
        <v>240</v>
      </c>
      <c r="Q188" s="291" t="s">
        <v>241</v>
      </c>
      <c r="R188" s="288" t="s">
        <v>24</v>
      </c>
      <c r="S188" s="288"/>
      <c r="T188" s="292" t="s">
        <v>120</v>
      </c>
      <c r="U188" s="288" t="s">
        <v>982</v>
      </c>
      <c r="V188" s="292" t="s">
        <v>120</v>
      </c>
      <c r="W188" s="288"/>
      <c r="X188" s="292" t="s">
        <v>120</v>
      </c>
      <c r="Y188" s="288" t="s">
        <v>1016</v>
      </c>
      <c r="Z188" s="293" t="s">
        <v>120</v>
      </c>
      <c r="AA188" s="294"/>
      <c r="AB188" s="294"/>
      <c r="AC188" s="295" t="s">
        <v>123</v>
      </c>
      <c r="AD188" s="288" t="s">
        <v>1047</v>
      </c>
      <c r="AE188" s="292" t="s">
        <v>120</v>
      </c>
      <c r="AF188" s="289" t="s">
        <v>1460</v>
      </c>
      <c r="AG188" s="296"/>
      <c r="AH188" s="296"/>
      <c r="AI188" s="288" t="s">
        <v>1003</v>
      </c>
      <c r="AJ188" s="292" t="s">
        <v>120</v>
      </c>
      <c r="AK188" s="288" t="s">
        <v>123</v>
      </c>
      <c r="AL188" s="288" t="s">
        <v>935</v>
      </c>
      <c r="AM188" s="292"/>
      <c r="AN188" s="288"/>
      <c r="AO188" s="288"/>
      <c r="AP188" s="297"/>
      <c r="AQ188" s="288"/>
      <c r="AR188" s="292"/>
      <c r="AS188" s="288"/>
      <c r="AT188" s="289">
        <v>43431.352911342598</v>
      </c>
      <c r="AU188" s="289">
        <v>43451.370459027799</v>
      </c>
      <c r="AV188" s="289">
        <v>43433.416368634302</v>
      </c>
      <c r="AW188" s="289">
        <v>43431.352911342598</v>
      </c>
      <c r="AX188" s="289">
        <v>43431.683977893503</v>
      </c>
      <c r="AY188" s="289">
        <v>43430.843760995398</v>
      </c>
      <c r="AZ188" s="298">
        <v>43451.389662268499</v>
      </c>
      <c r="BA18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21.389662268498796</v>
      </c>
      <c r="BB188" s="300">
        <f>COUNTIFS(_05preva_view43[Site ID],_05preva_view43[[#This Row],[Site ID]],_05preva_view43[Prevalidation Status],"Under Prevalidation")</f>
        <v>0</v>
      </c>
      <c r="BC18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8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3.xlsx</v>
      </c>
      <c r="BE188" s="64">
        <f t="shared" ca="1" si="4"/>
        <v>50</v>
      </c>
      <c r="BF188" s="104" t="str">
        <f ca="1">LEFT(CELL("filename",A173),_05preva_view43[[#This Row],[Find Process &amp; Database]]-1)</f>
        <v>D:\OneDrive - apollo-towers.com\Apollo Towers\00-</v>
      </c>
      <c r="BG188" s="104" t="str">
        <f ca="1">_05preva_view43[Folder Path1]&amp;"Process &amp; Database\Documentation\Colo Applications"</f>
        <v>D:\OneDrive - apollo-towers.com\Apollo Towers\00-Process &amp; Database\Documentation\Colo Applications</v>
      </c>
      <c r="BH18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8" s="63" t="str">
        <f ca="1">_05preva_view43[[#This Row],[Folder Path3]]&amp;_05preva_view43[[#This Row],[File Name]]</f>
        <v>D:\OneDrive - apollo-towers.com\Apollo Towers\00-Process &amp; Database\Documentation\Colo Applications\Colo App MPT\1-01-01002-008 (KCN00372) Application Rev 3.xlsx</v>
      </c>
      <c r="BJ188" s="104"/>
      <c r="BK188" s="3"/>
      <c r="BL188" s="3"/>
      <c r="CJ188" s="5"/>
      <c r="CK188" s="5"/>
      <c r="CL188" s="3"/>
      <c r="CN188" s="5"/>
      <c r="CR188" s="3"/>
      <c r="CS188" s="3"/>
      <c r="CT188" s="5"/>
      <c r="CV188" s="3"/>
      <c r="DR188" s="5"/>
      <c r="DT188" s="3"/>
      <c r="EF188" s="7"/>
      <c r="EG188" s="7"/>
      <c r="EJ188" s="4"/>
      <c r="EK188" s="4"/>
      <c r="EU188" s="2"/>
      <c r="EV188" s="2"/>
    </row>
    <row r="189" spans="1:152">
      <c r="A189" s="287">
        <v>3439</v>
      </c>
      <c r="B189" s="288" t="s">
        <v>1017</v>
      </c>
      <c r="C189" s="288" t="s">
        <v>278</v>
      </c>
      <c r="D189" s="288" t="s">
        <v>153</v>
      </c>
      <c r="E189" s="288" t="s">
        <v>1018</v>
      </c>
      <c r="F189" s="288" t="s">
        <v>35</v>
      </c>
      <c r="G189" s="288" t="s">
        <v>1292</v>
      </c>
      <c r="H189" s="288" t="s">
        <v>1285</v>
      </c>
      <c r="I189" s="288" t="s">
        <v>798</v>
      </c>
      <c r="J189" s="288" t="s">
        <v>727</v>
      </c>
      <c r="K189" s="289">
        <v>43430</v>
      </c>
      <c r="L189" s="290">
        <v>1.68</v>
      </c>
      <c r="M189" s="290">
        <v>2.1</v>
      </c>
      <c r="N189" s="288">
        <v>4.59</v>
      </c>
      <c r="O189" s="288" t="s">
        <v>687</v>
      </c>
      <c r="P189" s="291" t="s">
        <v>993</v>
      </c>
      <c r="Q189" s="291" t="s">
        <v>994</v>
      </c>
      <c r="R189" s="288" t="s">
        <v>24</v>
      </c>
      <c r="S189" s="288"/>
      <c r="T189" s="292" t="s">
        <v>120</v>
      </c>
      <c r="U189" s="288" t="s">
        <v>982</v>
      </c>
      <c r="V189" s="292" t="s">
        <v>120</v>
      </c>
      <c r="W189" s="288"/>
      <c r="X189" s="292" t="s">
        <v>120</v>
      </c>
      <c r="Y189" s="288" t="s">
        <v>1019</v>
      </c>
      <c r="Z189" s="293" t="s">
        <v>120</v>
      </c>
      <c r="AA189" s="294"/>
      <c r="AB189" s="294"/>
      <c r="AC189" s="295" t="s">
        <v>123</v>
      </c>
      <c r="AD189" s="288" t="s">
        <v>1048</v>
      </c>
      <c r="AE189" s="292" t="s">
        <v>120</v>
      </c>
      <c r="AF189" s="289" t="s">
        <v>1460</v>
      </c>
      <c r="AG189" s="296"/>
      <c r="AH189" s="296"/>
      <c r="AI189" s="288" t="s">
        <v>1003</v>
      </c>
      <c r="AJ189" s="292" t="s">
        <v>120</v>
      </c>
      <c r="AK189" s="288" t="s">
        <v>123</v>
      </c>
      <c r="AL189" s="288" t="s">
        <v>935</v>
      </c>
      <c r="AM189" s="292"/>
      <c r="AN189" s="288"/>
      <c r="AO189" s="288"/>
      <c r="AP189" s="297"/>
      <c r="AQ189" s="288"/>
      <c r="AR189" s="292"/>
      <c r="AS189" s="288"/>
      <c r="AT189" s="289">
        <v>43431.352913310198</v>
      </c>
      <c r="AU189" s="289">
        <v>43451.370459722202</v>
      </c>
      <c r="AV189" s="289">
        <v>43433.416369791703</v>
      </c>
      <c r="AW189" s="289">
        <v>43431.352913310198</v>
      </c>
      <c r="AX189" s="289">
        <v>43431.683978472203</v>
      </c>
      <c r="AY189" s="289">
        <v>43430.843765625003</v>
      </c>
      <c r="AZ189" s="298">
        <v>43451.3896634259</v>
      </c>
      <c r="BA18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21.389663425899926</v>
      </c>
      <c r="BB189" s="300">
        <f>COUNTIFS(_05preva_view43[Site ID],_05preva_view43[[#This Row],[Site ID]],_05preva_view43[Prevalidation Status],"Under Prevalidation")</f>
        <v>0</v>
      </c>
      <c r="BC18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89" s="302" t="str">
        <f>CONCATENATE(_05preva_view43[[#This Row],[Site ID]]," (",_05preva_view43[[#This Row],[tenant id]],") Application",IF(_05preva_view43[[#This Row],[Colo Rev]]&gt;0," Rev "&amp;_05preva_view43[[#This Row],[Colo Rev]],""),".xlsx")</f>
        <v>1-01-11007-003 (MON00275) Application Rev 3.xlsx</v>
      </c>
      <c r="BE189" s="64">
        <f t="shared" ca="1" si="4"/>
        <v>50</v>
      </c>
      <c r="BF189" s="104" t="str">
        <f ca="1">LEFT(CELL("filename",A174),_05preva_view43[[#This Row],[Find Process &amp; Database]]-1)</f>
        <v>D:\OneDrive - apollo-towers.com\Apollo Towers\00-</v>
      </c>
      <c r="BG189" s="104" t="str">
        <f ca="1">_05preva_view43[Folder Path1]&amp;"Process &amp; Database\Documentation\Colo Applications"</f>
        <v>D:\OneDrive - apollo-towers.com\Apollo Towers\00-Process &amp; Database\Documentation\Colo Applications</v>
      </c>
      <c r="BH18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89" s="63" t="str">
        <f ca="1">_05preva_view43[[#This Row],[Folder Path3]]&amp;_05preva_view43[[#This Row],[File Name]]</f>
        <v>D:\OneDrive - apollo-towers.com\Apollo Towers\00-Process &amp; Database\Documentation\Colo Applications\Colo App MPT\1-01-11007-003 (MON00275) Application Rev 3.xlsx</v>
      </c>
      <c r="BJ189" s="104"/>
      <c r="BK189" s="3"/>
      <c r="BL189" s="3"/>
      <c r="CJ189" s="5"/>
      <c r="CK189" s="5"/>
      <c r="CL189" s="3"/>
      <c r="CN189" s="5"/>
      <c r="CR189" s="3"/>
      <c r="CS189" s="3"/>
      <c r="CT189" s="5"/>
      <c r="CV189" s="3"/>
      <c r="DR189" s="5"/>
      <c r="DT189" s="3"/>
      <c r="EF189" s="7"/>
      <c r="EG189" s="7"/>
      <c r="EJ189" s="4"/>
      <c r="EK189" s="4"/>
      <c r="EU189" s="2"/>
      <c r="EV189" s="2"/>
    </row>
    <row r="190" spans="1:152">
      <c r="A190" s="287">
        <v>3440</v>
      </c>
      <c r="B190" s="288" t="s">
        <v>734</v>
      </c>
      <c r="C190" s="288" t="s">
        <v>278</v>
      </c>
      <c r="D190" s="288" t="s">
        <v>117</v>
      </c>
      <c r="E190" s="288" t="s">
        <v>735</v>
      </c>
      <c r="F190" s="288" t="s">
        <v>35</v>
      </c>
      <c r="G190" s="288" t="s">
        <v>1292</v>
      </c>
      <c r="H190" s="288" t="s">
        <v>1285</v>
      </c>
      <c r="I190" s="288" t="s">
        <v>790</v>
      </c>
      <c r="J190" s="288" t="s">
        <v>727</v>
      </c>
      <c r="K190" s="289">
        <v>43430</v>
      </c>
      <c r="L190" s="290">
        <v>3.44</v>
      </c>
      <c r="M190" s="290">
        <v>4.3</v>
      </c>
      <c r="N190" s="288">
        <v>4.55</v>
      </c>
      <c r="O190" s="288" t="s">
        <v>687</v>
      </c>
      <c r="P190" s="291" t="s">
        <v>508</v>
      </c>
      <c r="Q190" s="291" t="s">
        <v>509</v>
      </c>
      <c r="R190" s="288" t="s">
        <v>24</v>
      </c>
      <c r="S190" s="288"/>
      <c r="T190" s="292" t="s">
        <v>120</v>
      </c>
      <c r="U190" s="288" t="s">
        <v>982</v>
      </c>
      <c r="V190" s="292" t="s">
        <v>120</v>
      </c>
      <c r="W190" s="288"/>
      <c r="X190" s="292" t="s">
        <v>120</v>
      </c>
      <c r="Y190" s="288" t="s">
        <v>1020</v>
      </c>
      <c r="Z190" s="293" t="s">
        <v>120</v>
      </c>
      <c r="AA190" s="294"/>
      <c r="AB190" s="294"/>
      <c r="AC190" s="295" t="s">
        <v>123</v>
      </c>
      <c r="AD190" s="288" t="s">
        <v>1049</v>
      </c>
      <c r="AE190" s="292" t="s">
        <v>120</v>
      </c>
      <c r="AF190" s="289" t="s">
        <v>1461</v>
      </c>
      <c r="AG190" s="296"/>
      <c r="AH190" s="296"/>
      <c r="AI190" s="288" t="s">
        <v>1050</v>
      </c>
      <c r="AJ190" s="292" t="s">
        <v>120</v>
      </c>
      <c r="AK190" s="288" t="s">
        <v>123</v>
      </c>
      <c r="AL190" s="288" t="s">
        <v>935</v>
      </c>
      <c r="AM190" s="292"/>
      <c r="AN190" s="288"/>
      <c r="AO190" s="288"/>
      <c r="AP190" s="297"/>
      <c r="AQ190" s="288"/>
      <c r="AR190" s="292"/>
      <c r="AS190" s="288"/>
      <c r="AT190" s="289">
        <v>43431.390415624999</v>
      </c>
      <c r="AU190" s="289">
        <v>43451.370461226797</v>
      </c>
      <c r="AV190" s="289">
        <v>43433.611973495397</v>
      </c>
      <c r="AW190" s="289">
        <v>43431.390415624999</v>
      </c>
      <c r="AX190" s="289">
        <v>43431.683979745401</v>
      </c>
      <c r="AY190" s="289">
        <v>43430.8437694444</v>
      </c>
      <c r="AZ190" s="298">
        <v>43451.389664467599</v>
      </c>
      <c r="BA19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21.389664467598777</v>
      </c>
      <c r="BB190" s="300">
        <f>COUNTIFS(_05preva_view43[Site ID],_05preva_view43[[#This Row],[Site ID]],_05preva_view43[Prevalidation Status],"Under Prevalidation")</f>
        <v>0</v>
      </c>
      <c r="BC19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0" s="30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190" s="64">
        <f t="shared" ca="1" si="4"/>
        <v>50</v>
      </c>
      <c r="BF190" s="104" t="str">
        <f ca="1">LEFT(CELL("filename",A175),_05preva_view43[[#This Row],[Find Process &amp; Database]]-1)</f>
        <v>D:\OneDrive - apollo-towers.com\Apollo Towers\00-</v>
      </c>
      <c r="BG190" s="104" t="str">
        <f ca="1">_05preva_view43[Folder Path1]&amp;"Process &amp; Database\Documentation\Colo Applications"</f>
        <v>D:\OneDrive - apollo-towers.com\Apollo Towers\00-Process &amp; Database\Documentation\Colo Applications</v>
      </c>
      <c r="BH19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0" s="63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3.xlsx</v>
      </c>
      <c r="BJ190" s="104"/>
      <c r="BK190" s="3"/>
      <c r="BL190" s="3"/>
      <c r="CJ190" s="5"/>
      <c r="CK190" s="5"/>
      <c r="CL190" s="3"/>
      <c r="CN190" s="5"/>
      <c r="CR190" s="3"/>
      <c r="CS190" s="3"/>
      <c r="CT190" s="5"/>
      <c r="CV190" s="3"/>
      <c r="DR190" s="5"/>
      <c r="DT190" s="3"/>
      <c r="EF190" s="7"/>
      <c r="EG190" s="7"/>
      <c r="EJ190" s="4"/>
      <c r="EK190" s="4"/>
      <c r="EU190" s="2"/>
      <c r="EV190" s="2"/>
    </row>
    <row r="191" spans="1:152">
      <c r="A191" s="287">
        <v>3441</v>
      </c>
      <c r="B191" s="288" t="s">
        <v>938</v>
      </c>
      <c r="C191" s="288" t="s">
        <v>278</v>
      </c>
      <c r="D191" s="288" t="s">
        <v>127</v>
      </c>
      <c r="E191" s="288" t="s">
        <v>939</v>
      </c>
      <c r="F191" s="288" t="s">
        <v>35</v>
      </c>
      <c r="G191" s="288" t="s">
        <v>1292</v>
      </c>
      <c r="H191" s="288" t="s">
        <v>1285</v>
      </c>
      <c r="I191" s="288" t="s">
        <v>790</v>
      </c>
      <c r="J191" s="288" t="s">
        <v>686</v>
      </c>
      <c r="K191" s="289">
        <v>43430</v>
      </c>
      <c r="L191" s="290">
        <v>1.9890000000000001</v>
      </c>
      <c r="M191" s="290">
        <v>3.6110000000000002</v>
      </c>
      <c r="N191" s="288">
        <v>4.45</v>
      </c>
      <c r="O191" s="288" t="s">
        <v>687</v>
      </c>
      <c r="P191" s="291" t="s">
        <v>695</v>
      </c>
      <c r="Q191" s="291" t="s">
        <v>696</v>
      </c>
      <c r="R191" s="288" t="s">
        <v>24</v>
      </c>
      <c r="S191" s="288"/>
      <c r="T191" s="292" t="s">
        <v>615</v>
      </c>
      <c r="U191" s="288" t="s">
        <v>940</v>
      </c>
      <c r="V191" s="292" t="s">
        <v>120</v>
      </c>
      <c r="W191" s="288"/>
      <c r="X191" s="292" t="s">
        <v>120</v>
      </c>
      <c r="Y191" s="288" t="s">
        <v>1021</v>
      </c>
      <c r="Z191" s="293" t="s">
        <v>120</v>
      </c>
      <c r="AA191" s="294"/>
      <c r="AB191" s="294"/>
      <c r="AC191" s="295" t="s">
        <v>123</v>
      </c>
      <c r="AD191" s="288" t="s">
        <v>1051</v>
      </c>
      <c r="AE191" s="292" t="s">
        <v>120</v>
      </c>
      <c r="AF191" s="289" t="s">
        <v>1451</v>
      </c>
      <c r="AG191" s="296"/>
      <c r="AH191" s="296"/>
      <c r="AI191" s="288" t="s">
        <v>1304</v>
      </c>
      <c r="AJ191" s="292" t="s">
        <v>120</v>
      </c>
      <c r="AK191" s="288" t="s">
        <v>123</v>
      </c>
      <c r="AL191" s="288" t="s">
        <v>935</v>
      </c>
      <c r="AM191" s="292"/>
      <c r="AN191" s="288"/>
      <c r="AO191" s="288"/>
      <c r="AP191" s="297"/>
      <c r="AQ191" s="288"/>
      <c r="AR191" s="292"/>
      <c r="AS191" s="288"/>
      <c r="AT191" s="289">
        <v>43431.3904167824</v>
      </c>
      <c r="AU191" s="289">
        <v>43451.370462615698</v>
      </c>
      <c r="AV191" s="289">
        <v>43432.492968634302</v>
      </c>
      <c r="AW191" s="289">
        <v>43431.3904167824</v>
      </c>
      <c r="AX191" s="289"/>
      <c r="AY191" s="289">
        <v>43452.676278472201</v>
      </c>
      <c r="AZ191" s="298">
        <v>43452.704516782404</v>
      </c>
      <c r="BA19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22.704516782403516</v>
      </c>
      <c r="BB191" s="300">
        <f>COUNTIFS(_05preva_view43[Site ID],_05preva_view43[[#This Row],[Site ID]],_05preva_view43[Prevalidation Status],"Under Prevalidation")</f>
        <v>0</v>
      </c>
      <c r="BC19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1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2.xlsx</v>
      </c>
      <c r="BE191" s="64">
        <f t="shared" ca="1" si="4"/>
        <v>50</v>
      </c>
      <c r="BF191" s="104" t="str">
        <f ca="1">LEFT(CELL("filename",A176),_05preva_view43[[#This Row],[Find Process &amp; Database]]-1)</f>
        <v>D:\OneDrive - apollo-towers.com\Apollo Towers\00-</v>
      </c>
      <c r="BG191" s="104" t="str">
        <f ca="1">_05preva_view43[Folder Path1]&amp;"Process &amp; Database\Documentation\Colo Applications"</f>
        <v>D:\OneDrive - apollo-towers.com\Apollo Towers\00-Process &amp; Database\Documentation\Colo Applications</v>
      </c>
      <c r="BH19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1" s="63" t="str">
        <f ca="1">_05preva_view43[[#This Row],[Folder Path3]]&amp;_05preva_view43[[#This Row],[File Name]]</f>
        <v>D:\OneDrive - apollo-towers.com\Apollo Towers\00-Process &amp; Database\Documentation\Colo Applications\Colo App MPT\1-01-15012-002 (SHN00218) Application Rev 2.xlsx</v>
      </c>
      <c r="BJ191" s="104"/>
      <c r="BK191" s="3"/>
      <c r="BL191" s="3"/>
      <c r="CJ191" s="5"/>
      <c r="CK191" s="5"/>
      <c r="CL191" s="3"/>
      <c r="CN191" s="5"/>
      <c r="CR191" s="3"/>
      <c r="CS191" s="3"/>
      <c r="CT191" s="5"/>
      <c r="CV191" s="3"/>
      <c r="DR191" s="5"/>
      <c r="DT191" s="3"/>
      <c r="EF191" s="7"/>
      <c r="EG191" s="7"/>
      <c r="EJ191" s="4"/>
      <c r="EK191" s="4"/>
      <c r="EU191" s="2"/>
      <c r="EV191" s="2"/>
    </row>
    <row r="192" spans="1:152">
      <c r="A192" s="287">
        <v>3442</v>
      </c>
      <c r="B192" s="288" t="s">
        <v>709</v>
      </c>
      <c r="C192" s="288" t="s">
        <v>278</v>
      </c>
      <c r="D192" s="288" t="s">
        <v>153</v>
      </c>
      <c r="E192" s="288" t="s">
        <v>710</v>
      </c>
      <c r="F192" s="288" t="s">
        <v>35</v>
      </c>
      <c r="G192" s="288" t="s">
        <v>1292</v>
      </c>
      <c r="H192" s="288" t="s">
        <v>1285</v>
      </c>
      <c r="I192" s="288" t="s">
        <v>785</v>
      </c>
      <c r="J192" s="288" t="s">
        <v>1022</v>
      </c>
      <c r="K192" s="289">
        <v>43430</v>
      </c>
      <c r="L192" s="290">
        <v>2.64</v>
      </c>
      <c r="M192" s="290">
        <v>3.3</v>
      </c>
      <c r="N192" s="288">
        <v>4.4400000000000004</v>
      </c>
      <c r="O192" s="288" t="s">
        <v>687</v>
      </c>
      <c r="P192" s="291" t="s">
        <v>695</v>
      </c>
      <c r="Q192" s="291" t="s">
        <v>696</v>
      </c>
      <c r="R192" s="288" t="s">
        <v>24</v>
      </c>
      <c r="S192" s="288"/>
      <c r="T192" s="292" t="s">
        <v>120</v>
      </c>
      <c r="U192" s="288" t="s">
        <v>982</v>
      </c>
      <c r="V192" s="292" t="s">
        <v>120</v>
      </c>
      <c r="W192" s="288"/>
      <c r="X192" s="292" t="s">
        <v>120</v>
      </c>
      <c r="Y192" s="288" t="s">
        <v>1023</v>
      </c>
      <c r="Z192" s="293" t="s">
        <v>120</v>
      </c>
      <c r="AA192" s="294"/>
      <c r="AB192" s="294"/>
      <c r="AC192" s="295" t="s">
        <v>123</v>
      </c>
      <c r="AD192" s="288" t="s">
        <v>1052</v>
      </c>
      <c r="AE192" s="292" t="s">
        <v>120</v>
      </c>
      <c r="AF192" s="289" t="s">
        <v>1462</v>
      </c>
      <c r="AG192" s="296"/>
      <c r="AH192" s="296"/>
      <c r="AI192" s="288" t="s">
        <v>1305</v>
      </c>
      <c r="AJ192" s="292" t="s">
        <v>120</v>
      </c>
      <c r="AK192" s="288" t="s">
        <v>123</v>
      </c>
      <c r="AL192" s="288" t="s">
        <v>935</v>
      </c>
      <c r="AM192" s="292"/>
      <c r="AN192" s="288"/>
      <c r="AO192" s="288"/>
      <c r="AP192" s="297"/>
      <c r="AQ192" s="288"/>
      <c r="AR192" s="292"/>
      <c r="AS192" s="288"/>
      <c r="AT192" s="289">
        <v>43431.390417245399</v>
      </c>
      <c r="AU192" s="289">
        <v>43451.370463194398</v>
      </c>
      <c r="AV192" s="289">
        <v>43432.688025347197</v>
      </c>
      <c r="AW192" s="289">
        <v>43431.390417245399</v>
      </c>
      <c r="AX192" s="289">
        <v>43431.683982407398</v>
      </c>
      <c r="AY192" s="289">
        <v>43430.843780092597</v>
      </c>
      <c r="AZ192" s="298">
        <v>43451.389666319403</v>
      </c>
      <c r="BA19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21.38966631940275</v>
      </c>
      <c r="BB192" s="300">
        <f>COUNTIFS(_05preva_view43[Site ID],_05preva_view43[[#This Row],[Site ID]],_05preva_view43[Prevalidation Status],"Under Prevalidation")</f>
        <v>0</v>
      </c>
      <c r="BC19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2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5.xlsx</v>
      </c>
      <c r="BE192" s="64">
        <f t="shared" ca="1" si="4"/>
        <v>50</v>
      </c>
      <c r="BF192" s="104" t="str">
        <f ca="1">LEFT(CELL("filename",A177),_05preva_view43[[#This Row],[Find Process &amp; Database]]-1)</f>
        <v>D:\OneDrive - apollo-towers.com\Apollo Towers\00-</v>
      </c>
      <c r="BG192" s="104" t="str">
        <f ca="1">_05preva_view43[Folder Path1]&amp;"Process &amp; Database\Documentation\Colo Applications"</f>
        <v>D:\OneDrive - apollo-towers.com\Apollo Towers\00-Process &amp; Database\Documentation\Colo Applications</v>
      </c>
      <c r="BH19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2" s="63" t="str">
        <f ca="1">_05preva_view43[[#This Row],[Folder Path3]]&amp;_05preva_view43[[#This Row],[File Name]]</f>
        <v>D:\OneDrive - apollo-towers.com\Apollo Towers\00-Process &amp; Database\Documentation\Colo Applications\Colo App MPT\1-01-06008-002 (TNY00033) Application Rev 5.xlsx</v>
      </c>
      <c r="BJ192" s="104"/>
      <c r="BK192" s="3"/>
      <c r="BL192" s="3"/>
      <c r="CJ192" s="5"/>
      <c r="CK192" s="5"/>
      <c r="CL192" s="3"/>
      <c r="CN192" s="5"/>
      <c r="CR192" s="3"/>
      <c r="CS192" s="3"/>
      <c r="CT192" s="5"/>
      <c r="CV192" s="3"/>
      <c r="DR192" s="5"/>
      <c r="DT192" s="3"/>
      <c r="EF192" s="7"/>
      <c r="EG192" s="7"/>
      <c r="EJ192" s="4"/>
      <c r="EK192" s="4"/>
      <c r="EU192" s="2"/>
      <c r="EV192" s="2"/>
    </row>
    <row r="193" spans="1:152">
      <c r="A193" s="287">
        <v>3443</v>
      </c>
      <c r="B193" s="288" t="s">
        <v>1024</v>
      </c>
      <c r="C193" s="288" t="s">
        <v>116</v>
      </c>
      <c r="D193" s="288" t="s">
        <v>127</v>
      </c>
      <c r="E193" s="288" t="s">
        <v>1025</v>
      </c>
      <c r="F193" s="288" t="s">
        <v>35</v>
      </c>
      <c r="G193" s="288" t="s">
        <v>1287</v>
      </c>
      <c r="H193" s="288" t="s">
        <v>1285</v>
      </c>
      <c r="I193" s="288" t="s">
        <v>790</v>
      </c>
      <c r="J193" s="288" t="s">
        <v>686</v>
      </c>
      <c r="K193" s="289">
        <v>43430</v>
      </c>
      <c r="L193" s="290">
        <v>2.097</v>
      </c>
      <c r="M193" s="290">
        <v>3.669</v>
      </c>
      <c r="N193" s="288">
        <v>9.01</v>
      </c>
      <c r="O193" s="288" t="s">
        <v>119</v>
      </c>
      <c r="P193" s="291" t="s">
        <v>227</v>
      </c>
      <c r="Q193" s="291" t="s">
        <v>228</v>
      </c>
      <c r="R193" s="288" t="s">
        <v>24</v>
      </c>
      <c r="S193" s="288"/>
      <c r="T193" s="292" t="s">
        <v>120</v>
      </c>
      <c r="U193" s="288" t="s">
        <v>1053</v>
      </c>
      <c r="V193" s="292" t="s">
        <v>120</v>
      </c>
      <c r="W193" s="288" t="s">
        <v>120</v>
      </c>
      <c r="X193" s="292" t="s">
        <v>120</v>
      </c>
      <c r="Y193" s="288" t="s">
        <v>1026</v>
      </c>
      <c r="Z193" s="293" t="s">
        <v>120</v>
      </c>
      <c r="AA193" s="294"/>
      <c r="AB193" s="294"/>
      <c r="AC193" s="295" t="s">
        <v>123</v>
      </c>
      <c r="AD193" s="288" t="s">
        <v>1054</v>
      </c>
      <c r="AE193" s="292" t="s">
        <v>120</v>
      </c>
      <c r="AF193" s="289"/>
      <c r="AG193" s="296"/>
      <c r="AH193" s="296"/>
      <c r="AI193" s="288"/>
      <c r="AJ193" s="292" t="s">
        <v>120</v>
      </c>
      <c r="AK193" s="288" t="s">
        <v>123</v>
      </c>
      <c r="AL193" s="288" t="s">
        <v>935</v>
      </c>
      <c r="AM193" s="292"/>
      <c r="AN193" s="288"/>
      <c r="AO193" s="288"/>
      <c r="AP193" s="297"/>
      <c r="AQ193" s="288"/>
      <c r="AR193" s="292"/>
      <c r="AS193" s="288"/>
      <c r="AT193" s="289">
        <v>43431.390418171301</v>
      </c>
      <c r="AU193" s="289">
        <v>43431.743153124997</v>
      </c>
      <c r="AV193" s="289">
        <v>43433.558900347198</v>
      </c>
      <c r="AW193" s="289">
        <v>43431.631299305598</v>
      </c>
      <c r="AX193" s="289">
        <v>43431.683982986098</v>
      </c>
      <c r="AY193" s="289">
        <v>43431.647567361098</v>
      </c>
      <c r="AZ193" s="298">
        <v>43433.558900347198</v>
      </c>
      <c r="BA19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3.5589003471977776</v>
      </c>
      <c r="BB193" s="300">
        <f>COUNTIFS(_05preva_view43[Site ID],_05preva_view43[[#This Row],[Site ID]],_05preva_view43[Prevalidation Status],"Under Prevalidation")</f>
        <v>0</v>
      </c>
      <c r="BC19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3" s="302" t="str">
        <f>CONCATENATE(_05preva_view43[[#This Row],[Site ID]]," (",_05preva_view43[[#This Row],[tenant id]],") Application",IF(_05preva_view43[[#This Row],[Colo Rev]]&gt;0," Rev "&amp;_05preva_view43[[#This Row],[Colo Rev]],""),".xlsx")</f>
        <v>ANSG_0393 (SGG00203) Application Rev 2.xlsx</v>
      </c>
      <c r="BE193" s="64">
        <f t="shared" ca="1" si="4"/>
        <v>50</v>
      </c>
      <c r="BF193" s="104" t="str">
        <f ca="1">LEFT(CELL("filename",A178),_05preva_view43[[#This Row],[Find Process &amp; Database]]-1)</f>
        <v>D:\OneDrive - apollo-towers.com\Apollo Towers\00-</v>
      </c>
      <c r="BG193" s="104" t="str">
        <f ca="1">_05preva_view43[Folder Path1]&amp;"Process &amp; Database\Documentation\Colo Applications"</f>
        <v>D:\OneDrive - apollo-towers.com\Apollo Towers\00-Process &amp; Database\Documentation\Colo Applications</v>
      </c>
      <c r="BH19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3" s="63" t="str">
        <f ca="1">_05preva_view43[[#This Row],[Folder Path3]]&amp;_05preva_view43[[#This Row],[File Name]]</f>
        <v>D:\OneDrive - apollo-towers.com\Apollo Towers\00-Process &amp; Database\Documentation\Colo Applications\Colo App MPT\ANSG_0393 (SGG00203) Application Rev 2.xlsx</v>
      </c>
      <c r="BJ193" s="104"/>
      <c r="BK193" s="3"/>
      <c r="BL193" s="3"/>
      <c r="CJ193" s="5"/>
      <c r="CK193" s="5"/>
      <c r="CL193" s="3"/>
      <c r="CN193" s="5"/>
      <c r="CR193" s="3"/>
      <c r="CS193" s="3"/>
      <c r="CT193" s="5"/>
      <c r="CV193" s="3"/>
      <c r="DR193" s="5"/>
      <c r="DT193" s="3"/>
      <c r="EF193" s="7"/>
      <c r="EG193" s="7"/>
      <c r="EJ193" s="4"/>
      <c r="EK193" s="4"/>
      <c r="EU193" s="2"/>
      <c r="EV193" s="2"/>
    </row>
    <row r="194" spans="1:152">
      <c r="A194" s="287">
        <v>3444</v>
      </c>
      <c r="B194" s="288" t="s">
        <v>1027</v>
      </c>
      <c r="C194" s="288" t="s">
        <v>116</v>
      </c>
      <c r="D194" s="288" t="s">
        <v>127</v>
      </c>
      <c r="E194" s="288" t="s">
        <v>1028</v>
      </c>
      <c r="F194" s="288" t="s">
        <v>35</v>
      </c>
      <c r="G194" s="288" t="s">
        <v>1294</v>
      </c>
      <c r="H194" s="288" t="s">
        <v>1290</v>
      </c>
      <c r="I194" s="288" t="s">
        <v>1029</v>
      </c>
      <c r="J194" s="288" t="s">
        <v>677</v>
      </c>
      <c r="K194" s="289">
        <v>43430</v>
      </c>
      <c r="L194" s="290">
        <v>0.98299999999999998</v>
      </c>
      <c r="M194" s="290">
        <v>1.6779999999999999</v>
      </c>
      <c r="N194" s="288">
        <v>3.91</v>
      </c>
      <c r="O194" s="288" t="s">
        <v>119</v>
      </c>
      <c r="P194" s="291" t="s">
        <v>240</v>
      </c>
      <c r="Q194" s="291" t="s">
        <v>241</v>
      </c>
      <c r="R194" s="288" t="s">
        <v>24</v>
      </c>
      <c r="S194" s="288"/>
      <c r="T194" s="292" t="s">
        <v>120</v>
      </c>
      <c r="U194" s="288" t="s">
        <v>1053</v>
      </c>
      <c r="V194" s="292" t="s">
        <v>120</v>
      </c>
      <c r="W194" s="288"/>
      <c r="X194" s="292" t="s">
        <v>120</v>
      </c>
      <c r="Y194" s="288" t="s">
        <v>1030</v>
      </c>
      <c r="Z194" s="293" t="s">
        <v>120</v>
      </c>
      <c r="AA194" s="294"/>
      <c r="AB194" s="294"/>
      <c r="AC194" s="295" t="s">
        <v>123</v>
      </c>
      <c r="AD194" s="288" t="s">
        <v>1055</v>
      </c>
      <c r="AE194" s="292" t="s">
        <v>120</v>
      </c>
      <c r="AF194" s="289"/>
      <c r="AG194" s="296"/>
      <c r="AH194" s="296"/>
      <c r="AI194" s="288"/>
      <c r="AJ194" s="292" t="s">
        <v>120</v>
      </c>
      <c r="AK194" s="288" t="s">
        <v>206</v>
      </c>
      <c r="AL194" s="288" t="s">
        <v>1031</v>
      </c>
      <c r="AM194" s="292"/>
      <c r="AN194" s="288"/>
      <c r="AO194" s="288"/>
      <c r="AP194" s="297"/>
      <c r="AQ194" s="288"/>
      <c r="AR194" s="292"/>
      <c r="AS194" s="288"/>
      <c r="AT194" s="289">
        <v>43431.390419097203</v>
      </c>
      <c r="AU194" s="289">
        <v>43431.743155902797</v>
      </c>
      <c r="AV194" s="289">
        <v>43433.685579282399</v>
      </c>
      <c r="AW194" s="289">
        <v>43431.390419097203</v>
      </c>
      <c r="AX194" s="289">
        <v>43431.683984259304</v>
      </c>
      <c r="AY194" s="289">
        <v>43430.830383564797</v>
      </c>
      <c r="AZ194" s="298">
        <v>43433.685579282399</v>
      </c>
      <c r="BA19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3.6855792823989759</v>
      </c>
      <c r="BB194" s="300">
        <f>COUNTIFS(_05preva_view43[Site ID],_05preva_view43[[#This Row],[Site ID]],_05preva_view43[Prevalidation Status],"Under Prevalidation")</f>
        <v>0</v>
      </c>
      <c r="BC19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4" s="302" t="str">
        <f>CONCATENATE(_05preva_view43[[#This Row],[Site ID]]," (",_05preva_view43[[#This Row],[tenant id]],") Application",IF(_05preva_view43[[#This Row],[Colo Rev]]&gt;0," Rev "&amp;_05preva_view43[[#This Row],[Colo Rev]],""),".xlsx")</f>
        <v>ANMD_3001 (MDY01695) Application Rev 0.xlsx</v>
      </c>
      <c r="BE194" s="64">
        <f t="shared" ca="1" si="4"/>
        <v>50</v>
      </c>
      <c r="BF194" s="104" t="str">
        <f ca="1">LEFT(CELL("filename",A179),_05preva_view43[[#This Row],[Find Process &amp; Database]]-1)</f>
        <v>D:\OneDrive - apollo-towers.com\Apollo Towers\00-</v>
      </c>
      <c r="BG194" s="104" t="str">
        <f ca="1">_05preva_view43[Folder Path1]&amp;"Process &amp; Database\Documentation\Colo Applications"</f>
        <v>D:\OneDrive - apollo-towers.com\Apollo Towers\00-Process &amp; Database\Documentation\Colo Applications</v>
      </c>
      <c r="BH19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4" s="63" t="str">
        <f ca="1">_05preva_view43[[#This Row],[Folder Path3]]&amp;_05preva_view43[[#This Row],[File Name]]</f>
        <v>D:\OneDrive - apollo-towers.com\Apollo Towers\00-Process &amp; Database\Documentation\Colo Applications\Colo App MPT\ANMD_3001 (MDY01695) Application Rev 0.xlsx</v>
      </c>
      <c r="BJ194" s="104"/>
      <c r="BK194" s="3"/>
      <c r="BL194" s="3"/>
      <c r="CJ194" s="5"/>
      <c r="CK194" s="5"/>
      <c r="CL194" s="3"/>
      <c r="CN194" s="5"/>
      <c r="CR194" s="3"/>
      <c r="CS194" s="3"/>
      <c r="CT194" s="5"/>
      <c r="CV194" s="3"/>
      <c r="DR194" s="5"/>
      <c r="DT194" s="3"/>
      <c r="EF194" s="7"/>
      <c r="EG194" s="7"/>
      <c r="EJ194" s="4"/>
      <c r="EK194" s="4"/>
      <c r="EU194" s="2"/>
      <c r="EV194" s="2"/>
    </row>
    <row r="195" spans="1:152">
      <c r="A195" s="287">
        <v>3429</v>
      </c>
      <c r="B195" s="288" t="s">
        <v>979</v>
      </c>
      <c r="C195" s="288" t="s">
        <v>278</v>
      </c>
      <c r="D195" s="288" t="s">
        <v>127</v>
      </c>
      <c r="E195" s="288" t="s">
        <v>980</v>
      </c>
      <c r="F195" s="288" t="s">
        <v>35</v>
      </c>
      <c r="G195" s="288" t="s">
        <v>1292</v>
      </c>
      <c r="H195" s="288" t="s">
        <v>1285</v>
      </c>
      <c r="I195" s="288" t="s">
        <v>981</v>
      </c>
      <c r="J195" s="288" t="s">
        <v>668</v>
      </c>
      <c r="K195" s="289">
        <v>43424</v>
      </c>
      <c r="L195" s="290">
        <v>1</v>
      </c>
      <c r="M195" s="290">
        <v>1.4</v>
      </c>
      <c r="N195" s="288">
        <v>3.7429999999999999</v>
      </c>
      <c r="O195" s="288" t="s">
        <v>687</v>
      </c>
      <c r="P195" s="291" t="s">
        <v>695</v>
      </c>
      <c r="Q195" s="291" t="s">
        <v>696</v>
      </c>
      <c r="R195" s="288" t="s">
        <v>24</v>
      </c>
      <c r="S195" s="288"/>
      <c r="T195" s="292" t="s">
        <v>120</v>
      </c>
      <c r="U195" s="288" t="s">
        <v>982</v>
      </c>
      <c r="V195" s="292" t="s">
        <v>120</v>
      </c>
      <c r="W195" s="288"/>
      <c r="X195" s="292" t="s">
        <v>120</v>
      </c>
      <c r="Y195" s="288" t="s">
        <v>983</v>
      </c>
      <c r="Z195" s="293" t="s">
        <v>120</v>
      </c>
      <c r="AA195" s="294"/>
      <c r="AB195" s="294"/>
      <c r="AC195" s="295" t="s">
        <v>123</v>
      </c>
      <c r="AD195" s="288" t="s">
        <v>984</v>
      </c>
      <c r="AE195" s="292" t="s">
        <v>120</v>
      </c>
      <c r="AF195" s="289"/>
      <c r="AG195" s="296"/>
      <c r="AH195" s="296"/>
      <c r="AI195" s="288" t="s">
        <v>985</v>
      </c>
      <c r="AJ195" s="292" t="s">
        <v>120</v>
      </c>
      <c r="AK195" s="288" t="s">
        <v>123</v>
      </c>
      <c r="AL195" s="288" t="s">
        <v>935</v>
      </c>
      <c r="AM195" s="292"/>
      <c r="AN195" s="288"/>
      <c r="AO195" s="288"/>
      <c r="AP195" s="297"/>
      <c r="AQ195" s="288"/>
      <c r="AR195" s="292"/>
      <c r="AS195" s="288"/>
      <c r="AT195" s="289">
        <v>43424.694659953697</v>
      </c>
      <c r="AU195" s="289">
        <v>43424.698242824103</v>
      </c>
      <c r="AV195" s="289">
        <v>43430.680181713004</v>
      </c>
      <c r="AW195" s="289">
        <v>43424.694659953697</v>
      </c>
      <c r="AX195" s="289">
        <v>43430.4966569444</v>
      </c>
      <c r="AY195" s="289">
        <v>43430.843723842598</v>
      </c>
      <c r="AZ195" s="298">
        <v>43430.843723842598</v>
      </c>
      <c r="BA19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6.843723842597683</v>
      </c>
      <c r="BB195" s="300">
        <f>COUNTIFS(_05preva_view43[Site ID],_05preva_view43[[#This Row],[Site ID]],_05preva_view43[Prevalidation Status],"Under Prevalidation")</f>
        <v>0</v>
      </c>
      <c r="BC19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1-01-05010-002 (SGG00209) Application Rev 1.xlsx</v>
      </c>
      <c r="BE195" s="64">
        <f t="shared" ca="1" si="4"/>
        <v>50</v>
      </c>
      <c r="BF195" s="104" t="str">
        <f ca="1">LEFT(CELL("filename",A180),_05preva_view43[[#This Row],[Find Process &amp; Database]]-1)</f>
        <v>D:\OneDrive - apollo-towers.com\Apollo Towers\00-</v>
      </c>
      <c r="BG195" s="104" t="str">
        <f ca="1">_05preva_view43[Folder Path1]&amp;"Process &amp; Database\Documentation\Colo Applications"</f>
        <v>D:\OneDrive - apollo-towers.com\Apollo Towers\00-Process &amp; Database\Documentation\Colo Applications</v>
      </c>
      <c r="BH19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5" s="63" t="str">
        <f ca="1">_05preva_view43[[#This Row],[Folder Path3]]&amp;_05preva_view43[[#This Row],[File Name]]</f>
        <v>D:\OneDrive - apollo-towers.com\Apollo Towers\00-Process &amp; Database\Documentation\Colo Applications\Colo App MPT\1-01-05010-002 (SGG00209) Application Rev 1.xlsx</v>
      </c>
      <c r="BJ195" s="104"/>
      <c r="BK195" s="3"/>
      <c r="BL195" s="3"/>
      <c r="CJ195" s="5"/>
      <c r="CK195" s="5"/>
      <c r="CL195" s="3"/>
      <c r="CN195" s="5"/>
      <c r="CR195" s="3"/>
      <c r="CS195" s="3"/>
      <c r="CT195" s="5"/>
      <c r="CV195" s="3"/>
      <c r="DR195" s="5"/>
      <c r="DT195" s="3"/>
      <c r="EF195" s="7"/>
      <c r="EG195" s="7"/>
      <c r="EJ195" s="4"/>
      <c r="EK195" s="4"/>
      <c r="EU195" s="2"/>
      <c r="EV195" s="2"/>
    </row>
    <row r="196" spans="1:152">
      <c r="A196" s="287">
        <v>3430</v>
      </c>
      <c r="B196" s="288" t="s">
        <v>986</v>
      </c>
      <c r="C196" s="288" t="s">
        <v>278</v>
      </c>
      <c r="D196" s="288" t="s">
        <v>127</v>
      </c>
      <c r="E196" s="288" t="s">
        <v>987</v>
      </c>
      <c r="F196" s="288" t="s">
        <v>35</v>
      </c>
      <c r="G196" s="288" t="s">
        <v>1292</v>
      </c>
      <c r="H196" s="288" t="s">
        <v>1285</v>
      </c>
      <c r="I196" s="288" t="s">
        <v>981</v>
      </c>
      <c r="J196" s="288" t="s">
        <v>686</v>
      </c>
      <c r="K196" s="289">
        <v>43424</v>
      </c>
      <c r="L196" s="290">
        <v>1.1619999999999999</v>
      </c>
      <c r="M196" s="290">
        <v>1.68</v>
      </c>
      <c r="N196" s="288">
        <v>10.129</v>
      </c>
      <c r="O196" s="288" t="s">
        <v>687</v>
      </c>
      <c r="P196" s="291" t="s">
        <v>988</v>
      </c>
      <c r="Q196" s="291" t="s">
        <v>989</v>
      </c>
      <c r="R196" s="288" t="s">
        <v>24</v>
      </c>
      <c r="S196" s="288"/>
      <c r="T196" s="292" t="s">
        <v>120</v>
      </c>
      <c r="U196" s="288" t="s">
        <v>982</v>
      </c>
      <c r="V196" s="292" t="s">
        <v>120</v>
      </c>
      <c r="W196" s="288"/>
      <c r="X196" s="292" t="s">
        <v>120</v>
      </c>
      <c r="Y196" s="288" t="s">
        <v>990</v>
      </c>
      <c r="Z196" s="293" t="s">
        <v>120</v>
      </c>
      <c r="AA196" s="294"/>
      <c r="AB196" s="294"/>
      <c r="AC196" s="295" t="s">
        <v>123</v>
      </c>
      <c r="AD196" s="288" t="s">
        <v>1040</v>
      </c>
      <c r="AE196" s="292" t="s">
        <v>120</v>
      </c>
      <c r="AF196" s="289"/>
      <c r="AG196" s="296"/>
      <c r="AH196" s="296"/>
      <c r="AI196" s="288" t="s">
        <v>985</v>
      </c>
      <c r="AJ196" s="292" t="s">
        <v>120</v>
      </c>
      <c r="AK196" s="288" t="s">
        <v>123</v>
      </c>
      <c r="AL196" s="288" t="s">
        <v>935</v>
      </c>
      <c r="AM196" s="292"/>
      <c r="AN196" s="288"/>
      <c r="AO196" s="288"/>
      <c r="AP196" s="297"/>
      <c r="AQ196" s="288"/>
      <c r="AR196" s="292"/>
      <c r="AS196" s="288"/>
      <c r="AT196" s="289">
        <v>43424.694662268499</v>
      </c>
      <c r="AU196" s="289">
        <v>43424.698243634302</v>
      </c>
      <c r="AV196" s="289">
        <v>43431.481612962998</v>
      </c>
      <c r="AW196" s="289">
        <v>43424.694662268499</v>
      </c>
      <c r="AX196" s="289">
        <v>43430.496660185199</v>
      </c>
      <c r="AY196" s="289">
        <v>43430.843728703701</v>
      </c>
      <c r="AZ196" s="298">
        <v>43431.481612962998</v>
      </c>
      <c r="BA19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7.4816129629980423</v>
      </c>
      <c r="BB196" s="300">
        <f>COUNTIFS(_05preva_view43[Site ID],_05preva_view43[[#This Row],[Site ID]],_05preva_view43[Prevalidation Status],"Under Prevalidation")</f>
        <v>0</v>
      </c>
      <c r="BC19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6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1-01-05010-006 (SGG00232) Application Rev 2.xlsx</v>
      </c>
      <c r="BE196" s="64">
        <f t="shared" ca="1" si="4"/>
        <v>50</v>
      </c>
      <c r="BF196" s="104" t="str">
        <f ca="1">LEFT(CELL("filename",A181),_05preva_view43[[#This Row],[Find Process &amp; Database]]-1)</f>
        <v>D:\OneDrive - apollo-towers.com\Apollo Towers\00-</v>
      </c>
      <c r="BG196" s="104" t="str">
        <f ca="1">_05preva_view43[Folder Path1]&amp;"Process &amp; Database\Documentation\Colo Applications"</f>
        <v>D:\OneDrive - apollo-towers.com\Apollo Towers\00-Process &amp; Database\Documentation\Colo Applications</v>
      </c>
      <c r="BH19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6" s="63" t="str">
        <f ca="1">_05preva_view43[[#This Row],[Folder Path3]]&amp;_05preva_view43[[#This Row],[File Name]]</f>
        <v>D:\OneDrive - apollo-towers.com\Apollo Towers\00-Process &amp; Database\Documentation\Colo Applications\Colo App MPT\1-01-05010-006 (SGG00232) Application Rev 2.xlsx</v>
      </c>
      <c r="BJ196" s="104"/>
      <c r="BK196" s="3"/>
      <c r="BL196" s="3"/>
      <c r="CJ196" s="5"/>
      <c r="CK196" s="5"/>
      <c r="CL196" s="3"/>
      <c r="CN196" s="5"/>
      <c r="CR196" s="3"/>
      <c r="CS196" s="3"/>
      <c r="CT196" s="5"/>
      <c r="CV196" s="3"/>
      <c r="DR196" s="5"/>
      <c r="DT196" s="3"/>
      <c r="EF196" s="7"/>
      <c r="EG196" s="7"/>
      <c r="EJ196" s="4"/>
      <c r="EK196" s="4"/>
      <c r="EU196" s="2"/>
      <c r="EV196" s="2"/>
    </row>
    <row r="197" spans="1:152">
      <c r="A197" s="287">
        <v>3431</v>
      </c>
      <c r="B197" s="288" t="s">
        <v>991</v>
      </c>
      <c r="C197" s="288" t="s">
        <v>278</v>
      </c>
      <c r="D197" s="288" t="s">
        <v>127</v>
      </c>
      <c r="E197" s="288" t="s">
        <v>992</v>
      </c>
      <c r="F197" s="288" t="s">
        <v>35</v>
      </c>
      <c r="G197" s="288" t="s">
        <v>1292</v>
      </c>
      <c r="H197" s="288" t="s">
        <v>1285</v>
      </c>
      <c r="I197" s="288" t="s">
        <v>981</v>
      </c>
      <c r="J197" s="288" t="s">
        <v>686</v>
      </c>
      <c r="K197" s="289">
        <v>43424</v>
      </c>
      <c r="L197" s="290">
        <v>1</v>
      </c>
      <c r="M197" s="290">
        <v>1.4</v>
      </c>
      <c r="N197" s="288">
        <v>4.6900000000000004</v>
      </c>
      <c r="O197" s="288" t="s">
        <v>687</v>
      </c>
      <c r="P197" s="291" t="s">
        <v>993</v>
      </c>
      <c r="Q197" s="291" t="s">
        <v>994</v>
      </c>
      <c r="R197" s="288" t="s">
        <v>24</v>
      </c>
      <c r="S197" s="288"/>
      <c r="T197" s="292" t="s">
        <v>120</v>
      </c>
      <c r="U197" s="288" t="s">
        <v>995</v>
      </c>
      <c r="V197" s="292" t="s">
        <v>120</v>
      </c>
      <c r="W197" s="288"/>
      <c r="X197" s="292" t="s">
        <v>120</v>
      </c>
      <c r="Y197" s="288" t="s">
        <v>996</v>
      </c>
      <c r="Z197" s="293" t="s">
        <v>120</v>
      </c>
      <c r="AA197" s="294"/>
      <c r="AB197" s="294"/>
      <c r="AC197" s="295" t="s">
        <v>123</v>
      </c>
      <c r="AD197" s="288" t="s">
        <v>1041</v>
      </c>
      <c r="AE197" s="292" t="s">
        <v>120</v>
      </c>
      <c r="AF197" s="289"/>
      <c r="AG197" s="296"/>
      <c r="AH197" s="296"/>
      <c r="AI197" s="288" t="s">
        <v>985</v>
      </c>
      <c r="AJ197" s="292" t="s">
        <v>120</v>
      </c>
      <c r="AK197" s="288" t="s">
        <v>123</v>
      </c>
      <c r="AL197" s="288" t="s">
        <v>935</v>
      </c>
      <c r="AM197" s="292"/>
      <c r="AN197" s="288"/>
      <c r="AO197" s="288"/>
      <c r="AP197" s="297"/>
      <c r="AQ197" s="288"/>
      <c r="AR197" s="292"/>
      <c r="AS197" s="288"/>
      <c r="AT197" s="289">
        <v>43424.6946648148</v>
      </c>
      <c r="AU197" s="289">
        <v>43424.698246874999</v>
      </c>
      <c r="AV197" s="289">
        <v>43431.577387963</v>
      </c>
      <c r="AW197" s="289">
        <v>43424.6946648148</v>
      </c>
      <c r="AX197" s="289">
        <v>43430.496663425904</v>
      </c>
      <c r="AY197" s="289">
        <v>43430.843733449103</v>
      </c>
      <c r="AZ197" s="298">
        <v>43431.577387963</v>
      </c>
      <c r="BA19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7.5773879629996372</v>
      </c>
      <c r="BB197" s="300">
        <f>COUNTIFS(_05preva_view43[Site ID],_05preva_view43[[#This Row],[Site ID]],_05preva_view43[Prevalidation Status],"Under Prevalidation")</f>
        <v>0</v>
      </c>
      <c r="BC19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7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1-01-05009-003 (SGG00236) Application Rev 2.xlsx</v>
      </c>
      <c r="BE197" s="64">
        <f t="shared" ca="1" si="4"/>
        <v>50</v>
      </c>
      <c r="BF197" s="104" t="str">
        <f ca="1">LEFT(CELL("filename",A182),_05preva_view43[[#This Row],[Find Process &amp; Database]]-1)</f>
        <v>D:\OneDrive - apollo-towers.com\Apollo Towers\00-</v>
      </c>
      <c r="BG197" s="104" t="str">
        <f ca="1">_05preva_view43[Folder Path1]&amp;"Process &amp; Database\Documentation\Colo Applications"</f>
        <v>D:\OneDrive - apollo-towers.com\Apollo Towers\00-Process &amp; Database\Documentation\Colo Applications</v>
      </c>
      <c r="BH19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7" s="63" t="str">
        <f ca="1">_05preva_view43[[#This Row],[Folder Path3]]&amp;_05preva_view43[[#This Row],[File Name]]</f>
        <v>D:\OneDrive - apollo-towers.com\Apollo Towers\00-Process &amp; Database\Documentation\Colo Applications\Colo App MPT\1-01-05009-003 (SGG00236) Application Rev 2.xlsx</v>
      </c>
      <c r="BJ197" s="104"/>
      <c r="BK197" s="3"/>
      <c r="BL197" s="3"/>
      <c r="CJ197" s="5"/>
      <c r="CK197" s="5"/>
      <c r="CL197" s="3"/>
      <c r="CN197" s="5"/>
      <c r="CR197" s="3"/>
      <c r="CS197" s="3"/>
      <c r="CT197" s="5"/>
      <c r="CV197" s="3"/>
      <c r="DR197" s="5"/>
      <c r="DT197" s="3"/>
      <c r="EF197" s="7"/>
      <c r="EG197" s="7"/>
      <c r="EJ197" s="4"/>
      <c r="EK197" s="4"/>
      <c r="EU197" s="2"/>
      <c r="EV197" s="2"/>
    </row>
    <row r="198" spans="1:152">
      <c r="A198" s="287">
        <v>3432</v>
      </c>
      <c r="B198" s="288" t="s">
        <v>997</v>
      </c>
      <c r="C198" s="288" t="s">
        <v>278</v>
      </c>
      <c r="D198" s="288" t="s">
        <v>127</v>
      </c>
      <c r="E198" s="288" t="s">
        <v>998</v>
      </c>
      <c r="F198" s="288" t="s">
        <v>35</v>
      </c>
      <c r="G198" s="288" t="s">
        <v>1292</v>
      </c>
      <c r="H198" s="288" t="s">
        <v>1285</v>
      </c>
      <c r="I198" s="288" t="s">
        <v>981</v>
      </c>
      <c r="J198" s="288" t="s">
        <v>686</v>
      </c>
      <c r="K198" s="289">
        <v>43424</v>
      </c>
      <c r="L198" s="290">
        <v>1</v>
      </c>
      <c r="M198" s="290">
        <v>1.462</v>
      </c>
      <c r="N198" s="288">
        <v>3.72</v>
      </c>
      <c r="O198" s="288" t="s">
        <v>687</v>
      </c>
      <c r="P198" s="291" t="s">
        <v>695</v>
      </c>
      <c r="Q198" s="291" t="s">
        <v>696</v>
      </c>
      <c r="R198" s="288" t="s">
        <v>24</v>
      </c>
      <c r="S198" s="288"/>
      <c r="T198" s="292" t="s">
        <v>120</v>
      </c>
      <c r="U198" s="288" t="s">
        <v>982</v>
      </c>
      <c r="V198" s="292" t="s">
        <v>120</v>
      </c>
      <c r="W198" s="288"/>
      <c r="X198" s="292" t="s">
        <v>120</v>
      </c>
      <c r="Y198" s="288" t="s">
        <v>999</v>
      </c>
      <c r="Z198" s="293" t="s">
        <v>120</v>
      </c>
      <c r="AA198" s="294"/>
      <c r="AB198" s="294"/>
      <c r="AC198" s="295" t="s">
        <v>123</v>
      </c>
      <c r="AD198" s="288" t="s">
        <v>1042</v>
      </c>
      <c r="AE198" s="292" t="s">
        <v>120</v>
      </c>
      <c r="AF198" s="289"/>
      <c r="AG198" s="296"/>
      <c r="AH198" s="296"/>
      <c r="AI198" s="288" t="s">
        <v>985</v>
      </c>
      <c r="AJ198" s="292" t="s">
        <v>120</v>
      </c>
      <c r="AK198" s="288" t="s">
        <v>123</v>
      </c>
      <c r="AL198" s="288" t="s">
        <v>935</v>
      </c>
      <c r="AM198" s="292"/>
      <c r="AN198" s="288"/>
      <c r="AO198" s="288"/>
      <c r="AP198" s="297"/>
      <c r="AQ198" s="288"/>
      <c r="AR198" s="292"/>
      <c r="AS198" s="288"/>
      <c r="AT198" s="289">
        <v>43424.694668171302</v>
      </c>
      <c r="AU198" s="289">
        <v>43424.698250115704</v>
      </c>
      <c r="AV198" s="289">
        <v>43431.6075696759</v>
      </c>
      <c r="AW198" s="289">
        <v>43424.694668171302</v>
      </c>
      <c r="AX198" s="289">
        <v>43430.496666666702</v>
      </c>
      <c r="AY198" s="289">
        <v>43430.843737962998</v>
      </c>
      <c r="AZ198" s="298">
        <v>43431.6075696759</v>
      </c>
      <c r="BA19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7.6075696758998674</v>
      </c>
      <c r="BB198" s="300">
        <f>COUNTIFS(_05preva_view43[Site ID],_05preva_view43[[#This Row],[Site ID]],_05preva_view43[Prevalidation Status],"Under Prevalidation")</f>
        <v>0</v>
      </c>
      <c r="BC19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8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1-01-14007-014 (SHN00080) Application Rev 2.xlsx</v>
      </c>
      <c r="BE198" s="64">
        <f t="shared" ca="1" si="4"/>
        <v>50</v>
      </c>
      <c r="BF198" s="104" t="str">
        <f ca="1">LEFT(CELL("filename",A183),_05preva_view43[[#This Row],[Find Process &amp; Database]]-1)</f>
        <v>D:\OneDrive - apollo-towers.com\Apollo Towers\00-</v>
      </c>
      <c r="BG198" s="104" t="str">
        <f ca="1">_05preva_view43[Folder Path1]&amp;"Process &amp; Database\Documentation\Colo Applications"</f>
        <v>D:\OneDrive - apollo-towers.com\Apollo Towers\00-Process &amp; Database\Documentation\Colo Applications</v>
      </c>
      <c r="BH19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8" s="63" t="str">
        <f ca="1">_05preva_view43[[#This Row],[Folder Path3]]&amp;_05preva_view43[[#This Row],[File Name]]</f>
        <v>D:\OneDrive - apollo-towers.com\Apollo Towers\00-Process &amp; Database\Documentation\Colo Applications\Colo App MPT\1-01-14007-014 (SHN00080) Application Rev 2.xlsx</v>
      </c>
      <c r="BJ198" s="104"/>
      <c r="BK198" s="3"/>
      <c r="BL198" s="3"/>
      <c r="CJ198" s="5"/>
      <c r="CK198" s="5"/>
      <c r="CL198" s="3"/>
      <c r="CN198" s="5"/>
      <c r="CR198" s="3"/>
      <c r="CS198" s="3"/>
      <c r="CT198" s="5"/>
      <c r="CV198" s="3"/>
      <c r="DR198" s="5"/>
      <c r="DT198" s="3"/>
      <c r="EF198" s="7"/>
      <c r="EG198" s="7"/>
      <c r="EJ198" s="4"/>
      <c r="EK198" s="4"/>
      <c r="EU198" s="2"/>
      <c r="EV198" s="2"/>
    </row>
    <row r="199" spans="1:152">
      <c r="A199" s="287">
        <v>3433</v>
      </c>
      <c r="B199" s="288" t="s">
        <v>1000</v>
      </c>
      <c r="C199" s="288" t="s">
        <v>278</v>
      </c>
      <c r="D199" s="288" t="s">
        <v>127</v>
      </c>
      <c r="E199" s="288" t="s">
        <v>1001</v>
      </c>
      <c r="F199" s="288" t="s">
        <v>35</v>
      </c>
      <c r="G199" s="288" t="s">
        <v>1292</v>
      </c>
      <c r="H199" s="288" t="s">
        <v>1285</v>
      </c>
      <c r="I199" s="288" t="s">
        <v>790</v>
      </c>
      <c r="J199" s="288" t="s">
        <v>686</v>
      </c>
      <c r="K199" s="289">
        <v>43424</v>
      </c>
      <c r="L199" s="290">
        <v>2.0590000000000002</v>
      </c>
      <c r="M199" s="290">
        <v>3.6110000000000002</v>
      </c>
      <c r="N199" s="288">
        <v>4.51</v>
      </c>
      <c r="O199" s="288" t="s">
        <v>687</v>
      </c>
      <c r="P199" s="291" t="s">
        <v>695</v>
      </c>
      <c r="Q199" s="291" t="s">
        <v>696</v>
      </c>
      <c r="R199" s="288" t="s">
        <v>24</v>
      </c>
      <c r="S199" s="288"/>
      <c r="T199" s="292" t="s">
        <v>120</v>
      </c>
      <c r="U199" s="288" t="s">
        <v>982</v>
      </c>
      <c r="V199" s="292" t="s">
        <v>120</v>
      </c>
      <c r="W199" s="288"/>
      <c r="X199" s="292" t="s">
        <v>120</v>
      </c>
      <c r="Y199" s="288" t="s">
        <v>1002</v>
      </c>
      <c r="Z199" s="293" t="s">
        <v>120</v>
      </c>
      <c r="AA199" s="294"/>
      <c r="AB199" s="294"/>
      <c r="AC199" s="295" t="s">
        <v>123</v>
      </c>
      <c r="AD199" s="288" t="s">
        <v>1043</v>
      </c>
      <c r="AE199" s="292" t="s">
        <v>120</v>
      </c>
      <c r="AF199" s="289" t="s">
        <v>1463</v>
      </c>
      <c r="AG199" s="296"/>
      <c r="AH199" s="296"/>
      <c r="AI199" s="288" t="s">
        <v>1003</v>
      </c>
      <c r="AJ199" s="292" t="s">
        <v>120</v>
      </c>
      <c r="AK199" s="288" t="s">
        <v>123</v>
      </c>
      <c r="AL199" s="288" t="s">
        <v>935</v>
      </c>
      <c r="AM199" s="292"/>
      <c r="AN199" s="288"/>
      <c r="AO199" s="288"/>
      <c r="AP199" s="297"/>
      <c r="AQ199" s="288"/>
      <c r="AR199" s="292"/>
      <c r="AS199" s="288"/>
      <c r="AT199" s="289">
        <v>43424.694670254597</v>
      </c>
      <c r="AU199" s="289">
        <v>43451.370453356503</v>
      </c>
      <c r="AV199" s="289">
        <v>43431.607571643501</v>
      </c>
      <c r="AW199" s="289">
        <v>43424.694670254597</v>
      </c>
      <c r="AX199" s="289">
        <v>43430.496670717599</v>
      </c>
      <c r="AY199" s="289">
        <v>43430.843742824101</v>
      </c>
      <c r="AZ199" s="298">
        <v>43451.389658333297</v>
      </c>
      <c r="BA19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27.38965833329712</v>
      </c>
      <c r="BB199" s="300">
        <f>COUNTIFS(_05preva_view43[Site ID],_05preva_view43[[#This Row],[Site ID]],_05preva_view43[Prevalidation Status],"Under Prevalidation")</f>
        <v>0</v>
      </c>
      <c r="BC19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199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1-01-15013-007 (SHN00086) Application Rev 2.xlsx</v>
      </c>
      <c r="BE199" s="64">
        <f t="shared" ca="1" si="4"/>
        <v>50</v>
      </c>
      <c r="BF199" s="104" t="str">
        <f ca="1">LEFT(CELL("filename",A184),_05preva_view43[[#This Row],[Find Process &amp; Database]]-1)</f>
        <v>D:\OneDrive - apollo-towers.com\Apollo Towers\00-</v>
      </c>
      <c r="BG199" s="104" t="str">
        <f ca="1">_05preva_view43[Folder Path1]&amp;"Process &amp; Database\Documentation\Colo Applications"</f>
        <v>D:\OneDrive - apollo-towers.com\Apollo Towers\00-Process &amp; Database\Documentation\Colo Applications</v>
      </c>
      <c r="BH19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199" s="63" t="str">
        <f ca="1">_05preva_view43[[#This Row],[Folder Path3]]&amp;_05preva_view43[[#This Row],[File Name]]</f>
        <v>D:\OneDrive - apollo-towers.com\Apollo Towers\00-Process &amp; Database\Documentation\Colo Applications\Colo App MPT\1-01-15013-007 (SHN00086) Application Rev 2.xlsx</v>
      </c>
      <c r="BJ199" s="104"/>
      <c r="BK199" s="3"/>
      <c r="BL199" s="3"/>
      <c r="CJ199" s="5"/>
      <c r="CK199" s="5"/>
      <c r="CL199" s="3"/>
      <c r="CN199" s="5"/>
      <c r="CR199" s="3"/>
      <c r="CS199" s="3"/>
      <c r="CT199" s="5"/>
      <c r="CV199" s="3"/>
      <c r="DR199" s="5"/>
      <c r="DT199" s="3"/>
      <c r="EF199" s="7"/>
      <c r="EG199" s="7"/>
      <c r="EJ199" s="4"/>
      <c r="EK199" s="4"/>
      <c r="EU199" s="2"/>
      <c r="EV199" s="2"/>
    </row>
    <row r="200" spans="1:152">
      <c r="A200" s="287">
        <v>3434</v>
      </c>
      <c r="B200" s="288" t="s">
        <v>1004</v>
      </c>
      <c r="C200" s="288" t="s">
        <v>278</v>
      </c>
      <c r="D200" s="288" t="s">
        <v>117</v>
      </c>
      <c r="E200" s="288" t="s">
        <v>1005</v>
      </c>
      <c r="F200" s="288" t="s">
        <v>35</v>
      </c>
      <c r="G200" s="288" t="s">
        <v>1292</v>
      </c>
      <c r="H200" s="288" t="s">
        <v>1285</v>
      </c>
      <c r="I200" s="288" t="s">
        <v>1006</v>
      </c>
      <c r="J200" s="288" t="s">
        <v>686</v>
      </c>
      <c r="K200" s="289">
        <v>43424</v>
      </c>
      <c r="L200" s="290">
        <v>2.16</v>
      </c>
      <c r="M200" s="290">
        <v>2.7</v>
      </c>
      <c r="N200" s="288">
        <v>6.82</v>
      </c>
      <c r="O200" s="288" t="s">
        <v>687</v>
      </c>
      <c r="P200" s="291" t="s">
        <v>695</v>
      </c>
      <c r="Q200" s="291" t="s">
        <v>696</v>
      </c>
      <c r="R200" s="288" t="s">
        <v>24</v>
      </c>
      <c r="S200" s="288"/>
      <c r="T200" s="292" t="s">
        <v>120</v>
      </c>
      <c r="U200" s="288" t="s">
        <v>1007</v>
      </c>
      <c r="V200" s="292" t="s">
        <v>120</v>
      </c>
      <c r="W200" s="288"/>
      <c r="X200" s="292" t="s">
        <v>120</v>
      </c>
      <c r="Y200" s="288" t="s">
        <v>1008</v>
      </c>
      <c r="Z200" s="293" t="s">
        <v>120</v>
      </c>
      <c r="AA200" s="294"/>
      <c r="AB200" s="294"/>
      <c r="AC200" s="295" t="s">
        <v>123</v>
      </c>
      <c r="AD200" s="288" t="s">
        <v>1044</v>
      </c>
      <c r="AE200" s="292" t="s">
        <v>120</v>
      </c>
      <c r="AF200" s="289" t="s">
        <v>1458</v>
      </c>
      <c r="AG200" s="296"/>
      <c r="AH200" s="296"/>
      <c r="AI200" s="288" t="s">
        <v>1003</v>
      </c>
      <c r="AJ200" s="292" t="s">
        <v>120</v>
      </c>
      <c r="AK200" s="288" t="s">
        <v>206</v>
      </c>
      <c r="AL200" s="288" t="s">
        <v>935</v>
      </c>
      <c r="AM200" s="292"/>
      <c r="AN200" s="288"/>
      <c r="AO200" s="288"/>
      <c r="AP200" s="297"/>
      <c r="AQ200" s="288"/>
      <c r="AR200" s="292"/>
      <c r="AS200" s="288"/>
      <c r="AT200" s="289">
        <v>43424.694671990699</v>
      </c>
      <c r="AU200" s="289">
        <v>43451.370454976903</v>
      </c>
      <c r="AV200" s="289">
        <v>43431.6075732639</v>
      </c>
      <c r="AW200" s="289">
        <v>43424.694671990699</v>
      </c>
      <c r="AX200" s="289">
        <v>43430.496674421302</v>
      </c>
      <c r="AY200" s="289">
        <v>43430.8437478009</v>
      </c>
      <c r="AZ200" s="298">
        <v>43451.389659375003</v>
      </c>
      <c r="BA20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27.389659375003248</v>
      </c>
      <c r="BB200" s="300">
        <f>COUNTIFS(_05preva_view43[Site ID],_05preva_view43[[#This Row],[Site ID]],_05preva_view43[Prevalidation Status],"Under Prevalidation")</f>
        <v>0</v>
      </c>
      <c r="BC20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0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1-01-14007-002 (SHS00093) Application Rev 2.xlsx</v>
      </c>
      <c r="BE200" s="64">
        <f t="shared" ca="1" si="4"/>
        <v>50</v>
      </c>
      <c r="BF200" s="104" t="str">
        <f ca="1">LEFT(CELL("filename",A185),_05preva_view43[[#This Row],[Find Process &amp; Database]]-1)</f>
        <v>D:\OneDrive - apollo-towers.com\Apollo Towers\00-</v>
      </c>
      <c r="BG200" s="104" t="str">
        <f ca="1">_05preva_view43[Folder Path1]&amp;"Process &amp; Database\Documentation\Colo Applications"</f>
        <v>D:\OneDrive - apollo-towers.com\Apollo Towers\00-Process &amp; Database\Documentation\Colo Applications</v>
      </c>
      <c r="BH20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0" s="63" t="str">
        <f ca="1">_05preva_view43[[#This Row],[Folder Path3]]&amp;_05preva_view43[[#This Row],[File Name]]</f>
        <v>D:\OneDrive - apollo-towers.com\Apollo Towers\00-Process &amp; Database\Documentation\Colo Applications\Colo App MPT\1-01-14007-002 (SHS00093) Application Rev 2.xlsx</v>
      </c>
      <c r="BJ200" s="104"/>
      <c r="BK200" s="3"/>
      <c r="BL200" s="3"/>
      <c r="CJ200" s="5"/>
      <c r="CK200" s="5"/>
      <c r="CL200" s="3"/>
      <c r="CN200" s="5"/>
      <c r="CR200" s="3"/>
      <c r="CS200" s="3"/>
      <c r="CT200" s="5"/>
      <c r="CV200" s="3"/>
      <c r="DR200" s="5"/>
      <c r="DT200" s="3"/>
      <c r="EF200" s="7"/>
      <c r="EG200" s="7"/>
      <c r="EJ200" s="4"/>
      <c r="EK200" s="4"/>
      <c r="EU200" s="2"/>
      <c r="EV200" s="2"/>
    </row>
    <row r="201" spans="1:152">
      <c r="A201" s="287">
        <v>3428</v>
      </c>
      <c r="B201" s="288" t="s">
        <v>812</v>
      </c>
      <c r="C201" s="288" t="s">
        <v>116</v>
      </c>
      <c r="D201" s="288" t="s">
        <v>127</v>
      </c>
      <c r="E201" s="288" t="s">
        <v>813</v>
      </c>
      <c r="F201" s="288" t="s">
        <v>35</v>
      </c>
      <c r="G201" s="288" t="s">
        <v>1287</v>
      </c>
      <c r="H201" s="288" t="s">
        <v>1285</v>
      </c>
      <c r="I201" s="288" t="s">
        <v>790</v>
      </c>
      <c r="J201" s="288" t="s">
        <v>668</v>
      </c>
      <c r="K201" s="289">
        <v>43420</v>
      </c>
      <c r="L201" s="290">
        <v>1.66</v>
      </c>
      <c r="M201" s="290">
        <v>2.75</v>
      </c>
      <c r="N201" s="288">
        <v>3.4</v>
      </c>
      <c r="O201" s="288" t="s">
        <v>119</v>
      </c>
      <c r="P201" s="291" t="s">
        <v>292</v>
      </c>
      <c r="Q201" s="291" t="s">
        <v>234</v>
      </c>
      <c r="R201" s="288" t="s">
        <v>24</v>
      </c>
      <c r="S201" s="288"/>
      <c r="T201" s="292" t="s">
        <v>120</v>
      </c>
      <c r="U201" s="288"/>
      <c r="V201" s="292" t="s">
        <v>120</v>
      </c>
      <c r="W201" s="288"/>
      <c r="X201" s="292" t="s">
        <v>120</v>
      </c>
      <c r="Y201" s="288" t="s">
        <v>975</v>
      </c>
      <c r="Z201" s="293" t="s">
        <v>120</v>
      </c>
      <c r="AA201" s="294"/>
      <c r="AB201" s="294"/>
      <c r="AC201" s="295" t="s">
        <v>123</v>
      </c>
      <c r="AD201" s="288" t="s">
        <v>976</v>
      </c>
      <c r="AE201" s="292" t="s">
        <v>120</v>
      </c>
      <c r="AF201" s="289" t="s">
        <v>977</v>
      </c>
      <c r="AG201" s="296"/>
      <c r="AH201" s="296"/>
      <c r="AI201" s="288" t="s">
        <v>978</v>
      </c>
      <c r="AJ201" s="292" t="s">
        <v>120</v>
      </c>
      <c r="AK201" s="288" t="s">
        <v>123</v>
      </c>
      <c r="AL201" s="288" t="s">
        <v>935</v>
      </c>
      <c r="AM201" s="292"/>
      <c r="AN201" s="288"/>
      <c r="AO201" s="288"/>
      <c r="AP201" s="297"/>
      <c r="AQ201" s="288"/>
      <c r="AR201" s="292"/>
      <c r="AS201" s="288"/>
      <c r="AT201" s="289">
        <v>43423.505152777798</v>
      </c>
      <c r="AU201" s="289">
        <v>43423.728602546304</v>
      </c>
      <c r="AV201" s="289">
        <v>43430.471621875004</v>
      </c>
      <c r="AW201" s="289">
        <v>43423.505152777798</v>
      </c>
      <c r="AX201" s="289">
        <v>43424.368697222199</v>
      </c>
      <c r="AY201" s="289">
        <v>43423.766301273201</v>
      </c>
      <c r="AZ201" s="298">
        <v>43430.471621875004</v>
      </c>
      <c r="BA20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10.471621875003621</v>
      </c>
      <c r="BB201" s="300">
        <f>COUNTIFS(_05preva_view43[Site ID],_05preva_view43[[#This Row],[Site ID]],_05preva_view43[Prevalidation Status],"Under Prevalidation")</f>
        <v>0</v>
      </c>
      <c r="BC20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1" s="30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1.xlsx</v>
      </c>
      <c r="BE201" s="64">
        <f t="shared" ca="1" si="4"/>
        <v>50</v>
      </c>
      <c r="BF201" s="104" t="str">
        <f ca="1">LEFT(CELL("filename",A186),_05preva_view43[[#This Row],[Find Process &amp; Database]]-1)</f>
        <v>D:\OneDrive - apollo-towers.com\Apollo Towers\00-</v>
      </c>
      <c r="BG201" s="104" t="str">
        <f ca="1">_05preva_view43[Folder Path1]&amp;"Process &amp; Database\Documentation\Colo Applications"</f>
        <v>D:\OneDrive - apollo-towers.com\Apollo Towers\00-Process &amp; Database\Documentation\Colo Applications</v>
      </c>
      <c r="BH20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1" s="63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1.xlsx</v>
      </c>
      <c r="BJ201" s="104"/>
      <c r="BK201" s="3"/>
      <c r="BL201" s="3"/>
      <c r="CJ201" s="5"/>
      <c r="CK201" s="5"/>
      <c r="CL201" s="3"/>
      <c r="CN201" s="5"/>
      <c r="CR201" s="3"/>
      <c r="CS201" s="3"/>
      <c r="CT201" s="5"/>
      <c r="CV201" s="3"/>
      <c r="DR201" s="5"/>
      <c r="DT201" s="3"/>
      <c r="EF201" s="7"/>
      <c r="EG201" s="7"/>
      <c r="EJ201" s="4"/>
      <c r="EK201" s="4"/>
      <c r="EU201" s="2"/>
      <c r="EV201" s="2"/>
    </row>
    <row r="202" spans="1:152">
      <c r="A202" s="287">
        <v>3416</v>
      </c>
      <c r="B202" s="288" t="s">
        <v>947</v>
      </c>
      <c r="C202" s="288" t="s">
        <v>116</v>
      </c>
      <c r="D202" s="288" t="s">
        <v>153</v>
      </c>
      <c r="E202" s="288" t="s">
        <v>948</v>
      </c>
      <c r="F202" s="288" t="s">
        <v>41</v>
      </c>
      <c r="G202" s="288" t="s">
        <v>1286</v>
      </c>
      <c r="H202" s="288" t="s">
        <v>1285</v>
      </c>
      <c r="I202" s="288" t="s">
        <v>949</v>
      </c>
      <c r="J202" s="288" t="s">
        <v>668</v>
      </c>
      <c r="K202" s="289">
        <v>43419</v>
      </c>
      <c r="L202" s="290"/>
      <c r="M202" s="290"/>
      <c r="N202" s="288">
        <v>3</v>
      </c>
      <c r="O202" s="288" t="s">
        <v>687</v>
      </c>
      <c r="P202" s="291" t="s">
        <v>280</v>
      </c>
      <c r="Q202" s="291" t="s">
        <v>281</v>
      </c>
      <c r="R202" s="288" t="s">
        <v>24</v>
      </c>
      <c r="S202" s="288"/>
      <c r="T202" s="292" t="s">
        <v>615</v>
      </c>
      <c r="U202" s="288"/>
      <c r="V202" s="292" t="s">
        <v>615</v>
      </c>
      <c r="W202" s="288"/>
      <c r="X202" s="292" t="s">
        <v>120</v>
      </c>
      <c r="Y202" s="288" t="s">
        <v>950</v>
      </c>
      <c r="Z202" s="293" t="s">
        <v>615</v>
      </c>
      <c r="AA202" s="294"/>
      <c r="AB202" s="294"/>
      <c r="AC202" s="295" t="s">
        <v>123</v>
      </c>
      <c r="AD202" s="288" t="s">
        <v>951</v>
      </c>
      <c r="AE202" s="292" t="s">
        <v>615</v>
      </c>
      <c r="AF202" s="289"/>
      <c r="AG202" s="296"/>
      <c r="AH202" s="296"/>
      <c r="AI202" s="288"/>
      <c r="AJ202" s="292" t="s">
        <v>615</v>
      </c>
      <c r="AK202" s="288"/>
      <c r="AL202" s="288"/>
      <c r="AM202" s="292" t="s">
        <v>615</v>
      </c>
      <c r="AN202" s="288"/>
      <c r="AO202" s="288" t="s">
        <v>615</v>
      </c>
      <c r="AP202" s="297"/>
      <c r="AQ202" s="288"/>
      <c r="AR202" s="292" t="s">
        <v>120</v>
      </c>
      <c r="AS202" s="288"/>
      <c r="AT202" s="289">
        <v>43419.7339959491</v>
      </c>
      <c r="AU202" s="289"/>
      <c r="AV202" s="289"/>
      <c r="AW202" s="289"/>
      <c r="AX202" s="289"/>
      <c r="AY202" s="289"/>
      <c r="AZ202" s="298">
        <v>43447.656926504598</v>
      </c>
      <c r="BA20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28.656926504598232</v>
      </c>
      <c r="BB202" s="300">
        <f>COUNTIFS(_05preva_view43[Site ID],_05preva_view43[[#This Row],[Site ID]],_05preva_view43[Prevalidation Status],"Under Prevalidation")</f>
        <v>0</v>
      </c>
      <c r="BC20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2" s="302" t="str">
        <f>CONCATENATE(_05preva_view43[[#This Row],[Site ID]]," (",_05preva_view43[[#This Row],[tenant id]],") Application",IF(_05preva_view43[[#This Row],[Colo Rev]]&gt;0," Rev "&amp;_05preva_view43[[#This Row],[Colo Rev]],""),".xlsx")</f>
        <v>AYYN_0264 (YGNINSN003) Application Rev 1.xlsx</v>
      </c>
      <c r="BE202" s="64">
        <f t="shared" ca="1" si="4"/>
        <v>50</v>
      </c>
      <c r="BF202" s="104" t="str">
        <f ca="1">LEFT(CELL("filename",A187),_05preva_view43[[#This Row],[Find Process &amp; Database]]-1)</f>
        <v>D:\OneDrive - apollo-towers.com\Apollo Towers\00-</v>
      </c>
      <c r="BG202" s="104" t="str">
        <f ca="1">_05preva_view43[Folder Path1]&amp;"Process &amp; Database\Documentation\Colo Applications"</f>
        <v>D:\OneDrive - apollo-towers.com\Apollo Towers\00-Process &amp; Database\Documentation\Colo Applications</v>
      </c>
      <c r="BH20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02" s="63" t="str">
        <f ca="1">_05preva_view43[[#This Row],[Folder Path3]]&amp;_05preva_view43[[#This Row],[File Name]]</f>
        <v>D:\OneDrive - apollo-towers.com\Apollo Towers\00-Process &amp; Database\Documentation\Colo Applications\Colo App Amara\AYYN_0264 (YGNINSN003) Application Rev 1.xlsx</v>
      </c>
      <c r="BJ202" s="104"/>
      <c r="BK202" s="3"/>
      <c r="BL202" s="3"/>
      <c r="CJ202" s="5"/>
      <c r="CK202" s="5"/>
      <c r="CL202" s="3"/>
      <c r="CN202" s="5"/>
      <c r="CR202" s="3"/>
      <c r="CS202" s="3"/>
      <c r="CT202" s="5"/>
      <c r="CV202" s="3"/>
      <c r="DR202" s="5"/>
      <c r="DT202" s="3"/>
      <c r="EF202" s="7"/>
      <c r="EG202" s="7"/>
      <c r="EJ202" s="4"/>
      <c r="EK202" s="4"/>
      <c r="EU202" s="2"/>
      <c r="EV202" s="2"/>
    </row>
    <row r="203" spans="1:152">
      <c r="A203" s="287">
        <v>3417</v>
      </c>
      <c r="B203" s="288" t="s">
        <v>952</v>
      </c>
      <c r="C203" s="288" t="s">
        <v>116</v>
      </c>
      <c r="D203" s="288" t="s">
        <v>153</v>
      </c>
      <c r="E203" s="288" t="s">
        <v>953</v>
      </c>
      <c r="F203" s="288" t="s">
        <v>41</v>
      </c>
      <c r="G203" s="288" t="s">
        <v>1286</v>
      </c>
      <c r="H203" s="288" t="s">
        <v>1285</v>
      </c>
      <c r="I203" s="288" t="s">
        <v>949</v>
      </c>
      <c r="J203" s="288" t="s">
        <v>668</v>
      </c>
      <c r="K203" s="289">
        <v>43419</v>
      </c>
      <c r="L203" s="290"/>
      <c r="M203" s="290"/>
      <c r="N203" s="288">
        <v>3.1</v>
      </c>
      <c r="O203" s="288" t="s">
        <v>687</v>
      </c>
      <c r="P203" s="291" t="s">
        <v>954</v>
      </c>
      <c r="Q203" s="291" t="s">
        <v>955</v>
      </c>
      <c r="R203" s="288" t="s">
        <v>24</v>
      </c>
      <c r="S203" s="288"/>
      <c r="T203" s="292" t="s">
        <v>615</v>
      </c>
      <c r="U203" s="288"/>
      <c r="V203" s="292" t="s">
        <v>615</v>
      </c>
      <c r="W203" s="288"/>
      <c r="X203" s="292" t="s">
        <v>120</v>
      </c>
      <c r="Y203" s="288" t="s">
        <v>956</v>
      </c>
      <c r="Z203" s="293" t="s">
        <v>615</v>
      </c>
      <c r="AA203" s="294"/>
      <c r="AB203" s="294"/>
      <c r="AC203" s="295"/>
      <c r="AD203" s="288"/>
      <c r="AE203" s="292" t="s">
        <v>615</v>
      </c>
      <c r="AF203" s="289"/>
      <c r="AG203" s="296"/>
      <c r="AH203" s="296"/>
      <c r="AI203" s="288"/>
      <c r="AJ203" s="292" t="s">
        <v>615</v>
      </c>
      <c r="AK203" s="288"/>
      <c r="AL203" s="288"/>
      <c r="AM203" s="292" t="s">
        <v>615</v>
      </c>
      <c r="AN203" s="288"/>
      <c r="AO203" s="288" t="s">
        <v>615</v>
      </c>
      <c r="AP203" s="297"/>
      <c r="AQ203" s="288"/>
      <c r="AR203" s="292" t="s">
        <v>120</v>
      </c>
      <c r="AS203" s="288"/>
      <c r="AT203" s="289">
        <v>43419.733996643503</v>
      </c>
      <c r="AU203" s="289"/>
      <c r="AV203" s="289"/>
      <c r="AW203" s="289"/>
      <c r="AX203" s="289"/>
      <c r="AY203" s="289"/>
      <c r="AZ203" s="298">
        <v>43447.656927777804</v>
      </c>
      <c r="BA20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28.656927777803503</v>
      </c>
      <c r="BB203" s="300">
        <f>COUNTIFS(_05preva_view43[Site ID],_05preva_view43[[#This Row],[Site ID]],_05preva_view43[Prevalidation Status],"Under Prevalidation")</f>
        <v>0</v>
      </c>
      <c r="BC20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3" s="302" t="str">
        <f>CONCATENATE(_05preva_view43[[#This Row],[Site ID]]," (",_05preva_view43[[#This Row],[tenant id]],") Application",IF(_05preva_view43[[#This Row],[Colo Rev]]&gt;0," Rev "&amp;_05preva_view43[[#This Row],[Colo Rev]],""),".xlsx")</f>
        <v>AYYN_0334 (YGNMYGE005) Application Rev 1.xlsx</v>
      </c>
      <c r="BE203" s="64">
        <f t="shared" ca="1" si="4"/>
        <v>50</v>
      </c>
      <c r="BF203" s="104" t="str">
        <f ca="1">LEFT(CELL("filename",A188),_05preva_view43[[#This Row],[Find Process &amp; Database]]-1)</f>
        <v>D:\OneDrive - apollo-towers.com\Apollo Towers\00-</v>
      </c>
      <c r="BG203" s="104" t="str">
        <f ca="1">_05preva_view43[Folder Path1]&amp;"Process &amp; Database\Documentation\Colo Applications"</f>
        <v>D:\OneDrive - apollo-towers.com\Apollo Towers\00-Process &amp; Database\Documentation\Colo Applications</v>
      </c>
      <c r="BH20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03" s="63" t="str">
        <f ca="1">_05preva_view43[[#This Row],[Folder Path3]]&amp;_05preva_view43[[#This Row],[File Name]]</f>
        <v>D:\OneDrive - apollo-towers.com\Apollo Towers\00-Process &amp; Database\Documentation\Colo Applications\Colo App Amara\AYYN_0334 (YGNMYGE005) Application Rev 1.xlsx</v>
      </c>
      <c r="BJ203" s="104"/>
      <c r="BK203" s="3"/>
      <c r="BL203" s="3"/>
      <c r="CJ203" s="5"/>
      <c r="CK203" s="5"/>
      <c r="CL203" s="3"/>
      <c r="CN203" s="5"/>
      <c r="CR203" s="3"/>
      <c r="CS203" s="3"/>
      <c r="CT203" s="5"/>
      <c r="CV203" s="3"/>
      <c r="DR203" s="5"/>
      <c r="DT203" s="3"/>
      <c r="EF203" s="7"/>
      <c r="EG203" s="7"/>
      <c r="EJ203" s="4"/>
      <c r="EK203" s="4"/>
      <c r="EU203" s="2"/>
      <c r="EV203" s="2"/>
    </row>
    <row r="204" spans="1:152">
      <c r="A204" s="287">
        <v>3418</v>
      </c>
      <c r="B204" s="288" t="s">
        <v>957</v>
      </c>
      <c r="C204" s="288" t="s">
        <v>116</v>
      </c>
      <c r="D204" s="288" t="s">
        <v>153</v>
      </c>
      <c r="E204" s="288" t="s">
        <v>958</v>
      </c>
      <c r="F204" s="288" t="s">
        <v>41</v>
      </c>
      <c r="G204" s="288" t="s">
        <v>1286</v>
      </c>
      <c r="H204" s="288" t="s">
        <v>1285</v>
      </c>
      <c r="I204" s="288" t="s">
        <v>949</v>
      </c>
      <c r="J204" s="288" t="s">
        <v>668</v>
      </c>
      <c r="K204" s="289">
        <v>43419</v>
      </c>
      <c r="L204" s="290"/>
      <c r="M204" s="290"/>
      <c r="N204" s="288">
        <v>2.97</v>
      </c>
      <c r="O204" s="288" t="s">
        <v>687</v>
      </c>
      <c r="P204" s="291" t="s">
        <v>652</v>
      </c>
      <c r="Q204" s="291" t="s">
        <v>228</v>
      </c>
      <c r="R204" s="288" t="s">
        <v>24</v>
      </c>
      <c r="S204" s="288"/>
      <c r="T204" s="292" t="s">
        <v>615</v>
      </c>
      <c r="U204" s="288"/>
      <c r="V204" s="292" t="s">
        <v>615</v>
      </c>
      <c r="W204" s="288"/>
      <c r="X204" s="292" t="s">
        <v>120</v>
      </c>
      <c r="Y204" s="288" t="s">
        <v>959</v>
      </c>
      <c r="Z204" s="293" t="s">
        <v>120</v>
      </c>
      <c r="AA204" s="294"/>
      <c r="AB204" s="294"/>
      <c r="AC204" s="295" t="s">
        <v>206</v>
      </c>
      <c r="AD204" s="288" t="s">
        <v>1039</v>
      </c>
      <c r="AE204" s="292" t="s">
        <v>615</v>
      </c>
      <c r="AF204" s="289"/>
      <c r="AG204" s="296"/>
      <c r="AH204" s="296"/>
      <c r="AI204" s="288"/>
      <c r="AJ204" s="292" t="s">
        <v>615</v>
      </c>
      <c r="AK204" s="288"/>
      <c r="AL204" s="288"/>
      <c r="AM204" s="292" t="s">
        <v>615</v>
      </c>
      <c r="AN204" s="288"/>
      <c r="AO204" s="288" t="s">
        <v>615</v>
      </c>
      <c r="AP204" s="297"/>
      <c r="AQ204" s="288"/>
      <c r="AR204" s="292" t="s">
        <v>120</v>
      </c>
      <c r="AS204" s="288"/>
      <c r="AT204" s="289">
        <v>43419.733997222203</v>
      </c>
      <c r="AU204" s="289"/>
      <c r="AV204" s="289">
        <v>43441.7283320602</v>
      </c>
      <c r="AW204" s="289"/>
      <c r="AX204" s="289"/>
      <c r="AY204" s="289"/>
      <c r="AZ204" s="298">
        <v>43447.656928935197</v>
      </c>
      <c r="BA20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28.656928935197357</v>
      </c>
      <c r="BB204" s="300">
        <f>COUNTIFS(_05preva_view43[Site ID],_05preva_view43[[#This Row],[Site ID]],_05preva_view43[Prevalidation Status],"Under Prevalidation")</f>
        <v>0</v>
      </c>
      <c r="BC20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4" s="302" t="str">
        <f>CONCATENATE(_05preva_view43[[#This Row],[Site ID]]," (",_05preva_view43[[#This Row],[tenant id]],") Application",IF(_05preva_view43[[#This Row],[Colo Rev]]&gt;0," Rev "&amp;_05preva_view43[[#This Row],[Colo Rev]],""),".xlsx")</f>
        <v>AYYN_0579 (YGNSPTR024) Application Rev 1.xlsx</v>
      </c>
      <c r="BE204" s="64">
        <f t="shared" ca="1" si="4"/>
        <v>50</v>
      </c>
      <c r="BF204" s="104" t="str">
        <f ca="1">LEFT(CELL("filename",A189),_05preva_view43[[#This Row],[Find Process &amp; Database]]-1)</f>
        <v>D:\OneDrive - apollo-towers.com\Apollo Towers\00-</v>
      </c>
      <c r="BG204" s="104" t="str">
        <f ca="1">_05preva_view43[Folder Path1]&amp;"Process &amp; Database\Documentation\Colo Applications"</f>
        <v>D:\OneDrive - apollo-towers.com\Apollo Towers\00-Process &amp; Database\Documentation\Colo Applications</v>
      </c>
      <c r="BH20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04" s="63" t="str">
        <f ca="1">_05preva_view43[[#This Row],[Folder Path3]]&amp;_05preva_view43[[#This Row],[File Name]]</f>
        <v>D:\OneDrive - apollo-towers.com\Apollo Towers\00-Process &amp; Database\Documentation\Colo Applications\Colo App Amara\AYYN_0579 (YGNSPTR024) Application Rev 1.xlsx</v>
      </c>
      <c r="BJ204" s="104"/>
      <c r="BK204" s="3"/>
      <c r="BL204" s="3"/>
      <c r="CJ204" s="5"/>
      <c r="CK204" s="5"/>
      <c r="CL204" s="3"/>
      <c r="CN204" s="5"/>
      <c r="CR204" s="3"/>
      <c r="CS204" s="3"/>
      <c r="CT204" s="5"/>
      <c r="CV204" s="3"/>
      <c r="DR204" s="5"/>
      <c r="DT204" s="3"/>
      <c r="EF204" s="7"/>
      <c r="EG204" s="7"/>
      <c r="EJ204" s="4"/>
      <c r="EK204" s="4"/>
      <c r="EU204" s="2"/>
      <c r="EV204" s="2"/>
    </row>
    <row r="205" spans="1:152">
      <c r="A205" s="287">
        <v>3419</v>
      </c>
      <c r="B205" s="288" t="s">
        <v>960</v>
      </c>
      <c r="C205" s="288" t="s">
        <v>116</v>
      </c>
      <c r="D205" s="288" t="s">
        <v>153</v>
      </c>
      <c r="E205" s="288" t="s">
        <v>961</v>
      </c>
      <c r="F205" s="288" t="s">
        <v>41</v>
      </c>
      <c r="G205" s="288" t="s">
        <v>1286</v>
      </c>
      <c r="H205" s="288" t="s">
        <v>1285</v>
      </c>
      <c r="I205" s="288" t="s">
        <v>949</v>
      </c>
      <c r="J205" s="288" t="s">
        <v>668</v>
      </c>
      <c r="K205" s="289">
        <v>43419</v>
      </c>
      <c r="L205" s="290"/>
      <c r="M205" s="290"/>
      <c r="N205" s="288">
        <v>3</v>
      </c>
      <c r="O205" s="288" t="s">
        <v>687</v>
      </c>
      <c r="P205" s="291"/>
      <c r="Q205" s="291" t="s">
        <v>962</v>
      </c>
      <c r="R205" s="288" t="s">
        <v>24</v>
      </c>
      <c r="S205" s="288"/>
      <c r="T205" s="292" t="s">
        <v>615</v>
      </c>
      <c r="U205" s="288"/>
      <c r="V205" s="292" t="s">
        <v>615</v>
      </c>
      <c r="W205" s="288"/>
      <c r="X205" s="292" t="s">
        <v>120</v>
      </c>
      <c r="Y205" s="288" t="s">
        <v>963</v>
      </c>
      <c r="Z205" s="293" t="s">
        <v>615</v>
      </c>
      <c r="AA205" s="294"/>
      <c r="AB205" s="294"/>
      <c r="AC205" s="295"/>
      <c r="AD205" s="288"/>
      <c r="AE205" s="292" t="s">
        <v>615</v>
      </c>
      <c r="AF205" s="289"/>
      <c r="AG205" s="296"/>
      <c r="AH205" s="296"/>
      <c r="AI205" s="288"/>
      <c r="AJ205" s="292" t="s">
        <v>615</v>
      </c>
      <c r="AK205" s="288"/>
      <c r="AL205" s="288"/>
      <c r="AM205" s="292" t="s">
        <v>615</v>
      </c>
      <c r="AN205" s="288"/>
      <c r="AO205" s="288" t="s">
        <v>615</v>
      </c>
      <c r="AP205" s="297"/>
      <c r="AQ205" s="288"/>
      <c r="AR205" s="292" t="s">
        <v>120</v>
      </c>
      <c r="AS205" s="288"/>
      <c r="AT205" s="289">
        <v>43419.733998032403</v>
      </c>
      <c r="AU205" s="289"/>
      <c r="AV205" s="289"/>
      <c r="AW205" s="289"/>
      <c r="AX205" s="289"/>
      <c r="AY205" s="289"/>
      <c r="AZ205" s="298">
        <v>43447.656929861099</v>
      </c>
      <c r="BA20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28.656929861099343</v>
      </c>
      <c r="BB205" s="300">
        <f>COUNTIFS(_05preva_view43[Site ID],_05preva_view43[[#This Row],[Site ID]],_05preva_view43[Prevalidation Status],"Under Prevalidation")</f>
        <v>0</v>
      </c>
      <c r="BC20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5" s="302" t="str">
        <f>CONCATENATE(_05preva_view43[[#This Row],[Site ID]]," (",_05preva_view43[[#This Row],[tenant id]],") Application",IF(_05preva_view43[[#This Row],[Colo Rev]]&gt;0," Rev "&amp;_05preva_view43[[#This Row],[Colo Rev]],""),".xlsx")</f>
        <v>AYYN_0553 (YGNTKTA010) Application Rev 1.xlsx</v>
      </c>
      <c r="BE205" s="64">
        <f t="shared" ca="1" si="4"/>
        <v>50</v>
      </c>
      <c r="BF205" s="104" t="str">
        <f ca="1">LEFT(CELL("filename",A190),_05preva_view43[[#This Row],[Find Process &amp; Database]]-1)</f>
        <v>D:\OneDrive - apollo-towers.com\Apollo Towers\00-</v>
      </c>
      <c r="BG205" s="104" t="str">
        <f ca="1">_05preva_view43[Folder Path1]&amp;"Process &amp; Database\Documentation\Colo Applications"</f>
        <v>D:\OneDrive - apollo-towers.com\Apollo Towers\00-Process &amp; Database\Documentation\Colo Applications</v>
      </c>
      <c r="BH20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05" s="63" t="str">
        <f ca="1">_05preva_view43[[#This Row],[Folder Path3]]&amp;_05preva_view43[[#This Row],[File Name]]</f>
        <v>D:\OneDrive - apollo-towers.com\Apollo Towers\00-Process &amp; Database\Documentation\Colo Applications\Colo App Amara\AYYN_0553 (YGNTKTA010) Application Rev 1.xlsx</v>
      </c>
      <c r="BJ205" s="104"/>
      <c r="BK205" s="3"/>
      <c r="BL205" s="3"/>
      <c r="CJ205" s="5"/>
      <c r="CK205" s="5"/>
      <c r="CL205" s="3"/>
      <c r="CN205" s="5"/>
      <c r="CR205" s="3"/>
      <c r="CS205" s="3"/>
      <c r="CT205" s="5"/>
      <c r="CV205" s="3"/>
      <c r="DR205" s="5"/>
      <c r="DT205" s="3"/>
      <c r="EF205" s="7"/>
      <c r="EG205" s="7"/>
      <c r="EJ205" s="4"/>
      <c r="EK205" s="4"/>
      <c r="EU205" s="2"/>
      <c r="EV205" s="2"/>
    </row>
    <row r="206" spans="1:152">
      <c r="A206" s="287">
        <v>3424</v>
      </c>
      <c r="B206" s="288" t="s">
        <v>332</v>
      </c>
      <c r="C206" s="288" t="s">
        <v>116</v>
      </c>
      <c r="D206" s="288" t="s">
        <v>153</v>
      </c>
      <c r="E206" s="288" t="s">
        <v>333</v>
      </c>
      <c r="F206" s="288" t="s">
        <v>40</v>
      </c>
      <c r="G206" s="288" t="s">
        <v>118</v>
      </c>
      <c r="H206" s="288"/>
      <c r="I206" s="288" t="s">
        <v>880</v>
      </c>
      <c r="J206" s="288" t="s">
        <v>668</v>
      </c>
      <c r="K206" s="289">
        <v>43419</v>
      </c>
      <c r="L206" s="290">
        <v>3</v>
      </c>
      <c r="M206" s="290">
        <v>3.6</v>
      </c>
      <c r="N206" s="288">
        <v>4.5</v>
      </c>
      <c r="O206" s="288" t="s">
        <v>119</v>
      </c>
      <c r="P206" s="291" t="s">
        <v>966</v>
      </c>
      <c r="Q206" s="291" t="s">
        <v>612</v>
      </c>
      <c r="R206" s="288" t="s">
        <v>24</v>
      </c>
      <c r="S206" s="288"/>
      <c r="T206" s="292" t="s">
        <v>120</v>
      </c>
      <c r="U206" s="288" t="s">
        <v>967</v>
      </c>
      <c r="V206" s="292" t="s">
        <v>120</v>
      </c>
      <c r="W206" s="288"/>
      <c r="X206" s="292" t="s">
        <v>120</v>
      </c>
      <c r="Y206" s="288" t="s">
        <v>968</v>
      </c>
      <c r="Z206" s="293" t="s">
        <v>120</v>
      </c>
      <c r="AA206" s="294"/>
      <c r="AB206" s="294"/>
      <c r="AC206" s="295" t="s">
        <v>123</v>
      </c>
      <c r="AD206" s="288" t="s">
        <v>1283</v>
      </c>
      <c r="AE206" s="292" t="s">
        <v>120</v>
      </c>
      <c r="AF206" s="289" t="s">
        <v>639</v>
      </c>
      <c r="AG206" s="296"/>
      <c r="AH206" s="296"/>
      <c r="AI206" s="288" t="s">
        <v>969</v>
      </c>
      <c r="AJ206" s="292" t="s">
        <v>120</v>
      </c>
      <c r="AK206" s="288" t="s">
        <v>123</v>
      </c>
      <c r="AL206" s="288" t="s">
        <v>965</v>
      </c>
      <c r="AM206" s="292"/>
      <c r="AN206" s="288"/>
      <c r="AO206" s="288"/>
      <c r="AP206" s="297"/>
      <c r="AQ206" s="288"/>
      <c r="AR206" s="292"/>
      <c r="AS206" s="288"/>
      <c r="AT206" s="289">
        <v>43420.419846643497</v>
      </c>
      <c r="AU206" s="289">
        <v>43420.401281712999</v>
      </c>
      <c r="AV206" s="289">
        <v>43447.556885532402</v>
      </c>
      <c r="AW206" s="289">
        <v>43419.734002199097</v>
      </c>
      <c r="AX206" s="289">
        <v>43424.368693518503</v>
      </c>
      <c r="AY206" s="289">
        <v>43419.657826620401</v>
      </c>
      <c r="AZ206" s="298">
        <v>43447.556885532402</v>
      </c>
      <c r="BA20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28.556885532401793</v>
      </c>
      <c r="BB206" s="300">
        <f>COUNTIFS(_05preva_view43[Site ID],_05preva_view43[[#This Row],[Site ID]],_05preva_view43[Prevalidation Status],"Under Prevalidation")</f>
        <v>0</v>
      </c>
      <c r="BC20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6" s="302" t="str">
        <f>CONCATENATE(_05preva_view43[[#This Row],[Site ID]]," (",_05preva_view43[[#This Row],[tenant id]],") Application",IF(_05preva_view43[[#This Row],[Colo Rev]]&gt;0," Rev "&amp;_05preva_view43[[#This Row],[Colo Rev]],""),".xlsx")</f>
        <v>AYYN_0306 (YAW7763) Application Rev 1.xlsx</v>
      </c>
      <c r="BE206" s="64">
        <f t="shared" ca="1" si="4"/>
        <v>50</v>
      </c>
      <c r="BF206" s="104" t="str">
        <f ca="1">LEFT(CELL("filename",A191),_05preva_view43[[#This Row],[Find Process &amp; Database]]-1)</f>
        <v>D:\OneDrive - apollo-towers.com\Apollo Towers\00-</v>
      </c>
      <c r="BG206" s="104" t="str">
        <f ca="1">_05preva_view43[Folder Path1]&amp;"Process &amp; Database\Documentation\Colo Applications"</f>
        <v>D:\OneDrive - apollo-towers.com\Apollo Towers\00-Process &amp; Database\Documentation\Colo Applications</v>
      </c>
      <c r="BH20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06" s="63" t="str">
        <f ca="1">_05preva_view43[[#This Row],[Folder Path3]]&amp;_05preva_view43[[#This Row],[File Name]]</f>
        <v>D:\OneDrive - apollo-towers.com\Apollo Towers\00-Process &amp; Database\Documentation\Colo Applications\Colo App OML\AYYN_0306 (YAW7763) Application Rev 1.xlsx</v>
      </c>
      <c r="BJ206" s="104"/>
      <c r="BK206" s="3"/>
      <c r="BL206" s="3"/>
      <c r="CJ206" s="5"/>
      <c r="CK206" s="5"/>
      <c r="CL206" s="3"/>
      <c r="CN206" s="5"/>
      <c r="CR206" s="3"/>
      <c r="CS206" s="3"/>
      <c r="CT206" s="5"/>
      <c r="CV206" s="3"/>
      <c r="DR206" s="5"/>
      <c r="DT206" s="3"/>
      <c r="EF206" s="7"/>
      <c r="EG206" s="7"/>
      <c r="EJ206" s="4"/>
      <c r="EK206" s="4"/>
      <c r="EU206" s="2"/>
      <c r="EV206" s="2"/>
    </row>
    <row r="207" spans="1:152">
      <c r="A207" s="287">
        <v>3426</v>
      </c>
      <c r="B207" s="288" t="s">
        <v>783</v>
      </c>
      <c r="C207" s="288" t="s">
        <v>278</v>
      </c>
      <c r="D207" s="288" t="s">
        <v>127</v>
      </c>
      <c r="E207" s="288" t="s">
        <v>784</v>
      </c>
      <c r="F207" s="288" t="s">
        <v>35</v>
      </c>
      <c r="G207" s="288" t="s">
        <v>1292</v>
      </c>
      <c r="H207" s="288" t="s">
        <v>1285</v>
      </c>
      <c r="I207" s="288" t="s">
        <v>785</v>
      </c>
      <c r="J207" s="288" t="s">
        <v>727</v>
      </c>
      <c r="K207" s="289">
        <v>43419</v>
      </c>
      <c r="L207" s="290">
        <v>2.1259999999999999</v>
      </c>
      <c r="M207" s="290">
        <v>4.0149999999999997</v>
      </c>
      <c r="N207" s="288">
        <v>3.3250000000000002</v>
      </c>
      <c r="O207" s="288" t="s">
        <v>687</v>
      </c>
      <c r="P207" s="291" t="s">
        <v>508</v>
      </c>
      <c r="Q207" s="291" t="s">
        <v>509</v>
      </c>
      <c r="R207" s="288" t="s">
        <v>24</v>
      </c>
      <c r="S207" s="288"/>
      <c r="T207" s="292" t="s">
        <v>120</v>
      </c>
      <c r="U207" s="288"/>
      <c r="V207" s="292" t="s">
        <v>615</v>
      </c>
      <c r="W207" s="288"/>
      <c r="X207" s="292" t="s">
        <v>120</v>
      </c>
      <c r="Y207" s="288" t="s">
        <v>971</v>
      </c>
      <c r="Z207" s="293" t="s">
        <v>120</v>
      </c>
      <c r="AA207" s="294"/>
      <c r="AB207" s="294"/>
      <c r="AC207" s="295" t="s">
        <v>123</v>
      </c>
      <c r="AD207" s="288" t="s">
        <v>972</v>
      </c>
      <c r="AE207" s="292" t="s">
        <v>120</v>
      </c>
      <c r="AF207" s="289" t="s">
        <v>1464</v>
      </c>
      <c r="AG207" s="296"/>
      <c r="AH207" s="296">
        <v>2.2999999999999998</v>
      </c>
      <c r="AI207" s="288" t="s">
        <v>1003</v>
      </c>
      <c r="AJ207" s="292" t="s">
        <v>120</v>
      </c>
      <c r="AK207" s="288" t="s">
        <v>123</v>
      </c>
      <c r="AL207" s="288" t="s">
        <v>935</v>
      </c>
      <c r="AM207" s="292"/>
      <c r="AN207" s="288"/>
      <c r="AO207" s="288"/>
      <c r="AP207" s="297"/>
      <c r="AQ207" s="288"/>
      <c r="AR207" s="292"/>
      <c r="AS207" s="288"/>
      <c r="AT207" s="289">
        <v>43420.419850462997</v>
      </c>
      <c r="AU207" s="289">
        <v>43451.370452661999</v>
      </c>
      <c r="AV207" s="289">
        <v>43423.465950347199</v>
      </c>
      <c r="AW207" s="289">
        <v>43420.419850462997</v>
      </c>
      <c r="AX207" s="289">
        <v>43424.368695601901</v>
      </c>
      <c r="AY207" s="289"/>
      <c r="AZ207" s="298">
        <v>43451.3896572917</v>
      </c>
      <c r="BA207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32.389657291700132</v>
      </c>
      <c r="BB207" s="300">
        <f>COUNTIFS(_05preva_view43[Site ID],_05preva_view43[[#This Row],[Site ID]],_05preva_view43[Prevalidation Status],"Under Prevalidation")</f>
        <v>0</v>
      </c>
      <c r="BC20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7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3.xlsx</v>
      </c>
      <c r="BE207" s="64">
        <f t="shared" ca="1" si="4"/>
        <v>50</v>
      </c>
      <c r="BF207" s="104" t="str">
        <f ca="1">LEFT(CELL("filename",A192),_05preva_view43[[#This Row],[Find Process &amp; Database]]-1)</f>
        <v>D:\OneDrive - apollo-towers.com\Apollo Towers\00-</v>
      </c>
      <c r="BG207" s="104" t="str">
        <f ca="1">_05preva_view43[Folder Path1]&amp;"Process &amp; Database\Documentation\Colo Applications"</f>
        <v>D:\OneDrive - apollo-towers.com\Apollo Towers\00-Process &amp; Database\Documentation\Colo Applications</v>
      </c>
      <c r="BH20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7" s="63" t="str">
        <f ca="1">_05preva_view43[[#This Row],[Folder Path3]]&amp;_05preva_view43[[#This Row],[File Name]]</f>
        <v>D:\OneDrive - apollo-towers.com\Apollo Towers\00-Process &amp; Database\Documentation\Colo Applications\Colo App MPT\1-01-05027-009 (SGG00227) Application Rev 3.xlsx</v>
      </c>
      <c r="BJ207" s="104"/>
      <c r="BK207" s="3"/>
      <c r="BL207" s="3"/>
      <c r="CJ207" s="5"/>
      <c r="CK207" s="5"/>
      <c r="CL207" s="3"/>
      <c r="CN207" s="5"/>
      <c r="CR207" s="3"/>
      <c r="CS207" s="3"/>
      <c r="CT207" s="5"/>
      <c r="CV207" s="3"/>
      <c r="DR207" s="5"/>
      <c r="DT207" s="3"/>
      <c r="EF207" s="7"/>
      <c r="EG207" s="7"/>
      <c r="EJ207" s="4"/>
      <c r="EK207" s="4"/>
      <c r="EU207" s="2"/>
      <c r="EV207" s="2"/>
    </row>
    <row r="208" spans="1:152">
      <c r="A208" s="287">
        <v>3427</v>
      </c>
      <c r="B208" s="288" t="s">
        <v>926</v>
      </c>
      <c r="C208" s="288" t="s">
        <v>278</v>
      </c>
      <c r="D208" s="288" t="s">
        <v>127</v>
      </c>
      <c r="E208" s="288" t="s">
        <v>927</v>
      </c>
      <c r="F208" s="288" t="s">
        <v>35</v>
      </c>
      <c r="G208" s="288" t="s">
        <v>1292</v>
      </c>
      <c r="H208" s="288" t="s">
        <v>1285</v>
      </c>
      <c r="I208" s="288" t="s">
        <v>790</v>
      </c>
      <c r="J208" s="288" t="s">
        <v>727</v>
      </c>
      <c r="K208" s="289">
        <v>43419</v>
      </c>
      <c r="L208" s="290">
        <v>1.9890000000000001</v>
      </c>
      <c r="M208" s="290">
        <v>3.6110000000000002</v>
      </c>
      <c r="N208" s="288">
        <v>4.37</v>
      </c>
      <c r="O208" s="288" t="s">
        <v>687</v>
      </c>
      <c r="P208" s="291" t="s">
        <v>508</v>
      </c>
      <c r="Q208" s="291" t="s">
        <v>509</v>
      </c>
      <c r="R208" s="288" t="s">
        <v>24</v>
      </c>
      <c r="S208" s="288"/>
      <c r="T208" s="292" t="s">
        <v>120</v>
      </c>
      <c r="U208" s="288"/>
      <c r="V208" s="292" t="s">
        <v>615</v>
      </c>
      <c r="W208" s="288"/>
      <c r="X208" s="292" t="s">
        <v>120</v>
      </c>
      <c r="Y208" s="288" t="s">
        <v>973</v>
      </c>
      <c r="Z208" s="293" t="s">
        <v>120</v>
      </c>
      <c r="AA208" s="294"/>
      <c r="AB208" s="294"/>
      <c r="AC208" s="295" t="s">
        <v>123</v>
      </c>
      <c r="AD208" s="288" t="s">
        <v>974</v>
      </c>
      <c r="AE208" s="292" t="s">
        <v>120</v>
      </c>
      <c r="AF208" s="289" t="s">
        <v>904</v>
      </c>
      <c r="AG208" s="296"/>
      <c r="AH208" s="296">
        <v>1.5</v>
      </c>
      <c r="AI208" s="288" t="s">
        <v>905</v>
      </c>
      <c r="AJ208" s="292" t="s">
        <v>120</v>
      </c>
      <c r="AK208" s="288" t="s">
        <v>123</v>
      </c>
      <c r="AL208" s="288" t="s">
        <v>935</v>
      </c>
      <c r="AM208" s="292"/>
      <c r="AN208" s="288"/>
      <c r="AO208" s="288"/>
      <c r="AP208" s="297"/>
      <c r="AQ208" s="288"/>
      <c r="AR208" s="292"/>
      <c r="AS208" s="288"/>
      <c r="AT208" s="289">
        <v>43420.419852314801</v>
      </c>
      <c r="AU208" s="289">
        <v>43420.5554857639</v>
      </c>
      <c r="AV208" s="289">
        <v>43423.465951620397</v>
      </c>
      <c r="AW208" s="289">
        <v>43420.419852314801</v>
      </c>
      <c r="AX208" s="289">
        <v>43424.368696411999</v>
      </c>
      <c r="AY208" s="289"/>
      <c r="AZ208" s="298">
        <v>43424.368696411999</v>
      </c>
      <c r="BA20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5.3686964119988261</v>
      </c>
      <c r="BB208" s="300">
        <f>COUNTIFS(_05preva_view43[Site ID],_05preva_view43[[#This Row],[Site ID]],_05preva_view43[Prevalidation Status],"Under Prevalidation")</f>
        <v>0</v>
      </c>
      <c r="BC20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8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3.xlsx</v>
      </c>
      <c r="BE208" s="64">
        <f t="shared" ref="BE208:BE271" ca="1" si="5">FIND("Process &amp; Database\",CELL("filename",$A$1))</f>
        <v>50</v>
      </c>
      <c r="BF208" s="104" t="str">
        <f ca="1">LEFT(CELL("filename",A193),_05preva_view43[[#This Row],[Find Process &amp; Database]]-1)</f>
        <v>D:\OneDrive - apollo-towers.com\Apollo Towers\00-</v>
      </c>
      <c r="BG208" s="104" t="str">
        <f ca="1">_05preva_view43[Folder Path1]&amp;"Process &amp; Database\Documentation\Colo Applications"</f>
        <v>D:\OneDrive - apollo-towers.com\Apollo Towers\00-Process &amp; Database\Documentation\Colo Applications</v>
      </c>
      <c r="BH20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08" s="63" t="str">
        <f ca="1">_05preva_view43[[#This Row],[Folder Path3]]&amp;_05preva_view43[[#This Row],[File Name]]</f>
        <v>D:\OneDrive - apollo-towers.com\Apollo Towers\00-Process &amp; Database\Documentation\Colo Applications\Colo App MPT\1-01-15011-001 (SHN00043) Application Rev 3.xlsx</v>
      </c>
      <c r="BJ208" s="104"/>
      <c r="BK208" s="3"/>
      <c r="BL208" s="3"/>
      <c r="CJ208" s="5"/>
      <c r="CK208" s="5"/>
      <c r="CL208" s="3"/>
      <c r="CN208" s="5"/>
      <c r="CR208" s="3"/>
      <c r="CS208" s="3"/>
      <c r="CT208" s="5"/>
      <c r="CV208" s="3"/>
      <c r="DR208" s="5"/>
      <c r="DT208" s="3"/>
      <c r="EF208" s="7"/>
      <c r="EG208" s="7"/>
      <c r="EJ208" s="4"/>
      <c r="EK208" s="4"/>
      <c r="EU208" s="2"/>
      <c r="EV208" s="2"/>
    </row>
    <row r="209" spans="1:152">
      <c r="A209" s="287">
        <v>3415</v>
      </c>
      <c r="B209" s="288" t="s">
        <v>176</v>
      </c>
      <c r="C209" s="288" t="s">
        <v>116</v>
      </c>
      <c r="D209" s="288" t="s">
        <v>153</v>
      </c>
      <c r="E209" s="288" t="s">
        <v>943</v>
      </c>
      <c r="F209" s="288" t="s">
        <v>41</v>
      </c>
      <c r="G209" s="288" t="s">
        <v>1286</v>
      </c>
      <c r="H209" s="288" t="s">
        <v>1285</v>
      </c>
      <c r="I209" s="288" t="s">
        <v>944</v>
      </c>
      <c r="J209" s="288" t="s">
        <v>668</v>
      </c>
      <c r="K209" s="289">
        <v>43418</v>
      </c>
      <c r="L209" s="290"/>
      <c r="M209" s="290"/>
      <c r="N209" s="288">
        <v>6</v>
      </c>
      <c r="O209" s="288" t="s">
        <v>119</v>
      </c>
      <c r="P209" s="291" t="s">
        <v>221</v>
      </c>
      <c r="Q209" s="291" t="s">
        <v>228</v>
      </c>
      <c r="R209" s="288" t="s">
        <v>24</v>
      </c>
      <c r="S209" s="288"/>
      <c r="T209" s="292" t="s">
        <v>615</v>
      </c>
      <c r="U209" s="288"/>
      <c r="V209" s="292" t="s">
        <v>615</v>
      </c>
      <c r="W209" s="288"/>
      <c r="X209" s="292" t="s">
        <v>120</v>
      </c>
      <c r="Y209" s="288" t="s">
        <v>945</v>
      </c>
      <c r="Z209" s="293" t="s">
        <v>120</v>
      </c>
      <c r="AA209" s="294"/>
      <c r="AB209" s="294"/>
      <c r="AC209" s="295" t="s">
        <v>123</v>
      </c>
      <c r="AD209" s="288" t="s">
        <v>946</v>
      </c>
      <c r="AE209" s="292" t="s">
        <v>615</v>
      </c>
      <c r="AF209" s="289"/>
      <c r="AG209" s="296"/>
      <c r="AH209" s="296"/>
      <c r="AI209" s="288"/>
      <c r="AJ209" s="292" t="s">
        <v>615</v>
      </c>
      <c r="AK209" s="288"/>
      <c r="AL209" s="288"/>
      <c r="AM209" s="292" t="s">
        <v>615</v>
      </c>
      <c r="AN209" s="288"/>
      <c r="AO209" s="288" t="s">
        <v>615</v>
      </c>
      <c r="AP209" s="297"/>
      <c r="AQ209" s="288"/>
      <c r="AR209" s="292"/>
      <c r="AS209" s="288"/>
      <c r="AT209" s="289">
        <v>43419.733995254603</v>
      </c>
      <c r="AU209" s="289"/>
      <c r="AV209" s="289">
        <v>43427.716642592597</v>
      </c>
      <c r="AW209" s="289"/>
      <c r="AX209" s="289"/>
      <c r="AY209" s="289"/>
      <c r="AZ209" s="298">
        <v>43427.716642592597</v>
      </c>
      <c r="BA20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9.7166425925970543</v>
      </c>
      <c r="BB209" s="300">
        <f>COUNTIFS(_05preva_view43[Site ID],_05preva_view43[[#This Row],[Site ID]],_05preva_view43[Prevalidation Status],"Under Prevalidation")</f>
        <v>0</v>
      </c>
      <c r="BC20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09" s="302" t="str">
        <f>CONCATENATE(_05preva_view43[[#This Row],[Site ID]]," (",_05preva_view43[[#This Row],[tenant id]],") Application",IF(_05preva_view43[[#This Row],[Colo Rev]]&gt;0," Rev "&amp;_05preva_view43[[#This Row],[Colo Rev]],""),".xlsx")</f>
        <v>AYYN_0583 (YGNSPTR021) Application Rev 1.xlsx</v>
      </c>
      <c r="BE209" s="64">
        <f t="shared" ca="1" si="5"/>
        <v>50</v>
      </c>
      <c r="BF209" s="104" t="str">
        <f ca="1">LEFT(CELL("filename",A194),_05preva_view43[[#This Row],[Find Process &amp; Database]]-1)</f>
        <v>D:\OneDrive - apollo-towers.com\Apollo Towers\00-</v>
      </c>
      <c r="BG209" s="104" t="str">
        <f ca="1">_05preva_view43[Folder Path1]&amp;"Process &amp; Database\Documentation\Colo Applications"</f>
        <v>D:\OneDrive - apollo-towers.com\Apollo Towers\00-Process &amp; Database\Documentation\Colo Applications</v>
      </c>
      <c r="BH20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09" s="63" t="str">
        <f ca="1">_05preva_view43[[#This Row],[Folder Path3]]&amp;_05preva_view43[[#This Row],[File Name]]</f>
        <v>D:\OneDrive - apollo-towers.com\Apollo Towers\00-Process &amp; Database\Documentation\Colo Applications\Colo App Amara\AYYN_0583 (YGNSPTR021) Application Rev 1.xlsx</v>
      </c>
      <c r="BJ209" s="104"/>
      <c r="BK209" s="3"/>
      <c r="BL209" s="3"/>
      <c r="CJ209" s="5"/>
      <c r="CK209" s="5"/>
      <c r="CL209" s="3"/>
      <c r="CN209" s="5"/>
      <c r="CR209" s="3"/>
      <c r="CS209" s="3"/>
      <c r="CT209" s="5"/>
      <c r="CV209" s="3"/>
      <c r="DR209" s="5"/>
      <c r="DT209" s="3"/>
      <c r="EF209" s="7"/>
      <c r="EG209" s="7"/>
      <c r="EJ209" s="4"/>
      <c r="EK209" s="4"/>
      <c r="EU209" s="2"/>
      <c r="EV209" s="2"/>
    </row>
    <row r="210" spans="1:152">
      <c r="A210" s="287">
        <v>3413</v>
      </c>
      <c r="B210" s="288" t="s">
        <v>931</v>
      </c>
      <c r="C210" s="288" t="s">
        <v>278</v>
      </c>
      <c r="D210" s="288" t="s">
        <v>127</v>
      </c>
      <c r="E210" s="288" t="s">
        <v>932</v>
      </c>
      <c r="F210" s="288" t="s">
        <v>35</v>
      </c>
      <c r="G210" s="288" t="s">
        <v>1292</v>
      </c>
      <c r="H210" s="288" t="s">
        <v>1285</v>
      </c>
      <c r="I210" s="288" t="s">
        <v>933</v>
      </c>
      <c r="J210" s="288" t="s">
        <v>686</v>
      </c>
      <c r="K210" s="289">
        <v>43417</v>
      </c>
      <c r="L210" s="290"/>
      <c r="M210" s="290"/>
      <c r="N210" s="288">
        <v>3.07</v>
      </c>
      <c r="O210" s="288" t="s">
        <v>687</v>
      </c>
      <c r="P210" s="291" t="s">
        <v>240</v>
      </c>
      <c r="Q210" s="291" t="s">
        <v>241</v>
      </c>
      <c r="R210" s="288" t="s">
        <v>24</v>
      </c>
      <c r="S210" s="288"/>
      <c r="T210" s="292" t="s">
        <v>615</v>
      </c>
      <c r="U210" s="288"/>
      <c r="V210" s="292" t="s">
        <v>615</v>
      </c>
      <c r="W210" s="288"/>
      <c r="X210" s="292" t="s">
        <v>120</v>
      </c>
      <c r="Y210" s="288" t="s">
        <v>934</v>
      </c>
      <c r="Z210" s="293" t="s">
        <v>615</v>
      </c>
      <c r="AA210" s="294"/>
      <c r="AB210" s="294"/>
      <c r="AC210" s="295"/>
      <c r="AD210" s="288"/>
      <c r="AE210" s="292" t="s">
        <v>125</v>
      </c>
      <c r="AF210" s="289" t="s">
        <v>936</v>
      </c>
      <c r="AG210" s="296"/>
      <c r="AH210" s="296">
        <v>1.6</v>
      </c>
      <c r="AI210" s="288" t="s">
        <v>937</v>
      </c>
      <c r="AJ210" s="292" t="s">
        <v>120</v>
      </c>
      <c r="AK210" s="288" t="s">
        <v>123</v>
      </c>
      <c r="AL210" s="288" t="s">
        <v>935</v>
      </c>
      <c r="AM210" s="292"/>
      <c r="AN210" s="288"/>
      <c r="AO210" s="288"/>
      <c r="AP210" s="297"/>
      <c r="AQ210" s="288"/>
      <c r="AR210" s="292"/>
      <c r="AS210" s="288"/>
      <c r="AT210" s="289">
        <v>43418.370526620398</v>
      </c>
      <c r="AU210" s="289"/>
      <c r="AV210" s="289"/>
      <c r="AW210" s="289">
        <v>43418.370526620398</v>
      </c>
      <c r="AX210" s="289"/>
      <c r="AY210" s="289"/>
      <c r="AZ210" s="298">
        <v>43418.370526620398</v>
      </c>
      <c r="BA210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1.3705266203978681</v>
      </c>
      <c r="BB210" s="300">
        <f>COUNTIFS(_05preva_view43[Site ID],_05preva_view43[[#This Row],[Site ID]],_05preva_view43[Prevalidation Status],"Under Prevalidation")</f>
        <v>0</v>
      </c>
      <c r="BC21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0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1-01-01002-008 (KCN00372) Application Rev 2.xlsx</v>
      </c>
      <c r="BE210" s="64">
        <f t="shared" ca="1" si="5"/>
        <v>50</v>
      </c>
      <c r="BF210" s="104" t="str">
        <f ca="1">LEFT(CELL("filename",A195),_05preva_view43[[#This Row],[Find Process &amp; Database]]-1)</f>
        <v>D:\OneDrive - apollo-towers.com\Apollo Towers\00-</v>
      </c>
      <c r="BG210" s="104" t="str">
        <f ca="1">_05preva_view43[Folder Path1]&amp;"Process &amp; Database\Documentation\Colo Applications"</f>
        <v>D:\OneDrive - apollo-towers.com\Apollo Towers\00-Process &amp; Database\Documentation\Colo Applications</v>
      </c>
      <c r="BH21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0" s="63" t="str">
        <f ca="1">_05preva_view43[[#This Row],[Folder Path3]]&amp;_05preva_view43[[#This Row],[File Name]]</f>
        <v>D:\OneDrive - apollo-towers.com\Apollo Towers\00-Process &amp; Database\Documentation\Colo Applications\Colo App MPT\1-01-01002-008 (KCN00372) Application Rev 2.xlsx</v>
      </c>
      <c r="BJ210" s="104"/>
      <c r="BK210" s="3"/>
      <c r="BL210" s="3"/>
      <c r="CJ210" s="5"/>
      <c r="CK210" s="5"/>
      <c r="CL210" s="3"/>
      <c r="CN210" s="5"/>
      <c r="CR210" s="3"/>
      <c r="CS210" s="3"/>
      <c r="CT210" s="5"/>
      <c r="CV210" s="3"/>
      <c r="DR210" s="5"/>
      <c r="DT210" s="3"/>
      <c r="EF210" s="7"/>
      <c r="EG210" s="7"/>
      <c r="EJ210" s="4"/>
      <c r="EK210" s="4"/>
      <c r="EU210" s="2"/>
      <c r="EV210" s="2"/>
    </row>
    <row r="211" spans="1:152">
      <c r="A211" s="287">
        <v>3414</v>
      </c>
      <c r="B211" s="288" t="s">
        <v>938</v>
      </c>
      <c r="C211" s="288" t="s">
        <v>278</v>
      </c>
      <c r="D211" s="288" t="s">
        <v>127</v>
      </c>
      <c r="E211" s="288" t="s">
        <v>939</v>
      </c>
      <c r="F211" s="288" t="s">
        <v>35</v>
      </c>
      <c r="G211" s="288" t="s">
        <v>1292</v>
      </c>
      <c r="H211" s="288" t="s">
        <v>1285</v>
      </c>
      <c r="I211" s="288" t="s">
        <v>933</v>
      </c>
      <c r="J211" s="288" t="s">
        <v>668</v>
      </c>
      <c r="K211" s="289">
        <v>43417</v>
      </c>
      <c r="L211" s="290"/>
      <c r="M211" s="290"/>
      <c r="N211" s="288">
        <v>2.82</v>
      </c>
      <c r="O211" s="288" t="s">
        <v>687</v>
      </c>
      <c r="P211" s="291" t="s">
        <v>695</v>
      </c>
      <c r="Q211" s="291" t="s">
        <v>696</v>
      </c>
      <c r="R211" s="288" t="s">
        <v>24</v>
      </c>
      <c r="S211" s="288"/>
      <c r="T211" s="292" t="s">
        <v>615</v>
      </c>
      <c r="U211" s="288" t="s">
        <v>940</v>
      </c>
      <c r="V211" s="292" t="s">
        <v>120</v>
      </c>
      <c r="W211" s="288"/>
      <c r="X211" s="292" t="s">
        <v>120</v>
      </c>
      <c r="Y211" s="288" t="s">
        <v>941</v>
      </c>
      <c r="Z211" s="293" t="s">
        <v>120</v>
      </c>
      <c r="AA211" s="294"/>
      <c r="AB211" s="294"/>
      <c r="AC211" s="295" t="s">
        <v>123</v>
      </c>
      <c r="AD211" s="288" t="s">
        <v>942</v>
      </c>
      <c r="AE211" s="292" t="s">
        <v>120</v>
      </c>
      <c r="AF211" s="289" t="s">
        <v>904</v>
      </c>
      <c r="AG211" s="296"/>
      <c r="AH211" s="296">
        <v>1.6</v>
      </c>
      <c r="AI211" s="288" t="s">
        <v>905</v>
      </c>
      <c r="AJ211" s="292" t="s">
        <v>120</v>
      </c>
      <c r="AK211" s="288" t="s">
        <v>123</v>
      </c>
      <c r="AL211" s="288" t="s">
        <v>935</v>
      </c>
      <c r="AM211" s="292"/>
      <c r="AN211" s="288"/>
      <c r="AO211" s="288"/>
      <c r="AP211" s="297"/>
      <c r="AQ211" s="288"/>
      <c r="AR211" s="292"/>
      <c r="AS211" s="288"/>
      <c r="AT211" s="289">
        <v>43418.370527893501</v>
      </c>
      <c r="AU211" s="289">
        <v>43419.752471064799</v>
      </c>
      <c r="AV211" s="289">
        <v>43419.439039814803</v>
      </c>
      <c r="AW211" s="289">
        <v>43418.370527893501</v>
      </c>
      <c r="AX211" s="289"/>
      <c r="AY211" s="289">
        <v>43452.724153819399</v>
      </c>
      <c r="AZ211" s="298">
        <v>43452.704516088001</v>
      </c>
      <c r="BA211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35.704516088000673</v>
      </c>
      <c r="BB211" s="300">
        <f>COUNTIFS(_05preva_view43[Site ID],_05preva_view43[[#This Row],[Site ID]],_05preva_view43[Prevalidation Status],"Under Prevalidation")</f>
        <v>0</v>
      </c>
      <c r="BC21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1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1-01-15012-002 (SHN00218) Application Rev 1.xlsx</v>
      </c>
      <c r="BE211" s="64">
        <f t="shared" ca="1" si="5"/>
        <v>50</v>
      </c>
      <c r="BF211" s="104" t="str">
        <f ca="1">LEFT(CELL("filename",A196),_05preva_view43[[#This Row],[Find Process &amp; Database]]-1)</f>
        <v>D:\OneDrive - apollo-towers.com\Apollo Towers\00-</v>
      </c>
      <c r="BG211" s="104" t="str">
        <f ca="1">_05preva_view43[Folder Path1]&amp;"Process &amp; Database\Documentation\Colo Applications"</f>
        <v>D:\OneDrive - apollo-towers.com\Apollo Towers\00-Process &amp; Database\Documentation\Colo Applications</v>
      </c>
      <c r="BH21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1" s="63" t="str">
        <f ca="1">_05preva_view43[[#This Row],[Folder Path3]]&amp;_05preva_view43[[#This Row],[File Name]]</f>
        <v>D:\OneDrive - apollo-towers.com\Apollo Towers\00-Process &amp; Database\Documentation\Colo Applications\Colo App MPT\1-01-15012-002 (SHN00218) Application Rev 1.xlsx</v>
      </c>
      <c r="BJ211" s="104"/>
      <c r="BK211" s="3"/>
      <c r="BL211" s="3"/>
      <c r="CJ211" s="5"/>
      <c r="CK211" s="5"/>
      <c r="CL211" s="3"/>
      <c r="CN211" s="5"/>
      <c r="CR211" s="3"/>
      <c r="CS211" s="3"/>
      <c r="CT211" s="5"/>
      <c r="CV211" s="3"/>
      <c r="DR211" s="5"/>
      <c r="DT211" s="3"/>
      <c r="EF211" s="7"/>
      <c r="EG211" s="7"/>
      <c r="EJ211" s="4"/>
      <c r="EK211" s="4"/>
      <c r="EU211" s="2"/>
      <c r="EV211" s="2"/>
    </row>
    <row r="212" spans="1:152">
      <c r="A212" s="287">
        <v>3411</v>
      </c>
      <c r="B212" s="288" t="s">
        <v>721</v>
      </c>
      <c r="C212" s="288" t="s">
        <v>278</v>
      </c>
      <c r="D212" s="288" t="s">
        <v>127</v>
      </c>
      <c r="E212" s="288" t="s">
        <v>722</v>
      </c>
      <c r="F212" s="288" t="s">
        <v>35</v>
      </c>
      <c r="G212" s="288" t="s">
        <v>1292</v>
      </c>
      <c r="H212" s="288" t="s">
        <v>1285</v>
      </c>
      <c r="I212" s="288" t="s">
        <v>923</v>
      </c>
      <c r="J212" s="288" t="s">
        <v>727</v>
      </c>
      <c r="K212" s="289">
        <v>43412</v>
      </c>
      <c r="L212" s="290"/>
      <c r="M212" s="290">
        <v>2.2999999999999998</v>
      </c>
      <c r="N212" s="288">
        <v>3.113</v>
      </c>
      <c r="O212" s="288" t="s">
        <v>687</v>
      </c>
      <c r="P212" s="291" t="s">
        <v>279</v>
      </c>
      <c r="Q212" s="291" t="s">
        <v>526</v>
      </c>
      <c r="R212" s="288" t="s">
        <v>24</v>
      </c>
      <c r="S212" s="288"/>
      <c r="T212" s="292" t="s">
        <v>615</v>
      </c>
      <c r="U212" s="288"/>
      <c r="V212" s="292" t="s">
        <v>615</v>
      </c>
      <c r="W212" s="288"/>
      <c r="X212" s="292" t="s">
        <v>120</v>
      </c>
      <c r="Y212" s="288" t="s">
        <v>924</v>
      </c>
      <c r="Z212" s="293" t="s">
        <v>120</v>
      </c>
      <c r="AA212" s="294"/>
      <c r="AB212" s="294"/>
      <c r="AC212" s="295" t="s">
        <v>123</v>
      </c>
      <c r="AD212" s="288" t="s">
        <v>925</v>
      </c>
      <c r="AE212" s="292" t="s">
        <v>615</v>
      </c>
      <c r="AF212" s="289"/>
      <c r="AG212" s="296"/>
      <c r="AH212" s="296"/>
      <c r="AI212" s="288"/>
      <c r="AJ212" s="292"/>
      <c r="AK212" s="288"/>
      <c r="AL212" s="288"/>
      <c r="AM212" s="292"/>
      <c r="AN212" s="288"/>
      <c r="AO212" s="288"/>
      <c r="AP212" s="297"/>
      <c r="AQ212" s="288"/>
      <c r="AR212" s="292"/>
      <c r="AS212" s="288"/>
      <c r="AT212" s="289"/>
      <c r="AU212" s="289"/>
      <c r="AV212" s="289"/>
      <c r="AW212" s="289"/>
      <c r="AX212" s="289"/>
      <c r="AY212" s="289"/>
      <c r="AZ212" s="298">
        <v>43412</v>
      </c>
      <c r="BA21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2" s="300">
        <f>COUNTIFS(_05preva_view43[Site ID],_05preva_view43[[#This Row],[Site ID]],_05preva_view43[Prevalidation Status],"Under Prevalidation")</f>
        <v>0</v>
      </c>
      <c r="BC21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2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3.xlsx</v>
      </c>
      <c r="BE212" s="64">
        <f t="shared" ca="1" si="5"/>
        <v>50</v>
      </c>
      <c r="BF212" s="104" t="str">
        <f ca="1">LEFT(CELL("filename",A197),_05preva_view43[[#This Row],[Find Process &amp; Database]]-1)</f>
        <v>D:\OneDrive - apollo-towers.com\Apollo Towers\00-</v>
      </c>
      <c r="BG212" s="104" t="str">
        <f ca="1">_05preva_view43[Folder Path1]&amp;"Process &amp; Database\Documentation\Colo Applications"</f>
        <v>D:\OneDrive - apollo-towers.com\Apollo Towers\00-Process &amp; Database\Documentation\Colo Applications</v>
      </c>
      <c r="BH21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2" s="63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3.xlsx</v>
      </c>
      <c r="BJ212" s="104"/>
      <c r="BK212" s="3"/>
      <c r="BL212" s="3"/>
      <c r="CJ212" s="5"/>
      <c r="CK212" s="5"/>
      <c r="CL212" s="3"/>
      <c r="CN212" s="5"/>
      <c r="CR212" s="3"/>
      <c r="CS212" s="3"/>
      <c r="CT212" s="5"/>
      <c r="CV212" s="3"/>
      <c r="DR212" s="5"/>
      <c r="DT212" s="3"/>
      <c r="EF212" s="7"/>
      <c r="EG212" s="7"/>
      <c r="EJ212" s="4"/>
      <c r="EK212" s="4"/>
      <c r="EU212" s="2"/>
      <c r="EV212" s="2"/>
    </row>
    <row r="213" spans="1:152">
      <c r="A213" s="287">
        <v>3412</v>
      </c>
      <c r="B213" s="288" t="s">
        <v>926</v>
      </c>
      <c r="C213" s="288" t="s">
        <v>278</v>
      </c>
      <c r="D213" s="288" t="s">
        <v>127</v>
      </c>
      <c r="E213" s="288" t="s">
        <v>927</v>
      </c>
      <c r="F213" s="288" t="s">
        <v>35</v>
      </c>
      <c r="G213" s="288" t="s">
        <v>1292</v>
      </c>
      <c r="H213" s="288" t="s">
        <v>1285</v>
      </c>
      <c r="I213" s="288" t="s">
        <v>928</v>
      </c>
      <c r="J213" s="288" t="s">
        <v>686</v>
      </c>
      <c r="K213" s="289">
        <v>43412</v>
      </c>
      <c r="L213" s="290"/>
      <c r="M213" s="290">
        <v>1.462</v>
      </c>
      <c r="N213" s="288">
        <v>2.714</v>
      </c>
      <c r="O213" s="288" t="s">
        <v>687</v>
      </c>
      <c r="P213" s="291" t="s">
        <v>508</v>
      </c>
      <c r="Q213" s="291" t="s">
        <v>509</v>
      </c>
      <c r="R213" s="288" t="s">
        <v>24</v>
      </c>
      <c r="S213" s="288"/>
      <c r="T213" s="292" t="s">
        <v>615</v>
      </c>
      <c r="U213" s="288"/>
      <c r="V213" s="292" t="s">
        <v>615</v>
      </c>
      <c r="W213" s="288"/>
      <c r="X213" s="292" t="s">
        <v>120</v>
      </c>
      <c r="Y213" s="288" t="s">
        <v>929</v>
      </c>
      <c r="Z213" s="293" t="s">
        <v>120</v>
      </c>
      <c r="AA213" s="294"/>
      <c r="AB213" s="294"/>
      <c r="AC213" s="295" t="s">
        <v>123</v>
      </c>
      <c r="AD213" s="288" t="s">
        <v>930</v>
      </c>
      <c r="AE213" s="292" t="s">
        <v>615</v>
      </c>
      <c r="AF213" s="289"/>
      <c r="AG213" s="296"/>
      <c r="AH213" s="296"/>
      <c r="AI213" s="288"/>
      <c r="AJ213" s="292"/>
      <c r="AK213" s="288"/>
      <c r="AL213" s="288"/>
      <c r="AM213" s="292"/>
      <c r="AN213" s="288"/>
      <c r="AO213" s="288"/>
      <c r="AP213" s="297"/>
      <c r="AQ213" s="288"/>
      <c r="AR213" s="292"/>
      <c r="AS213" s="288"/>
      <c r="AT213" s="289"/>
      <c r="AU213" s="289"/>
      <c r="AV213" s="289"/>
      <c r="AW213" s="289"/>
      <c r="AX213" s="289"/>
      <c r="AY213" s="289"/>
      <c r="AZ213" s="298">
        <v>43412</v>
      </c>
      <c r="BA21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3" s="300">
        <f>COUNTIFS(_05preva_view43[Site ID],_05preva_view43[[#This Row],[Site ID]],_05preva_view43[Prevalidation Status],"Under Prevalidation")</f>
        <v>0</v>
      </c>
      <c r="BC21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3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1-01-15011-001 (SHN00043) Application Rev 2.xlsx</v>
      </c>
      <c r="BE213" s="64">
        <f t="shared" ca="1" si="5"/>
        <v>50</v>
      </c>
      <c r="BF213" s="104" t="str">
        <f ca="1">LEFT(CELL("filename",A198),_05preva_view43[[#This Row],[Find Process &amp; Database]]-1)</f>
        <v>D:\OneDrive - apollo-towers.com\Apollo Towers\00-</v>
      </c>
      <c r="BG213" s="104" t="str">
        <f ca="1">_05preva_view43[Folder Path1]&amp;"Process &amp; Database\Documentation\Colo Applications"</f>
        <v>D:\OneDrive - apollo-towers.com\Apollo Towers\00-Process &amp; Database\Documentation\Colo Applications</v>
      </c>
      <c r="BH21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3" s="63" t="str">
        <f ca="1">_05preva_view43[[#This Row],[Folder Path3]]&amp;_05preva_view43[[#This Row],[File Name]]</f>
        <v>D:\OneDrive - apollo-towers.com\Apollo Towers\00-Process &amp; Database\Documentation\Colo Applications\Colo App MPT\1-01-15011-001 (SHN00043) Application Rev 2.xlsx</v>
      </c>
      <c r="BJ213" s="104"/>
      <c r="BK213" s="3"/>
      <c r="BL213" s="3"/>
      <c r="CJ213" s="5"/>
      <c r="CK213" s="5"/>
      <c r="CL213" s="3"/>
      <c r="CN213" s="5"/>
      <c r="CR213" s="3"/>
      <c r="CS213" s="3"/>
      <c r="CT213" s="5"/>
      <c r="CV213" s="3"/>
      <c r="DR213" s="5"/>
      <c r="DT213" s="3"/>
      <c r="EF213" s="7"/>
      <c r="EG213" s="7"/>
      <c r="EJ213" s="4"/>
      <c r="EK213" s="4"/>
      <c r="EU213" s="2"/>
      <c r="EV213" s="2"/>
    </row>
    <row r="214" spans="1:152">
      <c r="A214" s="287">
        <v>3405</v>
      </c>
      <c r="B214" s="288" t="s">
        <v>910</v>
      </c>
      <c r="C214" s="288" t="s">
        <v>278</v>
      </c>
      <c r="D214" s="288" t="s">
        <v>117</v>
      </c>
      <c r="E214" s="288" t="s">
        <v>911</v>
      </c>
      <c r="F214" s="288" t="s">
        <v>35</v>
      </c>
      <c r="G214" s="288" t="s">
        <v>1292</v>
      </c>
      <c r="H214" s="288" t="s">
        <v>1285</v>
      </c>
      <c r="I214" s="288" t="s">
        <v>798</v>
      </c>
      <c r="J214" s="288" t="s">
        <v>686</v>
      </c>
      <c r="K214" s="289">
        <v>43411</v>
      </c>
      <c r="L214" s="290"/>
      <c r="M214" s="290">
        <v>2.456</v>
      </c>
      <c r="N214" s="288">
        <v>6.2130000000000001</v>
      </c>
      <c r="O214" s="288" t="s">
        <v>687</v>
      </c>
      <c r="P214" s="291" t="s">
        <v>765</v>
      </c>
      <c r="Q214" s="291" t="s">
        <v>766</v>
      </c>
      <c r="R214" s="288" t="s">
        <v>24</v>
      </c>
      <c r="S214" s="288"/>
      <c r="T214" s="292" t="s">
        <v>615</v>
      </c>
      <c r="U214" s="288"/>
      <c r="V214" s="292" t="s">
        <v>615</v>
      </c>
      <c r="W214" s="288"/>
      <c r="X214" s="292" t="s">
        <v>120</v>
      </c>
      <c r="Y214" s="288" t="s">
        <v>912</v>
      </c>
      <c r="Z214" s="293" t="s">
        <v>120</v>
      </c>
      <c r="AA214" s="294"/>
      <c r="AB214" s="294"/>
      <c r="AC214" s="295" t="s">
        <v>123</v>
      </c>
      <c r="AD214" s="288" t="s">
        <v>913</v>
      </c>
      <c r="AE214" s="292" t="s">
        <v>615</v>
      </c>
      <c r="AF214" s="289"/>
      <c r="AG214" s="296"/>
      <c r="AH214" s="296"/>
      <c r="AI214" s="288"/>
      <c r="AJ214" s="292"/>
      <c r="AK214" s="288"/>
      <c r="AL214" s="288"/>
      <c r="AM214" s="292"/>
      <c r="AN214" s="288"/>
      <c r="AO214" s="288"/>
      <c r="AP214" s="297"/>
      <c r="AQ214" s="288"/>
      <c r="AR214" s="292"/>
      <c r="AS214" s="288"/>
      <c r="AT214" s="289"/>
      <c r="AU214" s="289"/>
      <c r="AV214" s="289"/>
      <c r="AW214" s="289"/>
      <c r="AX214" s="289"/>
      <c r="AY214" s="289"/>
      <c r="AZ214" s="298">
        <v>43411</v>
      </c>
      <c r="BA21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4" s="300">
        <f>COUNTIFS(_05preva_view43[Site ID],_05preva_view43[[#This Row],[Site ID]],_05preva_view43[Prevalidation Status],"Under Prevalidation")</f>
        <v>0</v>
      </c>
      <c r="BC21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4" s="302" t="str">
        <f>CONCATENATE(_05preva_view43[[#This Row],[Site ID]]," (",_05preva_view43[[#This Row],[tenant id]],") Application",IF(_05preva_view43[[#This Row],[Colo Rev]]&gt;0," Rev "&amp;_05preva_view43[[#This Row],[Colo Rev]],""),".xlsx")</f>
        <v>1-01-04004-007 (CHN00118) Application Rev 2.xlsx</v>
      </c>
      <c r="BE214" s="64">
        <f t="shared" ca="1" si="5"/>
        <v>50</v>
      </c>
      <c r="BF214" s="104" t="str">
        <f ca="1">LEFT(CELL("filename",A199),_05preva_view43[[#This Row],[Find Process &amp; Database]]-1)</f>
        <v>D:\OneDrive - apollo-towers.com\Apollo Towers\00-</v>
      </c>
      <c r="BG214" s="104" t="str">
        <f ca="1">_05preva_view43[Folder Path1]&amp;"Process &amp; Database\Documentation\Colo Applications"</f>
        <v>D:\OneDrive - apollo-towers.com\Apollo Towers\00-Process &amp; Database\Documentation\Colo Applications</v>
      </c>
      <c r="BH21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4" s="63" t="str">
        <f ca="1">_05preva_view43[[#This Row],[Folder Path3]]&amp;_05preva_view43[[#This Row],[File Name]]</f>
        <v>D:\OneDrive - apollo-towers.com\Apollo Towers\00-Process &amp; Database\Documentation\Colo Applications\Colo App MPT\1-01-04004-007 (CHN00118) Application Rev 2.xlsx</v>
      </c>
      <c r="BJ214" s="104"/>
      <c r="BK214" s="3"/>
      <c r="BL214" s="3"/>
      <c r="CJ214" s="5"/>
      <c r="CK214" s="5"/>
      <c r="CL214" s="3"/>
      <c r="CN214" s="5"/>
      <c r="CR214" s="3"/>
      <c r="CS214" s="3"/>
      <c r="CT214" s="5"/>
      <c r="CV214" s="3"/>
      <c r="DR214" s="5"/>
      <c r="DT214" s="3"/>
      <c r="EF214" s="7"/>
      <c r="EG214" s="7"/>
      <c r="EJ214" s="4"/>
      <c r="EK214" s="4"/>
      <c r="EU214" s="2"/>
      <c r="EV214" s="2"/>
    </row>
    <row r="215" spans="1:152">
      <c r="A215" s="287">
        <v>3406</v>
      </c>
      <c r="B215" s="288" t="s">
        <v>914</v>
      </c>
      <c r="C215" s="288" t="s">
        <v>278</v>
      </c>
      <c r="D215" s="288" t="s">
        <v>127</v>
      </c>
      <c r="E215" s="288" t="s">
        <v>915</v>
      </c>
      <c r="F215" s="288" t="s">
        <v>35</v>
      </c>
      <c r="G215" s="288" t="s">
        <v>1292</v>
      </c>
      <c r="H215" s="288" t="s">
        <v>1285</v>
      </c>
      <c r="I215" s="288" t="s">
        <v>790</v>
      </c>
      <c r="J215" s="288" t="s">
        <v>727</v>
      </c>
      <c r="K215" s="289">
        <v>43411</v>
      </c>
      <c r="L215" s="290"/>
      <c r="M215" s="290">
        <v>3.6110000000000002</v>
      </c>
      <c r="N215" s="288">
        <v>7.94</v>
      </c>
      <c r="O215" s="288" t="s">
        <v>687</v>
      </c>
      <c r="P215" s="291" t="s">
        <v>695</v>
      </c>
      <c r="Q215" s="291" t="s">
        <v>696</v>
      </c>
      <c r="R215" s="288" t="s">
        <v>24</v>
      </c>
      <c r="S215" s="288"/>
      <c r="T215" s="292" t="s">
        <v>615</v>
      </c>
      <c r="U215" s="288"/>
      <c r="V215" s="292" t="s">
        <v>615</v>
      </c>
      <c r="W215" s="288"/>
      <c r="X215" s="292" t="s">
        <v>120</v>
      </c>
      <c r="Y215" s="288" t="s">
        <v>916</v>
      </c>
      <c r="Z215" s="293" t="s">
        <v>120</v>
      </c>
      <c r="AA215" s="294"/>
      <c r="AB215" s="294"/>
      <c r="AC215" s="295" t="s">
        <v>123</v>
      </c>
      <c r="AD215" s="288" t="s">
        <v>917</v>
      </c>
      <c r="AE215" s="292" t="s">
        <v>615</v>
      </c>
      <c r="AF215" s="289"/>
      <c r="AG215" s="296"/>
      <c r="AH215" s="296"/>
      <c r="AI215" s="288"/>
      <c r="AJ215" s="292"/>
      <c r="AK215" s="288"/>
      <c r="AL215" s="288"/>
      <c r="AM215" s="292"/>
      <c r="AN215" s="288"/>
      <c r="AO215" s="288"/>
      <c r="AP215" s="297"/>
      <c r="AQ215" s="288"/>
      <c r="AR215" s="292"/>
      <c r="AS215" s="288"/>
      <c r="AT215" s="289"/>
      <c r="AU215" s="289"/>
      <c r="AV215" s="289"/>
      <c r="AW215" s="289"/>
      <c r="AX215" s="289"/>
      <c r="AY215" s="289"/>
      <c r="AZ215" s="298">
        <v>43411</v>
      </c>
      <c r="BA21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5" s="300">
        <f>COUNTIFS(_05preva_view43[Site ID],_05preva_view43[[#This Row],[Site ID]],_05preva_view43[Prevalidation Status],"Under Prevalidation")</f>
        <v>0</v>
      </c>
      <c r="BC21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1-01-05005-006 (SGG00246) Application Rev 3.xlsx</v>
      </c>
      <c r="BE215" s="64">
        <f t="shared" ca="1" si="5"/>
        <v>50</v>
      </c>
      <c r="BF215" s="104" t="str">
        <f ca="1">LEFT(CELL("filename",A200),_05preva_view43[[#This Row],[Find Process &amp; Database]]-1)</f>
        <v>D:\OneDrive - apollo-towers.com\Apollo Towers\00-</v>
      </c>
      <c r="BG215" s="104" t="str">
        <f ca="1">_05preva_view43[Folder Path1]&amp;"Process &amp; Database\Documentation\Colo Applications"</f>
        <v>D:\OneDrive - apollo-towers.com\Apollo Towers\00-Process &amp; Database\Documentation\Colo Applications</v>
      </c>
      <c r="BH21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5" s="63" t="str">
        <f ca="1">_05preva_view43[[#This Row],[Folder Path3]]&amp;_05preva_view43[[#This Row],[File Name]]</f>
        <v>D:\OneDrive - apollo-towers.com\Apollo Towers\00-Process &amp; Database\Documentation\Colo Applications\Colo App MPT\1-01-05005-006 (SGG00246) Application Rev 3.xlsx</v>
      </c>
      <c r="BJ215" s="104"/>
      <c r="BK215" s="3"/>
      <c r="BL215" s="3"/>
      <c r="CJ215" s="5"/>
      <c r="CK215" s="5"/>
      <c r="CL215" s="3"/>
      <c r="CN215" s="5"/>
      <c r="CR215" s="3"/>
      <c r="CS215" s="3"/>
      <c r="CT215" s="5"/>
      <c r="CV215" s="3"/>
      <c r="DR215" s="5"/>
      <c r="DT215" s="3"/>
      <c r="EF215" s="7"/>
      <c r="EG215" s="7"/>
      <c r="EJ215" s="4"/>
      <c r="EK215" s="4"/>
      <c r="EU215" s="2"/>
      <c r="EV215" s="2"/>
    </row>
    <row r="216" spans="1:152">
      <c r="A216" s="287">
        <v>3407</v>
      </c>
      <c r="B216" s="288" t="s">
        <v>918</v>
      </c>
      <c r="C216" s="288" t="s">
        <v>278</v>
      </c>
      <c r="D216" s="288" t="s">
        <v>117</v>
      </c>
      <c r="E216" s="288" t="s">
        <v>919</v>
      </c>
      <c r="F216" s="288" t="s">
        <v>35</v>
      </c>
      <c r="G216" s="288" t="s">
        <v>1292</v>
      </c>
      <c r="H216" s="288" t="s">
        <v>1285</v>
      </c>
      <c r="I216" s="288" t="s">
        <v>920</v>
      </c>
      <c r="J216" s="288" t="s">
        <v>727</v>
      </c>
      <c r="K216" s="289">
        <v>43411</v>
      </c>
      <c r="L216" s="290"/>
      <c r="M216" s="290">
        <v>2.1</v>
      </c>
      <c r="N216" s="288">
        <v>2.91</v>
      </c>
      <c r="O216" s="288" t="s">
        <v>687</v>
      </c>
      <c r="P216" s="291" t="s">
        <v>695</v>
      </c>
      <c r="Q216" s="291" t="s">
        <v>696</v>
      </c>
      <c r="R216" s="288" t="s">
        <v>24</v>
      </c>
      <c r="S216" s="288"/>
      <c r="T216" s="292" t="s">
        <v>615</v>
      </c>
      <c r="U216" s="288"/>
      <c r="V216" s="292" t="s">
        <v>615</v>
      </c>
      <c r="W216" s="288"/>
      <c r="X216" s="292" t="s">
        <v>120</v>
      </c>
      <c r="Y216" s="288" t="s">
        <v>921</v>
      </c>
      <c r="Z216" s="293" t="s">
        <v>120</v>
      </c>
      <c r="AA216" s="294"/>
      <c r="AB216" s="294"/>
      <c r="AC216" s="295" t="s">
        <v>123</v>
      </c>
      <c r="AD216" s="288" t="s">
        <v>922</v>
      </c>
      <c r="AE216" s="292" t="s">
        <v>615</v>
      </c>
      <c r="AF216" s="289"/>
      <c r="AG216" s="296"/>
      <c r="AH216" s="296"/>
      <c r="AI216" s="288"/>
      <c r="AJ216" s="292"/>
      <c r="AK216" s="288"/>
      <c r="AL216" s="288"/>
      <c r="AM216" s="292"/>
      <c r="AN216" s="288"/>
      <c r="AO216" s="288"/>
      <c r="AP216" s="297"/>
      <c r="AQ216" s="288"/>
      <c r="AR216" s="292"/>
      <c r="AS216" s="288"/>
      <c r="AT216" s="289"/>
      <c r="AU216" s="289"/>
      <c r="AV216" s="289"/>
      <c r="AW216" s="289"/>
      <c r="AX216" s="289"/>
      <c r="AY216" s="289"/>
      <c r="AZ216" s="298">
        <v>43411</v>
      </c>
      <c r="BA21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6" s="300">
        <f>COUNTIFS(_05preva_view43[Site ID],_05preva_view43[[#This Row],[Site ID]],_05preva_view43[Prevalidation Status],"Under Prevalidation")</f>
        <v>0</v>
      </c>
      <c r="BC21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6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1-01-14001-033 (SHS00466) Application Rev 3.xlsx</v>
      </c>
      <c r="BE216" s="64">
        <f t="shared" ca="1" si="5"/>
        <v>50</v>
      </c>
      <c r="BF216" s="104" t="str">
        <f ca="1">LEFT(CELL("filename",A201),_05preva_view43[[#This Row],[Find Process &amp; Database]]-1)</f>
        <v>D:\OneDrive - apollo-towers.com\Apollo Towers\00-</v>
      </c>
      <c r="BG216" s="104" t="str">
        <f ca="1">_05preva_view43[Folder Path1]&amp;"Process &amp; Database\Documentation\Colo Applications"</f>
        <v>D:\OneDrive - apollo-towers.com\Apollo Towers\00-Process &amp; Database\Documentation\Colo Applications</v>
      </c>
      <c r="BH21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6" s="63" t="str">
        <f ca="1">_05preva_view43[[#This Row],[Folder Path3]]&amp;_05preva_view43[[#This Row],[File Name]]</f>
        <v>D:\OneDrive - apollo-towers.com\Apollo Towers\00-Process &amp; Database\Documentation\Colo Applications\Colo App MPT\1-01-14001-033 (SHS00466) Application Rev 3.xlsx</v>
      </c>
      <c r="BJ216" s="104"/>
      <c r="BK216" s="3"/>
      <c r="BL216" s="3"/>
      <c r="CJ216" s="5"/>
      <c r="CK216" s="5"/>
      <c r="CL216" s="3"/>
      <c r="CN216" s="5"/>
      <c r="CR216" s="3"/>
      <c r="CS216" s="3"/>
      <c r="CT216" s="5"/>
      <c r="CV216" s="3"/>
      <c r="DR216" s="5"/>
      <c r="DT216" s="3"/>
      <c r="EF216" s="7"/>
      <c r="EG216" s="7"/>
      <c r="EJ216" s="4"/>
      <c r="EK216" s="4"/>
      <c r="EU216" s="2"/>
      <c r="EV216" s="2"/>
    </row>
    <row r="217" spans="1:152">
      <c r="A217" s="287">
        <v>3394</v>
      </c>
      <c r="B217" s="288" t="s">
        <v>878</v>
      </c>
      <c r="C217" s="288" t="s">
        <v>278</v>
      </c>
      <c r="D217" s="288" t="s">
        <v>117</v>
      </c>
      <c r="E217" s="288" t="s">
        <v>879</v>
      </c>
      <c r="F217" s="288" t="s">
        <v>35</v>
      </c>
      <c r="G217" s="288" t="s">
        <v>1293</v>
      </c>
      <c r="H217" s="288" t="s">
        <v>1290</v>
      </c>
      <c r="I217" s="288" t="s">
        <v>881</v>
      </c>
      <c r="J217" s="288" t="s">
        <v>677</v>
      </c>
      <c r="K217" s="289">
        <v>43409</v>
      </c>
      <c r="L217" s="290"/>
      <c r="M217" s="290">
        <v>0.879</v>
      </c>
      <c r="N217" s="288">
        <v>3.99</v>
      </c>
      <c r="O217" s="288" t="s">
        <v>687</v>
      </c>
      <c r="P217" s="291" t="s">
        <v>765</v>
      </c>
      <c r="Q217" s="291" t="s">
        <v>766</v>
      </c>
      <c r="R217" s="288" t="s">
        <v>24</v>
      </c>
      <c r="S217" s="288"/>
      <c r="T217" s="292" t="s">
        <v>615</v>
      </c>
      <c r="U217" s="288"/>
      <c r="V217" s="292" t="s">
        <v>615</v>
      </c>
      <c r="W217" s="288"/>
      <c r="X217" s="292" t="s">
        <v>120</v>
      </c>
      <c r="Y217" s="288" t="s">
        <v>882</v>
      </c>
      <c r="Z217" s="293" t="s">
        <v>120</v>
      </c>
      <c r="AA217" s="294"/>
      <c r="AB217" s="294"/>
      <c r="AC217" s="295" t="s">
        <v>123</v>
      </c>
      <c r="AD217" s="288" t="s">
        <v>883</v>
      </c>
      <c r="AE217" s="292" t="s">
        <v>615</v>
      </c>
      <c r="AF217" s="289"/>
      <c r="AG217" s="296"/>
      <c r="AH217" s="296"/>
      <c r="AI217" s="288"/>
      <c r="AJ217" s="292"/>
      <c r="AK217" s="288"/>
      <c r="AL217" s="288"/>
      <c r="AM217" s="292"/>
      <c r="AN217" s="288"/>
      <c r="AO217" s="288" t="s">
        <v>120</v>
      </c>
      <c r="AP217" s="297"/>
      <c r="AQ217" s="288"/>
      <c r="AR217" s="292"/>
      <c r="AS217" s="288"/>
      <c r="AT217" s="289"/>
      <c r="AU217" s="289"/>
      <c r="AV217" s="289"/>
      <c r="AW217" s="289"/>
      <c r="AX217" s="289"/>
      <c r="AY217" s="289"/>
      <c r="AZ217" s="298">
        <v>43409</v>
      </c>
      <c r="BA21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7" s="300">
        <f>COUNTIFS(_05preva_view43[Site ID],_05preva_view43[[#This Row],[Site ID]],_05preva_view43[Prevalidation Status],"Under Prevalidation")</f>
        <v>0</v>
      </c>
      <c r="BC21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7" s="302" t="str">
        <f>CONCATENATE(_05preva_view43[[#This Row],[Site ID]]," (",_05preva_view43[[#This Row],[tenant id]],") Application",IF(_05preva_view43[[#This Row],[Colo Rev]]&gt;0," Rev "&amp;_05preva_view43[[#This Row],[Colo Rev]],""),".xlsx")</f>
        <v>1-01-04007-009 (CHN00225) Application Rev 0.xlsx</v>
      </c>
      <c r="BE217" s="64">
        <f t="shared" ca="1" si="5"/>
        <v>50</v>
      </c>
      <c r="BF217" s="104" t="str">
        <f ca="1">LEFT(CELL("filename",A202),_05preva_view43[[#This Row],[Find Process &amp; Database]]-1)</f>
        <v>D:\OneDrive - apollo-towers.com\Apollo Towers\00-</v>
      </c>
      <c r="BG217" s="104" t="str">
        <f ca="1">_05preva_view43[Folder Path1]&amp;"Process &amp; Database\Documentation\Colo Applications"</f>
        <v>D:\OneDrive - apollo-towers.com\Apollo Towers\00-Process &amp; Database\Documentation\Colo Applications</v>
      </c>
      <c r="BH21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7" s="63" t="str">
        <f ca="1">_05preva_view43[[#This Row],[Folder Path3]]&amp;_05preva_view43[[#This Row],[File Name]]</f>
        <v>D:\OneDrive - apollo-towers.com\Apollo Towers\00-Process &amp; Database\Documentation\Colo Applications\Colo App MPT\1-01-04007-009 (CHN00225) Application Rev 0.xlsx</v>
      </c>
      <c r="BJ217" s="104"/>
      <c r="BK217" s="3"/>
      <c r="BL217" s="3"/>
      <c r="CJ217" s="5"/>
      <c r="CK217" s="5"/>
      <c r="CL217" s="3"/>
      <c r="CN217" s="5"/>
      <c r="CR217" s="3"/>
      <c r="CS217" s="3"/>
      <c r="CT217" s="5"/>
      <c r="CV217" s="3"/>
      <c r="DR217" s="5"/>
      <c r="DT217" s="3"/>
      <c r="EF217" s="7"/>
      <c r="EG217" s="7"/>
      <c r="EJ217" s="4"/>
      <c r="EK217" s="4"/>
      <c r="EU217" s="2"/>
      <c r="EV217" s="2"/>
    </row>
    <row r="218" spans="1:152">
      <c r="A218" s="287">
        <v>3395</v>
      </c>
      <c r="B218" s="288" t="s">
        <v>773</v>
      </c>
      <c r="C218" s="288" t="s">
        <v>278</v>
      </c>
      <c r="D218" s="288" t="s">
        <v>153</v>
      </c>
      <c r="E218" s="288" t="s">
        <v>774</v>
      </c>
      <c r="F218" s="288" t="s">
        <v>35</v>
      </c>
      <c r="G218" s="288" t="s">
        <v>1292</v>
      </c>
      <c r="H218" s="288" t="s">
        <v>1285</v>
      </c>
      <c r="I218" s="288" t="s">
        <v>875</v>
      </c>
      <c r="J218" s="288" t="s">
        <v>727</v>
      </c>
      <c r="K218" s="289">
        <v>43409</v>
      </c>
      <c r="L218" s="290"/>
      <c r="M218" s="290">
        <v>2.1</v>
      </c>
      <c r="N218" s="288">
        <v>3.2469999999999999</v>
      </c>
      <c r="O218" s="288" t="s">
        <v>687</v>
      </c>
      <c r="P218" s="291" t="s">
        <v>765</v>
      </c>
      <c r="Q218" s="291" t="s">
        <v>766</v>
      </c>
      <c r="R218" s="288" t="s">
        <v>24</v>
      </c>
      <c r="S218" s="288"/>
      <c r="T218" s="292" t="s">
        <v>615</v>
      </c>
      <c r="U218" s="288"/>
      <c r="V218" s="292" t="s">
        <v>615</v>
      </c>
      <c r="W218" s="288"/>
      <c r="X218" s="292" t="s">
        <v>120</v>
      </c>
      <c r="Y218" s="288" t="s">
        <v>884</v>
      </c>
      <c r="Z218" s="293" t="s">
        <v>120</v>
      </c>
      <c r="AA218" s="294"/>
      <c r="AB218" s="294"/>
      <c r="AC218" s="295" t="s">
        <v>123</v>
      </c>
      <c r="AD218" s="288" t="s">
        <v>885</v>
      </c>
      <c r="AE218" s="292"/>
      <c r="AF218" s="289"/>
      <c r="AG218" s="296"/>
      <c r="AH218" s="296"/>
      <c r="AI218" s="288"/>
      <c r="AJ218" s="292"/>
      <c r="AK218" s="288"/>
      <c r="AL218" s="288"/>
      <c r="AM218" s="292"/>
      <c r="AN218" s="288"/>
      <c r="AO218" s="288"/>
      <c r="AP218" s="297"/>
      <c r="AQ218" s="288"/>
      <c r="AR218" s="292"/>
      <c r="AS218" s="288"/>
      <c r="AT218" s="289"/>
      <c r="AU218" s="289"/>
      <c r="AV218" s="289"/>
      <c r="AW218" s="289"/>
      <c r="AX218" s="289"/>
      <c r="AY218" s="289"/>
      <c r="AZ218" s="298">
        <v>43409</v>
      </c>
      <c r="BA21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8" s="300">
        <f>COUNTIFS(_05preva_view43[Site ID],_05preva_view43[[#This Row],[Site ID]],_05preva_view43[Prevalidation Status],"Under Prevalidation")</f>
        <v>0</v>
      </c>
      <c r="BC21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8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3.xlsx</v>
      </c>
      <c r="BE218" s="64">
        <f t="shared" ca="1" si="5"/>
        <v>50</v>
      </c>
      <c r="BF218" s="104" t="str">
        <f ca="1">LEFT(CELL("filename",A203),_05preva_view43[[#This Row],[Find Process &amp; Database]]-1)</f>
        <v>D:\OneDrive - apollo-towers.com\Apollo Towers\00-</v>
      </c>
      <c r="BG218" s="104" t="str">
        <f ca="1">_05preva_view43[Folder Path1]&amp;"Process &amp; Database\Documentation\Colo Applications"</f>
        <v>D:\OneDrive - apollo-towers.com\Apollo Towers\00-Process &amp; Database\Documentation\Colo Applications</v>
      </c>
      <c r="BH21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8" s="63" t="str">
        <f ca="1">_05preva_view43[[#This Row],[Folder Path3]]&amp;_05preva_view43[[#This Row],[File Name]]</f>
        <v>D:\OneDrive - apollo-towers.com\Apollo Towers\00-Process &amp; Database\Documentation\Colo Applications\Colo App MPT\1-01-17009-002 (AWD00481) Application Rev 3.xlsx</v>
      </c>
      <c r="BJ218" s="104"/>
      <c r="BK218" s="3"/>
      <c r="BL218" s="3"/>
      <c r="CJ218" s="5"/>
      <c r="CK218" s="5"/>
      <c r="CL218" s="3"/>
      <c r="CN218" s="5"/>
      <c r="CR218" s="3"/>
      <c r="CS218" s="3"/>
      <c r="CT218" s="5"/>
      <c r="CV218" s="3"/>
      <c r="DR218" s="5"/>
      <c r="DT218" s="3"/>
      <c r="EF218" s="7"/>
      <c r="EG218" s="7"/>
      <c r="EJ218" s="4"/>
      <c r="EK218" s="4"/>
      <c r="EU218" s="2"/>
      <c r="EV218" s="2"/>
    </row>
    <row r="219" spans="1:152">
      <c r="A219" s="287">
        <v>3396</v>
      </c>
      <c r="B219" s="288" t="s">
        <v>683</v>
      </c>
      <c r="C219" s="288" t="s">
        <v>278</v>
      </c>
      <c r="D219" s="288" t="s">
        <v>127</v>
      </c>
      <c r="E219" s="288" t="s">
        <v>684</v>
      </c>
      <c r="F219" s="288" t="s">
        <v>35</v>
      </c>
      <c r="G219" s="288" t="s">
        <v>1292</v>
      </c>
      <c r="H219" s="288" t="s">
        <v>1285</v>
      </c>
      <c r="I219" s="288" t="s">
        <v>790</v>
      </c>
      <c r="J219" s="288" t="s">
        <v>727</v>
      </c>
      <c r="K219" s="289">
        <v>43409</v>
      </c>
      <c r="L219" s="290"/>
      <c r="M219" s="290">
        <v>5.1470000000000002</v>
      </c>
      <c r="N219" s="288">
        <v>4.3600000000000003</v>
      </c>
      <c r="O219" s="288" t="s">
        <v>687</v>
      </c>
      <c r="P219" s="291" t="s">
        <v>597</v>
      </c>
      <c r="Q219" s="291" t="s">
        <v>688</v>
      </c>
      <c r="R219" s="288" t="s">
        <v>24</v>
      </c>
      <c r="S219" s="288"/>
      <c r="T219" s="292" t="s">
        <v>615</v>
      </c>
      <c r="U219" s="288"/>
      <c r="V219" s="292" t="s">
        <v>615</v>
      </c>
      <c r="W219" s="288"/>
      <c r="X219" s="292" t="s">
        <v>120</v>
      </c>
      <c r="Y219" s="288" t="s">
        <v>886</v>
      </c>
      <c r="Z219" s="293" t="s">
        <v>120</v>
      </c>
      <c r="AA219" s="294"/>
      <c r="AB219" s="294"/>
      <c r="AC219" s="295" t="s">
        <v>123</v>
      </c>
      <c r="AD219" s="288" t="s">
        <v>887</v>
      </c>
      <c r="AE219" s="292"/>
      <c r="AF219" s="289"/>
      <c r="AG219" s="296"/>
      <c r="AH219" s="296"/>
      <c r="AI219" s="288"/>
      <c r="AJ219" s="292"/>
      <c r="AK219" s="288"/>
      <c r="AL219" s="288"/>
      <c r="AM219" s="292"/>
      <c r="AN219" s="288"/>
      <c r="AO219" s="288"/>
      <c r="AP219" s="297"/>
      <c r="AQ219" s="288"/>
      <c r="AR219" s="292"/>
      <c r="AS219" s="288"/>
      <c r="AT219" s="289"/>
      <c r="AU219" s="289"/>
      <c r="AV219" s="289"/>
      <c r="AW219" s="289"/>
      <c r="AX219" s="289"/>
      <c r="AY219" s="289"/>
      <c r="AZ219" s="298">
        <v>43409</v>
      </c>
      <c r="BA21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19" s="300">
        <f>COUNTIFS(_05preva_view43[Site ID],_05preva_view43[[#This Row],[Site ID]],_05preva_view43[Prevalidation Status],"Under Prevalidation")</f>
        <v>0</v>
      </c>
      <c r="BC21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19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3.xlsx</v>
      </c>
      <c r="BE219" s="64">
        <f t="shared" ca="1" si="5"/>
        <v>50</v>
      </c>
      <c r="BF219" s="104" t="str">
        <f ca="1">LEFT(CELL("filename",A204),_05preva_view43[[#This Row],[Find Process &amp; Database]]-1)</f>
        <v>D:\OneDrive - apollo-towers.com\Apollo Towers\00-</v>
      </c>
      <c r="BG219" s="104" t="str">
        <f ca="1">_05preva_view43[Folder Path1]&amp;"Process &amp; Database\Documentation\Colo Applications"</f>
        <v>D:\OneDrive - apollo-towers.com\Apollo Towers\00-Process &amp; Database\Documentation\Colo Applications</v>
      </c>
      <c r="BH21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19" s="63" t="str">
        <f ca="1">_05preva_view43[[#This Row],[Folder Path3]]&amp;_05preva_view43[[#This Row],[File Name]]</f>
        <v>D:\OneDrive - apollo-towers.com\Apollo Towers\00-Process &amp; Database\Documentation\Colo Applications\Colo App MPT\1-01-05027-002 (SGG00113) Application Rev 3.xlsx</v>
      </c>
      <c r="BJ219" s="104"/>
      <c r="BK219" s="3"/>
      <c r="BL219" s="3"/>
      <c r="CJ219" s="5"/>
      <c r="CK219" s="5"/>
      <c r="CL219" s="3"/>
      <c r="CN219" s="5"/>
      <c r="CR219" s="3"/>
      <c r="CS219" s="3"/>
      <c r="CT219" s="5"/>
      <c r="CV219" s="3"/>
      <c r="DR219" s="5"/>
      <c r="DT219" s="3"/>
      <c r="EF219" s="7"/>
      <c r="EG219" s="7"/>
      <c r="EJ219" s="4"/>
      <c r="EK219" s="4"/>
      <c r="EU219" s="2"/>
      <c r="EV219" s="2"/>
    </row>
    <row r="220" spans="1:152">
      <c r="A220" s="287">
        <v>3397</v>
      </c>
      <c r="B220" s="288" t="s">
        <v>734</v>
      </c>
      <c r="C220" s="288" t="s">
        <v>278</v>
      </c>
      <c r="D220" s="288" t="s">
        <v>117</v>
      </c>
      <c r="E220" s="288" t="s">
        <v>735</v>
      </c>
      <c r="F220" s="288" t="s">
        <v>35</v>
      </c>
      <c r="G220" s="288" t="s">
        <v>1292</v>
      </c>
      <c r="H220" s="288" t="s">
        <v>1285</v>
      </c>
      <c r="I220" s="288" t="s">
        <v>888</v>
      </c>
      <c r="J220" s="288" t="s">
        <v>727</v>
      </c>
      <c r="K220" s="289">
        <v>43409</v>
      </c>
      <c r="L220" s="290"/>
      <c r="M220" s="290">
        <v>2.7</v>
      </c>
      <c r="N220" s="288">
        <v>3.5920000000000001</v>
      </c>
      <c r="O220" s="288" t="s">
        <v>687</v>
      </c>
      <c r="P220" s="291" t="s">
        <v>508</v>
      </c>
      <c r="Q220" s="291" t="s">
        <v>509</v>
      </c>
      <c r="R220" s="288" t="s">
        <v>24</v>
      </c>
      <c r="S220" s="288"/>
      <c r="T220" s="292" t="s">
        <v>615</v>
      </c>
      <c r="U220" s="288"/>
      <c r="V220" s="292" t="s">
        <v>615</v>
      </c>
      <c r="W220" s="288"/>
      <c r="X220" s="292" t="s">
        <v>120</v>
      </c>
      <c r="Y220" s="288" t="s">
        <v>889</v>
      </c>
      <c r="Z220" s="293" t="s">
        <v>120</v>
      </c>
      <c r="AA220" s="294"/>
      <c r="AB220" s="294"/>
      <c r="AC220" s="295" t="s">
        <v>123</v>
      </c>
      <c r="AD220" s="288" t="s">
        <v>890</v>
      </c>
      <c r="AE220" s="292" t="s">
        <v>615</v>
      </c>
      <c r="AF220" s="289"/>
      <c r="AG220" s="296"/>
      <c r="AH220" s="296"/>
      <c r="AI220" s="288"/>
      <c r="AJ220" s="292"/>
      <c r="AK220" s="288"/>
      <c r="AL220" s="288"/>
      <c r="AM220" s="292"/>
      <c r="AN220" s="288"/>
      <c r="AO220" s="288"/>
      <c r="AP220" s="297"/>
      <c r="AQ220" s="288"/>
      <c r="AR220" s="292"/>
      <c r="AS220" s="288"/>
      <c r="AT220" s="289"/>
      <c r="AU220" s="289"/>
      <c r="AV220" s="289"/>
      <c r="AW220" s="289"/>
      <c r="AX220" s="289"/>
      <c r="AY220" s="289"/>
      <c r="AZ220" s="298">
        <v>43409</v>
      </c>
      <c r="BA22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0" s="300">
        <f>COUNTIFS(_05preva_view43[Site ID],_05preva_view43[[#This Row],[Site ID]],_05preva_view43[Prevalidation Status],"Under Prevalidation")</f>
        <v>0</v>
      </c>
      <c r="BC22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0" s="30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3.xlsx</v>
      </c>
      <c r="BE220" s="64">
        <f t="shared" ca="1" si="5"/>
        <v>50</v>
      </c>
      <c r="BF220" s="104" t="str">
        <f ca="1">LEFT(CELL("filename",A205),_05preva_view43[[#This Row],[Find Process &amp; Database]]-1)</f>
        <v>D:\OneDrive - apollo-towers.com\Apollo Towers\00-</v>
      </c>
      <c r="BG220" s="104" t="str">
        <f ca="1">_05preva_view43[Folder Path1]&amp;"Process &amp; Database\Documentation\Colo Applications"</f>
        <v>D:\OneDrive - apollo-towers.com\Apollo Towers\00-Process &amp; Database\Documentation\Colo Applications</v>
      </c>
      <c r="BH22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0" s="63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3.xlsx</v>
      </c>
      <c r="BJ220" s="104"/>
      <c r="BK220" s="3"/>
      <c r="BL220" s="3"/>
      <c r="CJ220" s="5"/>
      <c r="CK220" s="5"/>
      <c r="CL220" s="3"/>
      <c r="CN220" s="5"/>
      <c r="CR220" s="3"/>
      <c r="CS220" s="3"/>
      <c r="CT220" s="5"/>
      <c r="CV220" s="3"/>
      <c r="DR220" s="5"/>
      <c r="DT220" s="3"/>
      <c r="EF220" s="7"/>
      <c r="EG220" s="7"/>
      <c r="EJ220" s="4"/>
      <c r="EK220" s="4"/>
      <c r="EU220" s="2"/>
      <c r="EV220" s="2"/>
    </row>
    <row r="221" spans="1:152">
      <c r="A221" s="287">
        <v>3398</v>
      </c>
      <c r="B221" s="288" t="s">
        <v>891</v>
      </c>
      <c r="C221" s="288" t="s">
        <v>278</v>
      </c>
      <c r="D221" s="288" t="s">
        <v>127</v>
      </c>
      <c r="E221" s="288" t="s">
        <v>892</v>
      </c>
      <c r="F221" s="288" t="s">
        <v>35</v>
      </c>
      <c r="G221" s="288" t="s">
        <v>1292</v>
      </c>
      <c r="H221" s="288" t="s">
        <v>1285</v>
      </c>
      <c r="I221" s="288" t="s">
        <v>790</v>
      </c>
      <c r="J221" s="288" t="s">
        <v>686</v>
      </c>
      <c r="K221" s="289">
        <v>43409</v>
      </c>
      <c r="L221" s="290"/>
      <c r="M221" s="290">
        <v>3.5489999999999999</v>
      </c>
      <c r="N221" s="288">
        <v>7.0659999999999998</v>
      </c>
      <c r="O221" s="288" t="s">
        <v>687</v>
      </c>
      <c r="P221" s="291" t="s">
        <v>695</v>
      </c>
      <c r="Q221" s="291" t="s">
        <v>696</v>
      </c>
      <c r="R221" s="288" t="s">
        <v>24</v>
      </c>
      <c r="S221" s="288"/>
      <c r="T221" s="292" t="s">
        <v>615</v>
      </c>
      <c r="U221" s="288"/>
      <c r="V221" s="292" t="s">
        <v>615</v>
      </c>
      <c r="W221" s="288"/>
      <c r="X221" s="292" t="s">
        <v>120</v>
      </c>
      <c r="Y221" s="288" t="s">
        <v>893</v>
      </c>
      <c r="Z221" s="293" t="s">
        <v>120</v>
      </c>
      <c r="AA221" s="294"/>
      <c r="AB221" s="294"/>
      <c r="AC221" s="295" t="s">
        <v>123</v>
      </c>
      <c r="AD221" s="288" t="s">
        <v>894</v>
      </c>
      <c r="AE221" s="292" t="s">
        <v>615</v>
      </c>
      <c r="AF221" s="289"/>
      <c r="AG221" s="296"/>
      <c r="AH221" s="296"/>
      <c r="AI221" s="288"/>
      <c r="AJ221" s="292"/>
      <c r="AK221" s="288"/>
      <c r="AL221" s="288"/>
      <c r="AM221" s="292"/>
      <c r="AN221" s="288"/>
      <c r="AO221" s="288"/>
      <c r="AP221" s="297"/>
      <c r="AQ221" s="288"/>
      <c r="AR221" s="292"/>
      <c r="AS221" s="288"/>
      <c r="AT221" s="289"/>
      <c r="AU221" s="289"/>
      <c r="AV221" s="289"/>
      <c r="AW221" s="289"/>
      <c r="AX221" s="289"/>
      <c r="AY221" s="289"/>
      <c r="AZ221" s="298">
        <v>43409</v>
      </c>
      <c r="BA22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1" s="300">
        <f>COUNTIFS(_05preva_view43[Site ID],_05preva_view43[[#This Row],[Site ID]],_05preva_view43[Prevalidation Status],"Under Prevalidation")</f>
        <v>0</v>
      </c>
      <c r="BC22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1" s="302" t="str">
        <f>CONCATENATE(_05preva_view43[[#This Row],[Site ID]]," (",_05preva_view43[[#This Row],[tenant id]],") Application",IF(_05preva_view43[[#This Row],[Colo Rev]]&gt;0," Rev "&amp;_05preva_view43[[#This Row],[Colo Rev]],""),".xlsx")</f>
        <v>1-01-10015-003 (MDY00347) Application Rev 2.xlsx</v>
      </c>
      <c r="BE221" s="64">
        <f t="shared" ca="1" si="5"/>
        <v>50</v>
      </c>
      <c r="BF221" s="104" t="str">
        <f ca="1">LEFT(CELL("filename",A206),_05preva_view43[[#This Row],[Find Process &amp; Database]]-1)</f>
        <v>D:\OneDrive - apollo-towers.com\Apollo Towers\00-</v>
      </c>
      <c r="BG221" s="104" t="str">
        <f ca="1">_05preva_view43[Folder Path1]&amp;"Process &amp; Database\Documentation\Colo Applications"</f>
        <v>D:\OneDrive - apollo-towers.com\Apollo Towers\00-Process &amp; Database\Documentation\Colo Applications</v>
      </c>
      <c r="BH22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1" s="63" t="str">
        <f ca="1">_05preva_view43[[#This Row],[Folder Path3]]&amp;_05preva_view43[[#This Row],[File Name]]</f>
        <v>D:\OneDrive - apollo-towers.com\Apollo Towers\00-Process &amp; Database\Documentation\Colo Applications\Colo App MPT\1-01-10015-003 (MDY00347) Application Rev 2.xlsx</v>
      </c>
      <c r="BJ221" s="104"/>
      <c r="BK221" s="3"/>
      <c r="BL221" s="3"/>
      <c r="CJ221" s="5"/>
      <c r="CK221" s="5"/>
      <c r="CL221" s="3"/>
      <c r="CN221" s="5"/>
      <c r="CR221" s="3"/>
      <c r="CS221" s="3"/>
      <c r="CT221" s="5"/>
      <c r="CV221" s="3"/>
      <c r="DR221" s="5"/>
      <c r="DT221" s="3"/>
      <c r="EF221" s="7"/>
      <c r="EG221" s="7"/>
      <c r="EJ221" s="4"/>
      <c r="EK221" s="4"/>
      <c r="EU221" s="2"/>
      <c r="EV221" s="2"/>
    </row>
    <row r="222" spans="1:152">
      <c r="A222" s="287">
        <v>3399</v>
      </c>
      <c r="B222" s="288" t="s">
        <v>895</v>
      </c>
      <c r="C222" s="288" t="s">
        <v>278</v>
      </c>
      <c r="D222" s="288" t="s">
        <v>127</v>
      </c>
      <c r="E222" s="288" t="s">
        <v>896</v>
      </c>
      <c r="F222" s="288" t="s">
        <v>35</v>
      </c>
      <c r="G222" s="288" t="s">
        <v>1292</v>
      </c>
      <c r="H222" s="288" t="s">
        <v>1285</v>
      </c>
      <c r="I222" s="288" t="s">
        <v>790</v>
      </c>
      <c r="J222" s="288" t="s">
        <v>668</v>
      </c>
      <c r="K222" s="289">
        <v>43409</v>
      </c>
      <c r="L222" s="290"/>
      <c r="M222" s="290">
        <v>3.649</v>
      </c>
      <c r="N222" s="288">
        <v>7</v>
      </c>
      <c r="O222" s="288" t="s">
        <v>687</v>
      </c>
      <c r="P222" s="291" t="s">
        <v>695</v>
      </c>
      <c r="Q222" s="291" t="s">
        <v>696</v>
      </c>
      <c r="R222" s="288" t="s">
        <v>24</v>
      </c>
      <c r="S222" s="288"/>
      <c r="T222" s="292" t="s">
        <v>615</v>
      </c>
      <c r="U222" s="288"/>
      <c r="V222" s="292" t="s">
        <v>615</v>
      </c>
      <c r="W222" s="288"/>
      <c r="X222" s="292" t="s">
        <v>120</v>
      </c>
      <c r="Y222" s="288" t="s">
        <v>897</v>
      </c>
      <c r="Z222" s="293" t="s">
        <v>120</v>
      </c>
      <c r="AA222" s="294"/>
      <c r="AB222" s="294"/>
      <c r="AC222" s="295" t="s">
        <v>123</v>
      </c>
      <c r="AD222" s="288" t="s">
        <v>898</v>
      </c>
      <c r="AE222" s="292" t="s">
        <v>615</v>
      </c>
      <c r="AF222" s="289"/>
      <c r="AG222" s="296"/>
      <c r="AH222" s="296"/>
      <c r="AI222" s="288"/>
      <c r="AJ222" s="292"/>
      <c r="AK222" s="288"/>
      <c r="AL222" s="288"/>
      <c r="AM222" s="292"/>
      <c r="AN222" s="288"/>
      <c r="AO222" s="288"/>
      <c r="AP222" s="297"/>
      <c r="AQ222" s="288"/>
      <c r="AR222" s="292"/>
      <c r="AS222" s="288"/>
      <c r="AT222" s="289"/>
      <c r="AU222" s="289"/>
      <c r="AV222" s="289"/>
      <c r="AW222" s="289"/>
      <c r="AX222" s="289"/>
      <c r="AY222" s="289"/>
      <c r="AZ222" s="298">
        <v>43409</v>
      </c>
      <c r="BA22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2" s="300">
        <f>COUNTIFS(_05preva_view43[Site ID],_05preva_view43[[#This Row],[Site ID]],_05preva_view43[Prevalidation Status],"Under Prevalidation")</f>
        <v>0</v>
      </c>
      <c r="BC22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2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1-01-05027-006 (SGG00225) Application Rev 1.xlsx</v>
      </c>
      <c r="BE222" s="64">
        <f t="shared" ca="1" si="5"/>
        <v>50</v>
      </c>
      <c r="BF222" s="104" t="str">
        <f ca="1">LEFT(CELL("filename",A207),_05preva_view43[[#This Row],[Find Process &amp; Database]]-1)</f>
        <v>D:\OneDrive - apollo-towers.com\Apollo Towers\00-</v>
      </c>
      <c r="BG222" s="104" t="str">
        <f ca="1">_05preva_view43[Folder Path1]&amp;"Process &amp; Database\Documentation\Colo Applications"</f>
        <v>D:\OneDrive - apollo-towers.com\Apollo Towers\00-Process &amp; Database\Documentation\Colo Applications</v>
      </c>
      <c r="BH22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2" s="63" t="str">
        <f ca="1">_05preva_view43[[#This Row],[Folder Path3]]&amp;_05preva_view43[[#This Row],[File Name]]</f>
        <v>D:\OneDrive - apollo-towers.com\Apollo Towers\00-Process &amp; Database\Documentation\Colo Applications\Colo App MPT\1-01-05027-006 (SGG00225) Application Rev 1.xlsx</v>
      </c>
      <c r="BJ222" s="104"/>
      <c r="BK222" s="3"/>
      <c r="BL222" s="3"/>
      <c r="CJ222" s="5"/>
      <c r="CK222" s="5"/>
      <c r="CL222" s="3"/>
      <c r="CN222" s="5"/>
      <c r="CR222" s="3"/>
      <c r="CS222" s="3"/>
      <c r="CT222" s="5"/>
      <c r="CV222" s="3"/>
      <c r="DR222" s="5"/>
      <c r="DT222" s="3"/>
      <c r="EF222" s="7"/>
      <c r="EG222" s="7"/>
      <c r="EJ222" s="4"/>
      <c r="EK222" s="4"/>
      <c r="EU222" s="2"/>
      <c r="EV222" s="2"/>
    </row>
    <row r="223" spans="1:152">
      <c r="A223" s="287">
        <v>3400</v>
      </c>
      <c r="B223" s="288" t="s">
        <v>855</v>
      </c>
      <c r="C223" s="288" t="s">
        <v>278</v>
      </c>
      <c r="D223" s="288" t="s">
        <v>127</v>
      </c>
      <c r="E223" s="288" t="s">
        <v>856</v>
      </c>
      <c r="F223" s="288" t="s">
        <v>35</v>
      </c>
      <c r="G223" s="288" t="s">
        <v>1292</v>
      </c>
      <c r="H223" s="288" t="s">
        <v>1285</v>
      </c>
      <c r="I223" s="288" t="s">
        <v>790</v>
      </c>
      <c r="J223" s="288" t="s">
        <v>727</v>
      </c>
      <c r="K223" s="289">
        <v>43409</v>
      </c>
      <c r="L223" s="290"/>
      <c r="M223" s="290">
        <v>3.6110000000000002</v>
      </c>
      <c r="N223" s="288">
        <v>5.5419999999999998</v>
      </c>
      <c r="O223" s="288" t="s">
        <v>687</v>
      </c>
      <c r="P223" s="291" t="s">
        <v>858</v>
      </c>
      <c r="Q223" s="291" t="s">
        <v>859</v>
      </c>
      <c r="R223" s="288" t="s">
        <v>24</v>
      </c>
      <c r="S223" s="288"/>
      <c r="T223" s="292" t="s">
        <v>615</v>
      </c>
      <c r="U223" s="288"/>
      <c r="V223" s="292" t="s">
        <v>615</v>
      </c>
      <c r="W223" s="288"/>
      <c r="X223" s="292" t="s">
        <v>120</v>
      </c>
      <c r="Y223" s="288" t="s">
        <v>899</v>
      </c>
      <c r="Z223" s="293" t="s">
        <v>120</v>
      </c>
      <c r="AA223" s="294"/>
      <c r="AB223" s="294"/>
      <c r="AC223" s="295" t="s">
        <v>123</v>
      </c>
      <c r="AD223" s="288" t="s">
        <v>900</v>
      </c>
      <c r="AE223" s="292"/>
      <c r="AF223" s="289"/>
      <c r="AG223" s="296"/>
      <c r="AH223" s="296"/>
      <c r="AI223" s="288"/>
      <c r="AJ223" s="292"/>
      <c r="AK223" s="288"/>
      <c r="AL223" s="288"/>
      <c r="AM223" s="292"/>
      <c r="AN223" s="288"/>
      <c r="AO223" s="288"/>
      <c r="AP223" s="297"/>
      <c r="AQ223" s="288"/>
      <c r="AR223" s="292"/>
      <c r="AS223" s="288"/>
      <c r="AT223" s="289"/>
      <c r="AU223" s="289"/>
      <c r="AV223" s="289"/>
      <c r="AW223" s="289"/>
      <c r="AX223" s="289"/>
      <c r="AY223" s="289"/>
      <c r="AZ223" s="298">
        <v>43409</v>
      </c>
      <c r="BA22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3" s="300">
        <f>COUNTIFS(_05preva_view43[Site ID],_05preva_view43[[#This Row],[Site ID]],_05preva_view43[Prevalidation Status],"Under Prevalidation")</f>
        <v>0</v>
      </c>
      <c r="BC22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3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3.xlsx</v>
      </c>
      <c r="BE223" s="64">
        <f t="shared" ca="1" si="5"/>
        <v>50</v>
      </c>
      <c r="BF223" s="104" t="str">
        <f ca="1">LEFT(CELL("filename",A208),_05preva_view43[[#This Row],[Find Process &amp; Database]]-1)</f>
        <v>D:\OneDrive - apollo-towers.com\Apollo Towers\00-</v>
      </c>
      <c r="BG223" s="104" t="str">
        <f ca="1">_05preva_view43[Folder Path1]&amp;"Process &amp; Database\Documentation\Colo Applications"</f>
        <v>D:\OneDrive - apollo-towers.com\Apollo Towers\00-Process &amp; Database\Documentation\Colo Applications</v>
      </c>
      <c r="BH22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3" s="63" t="str">
        <f ca="1">_05preva_view43[[#This Row],[Folder Path3]]&amp;_05preva_view43[[#This Row],[File Name]]</f>
        <v>D:\OneDrive - apollo-towers.com\Apollo Towers\00-Process &amp; Database\Documentation\Colo Applications\Colo App MPT\1-01-05018-006 (SGG00198) Application Rev 3.xlsx</v>
      </c>
      <c r="BJ223" s="104"/>
      <c r="BK223" s="3"/>
      <c r="BL223" s="3"/>
      <c r="CJ223" s="5"/>
      <c r="CK223" s="5"/>
      <c r="CL223" s="3"/>
      <c r="CN223" s="5"/>
      <c r="CR223" s="3"/>
      <c r="CS223" s="3"/>
      <c r="CT223" s="5"/>
      <c r="CV223" s="3"/>
      <c r="DR223" s="5"/>
      <c r="DT223" s="3"/>
      <c r="EF223" s="7"/>
      <c r="EG223" s="7"/>
      <c r="EJ223" s="4"/>
      <c r="EK223" s="4"/>
      <c r="EU223" s="2"/>
      <c r="EV223" s="2"/>
    </row>
    <row r="224" spans="1:152">
      <c r="A224" s="287">
        <v>3401</v>
      </c>
      <c r="B224" s="288" t="s">
        <v>901</v>
      </c>
      <c r="C224" s="288" t="s">
        <v>278</v>
      </c>
      <c r="D224" s="288" t="s">
        <v>127</v>
      </c>
      <c r="E224" s="288" t="s">
        <v>902</v>
      </c>
      <c r="F224" s="288" t="s">
        <v>35</v>
      </c>
      <c r="G224" s="288" t="s">
        <v>1292</v>
      </c>
      <c r="H224" s="288" t="s">
        <v>1285</v>
      </c>
      <c r="I224" s="288" t="s">
        <v>790</v>
      </c>
      <c r="J224" s="288" t="s">
        <v>668</v>
      </c>
      <c r="K224" s="289">
        <v>43409</v>
      </c>
      <c r="L224" s="290"/>
      <c r="M224" s="290">
        <v>3.5489999999999999</v>
      </c>
      <c r="N224" s="288">
        <v>7.5</v>
      </c>
      <c r="O224" s="288" t="s">
        <v>687</v>
      </c>
      <c r="P224" s="291" t="s">
        <v>695</v>
      </c>
      <c r="Q224" s="291" t="s">
        <v>696</v>
      </c>
      <c r="R224" s="288" t="s">
        <v>24</v>
      </c>
      <c r="S224" s="288"/>
      <c r="T224" s="292" t="s">
        <v>615</v>
      </c>
      <c r="U224" s="288"/>
      <c r="V224" s="292" t="s">
        <v>615</v>
      </c>
      <c r="W224" s="288"/>
      <c r="X224" s="292" t="s">
        <v>120</v>
      </c>
      <c r="Y224" s="288" t="s">
        <v>903</v>
      </c>
      <c r="Z224" s="293" t="s">
        <v>120</v>
      </c>
      <c r="AA224" s="294"/>
      <c r="AB224" s="294"/>
      <c r="AC224" s="295" t="s">
        <v>123</v>
      </c>
      <c r="AD224" s="288" t="s">
        <v>1038</v>
      </c>
      <c r="AE224" s="292" t="s">
        <v>120</v>
      </c>
      <c r="AF224" s="289" t="s">
        <v>904</v>
      </c>
      <c r="AG224" s="296"/>
      <c r="AH224" s="296">
        <v>1.6</v>
      </c>
      <c r="AI224" s="288" t="s">
        <v>905</v>
      </c>
      <c r="AJ224" s="292" t="s">
        <v>120</v>
      </c>
      <c r="AK224" s="288"/>
      <c r="AL224" s="288"/>
      <c r="AM224" s="292"/>
      <c r="AN224" s="288"/>
      <c r="AO224" s="288"/>
      <c r="AP224" s="297"/>
      <c r="AQ224" s="288"/>
      <c r="AR224" s="292"/>
      <c r="AS224" s="288"/>
      <c r="AT224" s="289">
        <v>43417.622366782402</v>
      </c>
      <c r="AU224" s="289">
        <v>43419.752466435202</v>
      </c>
      <c r="AV224" s="289">
        <v>43444.480745023102</v>
      </c>
      <c r="AW224" s="289">
        <v>43431.631280439797</v>
      </c>
      <c r="AX224" s="289"/>
      <c r="AY224" s="289"/>
      <c r="AZ224" s="298">
        <v>43444.489957175902</v>
      </c>
      <c r="BA22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35.489957175901509</v>
      </c>
      <c r="BB224" s="300">
        <f>COUNTIFS(_05preva_view43[Site ID],_05preva_view43[[#This Row],[Site ID]],_05preva_view43[Prevalidation Status],"Under Prevalidation")</f>
        <v>0</v>
      </c>
      <c r="BC22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4" s="302" t="str">
        <f>CONCATENATE(_05preva_view43[[#This Row],[Site ID]]," (",_05preva_view43[[#This Row],[tenant id]],") Application",IF(_05preva_view43[[#This Row],[Colo Rev]]&gt;0," Rev "&amp;_05preva_view43[[#This Row],[Colo Rev]],""),".xlsx")</f>
        <v>1-01-05030-010 (SGG00149) Application Rev 1.xlsx</v>
      </c>
      <c r="BE224" s="64">
        <f t="shared" ca="1" si="5"/>
        <v>50</v>
      </c>
      <c r="BF224" s="104" t="str">
        <f ca="1">LEFT(CELL("filename",A209),_05preva_view43[[#This Row],[Find Process &amp; Database]]-1)</f>
        <v>D:\OneDrive - apollo-towers.com\Apollo Towers\00-</v>
      </c>
      <c r="BG224" s="104" t="str">
        <f ca="1">_05preva_view43[Folder Path1]&amp;"Process &amp; Database\Documentation\Colo Applications"</f>
        <v>D:\OneDrive - apollo-towers.com\Apollo Towers\00-Process &amp; Database\Documentation\Colo Applications</v>
      </c>
      <c r="BH22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4" s="63" t="str">
        <f ca="1">_05preva_view43[[#This Row],[Folder Path3]]&amp;_05preva_view43[[#This Row],[File Name]]</f>
        <v>D:\OneDrive - apollo-towers.com\Apollo Towers\00-Process &amp; Database\Documentation\Colo Applications\Colo App MPT\1-01-05030-010 (SGG00149) Application Rev 1.xlsx</v>
      </c>
      <c r="BJ224" s="104"/>
      <c r="BK224" s="3"/>
      <c r="BL224" s="3"/>
      <c r="CJ224" s="5"/>
      <c r="CK224" s="5"/>
      <c r="CL224" s="3"/>
      <c r="CN224" s="5"/>
      <c r="CR224" s="3"/>
      <c r="CS224" s="3"/>
      <c r="CT224" s="5"/>
      <c r="CV224" s="3"/>
      <c r="DR224" s="5"/>
      <c r="DT224" s="3"/>
      <c r="EF224" s="7"/>
      <c r="EG224" s="7"/>
      <c r="EJ224" s="4"/>
      <c r="EK224" s="4"/>
      <c r="EU224" s="2"/>
      <c r="EV224" s="2"/>
    </row>
    <row r="225" spans="1:152">
      <c r="A225" s="287">
        <v>3402</v>
      </c>
      <c r="B225" s="288" t="s">
        <v>906</v>
      </c>
      <c r="C225" s="288" t="s">
        <v>278</v>
      </c>
      <c r="D225" s="288" t="s">
        <v>153</v>
      </c>
      <c r="E225" s="288" t="s">
        <v>907</v>
      </c>
      <c r="F225" s="288" t="s">
        <v>35</v>
      </c>
      <c r="G225" s="288" t="s">
        <v>1293</v>
      </c>
      <c r="H225" s="288" t="s">
        <v>1290</v>
      </c>
      <c r="I225" s="288" t="s">
        <v>881</v>
      </c>
      <c r="J225" s="288" t="s">
        <v>677</v>
      </c>
      <c r="K225" s="289">
        <v>43409</v>
      </c>
      <c r="L225" s="290"/>
      <c r="M225" s="290">
        <v>3.3</v>
      </c>
      <c r="N225" s="288">
        <v>4.4400000000000004</v>
      </c>
      <c r="O225" s="288" t="s">
        <v>687</v>
      </c>
      <c r="P225" s="291" t="s">
        <v>695</v>
      </c>
      <c r="Q225" s="291" t="s">
        <v>696</v>
      </c>
      <c r="R225" s="288" t="s">
        <v>24</v>
      </c>
      <c r="S225" s="288"/>
      <c r="T225" s="292" t="s">
        <v>615</v>
      </c>
      <c r="U225" s="288"/>
      <c r="V225" s="292" t="s">
        <v>615</v>
      </c>
      <c r="W225" s="288"/>
      <c r="X225" s="292" t="s">
        <v>120</v>
      </c>
      <c r="Y225" s="288" t="s">
        <v>908</v>
      </c>
      <c r="Z225" s="293" t="s">
        <v>120</v>
      </c>
      <c r="AA225" s="294"/>
      <c r="AB225" s="294"/>
      <c r="AC225" s="295" t="s">
        <v>123</v>
      </c>
      <c r="AD225" s="288" t="s">
        <v>909</v>
      </c>
      <c r="AE225" s="292" t="s">
        <v>615</v>
      </c>
      <c r="AF225" s="289"/>
      <c r="AG225" s="296"/>
      <c r="AH225" s="296"/>
      <c r="AI225" s="288"/>
      <c r="AJ225" s="292"/>
      <c r="AK225" s="288"/>
      <c r="AL225" s="288"/>
      <c r="AM225" s="292"/>
      <c r="AN225" s="288"/>
      <c r="AO225" s="288" t="s">
        <v>120</v>
      </c>
      <c r="AP225" s="297"/>
      <c r="AQ225" s="288"/>
      <c r="AR225" s="292"/>
      <c r="AS225" s="288"/>
      <c r="AT225" s="289"/>
      <c r="AU225" s="289"/>
      <c r="AV225" s="289"/>
      <c r="AW225" s="289"/>
      <c r="AX225" s="289"/>
      <c r="AY225" s="289"/>
      <c r="AZ225" s="298">
        <v>43409</v>
      </c>
      <c r="BA22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5" s="300">
        <f>COUNTIFS(_05preva_view43[Site ID],_05preva_view43[[#This Row],[Site ID]],_05preva_view43[Prevalidation Status],"Under Prevalidation")</f>
        <v>0</v>
      </c>
      <c r="BC22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5" s="302" t="str">
        <f>CONCATENATE(_05preva_view43[[#This Row],[Site ID]]," (",_05preva_view43[[#This Row],[tenant id]],") Application",IF(_05preva_view43[[#This Row],[Colo Rev]]&gt;0," Rev "&amp;_05preva_view43[[#This Row],[Colo Rev]],""),".xlsx")</f>
        <v>1-01-17023-009 (AWD01309) Application Rev 0.xlsx</v>
      </c>
      <c r="BE225" s="64">
        <f t="shared" ca="1" si="5"/>
        <v>50</v>
      </c>
      <c r="BF225" s="104" t="str">
        <f ca="1">LEFT(CELL("filename",A210),_05preva_view43[[#This Row],[Find Process &amp; Database]]-1)</f>
        <v>D:\OneDrive - apollo-towers.com\Apollo Towers\00-</v>
      </c>
      <c r="BG225" s="104" t="str">
        <f ca="1">_05preva_view43[Folder Path1]&amp;"Process &amp; Database\Documentation\Colo Applications"</f>
        <v>D:\OneDrive - apollo-towers.com\Apollo Towers\00-Process &amp; Database\Documentation\Colo Applications</v>
      </c>
      <c r="BH22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5" s="63" t="str">
        <f ca="1">_05preva_view43[[#This Row],[Folder Path3]]&amp;_05preva_view43[[#This Row],[File Name]]</f>
        <v>D:\OneDrive - apollo-towers.com\Apollo Towers\00-Process &amp; Database\Documentation\Colo Applications\Colo App MPT\1-01-17023-009 (AWD01309) Application Rev 0.xlsx</v>
      </c>
      <c r="BJ225" s="104"/>
      <c r="BK225" s="3"/>
      <c r="BL225" s="3"/>
      <c r="CJ225" s="5"/>
      <c r="CK225" s="5"/>
      <c r="CL225" s="3"/>
      <c r="CN225" s="5"/>
      <c r="CR225" s="3"/>
      <c r="CS225" s="3"/>
      <c r="CT225" s="5"/>
      <c r="CV225" s="3"/>
      <c r="DR225" s="5"/>
      <c r="DT225" s="3"/>
      <c r="EF225" s="7"/>
      <c r="EG225" s="7"/>
      <c r="EJ225" s="4"/>
      <c r="EK225" s="4"/>
      <c r="EU225" s="2"/>
      <c r="EV225" s="2"/>
    </row>
    <row r="226" spans="1:152">
      <c r="A226" s="287">
        <v>3392</v>
      </c>
      <c r="B226" s="288" t="s">
        <v>873</v>
      </c>
      <c r="C226" s="288" t="s">
        <v>278</v>
      </c>
      <c r="D226" s="288" t="s">
        <v>117</v>
      </c>
      <c r="E226" s="288" t="s">
        <v>874</v>
      </c>
      <c r="F226" s="288" t="s">
        <v>35</v>
      </c>
      <c r="G226" s="288" t="s">
        <v>1292</v>
      </c>
      <c r="H226" s="288" t="s">
        <v>1285</v>
      </c>
      <c r="I226" s="288" t="s">
        <v>875</v>
      </c>
      <c r="J226" s="288" t="s">
        <v>727</v>
      </c>
      <c r="K226" s="289">
        <v>43405</v>
      </c>
      <c r="L226" s="290"/>
      <c r="M226" s="290">
        <v>2.1</v>
      </c>
      <c r="N226" s="288">
        <v>2.1989999999999998</v>
      </c>
      <c r="O226" s="288" t="s">
        <v>687</v>
      </c>
      <c r="P226" s="291" t="s">
        <v>695</v>
      </c>
      <c r="Q226" s="291" t="s">
        <v>696</v>
      </c>
      <c r="R226" s="288" t="s">
        <v>24</v>
      </c>
      <c r="S226" s="288"/>
      <c r="T226" s="292" t="s">
        <v>615</v>
      </c>
      <c r="U226" s="288"/>
      <c r="V226" s="292" t="s">
        <v>615</v>
      </c>
      <c r="W226" s="288"/>
      <c r="X226" s="292" t="s">
        <v>120</v>
      </c>
      <c r="Y226" s="288" t="s">
        <v>876</v>
      </c>
      <c r="Z226" s="293" t="s">
        <v>120</v>
      </c>
      <c r="AA226" s="294"/>
      <c r="AB226" s="294"/>
      <c r="AC226" s="295" t="s">
        <v>123</v>
      </c>
      <c r="AD226" s="288" t="s">
        <v>877</v>
      </c>
      <c r="AE226" s="292" t="s">
        <v>125</v>
      </c>
      <c r="AF226" s="289"/>
      <c r="AG226" s="296"/>
      <c r="AH226" s="296"/>
      <c r="AI226" s="288" t="s">
        <v>835</v>
      </c>
      <c r="AJ226" s="292"/>
      <c r="AK226" s="288"/>
      <c r="AL226" s="288"/>
      <c r="AM226" s="292"/>
      <c r="AN226" s="288"/>
      <c r="AO226" s="288"/>
      <c r="AP226" s="297"/>
      <c r="AQ226" s="288"/>
      <c r="AR226" s="292"/>
      <c r="AS226" s="288"/>
      <c r="AT226" s="289"/>
      <c r="AU226" s="289"/>
      <c r="AV226" s="289"/>
      <c r="AW226" s="289"/>
      <c r="AX226" s="289"/>
      <c r="AY226" s="289"/>
      <c r="AZ226" s="298">
        <v>43405</v>
      </c>
      <c r="BA22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6" s="300">
        <f>COUNTIFS(_05preva_view43[Site ID],_05preva_view43[[#This Row],[Site ID]],_05preva_view43[Prevalidation Status],"Under Prevalidation")</f>
        <v>0</v>
      </c>
      <c r="BC22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6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1-01-14001-026 (SHS00070) Application Rev 3.xlsx</v>
      </c>
      <c r="BE226" s="64">
        <f t="shared" ca="1" si="5"/>
        <v>50</v>
      </c>
      <c r="BF226" s="104" t="str">
        <f ca="1">LEFT(CELL("filename",A211),_05preva_view43[[#This Row],[Find Process &amp; Database]]-1)</f>
        <v>D:\OneDrive - apollo-towers.com\Apollo Towers\00-</v>
      </c>
      <c r="BG226" s="104" t="str">
        <f ca="1">_05preva_view43[Folder Path1]&amp;"Process &amp; Database\Documentation\Colo Applications"</f>
        <v>D:\OneDrive - apollo-towers.com\Apollo Towers\00-Process &amp; Database\Documentation\Colo Applications</v>
      </c>
      <c r="BH22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6" s="63" t="str">
        <f ca="1">_05preva_view43[[#This Row],[Folder Path3]]&amp;_05preva_view43[[#This Row],[File Name]]</f>
        <v>D:\OneDrive - apollo-towers.com\Apollo Towers\00-Process &amp; Database\Documentation\Colo Applications\Colo App MPT\1-01-14001-026 (SHS00070) Application Rev 3.xlsx</v>
      </c>
      <c r="BJ226" s="104"/>
      <c r="BK226" s="3"/>
      <c r="BL226" s="3"/>
      <c r="CJ226" s="5"/>
      <c r="CK226" s="5"/>
      <c r="CL226" s="3"/>
      <c r="CN226" s="5"/>
      <c r="CR226" s="3"/>
      <c r="CS226" s="3"/>
      <c r="CT226" s="5"/>
      <c r="CV226" s="3"/>
      <c r="DR226" s="5"/>
      <c r="DT226" s="3"/>
      <c r="EF226" s="7"/>
      <c r="EG226" s="7"/>
      <c r="EJ226" s="4"/>
      <c r="EK226" s="4"/>
      <c r="EU226" s="2"/>
      <c r="EV226" s="2"/>
    </row>
    <row r="227" spans="1:152">
      <c r="A227" s="287">
        <v>3390</v>
      </c>
      <c r="B227" s="288" t="s">
        <v>862</v>
      </c>
      <c r="C227" s="288" t="s">
        <v>278</v>
      </c>
      <c r="D227" s="288" t="s">
        <v>117</v>
      </c>
      <c r="E227" s="288" t="s">
        <v>863</v>
      </c>
      <c r="F227" s="288" t="s">
        <v>35</v>
      </c>
      <c r="G227" s="288" t="s">
        <v>1292</v>
      </c>
      <c r="H227" s="288" t="s">
        <v>1285</v>
      </c>
      <c r="I227" s="288" t="s">
        <v>864</v>
      </c>
      <c r="J227" s="288" t="s">
        <v>694</v>
      </c>
      <c r="K227" s="289">
        <v>43404</v>
      </c>
      <c r="L227" s="290"/>
      <c r="M227" s="290">
        <v>2.1</v>
      </c>
      <c r="N227" s="288">
        <v>2.66</v>
      </c>
      <c r="O227" s="288" t="s">
        <v>687</v>
      </c>
      <c r="P227" s="291" t="s">
        <v>695</v>
      </c>
      <c r="Q227" s="291" t="s">
        <v>696</v>
      </c>
      <c r="R227" s="288" t="s">
        <v>24</v>
      </c>
      <c r="S227" s="288"/>
      <c r="T227" s="292" t="s">
        <v>615</v>
      </c>
      <c r="U227" s="288"/>
      <c r="V227" s="292" t="s">
        <v>615</v>
      </c>
      <c r="W227" s="288"/>
      <c r="X227" s="292" t="s">
        <v>120</v>
      </c>
      <c r="Y227" s="288" t="s">
        <v>865</v>
      </c>
      <c r="Z227" s="293" t="s">
        <v>120</v>
      </c>
      <c r="AA227" s="294"/>
      <c r="AB227" s="294"/>
      <c r="AC227" s="295" t="s">
        <v>123</v>
      </c>
      <c r="AD227" s="288" t="s">
        <v>866</v>
      </c>
      <c r="AE227" s="292" t="s">
        <v>125</v>
      </c>
      <c r="AF227" s="289"/>
      <c r="AG227" s="296"/>
      <c r="AH227" s="296"/>
      <c r="AI227" s="288" t="s">
        <v>835</v>
      </c>
      <c r="AJ227" s="292" t="s">
        <v>615</v>
      </c>
      <c r="AK227" s="288"/>
      <c r="AL227" s="288"/>
      <c r="AM227" s="292"/>
      <c r="AN227" s="288"/>
      <c r="AO227" s="288"/>
      <c r="AP227" s="297"/>
      <c r="AQ227" s="288"/>
      <c r="AR227" s="292"/>
      <c r="AS227" s="288"/>
      <c r="AT227" s="289"/>
      <c r="AU227" s="289"/>
      <c r="AV227" s="289"/>
      <c r="AW227" s="289"/>
      <c r="AX227" s="289"/>
      <c r="AY227" s="289"/>
      <c r="AZ227" s="298">
        <v>43404</v>
      </c>
      <c r="BA22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7" s="300">
        <f>COUNTIFS(_05preva_view43[Site ID],_05preva_view43[[#This Row],[Site ID]],_05preva_view43[Prevalidation Status],"Under Prevalidation")</f>
        <v>0</v>
      </c>
      <c r="BC22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7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1-01-14007-007 (SHS00221) Application Rev 4.xlsx</v>
      </c>
      <c r="BE227" s="64">
        <f t="shared" ca="1" si="5"/>
        <v>50</v>
      </c>
      <c r="BF227" s="104" t="str">
        <f ca="1">LEFT(CELL("filename",A212),_05preva_view43[[#This Row],[Find Process &amp; Database]]-1)</f>
        <v>D:\OneDrive - apollo-towers.com\Apollo Towers\00-</v>
      </c>
      <c r="BG227" s="104" t="str">
        <f ca="1">_05preva_view43[Folder Path1]&amp;"Process &amp; Database\Documentation\Colo Applications"</f>
        <v>D:\OneDrive - apollo-towers.com\Apollo Towers\00-Process &amp; Database\Documentation\Colo Applications</v>
      </c>
      <c r="BH22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7" s="63" t="str">
        <f ca="1">_05preva_view43[[#This Row],[Folder Path3]]&amp;_05preva_view43[[#This Row],[File Name]]</f>
        <v>D:\OneDrive - apollo-towers.com\Apollo Towers\00-Process &amp; Database\Documentation\Colo Applications\Colo App MPT\1-01-14007-007 (SHS00221) Application Rev 4.xlsx</v>
      </c>
      <c r="BJ227" s="104"/>
      <c r="BK227" s="3"/>
      <c r="BL227" s="3"/>
      <c r="CJ227" s="5"/>
      <c r="CK227" s="5"/>
      <c r="CL227" s="3"/>
      <c r="CN227" s="5"/>
      <c r="CR227" s="3"/>
      <c r="CS227" s="3"/>
      <c r="CT227" s="5"/>
      <c r="CV227" s="3"/>
      <c r="DR227" s="5"/>
      <c r="DT227" s="3"/>
      <c r="EF227" s="7"/>
      <c r="EG227" s="7"/>
      <c r="EJ227" s="4"/>
      <c r="EK227" s="4"/>
      <c r="EU227" s="2"/>
      <c r="EV227" s="2"/>
    </row>
    <row r="228" spans="1:152">
      <c r="A228" s="287">
        <v>3391</v>
      </c>
      <c r="B228" s="288" t="s">
        <v>867</v>
      </c>
      <c r="C228" s="288" t="s">
        <v>116</v>
      </c>
      <c r="D228" s="288" t="s">
        <v>153</v>
      </c>
      <c r="E228" s="288" t="s">
        <v>868</v>
      </c>
      <c r="F228" s="288" t="s">
        <v>35</v>
      </c>
      <c r="G228" s="288" t="s">
        <v>1287</v>
      </c>
      <c r="H228" s="288" t="s">
        <v>1285</v>
      </c>
      <c r="I228" s="288" t="s">
        <v>857</v>
      </c>
      <c r="J228" s="288" t="s">
        <v>668</v>
      </c>
      <c r="K228" s="289">
        <v>43404</v>
      </c>
      <c r="L228" s="290"/>
      <c r="M228" s="290">
        <v>1.8</v>
      </c>
      <c r="N228" s="288">
        <v>3.66</v>
      </c>
      <c r="O228" s="288" t="s">
        <v>119</v>
      </c>
      <c r="P228" s="291" t="s">
        <v>869</v>
      </c>
      <c r="Q228" s="291" t="s">
        <v>870</v>
      </c>
      <c r="R228" s="288" t="s">
        <v>24</v>
      </c>
      <c r="S228" s="288"/>
      <c r="T228" s="292" t="s">
        <v>615</v>
      </c>
      <c r="U228" s="288"/>
      <c r="V228" s="292" t="s">
        <v>615</v>
      </c>
      <c r="W228" s="288"/>
      <c r="X228" s="292" t="s">
        <v>120</v>
      </c>
      <c r="Y228" s="288" t="s">
        <v>871</v>
      </c>
      <c r="Z228" s="293" t="s">
        <v>120</v>
      </c>
      <c r="AA228" s="294"/>
      <c r="AB228" s="294"/>
      <c r="AC228" s="295" t="s">
        <v>206</v>
      </c>
      <c r="AD228" s="288" t="s">
        <v>1036</v>
      </c>
      <c r="AE228" s="292" t="s">
        <v>120</v>
      </c>
      <c r="AF228" s="289" t="s">
        <v>639</v>
      </c>
      <c r="AG228" s="296"/>
      <c r="AH228" s="296"/>
      <c r="AI228" s="288" t="s">
        <v>872</v>
      </c>
      <c r="AJ228" s="292" t="s">
        <v>120</v>
      </c>
      <c r="AK228" s="288"/>
      <c r="AL228" s="288"/>
      <c r="AM228" s="292"/>
      <c r="AN228" s="288"/>
      <c r="AO228" s="288"/>
      <c r="AP228" s="297"/>
      <c r="AQ228" s="288"/>
      <c r="AR228" s="292"/>
      <c r="AS228" s="288"/>
      <c r="AT228" s="289">
        <v>43417.622365740703</v>
      </c>
      <c r="AU228" s="289">
        <v>43417.673062731497</v>
      </c>
      <c r="AV228" s="289">
        <v>43434.411177314803</v>
      </c>
      <c r="AW228" s="289">
        <v>43431.631279050896</v>
      </c>
      <c r="AX228" s="289"/>
      <c r="AY228" s="289"/>
      <c r="AZ228" s="298">
        <v>43434.411177314803</v>
      </c>
      <c r="BA228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30.411177314803354</v>
      </c>
      <c r="BB228" s="300">
        <f>COUNTIFS(_05preva_view43[Site ID],_05preva_view43[[#This Row],[Site ID]],_05preva_view43[Prevalidation Status],"Under Prevalidation")</f>
        <v>0</v>
      </c>
      <c r="BC22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8" s="302" t="str">
        <f>CONCATENATE(_05preva_view43[[#This Row],[Site ID]]," (",_05preva_view43[[#This Row],[tenant id]],") Application",IF(_05preva_view43[[#This Row],[Colo Rev]]&gt;0," Rev "&amp;_05preva_view43[[#This Row],[Colo Rev]],""),".xlsx")</f>
        <v>AYYN_0086 (YGN00788) Application Rev 1.xlsx</v>
      </c>
      <c r="BE228" s="64">
        <f t="shared" ca="1" si="5"/>
        <v>50</v>
      </c>
      <c r="BF228" s="104" t="str">
        <f ca="1">LEFT(CELL("filename",A213),_05preva_view43[[#This Row],[Find Process &amp; Database]]-1)</f>
        <v>D:\OneDrive - apollo-towers.com\Apollo Towers\00-</v>
      </c>
      <c r="BG228" s="104" t="str">
        <f ca="1">_05preva_view43[Folder Path1]&amp;"Process &amp; Database\Documentation\Colo Applications"</f>
        <v>D:\OneDrive - apollo-towers.com\Apollo Towers\00-Process &amp; Database\Documentation\Colo Applications</v>
      </c>
      <c r="BH22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8" s="63" t="str">
        <f ca="1">_05preva_view43[[#This Row],[Folder Path3]]&amp;_05preva_view43[[#This Row],[File Name]]</f>
        <v>D:\OneDrive - apollo-towers.com\Apollo Towers\00-Process &amp; Database\Documentation\Colo Applications\Colo App MPT\AYYN_0086 (YGN00788) Application Rev 1.xlsx</v>
      </c>
      <c r="BJ228" s="104"/>
      <c r="BK228" s="3"/>
      <c r="BL228" s="3"/>
      <c r="CJ228" s="5"/>
      <c r="CK228" s="5"/>
      <c r="CL228" s="3"/>
      <c r="CN228" s="5"/>
      <c r="CR228" s="3"/>
      <c r="CS228" s="3"/>
      <c r="CT228" s="5"/>
      <c r="CV228" s="3"/>
      <c r="DR228" s="5"/>
      <c r="DT228" s="3"/>
      <c r="EF228" s="7"/>
      <c r="EG228" s="7"/>
      <c r="EJ228" s="4"/>
      <c r="EK228" s="4"/>
      <c r="EU228" s="2"/>
      <c r="EV228" s="2"/>
    </row>
    <row r="229" spans="1:152">
      <c r="A229" s="287">
        <v>3382</v>
      </c>
      <c r="B229" s="288" t="s">
        <v>826</v>
      </c>
      <c r="C229" s="288" t="s">
        <v>116</v>
      </c>
      <c r="D229" s="288" t="s">
        <v>127</v>
      </c>
      <c r="E229" s="288" t="s">
        <v>827</v>
      </c>
      <c r="F229" s="288" t="s">
        <v>35</v>
      </c>
      <c r="G229" s="288" t="s">
        <v>1287</v>
      </c>
      <c r="H229" s="288" t="s">
        <v>1285</v>
      </c>
      <c r="I229" s="288" t="s">
        <v>814</v>
      </c>
      <c r="J229" s="288" t="s">
        <v>828</v>
      </c>
      <c r="K229" s="289">
        <v>43403</v>
      </c>
      <c r="L229" s="290"/>
      <c r="M229" s="290">
        <v>1.8580000000000001</v>
      </c>
      <c r="N229" s="288">
        <v>6.774</v>
      </c>
      <c r="O229" s="288" t="s">
        <v>119</v>
      </c>
      <c r="P229" s="291" t="s">
        <v>655</v>
      </c>
      <c r="Q229" s="291" t="s">
        <v>669</v>
      </c>
      <c r="R229" s="288" t="s">
        <v>24</v>
      </c>
      <c r="S229" s="288"/>
      <c r="T229" s="292" t="s">
        <v>615</v>
      </c>
      <c r="U229" s="288"/>
      <c r="V229" s="292" t="s">
        <v>615</v>
      </c>
      <c r="W229" s="288"/>
      <c r="X229" s="292" t="s">
        <v>120</v>
      </c>
      <c r="Y229" s="288" t="s">
        <v>829</v>
      </c>
      <c r="Z229" s="293" t="s">
        <v>120</v>
      </c>
      <c r="AA229" s="294"/>
      <c r="AB229" s="294"/>
      <c r="AC229" s="295" t="s">
        <v>123</v>
      </c>
      <c r="AD229" s="288" t="s">
        <v>830</v>
      </c>
      <c r="AE229" s="292" t="s">
        <v>125</v>
      </c>
      <c r="AF229" s="289"/>
      <c r="AG229" s="296"/>
      <c r="AH229" s="296">
        <v>1</v>
      </c>
      <c r="AI229" s="288" t="s">
        <v>831</v>
      </c>
      <c r="AJ229" s="292"/>
      <c r="AK229" s="288"/>
      <c r="AL229" s="288"/>
      <c r="AM229" s="292"/>
      <c r="AN229" s="288"/>
      <c r="AO229" s="288"/>
      <c r="AP229" s="297"/>
      <c r="AQ229" s="288"/>
      <c r="AR229" s="292"/>
      <c r="AS229" s="288"/>
      <c r="AT229" s="289"/>
      <c r="AU229" s="289"/>
      <c r="AV229" s="289"/>
      <c r="AW229" s="289"/>
      <c r="AX229" s="289"/>
      <c r="AY229" s="289"/>
      <c r="AZ229" s="298">
        <v>43403</v>
      </c>
      <c r="BA22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29" s="300">
        <f>COUNTIFS(_05preva_view43[Site ID],_05preva_view43[[#This Row],[Site ID]],_05preva_view43[Prevalidation Status],"Under Prevalidation")</f>
        <v>0</v>
      </c>
      <c r="BC22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29" s="302" t="str">
        <f>CONCATENATE(_05preva_view43[[#This Row],[Site ID]]," (",_05preva_view43[[#This Row],[tenant id]],") Application",IF(_05preva_view43[[#This Row],[Colo Rev]]&gt;0," Rev "&amp;_05preva_view43[[#This Row],[Colo Rev]],""),".xlsx")</f>
        <v>ANSG_0454 (SGG00785) Application Rev .xlsx</v>
      </c>
      <c r="BE229" s="64">
        <f t="shared" ca="1" si="5"/>
        <v>50</v>
      </c>
      <c r="BF229" s="104" t="str">
        <f ca="1">LEFT(CELL("filename",A214),_05preva_view43[[#This Row],[Find Process &amp; Database]]-1)</f>
        <v>D:\OneDrive - apollo-towers.com\Apollo Towers\00-</v>
      </c>
      <c r="BG229" s="104" t="str">
        <f ca="1">_05preva_view43[Folder Path1]&amp;"Process &amp; Database\Documentation\Colo Applications"</f>
        <v>D:\OneDrive - apollo-towers.com\Apollo Towers\00-Process &amp; Database\Documentation\Colo Applications</v>
      </c>
      <c r="BH22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29" s="63" t="str">
        <f ca="1">_05preva_view43[[#This Row],[Folder Path3]]&amp;_05preva_view43[[#This Row],[File Name]]</f>
        <v>D:\OneDrive - apollo-towers.com\Apollo Towers\00-Process &amp; Database\Documentation\Colo Applications\Colo App MPT\ANSG_0454 (SGG00785) Application Rev .xlsx</v>
      </c>
      <c r="BJ229" s="104"/>
      <c r="BK229" s="3"/>
      <c r="BL229" s="3"/>
      <c r="CJ229" s="5"/>
      <c r="CK229" s="5"/>
      <c r="CL229" s="3"/>
      <c r="CN229" s="5"/>
      <c r="CR229" s="3"/>
      <c r="CS229" s="3"/>
      <c r="CT229" s="5"/>
      <c r="CV229" s="3"/>
      <c r="DR229" s="5"/>
      <c r="DT229" s="3"/>
      <c r="EF229" s="7"/>
      <c r="EG229" s="7"/>
      <c r="EJ229" s="4"/>
      <c r="EK229" s="4"/>
      <c r="EU229" s="2"/>
      <c r="EV229" s="2"/>
    </row>
    <row r="230" spans="1:152">
      <c r="A230" s="287">
        <v>3383</v>
      </c>
      <c r="B230" s="288" t="s">
        <v>832</v>
      </c>
      <c r="C230" s="288" t="s">
        <v>278</v>
      </c>
      <c r="D230" s="288" t="s">
        <v>153</v>
      </c>
      <c r="E230" s="288" t="s">
        <v>833</v>
      </c>
      <c r="F230" s="288" t="s">
        <v>35</v>
      </c>
      <c r="G230" s="288" t="s">
        <v>1292</v>
      </c>
      <c r="H230" s="288" t="s">
        <v>1290</v>
      </c>
      <c r="I230" s="288" t="s">
        <v>814</v>
      </c>
      <c r="J230" s="288" t="s">
        <v>686</v>
      </c>
      <c r="K230" s="289">
        <v>43403</v>
      </c>
      <c r="L230" s="290"/>
      <c r="M230" s="290">
        <v>2.1</v>
      </c>
      <c r="N230" s="288">
        <v>2.08</v>
      </c>
      <c r="O230" s="288" t="s">
        <v>687</v>
      </c>
      <c r="P230" s="291" t="s">
        <v>705</v>
      </c>
      <c r="Q230" s="291" t="s">
        <v>706</v>
      </c>
      <c r="R230" s="288" t="s">
        <v>24</v>
      </c>
      <c r="S230" s="288"/>
      <c r="T230" s="292" t="s">
        <v>615</v>
      </c>
      <c r="U230" s="288"/>
      <c r="V230" s="292" t="s">
        <v>615</v>
      </c>
      <c r="W230" s="288"/>
      <c r="X230" s="292" t="s">
        <v>120</v>
      </c>
      <c r="Y230" s="288" t="s">
        <v>834</v>
      </c>
      <c r="Z230" s="293" t="s">
        <v>615</v>
      </c>
      <c r="AA230" s="294"/>
      <c r="AB230" s="294"/>
      <c r="AC230" s="295"/>
      <c r="AD230" s="288"/>
      <c r="AE230" s="292" t="s">
        <v>125</v>
      </c>
      <c r="AF230" s="289"/>
      <c r="AG230" s="296"/>
      <c r="AH230" s="296"/>
      <c r="AI230" s="288" t="s">
        <v>835</v>
      </c>
      <c r="AJ230" s="292" t="s">
        <v>615</v>
      </c>
      <c r="AK230" s="288"/>
      <c r="AL230" s="288"/>
      <c r="AM230" s="292"/>
      <c r="AN230" s="288"/>
      <c r="AO230" s="288"/>
      <c r="AP230" s="297"/>
      <c r="AQ230" s="288"/>
      <c r="AR230" s="292"/>
      <c r="AS230" s="288"/>
      <c r="AT230" s="289"/>
      <c r="AU230" s="289"/>
      <c r="AV230" s="289"/>
      <c r="AW230" s="289"/>
      <c r="AX230" s="289"/>
      <c r="AY230" s="289"/>
      <c r="AZ230" s="298">
        <v>43403</v>
      </c>
      <c r="BA23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0" s="300">
        <f>COUNTIFS(_05preva_view43[Site ID],_05preva_view43[[#This Row],[Site ID]],_05preva_view43[Prevalidation Status],"Under Prevalidation")</f>
        <v>0</v>
      </c>
      <c r="BC23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0" s="302" t="str">
        <f>CONCATENATE(_05preva_view43[[#This Row],[Site ID]]," (",_05preva_view43[[#This Row],[tenant id]],") Application",IF(_05preva_view43[[#This Row],[Colo Rev]]&gt;0," Rev "&amp;_05preva_view43[[#This Row],[Colo Rev]],""),".xlsx")</f>
        <v>1-01-13004-003 (YGN02146) Application Rev 2.xlsx</v>
      </c>
      <c r="BE230" s="64">
        <f t="shared" ca="1" si="5"/>
        <v>50</v>
      </c>
      <c r="BF230" s="104" t="str">
        <f ca="1">LEFT(CELL("filename",A215),_05preva_view43[[#This Row],[Find Process &amp; Database]]-1)</f>
        <v>D:\OneDrive - apollo-towers.com\Apollo Towers\00-</v>
      </c>
      <c r="BG230" s="104" t="str">
        <f ca="1">_05preva_view43[Folder Path1]&amp;"Process &amp; Database\Documentation\Colo Applications"</f>
        <v>D:\OneDrive - apollo-towers.com\Apollo Towers\00-Process &amp; Database\Documentation\Colo Applications</v>
      </c>
      <c r="BH23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0" s="63" t="str">
        <f ca="1">_05preva_view43[[#This Row],[Folder Path3]]&amp;_05preva_view43[[#This Row],[File Name]]</f>
        <v>D:\OneDrive - apollo-towers.com\Apollo Towers\00-Process &amp; Database\Documentation\Colo Applications\Colo App MPT\1-01-13004-003 (YGN02146) Application Rev 2.xlsx</v>
      </c>
      <c r="BJ230" s="104"/>
      <c r="BK230" s="3"/>
      <c r="BL230" s="3"/>
      <c r="CJ230" s="5"/>
      <c r="CK230" s="5"/>
      <c r="CL230" s="3"/>
      <c r="CN230" s="5"/>
      <c r="CR230" s="3"/>
      <c r="CS230" s="3"/>
      <c r="CT230" s="5"/>
      <c r="CV230" s="3"/>
      <c r="DR230" s="5"/>
      <c r="DT230" s="3"/>
      <c r="EF230" s="7"/>
      <c r="EG230" s="7"/>
      <c r="EJ230" s="4"/>
      <c r="EK230" s="4"/>
      <c r="EU230" s="2"/>
      <c r="EV230" s="2"/>
    </row>
    <row r="231" spans="1:152">
      <c r="A231" s="287">
        <v>3384</v>
      </c>
      <c r="B231" s="288" t="s">
        <v>836</v>
      </c>
      <c r="C231" s="288" t="s">
        <v>116</v>
      </c>
      <c r="D231" s="288" t="s">
        <v>153</v>
      </c>
      <c r="E231" s="288" t="s">
        <v>837</v>
      </c>
      <c r="F231" s="288" t="s">
        <v>35</v>
      </c>
      <c r="G231" s="288" t="s">
        <v>1287</v>
      </c>
      <c r="H231" s="288" t="s">
        <v>1285</v>
      </c>
      <c r="I231" s="288" t="s">
        <v>798</v>
      </c>
      <c r="J231" s="288" t="s">
        <v>828</v>
      </c>
      <c r="K231" s="289">
        <v>43403</v>
      </c>
      <c r="L231" s="290"/>
      <c r="M231" s="290">
        <v>1.8</v>
      </c>
      <c r="N231" s="288">
        <v>4.0350000000000001</v>
      </c>
      <c r="O231" s="288" t="s">
        <v>119</v>
      </c>
      <c r="P231" s="291" t="s">
        <v>240</v>
      </c>
      <c r="Q231" s="291" t="s">
        <v>241</v>
      </c>
      <c r="R231" s="288" t="s">
        <v>24</v>
      </c>
      <c r="S231" s="288"/>
      <c r="T231" s="292" t="s">
        <v>615</v>
      </c>
      <c r="U231" s="288"/>
      <c r="V231" s="292" t="s">
        <v>615</v>
      </c>
      <c r="W231" s="288"/>
      <c r="X231" s="292" t="s">
        <v>120</v>
      </c>
      <c r="Y231" s="288" t="s">
        <v>838</v>
      </c>
      <c r="Z231" s="293" t="s">
        <v>120</v>
      </c>
      <c r="AA231" s="294"/>
      <c r="AB231" s="294"/>
      <c r="AC231" s="295" t="s">
        <v>123</v>
      </c>
      <c r="AD231" s="288" t="s">
        <v>839</v>
      </c>
      <c r="AE231" s="292" t="s">
        <v>120</v>
      </c>
      <c r="AF231" s="289"/>
      <c r="AG231" s="296"/>
      <c r="AH231" s="296"/>
      <c r="AI231" s="288" t="s">
        <v>840</v>
      </c>
      <c r="AJ231" s="292"/>
      <c r="AK231" s="288"/>
      <c r="AL231" s="288"/>
      <c r="AM231" s="292"/>
      <c r="AN231" s="288"/>
      <c r="AO231" s="288"/>
      <c r="AP231" s="297"/>
      <c r="AQ231" s="288"/>
      <c r="AR231" s="292"/>
      <c r="AS231" s="288"/>
      <c r="AT231" s="289"/>
      <c r="AU231" s="289">
        <v>43453.3791269676</v>
      </c>
      <c r="AV231" s="289"/>
      <c r="AW231" s="289"/>
      <c r="AX231" s="289"/>
      <c r="AY231" s="289"/>
      <c r="AZ231" s="298">
        <v>43403</v>
      </c>
      <c r="BA23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1" s="300">
        <f>COUNTIFS(_05preva_view43[Site ID],_05preva_view43[[#This Row],[Site ID]],_05preva_view43[Prevalidation Status],"Under Prevalidation")</f>
        <v>0</v>
      </c>
      <c r="BC23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1" s="302" t="str">
        <f>CONCATENATE(_05preva_view43[[#This Row],[Site ID]]," (",_05preva_view43[[#This Row],[tenant id]],") Application",IF(_05preva_view43[[#This Row],[Colo Rev]]&gt;0," Rev "&amp;_05preva_view43[[#This Row],[Colo Rev]],""),".xlsx")</f>
        <v>ACBA_0053 (YGN00594) Application Rev .xlsx</v>
      </c>
      <c r="BE231" s="64">
        <f t="shared" ca="1" si="5"/>
        <v>50</v>
      </c>
      <c r="BF231" s="104" t="str">
        <f ca="1">LEFT(CELL("filename",A216),_05preva_view43[[#This Row],[Find Process &amp; Database]]-1)</f>
        <v>D:\OneDrive - apollo-towers.com\Apollo Towers\00-</v>
      </c>
      <c r="BG231" s="104" t="str">
        <f ca="1">_05preva_view43[Folder Path1]&amp;"Process &amp; Database\Documentation\Colo Applications"</f>
        <v>D:\OneDrive - apollo-towers.com\Apollo Towers\00-Process &amp; Database\Documentation\Colo Applications</v>
      </c>
      <c r="BH23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1" s="63" t="str">
        <f ca="1">_05preva_view43[[#This Row],[Folder Path3]]&amp;_05preva_view43[[#This Row],[File Name]]</f>
        <v>D:\OneDrive - apollo-towers.com\Apollo Towers\00-Process &amp; Database\Documentation\Colo Applications\Colo App MPT\ACBA_0053 (YGN00594) Application Rev .xlsx</v>
      </c>
      <c r="BJ231" s="104"/>
      <c r="BK231" s="3"/>
      <c r="BL231" s="3"/>
      <c r="CJ231" s="5"/>
      <c r="CK231" s="5"/>
      <c r="CL231" s="3"/>
      <c r="CN231" s="5"/>
      <c r="CR231" s="3"/>
      <c r="CS231" s="3"/>
      <c r="CT231" s="5"/>
      <c r="CV231" s="3"/>
      <c r="DR231" s="5"/>
      <c r="DT231" s="3"/>
      <c r="EF231" s="7"/>
      <c r="EG231" s="7"/>
      <c r="EJ231" s="4"/>
      <c r="EK231" s="4"/>
      <c r="EU231" s="2"/>
      <c r="EV231" s="2"/>
    </row>
    <row r="232" spans="1:152">
      <c r="A232" s="287">
        <v>3386</v>
      </c>
      <c r="B232" s="288" t="s">
        <v>841</v>
      </c>
      <c r="C232" s="288" t="s">
        <v>116</v>
      </c>
      <c r="D232" s="288" t="s">
        <v>127</v>
      </c>
      <c r="E232" s="288" t="s">
        <v>842</v>
      </c>
      <c r="F232" s="288" t="s">
        <v>35</v>
      </c>
      <c r="G232" s="288" t="s">
        <v>1287</v>
      </c>
      <c r="H232" s="288" t="s">
        <v>1285</v>
      </c>
      <c r="I232" s="288" t="s">
        <v>790</v>
      </c>
      <c r="J232" s="288" t="s">
        <v>828</v>
      </c>
      <c r="K232" s="289">
        <v>43403</v>
      </c>
      <c r="L232" s="290"/>
      <c r="M232" s="290">
        <v>3.7669999999999999</v>
      </c>
      <c r="N232" s="288">
        <v>7.3760000000000003</v>
      </c>
      <c r="O232" s="288" t="s">
        <v>119</v>
      </c>
      <c r="P232" s="291" t="s">
        <v>655</v>
      </c>
      <c r="Q232" s="291" t="s">
        <v>669</v>
      </c>
      <c r="R232" s="288" t="s">
        <v>24</v>
      </c>
      <c r="S232" s="288"/>
      <c r="T232" s="292" t="s">
        <v>615</v>
      </c>
      <c r="U232" s="288"/>
      <c r="V232" s="292" t="s">
        <v>125</v>
      </c>
      <c r="W232" s="288" t="s">
        <v>1035</v>
      </c>
      <c r="X232" s="292" t="s">
        <v>120</v>
      </c>
      <c r="Y232" s="288" t="s">
        <v>843</v>
      </c>
      <c r="Z232" s="293" t="s">
        <v>120</v>
      </c>
      <c r="AA232" s="294"/>
      <c r="AB232" s="294"/>
      <c r="AC232" s="295" t="s">
        <v>123</v>
      </c>
      <c r="AD232" s="288" t="s">
        <v>844</v>
      </c>
      <c r="AE232" s="292" t="s">
        <v>120</v>
      </c>
      <c r="AF232" s="289" t="s">
        <v>1441</v>
      </c>
      <c r="AG232" s="296"/>
      <c r="AH232" s="296">
        <v>2</v>
      </c>
      <c r="AI232" s="288" t="s">
        <v>845</v>
      </c>
      <c r="AJ232" s="292" t="s">
        <v>120</v>
      </c>
      <c r="AK232" s="288"/>
      <c r="AL232" s="288"/>
      <c r="AM232" s="292"/>
      <c r="AN232" s="288"/>
      <c r="AO232" s="288"/>
      <c r="AP232" s="297"/>
      <c r="AQ232" s="288"/>
      <c r="AR232" s="292"/>
      <c r="AS232" s="288"/>
      <c r="AT232" s="289">
        <v>43417.622362962997</v>
      </c>
      <c r="AU232" s="289">
        <v>43451.370448148104</v>
      </c>
      <c r="AV232" s="289">
        <v>43417.6800903935</v>
      </c>
      <c r="AW232" s="289">
        <v>43431.631276157401</v>
      </c>
      <c r="AX232" s="289"/>
      <c r="AY232" s="289"/>
      <c r="AZ232" s="298">
        <v>43452.7045149306</v>
      </c>
      <c r="BA232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49.704514930599544</v>
      </c>
      <c r="BB232" s="300">
        <f>COUNTIFS(_05preva_view43[Site ID],_05preva_view43[[#This Row],[Site ID]],_05preva_view43[Prevalidation Status],"Under Prevalidation")</f>
        <v>0</v>
      </c>
      <c r="BC23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2" s="302" t="str">
        <f>CONCATENATE(_05preva_view43[[#This Row],[Site ID]]," (",_05preva_view43[[#This Row],[tenant id]],") Application",IF(_05preva_view43[[#This Row],[Colo Rev]]&gt;0," Rev "&amp;_05preva_view43[[#This Row],[Colo Rev]],""),".xlsx")</f>
        <v>ANSG_0463 (SGG00730) Application Rev .xlsx</v>
      </c>
      <c r="BE232" s="64">
        <f t="shared" ca="1" si="5"/>
        <v>50</v>
      </c>
      <c r="BF232" s="104" t="str">
        <f ca="1">LEFT(CELL("filename",A217),_05preva_view43[[#This Row],[Find Process &amp; Database]]-1)</f>
        <v>D:\OneDrive - apollo-towers.com\Apollo Towers\00-</v>
      </c>
      <c r="BG232" s="104" t="str">
        <f ca="1">_05preva_view43[Folder Path1]&amp;"Process &amp; Database\Documentation\Colo Applications"</f>
        <v>D:\OneDrive - apollo-towers.com\Apollo Towers\00-Process &amp; Database\Documentation\Colo Applications</v>
      </c>
      <c r="BH23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2" s="63" t="str">
        <f ca="1">_05preva_view43[[#This Row],[Folder Path3]]&amp;_05preva_view43[[#This Row],[File Name]]</f>
        <v>D:\OneDrive - apollo-towers.com\Apollo Towers\00-Process &amp; Database\Documentation\Colo Applications\Colo App MPT\ANSG_0463 (SGG00730) Application Rev .xlsx</v>
      </c>
      <c r="BJ232" s="104"/>
      <c r="BK232" s="3"/>
      <c r="BL232" s="3"/>
      <c r="CJ232" s="5"/>
      <c r="CK232" s="5"/>
      <c r="CL232" s="3"/>
      <c r="CN232" s="5"/>
      <c r="CR232" s="3"/>
      <c r="CS232" s="3"/>
      <c r="CT232" s="5"/>
      <c r="CV232" s="3"/>
      <c r="DR232" s="5"/>
      <c r="DT232" s="3"/>
      <c r="EF232" s="7"/>
      <c r="EG232" s="7"/>
      <c r="EJ232" s="4"/>
      <c r="EK232" s="4"/>
      <c r="EU232" s="2"/>
      <c r="EV232" s="2"/>
    </row>
    <row r="233" spans="1:152">
      <c r="A233" s="287">
        <v>3387</v>
      </c>
      <c r="B233" s="288" t="s">
        <v>846</v>
      </c>
      <c r="C233" s="288" t="s">
        <v>116</v>
      </c>
      <c r="D233" s="288" t="s">
        <v>127</v>
      </c>
      <c r="E233" s="288" t="s">
        <v>847</v>
      </c>
      <c r="F233" s="288" t="s">
        <v>35</v>
      </c>
      <c r="G233" s="288" t="s">
        <v>1287</v>
      </c>
      <c r="H233" s="288" t="s">
        <v>1285</v>
      </c>
      <c r="I233" s="288" t="s">
        <v>790</v>
      </c>
      <c r="J233" s="288" t="s">
        <v>828</v>
      </c>
      <c r="K233" s="289">
        <v>43403</v>
      </c>
      <c r="L233" s="290"/>
      <c r="M233" s="290">
        <v>3.9470000000000001</v>
      </c>
      <c r="N233" s="288">
        <v>8.8360000000000003</v>
      </c>
      <c r="O233" s="288" t="s">
        <v>119</v>
      </c>
      <c r="P233" s="291" t="s">
        <v>655</v>
      </c>
      <c r="Q233" s="291" t="s">
        <v>669</v>
      </c>
      <c r="R233" s="288" t="s">
        <v>24</v>
      </c>
      <c r="S233" s="288"/>
      <c r="T233" s="292" t="s">
        <v>615</v>
      </c>
      <c r="U233" s="288"/>
      <c r="V233" s="292" t="s">
        <v>120</v>
      </c>
      <c r="W233" s="288"/>
      <c r="X233" s="292" t="s">
        <v>120</v>
      </c>
      <c r="Y233" s="288" t="s">
        <v>848</v>
      </c>
      <c r="Z233" s="293" t="s">
        <v>120</v>
      </c>
      <c r="AA233" s="294"/>
      <c r="AB233" s="294"/>
      <c r="AC233" s="295" t="s">
        <v>123</v>
      </c>
      <c r="AD233" s="288" t="s">
        <v>849</v>
      </c>
      <c r="AE233" s="292" t="s">
        <v>120</v>
      </c>
      <c r="AF233" s="289" t="s">
        <v>1465</v>
      </c>
      <c r="AG233" s="296"/>
      <c r="AH233" s="296">
        <v>1</v>
      </c>
      <c r="AI233" s="288" t="s">
        <v>850</v>
      </c>
      <c r="AJ233" s="292" t="s">
        <v>120</v>
      </c>
      <c r="AK233" s="288"/>
      <c r="AL233" s="288"/>
      <c r="AM233" s="292"/>
      <c r="AN233" s="288"/>
      <c r="AO233" s="288"/>
      <c r="AP233" s="297"/>
      <c r="AQ233" s="288"/>
      <c r="AR233" s="292"/>
      <c r="AS233" s="288"/>
      <c r="AT233" s="289">
        <v>43417.622364004601</v>
      </c>
      <c r="AU233" s="289">
        <v>43451.370448958303</v>
      </c>
      <c r="AV233" s="289">
        <v>43417.680090972201</v>
      </c>
      <c r="AW233" s="289">
        <v>43431.631277662003</v>
      </c>
      <c r="AX233" s="289"/>
      <c r="AY233" s="289">
        <v>43417.684614814803</v>
      </c>
      <c r="AZ233" s="298">
        <v>43451.389656018502</v>
      </c>
      <c r="BA23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48.389656018502137</v>
      </c>
      <c r="BB233" s="300">
        <f>COUNTIFS(_05preva_view43[Site ID],_05preva_view43[[#This Row],[Site ID]],_05preva_view43[Prevalidation Status],"Under Prevalidation")</f>
        <v>0</v>
      </c>
      <c r="BC23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3" s="302" t="str">
        <f>CONCATENATE(_05preva_view43[[#This Row],[Site ID]]," (",_05preva_view43[[#This Row],[tenant id]],") Application",IF(_05preva_view43[[#This Row],[Colo Rev]]&gt;0," Rev "&amp;_05preva_view43[[#This Row],[Colo Rev]],""),".xlsx")</f>
        <v>ANSG_0485 (SGG00698) Application Rev .xlsx</v>
      </c>
      <c r="BE233" s="64">
        <f t="shared" ca="1" si="5"/>
        <v>50</v>
      </c>
      <c r="BF233" s="104" t="str">
        <f ca="1">LEFT(CELL("filename",A218),_05preva_view43[[#This Row],[Find Process &amp; Database]]-1)</f>
        <v>D:\OneDrive - apollo-towers.com\Apollo Towers\00-</v>
      </c>
      <c r="BG233" s="104" t="str">
        <f ca="1">_05preva_view43[Folder Path1]&amp;"Process &amp; Database\Documentation\Colo Applications"</f>
        <v>D:\OneDrive - apollo-towers.com\Apollo Towers\00-Process &amp; Database\Documentation\Colo Applications</v>
      </c>
      <c r="BH23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3" s="63" t="str">
        <f ca="1">_05preva_view43[[#This Row],[Folder Path3]]&amp;_05preva_view43[[#This Row],[File Name]]</f>
        <v>D:\OneDrive - apollo-towers.com\Apollo Towers\00-Process &amp; Database\Documentation\Colo Applications\Colo App MPT\ANSG_0485 (SGG00698) Application Rev .xlsx</v>
      </c>
      <c r="BJ233" s="104"/>
      <c r="BK233" s="3"/>
      <c r="BL233" s="3"/>
      <c r="CJ233" s="5"/>
      <c r="CK233" s="5"/>
      <c r="CL233" s="3"/>
      <c r="CN233" s="5"/>
      <c r="CR233" s="3"/>
      <c r="CS233" s="3"/>
      <c r="CT233" s="5"/>
      <c r="CV233" s="3"/>
      <c r="DR233" s="5"/>
      <c r="DT233" s="3"/>
      <c r="EF233" s="7"/>
      <c r="EG233" s="7"/>
      <c r="EJ233" s="4"/>
      <c r="EK233" s="4"/>
      <c r="EU233" s="2"/>
      <c r="EV233" s="2"/>
    </row>
    <row r="234" spans="1:152">
      <c r="A234" s="287">
        <v>3388</v>
      </c>
      <c r="B234" s="288" t="s">
        <v>665</v>
      </c>
      <c r="C234" s="288" t="s">
        <v>116</v>
      </c>
      <c r="D234" s="288" t="s">
        <v>127</v>
      </c>
      <c r="E234" s="288" t="s">
        <v>666</v>
      </c>
      <c r="F234" s="288" t="s">
        <v>35</v>
      </c>
      <c r="G234" s="288" t="s">
        <v>1287</v>
      </c>
      <c r="H234" s="288" t="s">
        <v>1285</v>
      </c>
      <c r="I234" s="288" t="s">
        <v>798</v>
      </c>
      <c r="J234" s="288" t="s">
        <v>828</v>
      </c>
      <c r="K234" s="289">
        <v>43403</v>
      </c>
      <c r="L234" s="290"/>
      <c r="M234" s="290">
        <v>1.653</v>
      </c>
      <c r="N234" s="288">
        <v>7.9</v>
      </c>
      <c r="O234" s="288" t="s">
        <v>119</v>
      </c>
      <c r="P234" s="291" t="s">
        <v>655</v>
      </c>
      <c r="Q234" s="291" t="s">
        <v>669</v>
      </c>
      <c r="R234" s="288" t="s">
        <v>24</v>
      </c>
      <c r="S234" s="288"/>
      <c r="T234" s="292" t="s">
        <v>615</v>
      </c>
      <c r="U234" s="288"/>
      <c r="V234" s="292" t="s">
        <v>615</v>
      </c>
      <c r="W234" s="288"/>
      <c r="X234" s="292" t="s">
        <v>120</v>
      </c>
      <c r="Y234" s="288" t="s">
        <v>851</v>
      </c>
      <c r="Z234" s="293" t="s">
        <v>120</v>
      </c>
      <c r="AA234" s="294"/>
      <c r="AB234" s="294"/>
      <c r="AC234" s="295" t="s">
        <v>123</v>
      </c>
      <c r="AD234" s="288" t="s">
        <v>852</v>
      </c>
      <c r="AE234" s="292" t="s">
        <v>120</v>
      </c>
      <c r="AF234" s="289" t="s">
        <v>853</v>
      </c>
      <c r="AG234" s="296"/>
      <c r="AH234" s="296"/>
      <c r="AI234" s="288" t="s">
        <v>854</v>
      </c>
      <c r="AJ234" s="292"/>
      <c r="AK234" s="288"/>
      <c r="AL234" s="288"/>
      <c r="AM234" s="292"/>
      <c r="AN234" s="288"/>
      <c r="AO234" s="288"/>
      <c r="AP234" s="297"/>
      <c r="AQ234" s="288"/>
      <c r="AR234" s="292"/>
      <c r="AS234" s="288"/>
      <c r="AT234" s="289"/>
      <c r="AU234" s="289">
        <v>43453.379129629597</v>
      </c>
      <c r="AV234" s="289"/>
      <c r="AW234" s="289"/>
      <c r="AX234" s="289"/>
      <c r="AY234" s="289"/>
      <c r="AZ234" s="298">
        <v>43403</v>
      </c>
      <c r="BA23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4" s="300">
        <f>COUNTIFS(_05preva_view43[Site ID],_05preva_view43[[#This Row],[Site ID]],_05preva_view43[Prevalidation Status],"Under Prevalidation")</f>
        <v>0</v>
      </c>
      <c r="BC23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4" s="30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.xlsx</v>
      </c>
      <c r="BE234" s="64">
        <f t="shared" ca="1" si="5"/>
        <v>50</v>
      </c>
      <c r="BF234" s="104" t="str">
        <f ca="1">LEFT(CELL("filename",A219),_05preva_view43[[#This Row],[Find Process &amp; Database]]-1)</f>
        <v>D:\OneDrive - apollo-towers.com\Apollo Towers\00-</v>
      </c>
      <c r="BG234" s="104" t="str">
        <f ca="1">_05preva_view43[Folder Path1]&amp;"Process &amp; Database\Documentation\Colo Applications"</f>
        <v>D:\OneDrive - apollo-towers.com\Apollo Towers\00-Process &amp; Database\Documentation\Colo Applications</v>
      </c>
      <c r="BH23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4" s="63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.xlsx</v>
      </c>
      <c r="BJ234" s="104"/>
      <c r="BK234" s="3"/>
      <c r="BL234" s="3"/>
      <c r="CJ234" s="5"/>
      <c r="CK234" s="5"/>
      <c r="CL234" s="3"/>
      <c r="CN234" s="5"/>
      <c r="CR234" s="3"/>
      <c r="CS234" s="3"/>
      <c r="CT234" s="5"/>
      <c r="CV234" s="3"/>
      <c r="DR234" s="5"/>
      <c r="DT234" s="3"/>
      <c r="EF234" s="7"/>
      <c r="EG234" s="7"/>
      <c r="EJ234" s="4"/>
      <c r="EK234" s="4"/>
      <c r="EU234" s="2"/>
      <c r="EV234" s="2"/>
    </row>
    <row r="235" spans="1:152">
      <c r="A235" s="287">
        <v>3389</v>
      </c>
      <c r="B235" s="288" t="s">
        <v>855</v>
      </c>
      <c r="C235" s="288" t="s">
        <v>278</v>
      </c>
      <c r="D235" s="288" t="s">
        <v>127</v>
      </c>
      <c r="E235" s="288" t="s">
        <v>856</v>
      </c>
      <c r="F235" s="288" t="s">
        <v>35</v>
      </c>
      <c r="G235" s="288" t="s">
        <v>1292</v>
      </c>
      <c r="H235" s="288" t="s">
        <v>1285</v>
      </c>
      <c r="I235" s="288" t="s">
        <v>857</v>
      </c>
      <c r="J235" s="288" t="s">
        <v>686</v>
      </c>
      <c r="K235" s="289">
        <v>43403</v>
      </c>
      <c r="L235" s="290"/>
      <c r="M235" s="290">
        <v>1.9119999999999999</v>
      </c>
      <c r="N235" s="288">
        <v>3.88</v>
      </c>
      <c r="O235" s="288" t="s">
        <v>687</v>
      </c>
      <c r="P235" s="291" t="s">
        <v>858</v>
      </c>
      <c r="Q235" s="291" t="s">
        <v>859</v>
      </c>
      <c r="R235" s="288" t="s">
        <v>24</v>
      </c>
      <c r="S235" s="288"/>
      <c r="T235" s="292" t="s">
        <v>615</v>
      </c>
      <c r="U235" s="288"/>
      <c r="V235" s="292" t="s">
        <v>615</v>
      </c>
      <c r="W235" s="288"/>
      <c r="X235" s="292" t="s">
        <v>120</v>
      </c>
      <c r="Y235" s="288" t="s">
        <v>860</v>
      </c>
      <c r="Z235" s="293" t="s">
        <v>120</v>
      </c>
      <c r="AA235" s="294"/>
      <c r="AB235" s="294"/>
      <c r="AC235" s="295" t="s">
        <v>123</v>
      </c>
      <c r="AD235" s="288" t="s">
        <v>861</v>
      </c>
      <c r="AE235" s="292" t="s">
        <v>125</v>
      </c>
      <c r="AF235" s="289"/>
      <c r="AG235" s="296"/>
      <c r="AH235" s="296"/>
      <c r="AI235" s="288" t="s">
        <v>835</v>
      </c>
      <c r="AJ235" s="292" t="s">
        <v>615</v>
      </c>
      <c r="AK235" s="288"/>
      <c r="AL235" s="288"/>
      <c r="AM235" s="292"/>
      <c r="AN235" s="288"/>
      <c r="AO235" s="288"/>
      <c r="AP235" s="297"/>
      <c r="AQ235" s="288"/>
      <c r="AR235" s="292"/>
      <c r="AS235" s="288"/>
      <c r="AT235" s="289"/>
      <c r="AU235" s="289"/>
      <c r="AV235" s="289"/>
      <c r="AW235" s="289"/>
      <c r="AX235" s="289"/>
      <c r="AY235" s="289"/>
      <c r="AZ235" s="298">
        <v>43403</v>
      </c>
      <c r="BA23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5" s="300">
        <f>COUNTIFS(_05preva_view43[Site ID],_05preva_view43[[#This Row],[Site ID]],_05preva_view43[Prevalidation Status],"Under Prevalidation")</f>
        <v>0</v>
      </c>
      <c r="BC23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1-01-05018-006 (SGG00198) Application Rev 2.xlsx</v>
      </c>
      <c r="BE235" s="64">
        <f t="shared" ca="1" si="5"/>
        <v>50</v>
      </c>
      <c r="BF235" s="104" t="str">
        <f ca="1">LEFT(CELL("filename",A220),_05preva_view43[[#This Row],[Find Process &amp; Database]]-1)</f>
        <v>D:\OneDrive - apollo-towers.com\Apollo Towers\00-</v>
      </c>
      <c r="BG235" s="104" t="str">
        <f ca="1">_05preva_view43[Folder Path1]&amp;"Process &amp; Database\Documentation\Colo Applications"</f>
        <v>D:\OneDrive - apollo-towers.com\Apollo Towers\00-Process &amp; Database\Documentation\Colo Applications</v>
      </c>
      <c r="BH23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5" s="63" t="str">
        <f ca="1">_05preva_view43[[#This Row],[Folder Path3]]&amp;_05preva_view43[[#This Row],[File Name]]</f>
        <v>D:\OneDrive - apollo-towers.com\Apollo Towers\00-Process &amp; Database\Documentation\Colo Applications\Colo App MPT\1-01-05018-006 (SGG00198) Application Rev 2.xlsx</v>
      </c>
      <c r="BJ235" s="104"/>
      <c r="BK235" s="3"/>
      <c r="BL235" s="3"/>
      <c r="CJ235" s="5"/>
      <c r="CK235" s="5"/>
      <c r="CL235" s="3"/>
      <c r="CN235" s="5"/>
      <c r="CR235" s="3"/>
      <c r="CS235" s="3"/>
      <c r="CT235" s="5"/>
      <c r="CV235" s="3"/>
      <c r="DR235" s="5"/>
      <c r="DT235" s="3"/>
      <c r="EF235" s="7"/>
      <c r="EG235" s="7"/>
      <c r="EJ235" s="4"/>
      <c r="EK235" s="4"/>
      <c r="EU235" s="2"/>
      <c r="EV235" s="2"/>
    </row>
    <row r="236" spans="1:152">
      <c r="A236" s="287">
        <v>3381</v>
      </c>
      <c r="B236" s="288" t="s">
        <v>822</v>
      </c>
      <c r="C236" s="288" t="s">
        <v>278</v>
      </c>
      <c r="D236" s="288" t="s">
        <v>117</v>
      </c>
      <c r="E236" s="288" t="s">
        <v>823</v>
      </c>
      <c r="F236" s="288" t="s">
        <v>35</v>
      </c>
      <c r="G236" s="288" t="s">
        <v>1292</v>
      </c>
      <c r="H236" s="288" t="s">
        <v>1285</v>
      </c>
      <c r="I236" s="288" t="s">
        <v>798</v>
      </c>
      <c r="J236" s="288" t="s">
        <v>668</v>
      </c>
      <c r="K236" s="289">
        <v>43402</v>
      </c>
      <c r="L236" s="290"/>
      <c r="M236" s="290">
        <v>2.5</v>
      </c>
      <c r="N236" s="288">
        <v>3.52</v>
      </c>
      <c r="O236" s="288" t="s">
        <v>687</v>
      </c>
      <c r="P236" s="291" t="s">
        <v>695</v>
      </c>
      <c r="Q236" s="291" t="s">
        <v>696</v>
      </c>
      <c r="R236" s="288" t="s">
        <v>24</v>
      </c>
      <c r="S236" s="288"/>
      <c r="T236" s="292" t="s">
        <v>615</v>
      </c>
      <c r="U236" s="288"/>
      <c r="V236" s="292" t="s">
        <v>615</v>
      </c>
      <c r="W236" s="288"/>
      <c r="X236" s="292" t="s">
        <v>120</v>
      </c>
      <c r="Y236" s="288" t="s">
        <v>824</v>
      </c>
      <c r="Z236" s="293" t="s">
        <v>120</v>
      </c>
      <c r="AA236" s="294"/>
      <c r="AB236" s="294"/>
      <c r="AC236" s="295" t="s">
        <v>123</v>
      </c>
      <c r="AD236" s="288" t="s">
        <v>825</v>
      </c>
      <c r="AE236" s="292" t="s">
        <v>615</v>
      </c>
      <c r="AF236" s="289"/>
      <c r="AG236" s="296"/>
      <c r="AH236" s="296"/>
      <c r="AI236" s="288"/>
      <c r="AJ236" s="292" t="s">
        <v>615</v>
      </c>
      <c r="AK236" s="288"/>
      <c r="AL236" s="288"/>
      <c r="AM236" s="292"/>
      <c r="AN236" s="288"/>
      <c r="AO236" s="288"/>
      <c r="AP236" s="297"/>
      <c r="AQ236" s="288"/>
      <c r="AR236" s="292"/>
      <c r="AS236" s="288"/>
      <c r="AT236" s="289"/>
      <c r="AU236" s="289"/>
      <c r="AV236" s="289"/>
      <c r="AW236" s="289"/>
      <c r="AX236" s="289"/>
      <c r="AY236" s="289"/>
      <c r="AZ236" s="298">
        <v>43402</v>
      </c>
      <c r="BA23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6" s="300">
        <f>COUNTIFS(_05preva_view43[Site ID],_05preva_view43[[#This Row],[Site ID]],_05preva_view43[Prevalidation Status],"Under Prevalidation")</f>
        <v>0</v>
      </c>
      <c r="BC23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6" s="302" t="str">
        <f>CONCATENATE(_05preva_view43[[#This Row],[Site ID]]," (",_05preva_view43[[#This Row],[tenant id]],") Application",IF(_05preva_view43[[#This Row],[Colo Rev]]&gt;0," Rev "&amp;_05preva_view43[[#This Row],[Colo Rev]],""),".xlsx")</f>
        <v>1-01-09008-001 (MGW00412) Application Rev 1.xlsx</v>
      </c>
      <c r="BE236" s="64">
        <f t="shared" ca="1" si="5"/>
        <v>50</v>
      </c>
      <c r="BF236" s="104" t="str">
        <f ca="1">LEFT(CELL("filename",A221),_05preva_view43[[#This Row],[Find Process &amp; Database]]-1)</f>
        <v>D:\OneDrive - apollo-towers.com\Apollo Towers\00-</v>
      </c>
      <c r="BG236" s="104" t="str">
        <f ca="1">_05preva_view43[Folder Path1]&amp;"Process &amp; Database\Documentation\Colo Applications"</f>
        <v>D:\OneDrive - apollo-towers.com\Apollo Towers\00-Process &amp; Database\Documentation\Colo Applications</v>
      </c>
      <c r="BH23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6" s="63" t="str">
        <f ca="1">_05preva_view43[[#This Row],[Folder Path3]]&amp;_05preva_view43[[#This Row],[File Name]]</f>
        <v>D:\OneDrive - apollo-towers.com\Apollo Towers\00-Process &amp; Database\Documentation\Colo Applications\Colo App MPT\1-01-09008-001 (MGW00412) Application Rev 1.xlsx</v>
      </c>
      <c r="BJ236" s="104"/>
      <c r="BK236" s="3"/>
      <c r="BL236" s="3"/>
      <c r="CJ236" s="5"/>
      <c r="CK236" s="5"/>
      <c r="CL236" s="3"/>
      <c r="CN236" s="5"/>
      <c r="CR236" s="3"/>
      <c r="CS236" s="3"/>
      <c r="CT236" s="5"/>
      <c r="CV236" s="3"/>
      <c r="DR236" s="5"/>
      <c r="DT236" s="3"/>
      <c r="EF236" s="7"/>
      <c r="EG236" s="7"/>
      <c r="EJ236" s="4"/>
      <c r="EK236" s="4"/>
      <c r="EU236" s="2"/>
      <c r="EV236" s="2"/>
    </row>
    <row r="237" spans="1:152">
      <c r="A237" s="287">
        <v>3375</v>
      </c>
      <c r="B237" s="288" t="s">
        <v>796</v>
      </c>
      <c r="C237" s="288" t="s">
        <v>278</v>
      </c>
      <c r="D237" s="288" t="s">
        <v>153</v>
      </c>
      <c r="E237" s="288" t="s">
        <v>797</v>
      </c>
      <c r="F237" s="288" t="s">
        <v>35</v>
      </c>
      <c r="G237" s="288" t="s">
        <v>1292</v>
      </c>
      <c r="H237" s="288" t="s">
        <v>1285</v>
      </c>
      <c r="I237" s="288" t="s">
        <v>798</v>
      </c>
      <c r="J237" s="288" t="s">
        <v>686</v>
      </c>
      <c r="K237" s="289">
        <v>43391</v>
      </c>
      <c r="L237" s="290"/>
      <c r="M237" s="290">
        <v>2.1</v>
      </c>
      <c r="N237" s="288">
        <v>2.5590000000000002</v>
      </c>
      <c r="O237" s="288" t="s">
        <v>687</v>
      </c>
      <c r="P237" s="291" t="s">
        <v>799</v>
      </c>
      <c r="Q237" s="291" t="s">
        <v>695</v>
      </c>
      <c r="R237" s="288" t="s">
        <v>24</v>
      </c>
      <c r="S237" s="288"/>
      <c r="T237" s="292" t="s">
        <v>615</v>
      </c>
      <c r="U237" s="288"/>
      <c r="V237" s="292" t="s">
        <v>615</v>
      </c>
      <c r="W237" s="288"/>
      <c r="X237" s="292" t="s">
        <v>120</v>
      </c>
      <c r="Y237" s="288" t="s">
        <v>800</v>
      </c>
      <c r="Z237" s="293" t="s">
        <v>120</v>
      </c>
      <c r="AA237" s="294"/>
      <c r="AB237" s="294"/>
      <c r="AC237" s="295" t="s">
        <v>123</v>
      </c>
      <c r="AD237" s="288" t="s">
        <v>801</v>
      </c>
      <c r="AE237" s="292" t="s">
        <v>615</v>
      </c>
      <c r="AF237" s="289"/>
      <c r="AG237" s="296"/>
      <c r="AH237" s="296"/>
      <c r="AI237" s="288"/>
      <c r="AJ237" s="292" t="s">
        <v>615</v>
      </c>
      <c r="AK237" s="288"/>
      <c r="AL237" s="288"/>
      <c r="AM237" s="292"/>
      <c r="AN237" s="288"/>
      <c r="AO237" s="288"/>
      <c r="AP237" s="297"/>
      <c r="AQ237" s="288"/>
      <c r="AR237" s="292"/>
      <c r="AS237" s="288"/>
      <c r="AT237" s="289"/>
      <c r="AU237" s="289"/>
      <c r="AV237" s="289"/>
      <c r="AW237" s="289"/>
      <c r="AX237" s="289"/>
      <c r="AY237" s="289"/>
      <c r="AZ237" s="298">
        <v>43391</v>
      </c>
      <c r="BA23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7" s="300">
        <f>COUNTIFS(_05preva_view43[Site ID],_05preva_view43[[#This Row],[Site ID]],_05preva_view43[Prevalidation Status],"Under Prevalidation")</f>
        <v>0</v>
      </c>
      <c r="BC23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7" s="302" t="str">
        <f>CONCATENATE(_05preva_view43[[#This Row],[Site ID]]," (",_05preva_view43[[#This Row],[tenant id]],") Application",IF(_05preva_view43[[#This Row],[Colo Rev]]&gt;0," Rev "&amp;_05preva_view43[[#This Row],[Colo Rev]],""),".xlsx")</f>
        <v>1-01-11003-002 (MON00212) Application Rev 2.xlsx</v>
      </c>
      <c r="BE237" s="64">
        <f t="shared" ca="1" si="5"/>
        <v>50</v>
      </c>
      <c r="BF237" s="104" t="str">
        <f ca="1">LEFT(CELL("filename",A222),_05preva_view43[[#This Row],[Find Process &amp; Database]]-1)</f>
        <v>D:\OneDrive - apollo-towers.com\Apollo Towers\00-</v>
      </c>
      <c r="BG237" s="104" t="str">
        <f ca="1">_05preva_view43[Folder Path1]&amp;"Process &amp; Database\Documentation\Colo Applications"</f>
        <v>D:\OneDrive - apollo-towers.com\Apollo Towers\00-Process &amp; Database\Documentation\Colo Applications</v>
      </c>
      <c r="BH23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7" s="63" t="str">
        <f ca="1">_05preva_view43[[#This Row],[Folder Path3]]&amp;_05preva_view43[[#This Row],[File Name]]</f>
        <v>D:\OneDrive - apollo-towers.com\Apollo Towers\00-Process &amp; Database\Documentation\Colo Applications\Colo App MPT\1-01-11003-002 (MON00212) Application Rev 2.xlsx</v>
      </c>
      <c r="BJ237" s="104"/>
      <c r="BK237" s="3"/>
      <c r="BL237" s="3"/>
      <c r="CJ237" s="5"/>
      <c r="CK237" s="5"/>
      <c r="CL237" s="3"/>
      <c r="CN237" s="5"/>
      <c r="CR237" s="3"/>
      <c r="CS237" s="3"/>
      <c r="CT237" s="5"/>
      <c r="CV237" s="3"/>
      <c r="DR237" s="5"/>
      <c r="DT237" s="3"/>
      <c r="EF237" s="7"/>
      <c r="EG237" s="7"/>
      <c r="EJ237" s="4"/>
      <c r="EK237" s="4"/>
      <c r="EU237" s="2"/>
      <c r="EV237" s="2"/>
    </row>
    <row r="238" spans="1:152">
      <c r="A238" s="287">
        <v>3377</v>
      </c>
      <c r="B238" s="288" t="s">
        <v>802</v>
      </c>
      <c r="C238" s="288" t="s">
        <v>278</v>
      </c>
      <c r="D238" s="288" t="s">
        <v>117</v>
      </c>
      <c r="E238" s="288" t="s">
        <v>803</v>
      </c>
      <c r="F238" s="288" t="s">
        <v>35</v>
      </c>
      <c r="G238" s="288" t="s">
        <v>1292</v>
      </c>
      <c r="H238" s="288" t="s">
        <v>1285</v>
      </c>
      <c r="I238" s="288" t="s">
        <v>785</v>
      </c>
      <c r="J238" s="288" t="s">
        <v>727</v>
      </c>
      <c r="K238" s="289">
        <v>43391</v>
      </c>
      <c r="L238" s="290"/>
      <c r="M238" s="290">
        <v>2.7</v>
      </c>
      <c r="N238" s="288">
        <v>3.5030000000000001</v>
      </c>
      <c r="O238" s="288" t="s">
        <v>687</v>
      </c>
      <c r="P238" s="291" t="s">
        <v>508</v>
      </c>
      <c r="Q238" s="291" t="s">
        <v>509</v>
      </c>
      <c r="R238" s="288" t="s">
        <v>24</v>
      </c>
      <c r="S238" s="288"/>
      <c r="T238" s="292" t="s">
        <v>615</v>
      </c>
      <c r="U238" s="288"/>
      <c r="V238" s="292" t="s">
        <v>615</v>
      </c>
      <c r="W238" s="288"/>
      <c r="X238" s="292" t="s">
        <v>120</v>
      </c>
      <c r="Y238" s="288" t="s">
        <v>804</v>
      </c>
      <c r="Z238" s="293" t="s">
        <v>120</v>
      </c>
      <c r="AA238" s="294"/>
      <c r="AB238" s="294"/>
      <c r="AC238" s="295" t="s">
        <v>123</v>
      </c>
      <c r="AD238" s="288" t="s">
        <v>805</v>
      </c>
      <c r="AE238" s="292" t="s">
        <v>615</v>
      </c>
      <c r="AF238" s="289"/>
      <c r="AG238" s="296"/>
      <c r="AH238" s="296"/>
      <c r="AI238" s="288"/>
      <c r="AJ238" s="292" t="s">
        <v>615</v>
      </c>
      <c r="AK238" s="288"/>
      <c r="AL238" s="288"/>
      <c r="AM238" s="292"/>
      <c r="AN238" s="288"/>
      <c r="AO238" s="288"/>
      <c r="AP238" s="297"/>
      <c r="AQ238" s="288"/>
      <c r="AR238" s="292"/>
      <c r="AS238" s="288"/>
      <c r="AT238" s="289"/>
      <c r="AU238" s="289"/>
      <c r="AV238" s="289"/>
      <c r="AW238" s="289"/>
      <c r="AX238" s="289"/>
      <c r="AY238" s="289"/>
      <c r="AZ238" s="298">
        <v>43391</v>
      </c>
      <c r="BA23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8" s="300">
        <f>COUNTIFS(_05preva_view43[Site ID],_05preva_view43[[#This Row],[Site ID]],_05preva_view43[Prevalidation Status],"Under Prevalidation")</f>
        <v>0</v>
      </c>
      <c r="BC23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8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1-01-14001-015 (SHS00057) Application Rev 3.xlsx</v>
      </c>
      <c r="BE238" s="64">
        <f t="shared" ca="1" si="5"/>
        <v>50</v>
      </c>
      <c r="BF238" s="104" t="str">
        <f ca="1">LEFT(CELL("filename",A223),_05preva_view43[[#This Row],[Find Process &amp; Database]]-1)</f>
        <v>D:\OneDrive - apollo-towers.com\Apollo Towers\00-</v>
      </c>
      <c r="BG238" s="104" t="str">
        <f ca="1">_05preva_view43[Folder Path1]&amp;"Process &amp; Database\Documentation\Colo Applications"</f>
        <v>D:\OneDrive - apollo-towers.com\Apollo Towers\00-Process &amp; Database\Documentation\Colo Applications</v>
      </c>
      <c r="BH23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8" s="63" t="str">
        <f ca="1">_05preva_view43[[#This Row],[Folder Path3]]&amp;_05preva_view43[[#This Row],[File Name]]</f>
        <v>D:\OneDrive - apollo-towers.com\Apollo Towers\00-Process &amp; Database\Documentation\Colo Applications\Colo App MPT\1-01-14001-015 (SHS00057) Application Rev 3.xlsx</v>
      </c>
      <c r="BJ238" s="104"/>
      <c r="BK238" s="3"/>
      <c r="BL238" s="3"/>
      <c r="CJ238" s="5"/>
      <c r="CK238" s="5"/>
      <c r="CL238" s="3"/>
      <c r="CN238" s="5"/>
      <c r="CR238" s="3"/>
      <c r="CS238" s="3"/>
      <c r="CT238" s="5"/>
      <c r="CV238" s="3"/>
      <c r="DR238" s="5"/>
      <c r="DT238" s="3"/>
      <c r="EF238" s="7"/>
      <c r="EG238" s="7"/>
      <c r="EJ238" s="4"/>
      <c r="EK238" s="4"/>
      <c r="EU238" s="2"/>
      <c r="EV238" s="2"/>
    </row>
    <row r="239" spans="1:152">
      <c r="A239" s="287">
        <v>3378</v>
      </c>
      <c r="B239" s="288" t="s">
        <v>806</v>
      </c>
      <c r="C239" s="288" t="s">
        <v>278</v>
      </c>
      <c r="D239" s="288" t="s">
        <v>153</v>
      </c>
      <c r="E239" s="288" t="s">
        <v>807</v>
      </c>
      <c r="F239" s="288" t="s">
        <v>35</v>
      </c>
      <c r="G239" s="288" t="s">
        <v>1292</v>
      </c>
      <c r="H239" s="288" t="s">
        <v>1285</v>
      </c>
      <c r="I239" s="288" t="s">
        <v>785</v>
      </c>
      <c r="J239" s="288" t="s">
        <v>727</v>
      </c>
      <c r="K239" s="289">
        <v>43391</v>
      </c>
      <c r="L239" s="290"/>
      <c r="M239" s="290">
        <v>2.7</v>
      </c>
      <c r="N239" s="288">
        <v>3.141</v>
      </c>
      <c r="O239" s="288" t="s">
        <v>687</v>
      </c>
      <c r="P239" s="291" t="s">
        <v>808</v>
      </c>
      <c r="Q239" s="291" t="s">
        <v>809</v>
      </c>
      <c r="R239" s="288" t="s">
        <v>24</v>
      </c>
      <c r="S239" s="288"/>
      <c r="T239" s="292" t="s">
        <v>615</v>
      </c>
      <c r="U239" s="288"/>
      <c r="V239" s="292" t="s">
        <v>615</v>
      </c>
      <c r="W239" s="288"/>
      <c r="X239" s="292" t="s">
        <v>120</v>
      </c>
      <c r="Y239" s="288" t="s">
        <v>810</v>
      </c>
      <c r="Z239" s="293" t="s">
        <v>120</v>
      </c>
      <c r="AA239" s="294"/>
      <c r="AB239" s="294"/>
      <c r="AC239" s="295" t="s">
        <v>123</v>
      </c>
      <c r="AD239" s="288" t="s">
        <v>811</v>
      </c>
      <c r="AE239" s="292" t="s">
        <v>615</v>
      </c>
      <c r="AF239" s="289"/>
      <c r="AG239" s="296"/>
      <c r="AH239" s="296"/>
      <c r="AI239" s="288"/>
      <c r="AJ239" s="292" t="s">
        <v>615</v>
      </c>
      <c r="AK239" s="288"/>
      <c r="AL239" s="288"/>
      <c r="AM239" s="292"/>
      <c r="AN239" s="288"/>
      <c r="AO239" s="288"/>
      <c r="AP239" s="297"/>
      <c r="AQ239" s="288"/>
      <c r="AR239" s="292"/>
      <c r="AS239" s="288"/>
      <c r="AT239" s="289"/>
      <c r="AU239" s="289"/>
      <c r="AV239" s="289"/>
      <c r="AW239" s="289"/>
      <c r="AX239" s="289"/>
      <c r="AY239" s="289"/>
      <c r="AZ239" s="298">
        <v>43391</v>
      </c>
      <c r="BA23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39" s="300">
        <f>COUNTIFS(_05preva_view43[Site ID],_05preva_view43[[#This Row],[Site ID]],_05preva_view43[Prevalidation Status],"Under Prevalidation")</f>
        <v>0</v>
      </c>
      <c r="BC23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39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1-01-06002-003 (TNY00206) Application Rev 3.xlsx</v>
      </c>
      <c r="BE239" s="64">
        <f t="shared" ca="1" si="5"/>
        <v>50</v>
      </c>
      <c r="BF239" s="104" t="str">
        <f ca="1">LEFT(CELL("filename",A224),_05preva_view43[[#This Row],[Find Process &amp; Database]]-1)</f>
        <v>D:\OneDrive - apollo-towers.com\Apollo Towers\00-</v>
      </c>
      <c r="BG239" s="104" t="str">
        <f ca="1">_05preva_view43[Folder Path1]&amp;"Process &amp; Database\Documentation\Colo Applications"</f>
        <v>D:\OneDrive - apollo-towers.com\Apollo Towers\00-Process &amp; Database\Documentation\Colo Applications</v>
      </c>
      <c r="BH23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39" s="63" t="str">
        <f ca="1">_05preva_view43[[#This Row],[Folder Path3]]&amp;_05preva_view43[[#This Row],[File Name]]</f>
        <v>D:\OneDrive - apollo-towers.com\Apollo Towers\00-Process &amp; Database\Documentation\Colo Applications\Colo App MPT\1-01-06002-003 (TNY00206) Application Rev 3.xlsx</v>
      </c>
      <c r="BJ239" s="104"/>
      <c r="BK239" s="3"/>
      <c r="BL239" s="3"/>
      <c r="CJ239" s="5"/>
      <c r="CK239" s="5"/>
      <c r="CL239" s="3"/>
      <c r="CN239" s="5"/>
      <c r="CR239" s="3"/>
      <c r="CS239" s="3"/>
      <c r="CT239" s="5"/>
      <c r="CV239" s="3"/>
      <c r="DR239" s="5"/>
      <c r="DT239" s="3"/>
      <c r="EF239" s="7"/>
      <c r="EG239" s="7"/>
      <c r="EJ239" s="4"/>
      <c r="EK239" s="4"/>
      <c r="EU239" s="2"/>
      <c r="EV239" s="2"/>
    </row>
    <row r="240" spans="1:152">
      <c r="A240" s="287">
        <v>3379</v>
      </c>
      <c r="B240" s="288" t="s">
        <v>812</v>
      </c>
      <c r="C240" s="288" t="s">
        <v>116</v>
      </c>
      <c r="D240" s="288" t="s">
        <v>127</v>
      </c>
      <c r="E240" s="288" t="s">
        <v>813</v>
      </c>
      <c r="F240" s="288" t="s">
        <v>35</v>
      </c>
      <c r="G240" s="288" t="s">
        <v>1287</v>
      </c>
      <c r="H240" s="288" t="s">
        <v>1285</v>
      </c>
      <c r="I240" s="288" t="s">
        <v>814</v>
      </c>
      <c r="J240" s="288" t="s">
        <v>686</v>
      </c>
      <c r="K240" s="289">
        <v>43391</v>
      </c>
      <c r="L240" s="290"/>
      <c r="M240" s="290">
        <v>1.4</v>
      </c>
      <c r="N240" s="288">
        <v>2.746</v>
      </c>
      <c r="O240" s="288" t="s">
        <v>687</v>
      </c>
      <c r="P240" s="291" t="s">
        <v>292</v>
      </c>
      <c r="Q240" s="291" t="s">
        <v>234</v>
      </c>
      <c r="R240" s="288" t="s">
        <v>24</v>
      </c>
      <c r="S240" s="288"/>
      <c r="T240" s="292" t="s">
        <v>615</v>
      </c>
      <c r="U240" s="288"/>
      <c r="V240" s="292" t="s">
        <v>615</v>
      </c>
      <c r="W240" s="288"/>
      <c r="X240" s="292" t="s">
        <v>120</v>
      </c>
      <c r="Y240" s="288" t="s">
        <v>815</v>
      </c>
      <c r="Z240" s="293" t="s">
        <v>120</v>
      </c>
      <c r="AA240" s="294"/>
      <c r="AB240" s="294"/>
      <c r="AC240" s="295" t="s">
        <v>123</v>
      </c>
      <c r="AD240" s="288" t="s">
        <v>816</v>
      </c>
      <c r="AE240" s="292" t="s">
        <v>125</v>
      </c>
      <c r="AF240" s="289" t="s">
        <v>515</v>
      </c>
      <c r="AG240" s="296"/>
      <c r="AH240" s="296"/>
      <c r="AI240" s="288" t="s">
        <v>817</v>
      </c>
      <c r="AJ240" s="292"/>
      <c r="AK240" s="288"/>
      <c r="AL240" s="288"/>
      <c r="AM240" s="292"/>
      <c r="AN240" s="288"/>
      <c r="AO240" s="288"/>
      <c r="AP240" s="297"/>
      <c r="AQ240" s="288"/>
      <c r="AR240" s="292"/>
      <c r="AS240" s="288"/>
      <c r="AT240" s="289"/>
      <c r="AU240" s="289"/>
      <c r="AV240" s="289"/>
      <c r="AW240" s="289"/>
      <c r="AX240" s="289"/>
      <c r="AY240" s="289"/>
      <c r="AZ240" s="298">
        <v>43391</v>
      </c>
      <c r="BA24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0" s="300">
        <f>COUNTIFS(_05preva_view43[Site ID],_05preva_view43[[#This Row],[Site ID]],_05preva_view43[Prevalidation Status],"Under Prevalidation")</f>
        <v>0</v>
      </c>
      <c r="BC24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0" s="302" t="str">
        <f>CONCATENATE(_05preva_view43[[#This Row],[Site ID]]," (",_05preva_view43[[#This Row],[tenant id]],") Application",IF(_05preva_view43[[#This Row],[Colo Rev]]&gt;0," Rev "&amp;_05preva_view43[[#This Row],[Colo Rev]],""),".xlsx")</f>
        <v>ANMD_0132 (MDY00422) Application Rev 2.xlsx</v>
      </c>
      <c r="BE240" s="64">
        <f t="shared" ca="1" si="5"/>
        <v>50</v>
      </c>
      <c r="BF240" s="104" t="str">
        <f ca="1">LEFT(CELL("filename",A225),_05preva_view43[[#This Row],[Find Process &amp; Database]]-1)</f>
        <v>D:\OneDrive - apollo-towers.com\Apollo Towers\00-</v>
      </c>
      <c r="BG240" s="104" t="str">
        <f ca="1">_05preva_view43[Folder Path1]&amp;"Process &amp; Database\Documentation\Colo Applications"</f>
        <v>D:\OneDrive - apollo-towers.com\Apollo Towers\00-Process &amp; Database\Documentation\Colo Applications</v>
      </c>
      <c r="BH24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0" s="63" t="str">
        <f ca="1">_05preva_view43[[#This Row],[Folder Path3]]&amp;_05preva_view43[[#This Row],[File Name]]</f>
        <v>D:\OneDrive - apollo-towers.com\Apollo Towers\00-Process &amp; Database\Documentation\Colo Applications\Colo App MPT\ANMD_0132 (MDY00422) Application Rev 2.xlsx</v>
      </c>
      <c r="BJ240" s="104"/>
      <c r="BK240" s="3"/>
      <c r="BL240" s="3"/>
      <c r="CJ240" s="5"/>
      <c r="CK240" s="5"/>
      <c r="CL240" s="3"/>
      <c r="CN240" s="5"/>
      <c r="CR240" s="3"/>
      <c r="CS240" s="3"/>
      <c r="CT240" s="5"/>
      <c r="CV240" s="3"/>
      <c r="DR240" s="5"/>
      <c r="DT240" s="3"/>
      <c r="EF240" s="7"/>
      <c r="EG240" s="7"/>
      <c r="EJ240" s="4"/>
      <c r="EK240" s="4"/>
      <c r="EU240" s="2"/>
      <c r="EV240" s="2"/>
    </row>
    <row r="241" spans="1:152">
      <c r="A241" s="287">
        <v>3380</v>
      </c>
      <c r="B241" s="288" t="s">
        <v>218</v>
      </c>
      <c r="C241" s="288" t="s">
        <v>116</v>
      </c>
      <c r="D241" s="288" t="s">
        <v>127</v>
      </c>
      <c r="E241" s="288" t="s">
        <v>818</v>
      </c>
      <c r="F241" s="288" t="s">
        <v>35</v>
      </c>
      <c r="G241" s="288" t="s">
        <v>1287</v>
      </c>
      <c r="H241" s="288" t="s">
        <v>1285</v>
      </c>
      <c r="I241" s="288" t="s">
        <v>790</v>
      </c>
      <c r="J241" s="288" t="s">
        <v>686</v>
      </c>
      <c r="K241" s="289">
        <v>43391</v>
      </c>
      <c r="L241" s="290"/>
      <c r="M241" s="290">
        <v>3.86</v>
      </c>
      <c r="N241" s="288">
        <v>6.2549999999999999</v>
      </c>
      <c r="O241" s="288" t="s">
        <v>687</v>
      </c>
      <c r="P241" s="291" t="s">
        <v>221</v>
      </c>
      <c r="Q241" s="291" t="s">
        <v>705</v>
      </c>
      <c r="R241" s="288" t="s">
        <v>24</v>
      </c>
      <c r="S241" s="288"/>
      <c r="T241" s="292" t="s">
        <v>615</v>
      </c>
      <c r="U241" s="288"/>
      <c r="V241" s="292" t="s">
        <v>615</v>
      </c>
      <c r="W241" s="288"/>
      <c r="X241" s="292" t="s">
        <v>120</v>
      </c>
      <c r="Y241" s="288" t="s">
        <v>819</v>
      </c>
      <c r="Z241" s="293" t="s">
        <v>120</v>
      </c>
      <c r="AA241" s="294"/>
      <c r="AB241" s="294"/>
      <c r="AC241" s="295" t="s">
        <v>123</v>
      </c>
      <c r="AD241" s="288" t="s">
        <v>820</v>
      </c>
      <c r="AE241" s="292" t="s">
        <v>120</v>
      </c>
      <c r="AF241" s="289"/>
      <c r="AG241" s="296"/>
      <c r="AH241" s="296">
        <v>2</v>
      </c>
      <c r="AI241" s="288" t="s">
        <v>821</v>
      </c>
      <c r="AJ241" s="292"/>
      <c r="AK241" s="288"/>
      <c r="AL241" s="288"/>
      <c r="AM241" s="292"/>
      <c r="AN241" s="288"/>
      <c r="AO241" s="288"/>
      <c r="AP241" s="297"/>
      <c r="AQ241" s="288"/>
      <c r="AR241" s="292"/>
      <c r="AS241" s="288"/>
      <c r="AT241" s="289"/>
      <c r="AU241" s="289">
        <v>43453.379123958301</v>
      </c>
      <c r="AV241" s="289"/>
      <c r="AW241" s="289"/>
      <c r="AX241" s="289"/>
      <c r="AY241" s="289"/>
      <c r="AZ241" s="298">
        <v>43391</v>
      </c>
      <c r="BA24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1" s="300">
        <f>COUNTIFS(_05preva_view43[Site ID],_05preva_view43[[#This Row],[Site ID]],_05preva_view43[Prevalidation Status],"Under Prevalidation")</f>
        <v>0</v>
      </c>
      <c r="BC24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1" s="302" t="str">
        <f>CONCATENATE(_05preva_view43[[#This Row],[Site ID]]," (",_05preva_view43[[#This Row],[tenant id]],") Application",IF(_05preva_view43[[#This Row],[Colo Rev]]&gt;0," Rev "&amp;_05preva_view43[[#This Row],[Colo Rev]],""),".xlsx")</f>
        <v>ANSG_0343 (SGG00692) Application Rev 2.xlsx</v>
      </c>
      <c r="BE241" s="64">
        <f t="shared" ca="1" si="5"/>
        <v>50</v>
      </c>
      <c r="BF241" s="104" t="str">
        <f ca="1">LEFT(CELL("filename",A226),_05preva_view43[[#This Row],[Find Process &amp; Database]]-1)</f>
        <v>D:\OneDrive - apollo-towers.com\Apollo Towers\00-</v>
      </c>
      <c r="BG241" s="104" t="str">
        <f ca="1">_05preva_view43[Folder Path1]&amp;"Process &amp; Database\Documentation\Colo Applications"</f>
        <v>D:\OneDrive - apollo-towers.com\Apollo Towers\00-Process &amp; Database\Documentation\Colo Applications</v>
      </c>
      <c r="BH24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1" s="63" t="str">
        <f ca="1">_05preva_view43[[#This Row],[Folder Path3]]&amp;_05preva_view43[[#This Row],[File Name]]</f>
        <v>D:\OneDrive - apollo-towers.com\Apollo Towers\00-Process &amp; Database\Documentation\Colo Applications\Colo App MPT\ANSG_0343 (SGG00692) Application Rev 2.xlsx</v>
      </c>
      <c r="BJ241" s="104"/>
      <c r="BK241" s="3"/>
      <c r="BL241" s="3"/>
      <c r="CJ241" s="5"/>
      <c r="CK241" s="5"/>
      <c r="CL241" s="3"/>
      <c r="CN241" s="5"/>
      <c r="CR241" s="3"/>
      <c r="CS241" s="3"/>
      <c r="CT241" s="5"/>
      <c r="CV241" s="3"/>
      <c r="DR241" s="5"/>
      <c r="DT241" s="3"/>
      <c r="EF241" s="7"/>
      <c r="EG241" s="7"/>
      <c r="EJ241" s="4"/>
      <c r="EK241" s="4"/>
      <c r="EU241" s="2"/>
      <c r="EV241" s="2"/>
    </row>
    <row r="242" spans="1:152">
      <c r="A242" s="287">
        <v>3372</v>
      </c>
      <c r="B242" s="288" t="s">
        <v>783</v>
      </c>
      <c r="C242" s="288" t="s">
        <v>278</v>
      </c>
      <c r="D242" s="288" t="s">
        <v>127</v>
      </c>
      <c r="E242" s="288" t="s">
        <v>784</v>
      </c>
      <c r="F242" s="288" t="s">
        <v>35</v>
      </c>
      <c r="G242" s="288" t="s">
        <v>1292</v>
      </c>
      <c r="H242" s="288" t="s">
        <v>1285</v>
      </c>
      <c r="I242" s="288" t="s">
        <v>785</v>
      </c>
      <c r="J242" s="288" t="s">
        <v>686</v>
      </c>
      <c r="K242" s="289">
        <v>43389</v>
      </c>
      <c r="L242" s="290"/>
      <c r="M242" s="290">
        <v>4.0149999999999997</v>
      </c>
      <c r="N242" s="288">
        <v>3.3119999999999998</v>
      </c>
      <c r="O242" s="288" t="s">
        <v>687</v>
      </c>
      <c r="P242" s="291" t="s">
        <v>508</v>
      </c>
      <c r="Q242" s="291" t="s">
        <v>509</v>
      </c>
      <c r="R242" s="288" t="s">
        <v>24</v>
      </c>
      <c r="S242" s="288"/>
      <c r="T242" s="292" t="s">
        <v>615</v>
      </c>
      <c r="U242" s="288"/>
      <c r="V242" s="292" t="s">
        <v>615</v>
      </c>
      <c r="W242" s="288"/>
      <c r="X242" s="292" t="s">
        <v>120</v>
      </c>
      <c r="Y242" s="288" t="s">
        <v>786</v>
      </c>
      <c r="Z242" s="293" t="s">
        <v>120</v>
      </c>
      <c r="AA242" s="294"/>
      <c r="AB242" s="294"/>
      <c r="AC242" s="295" t="s">
        <v>123</v>
      </c>
      <c r="AD242" s="288" t="s">
        <v>787</v>
      </c>
      <c r="AE242" s="292" t="s">
        <v>615</v>
      </c>
      <c r="AF242" s="289"/>
      <c r="AG242" s="296"/>
      <c r="AH242" s="296"/>
      <c r="AI242" s="288"/>
      <c r="AJ242" s="292" t="s">
        <v>615</v>
      </c>
      <c r="AK242" s="288"/>
      <c r="AL242" s="288"/>
      <c r="AM242" s="292"/>
      <c r="AN242" s="288"/>
      <c r="AO242" s="288"/>
      <c r="AP242" s="297"/>
      <c r="AQ242" s="288"/>
      <c r="AR242" s="292"/>
      <c r="AS242" s="288"/>
      <c r="AT242" s="289"/>
      <c r="AU242" s="289"/>
      <c r="AV242" s="289"/>
      <c r="AW242" s="289"/>
      <c r="AX242" s="289"/>
      <c r="AY242" s="289"/>
      <c r="AZ242" s="298">
        <v>43389</v>
      </c>
      <c r="BA24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2" s="300">
        <f>COUNTIFS(_05preva_view43[Site ID],_05preva_view43[[#This Row],[Site ID]],_05preva_view43[Prevalidation Status],"Under Prevalidation")</f>
        <v>0</v>
      </c>
      <c r="BC24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2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1-01-05027-009 (SGG00227) Application Rev 2.xlsx</v>
      </c>
      <c r="BE242" s="64">
        <f t="shared" ca="1" si="5"/>
        <v>50</v>
      </c>
      <c r="BF242" s="104" t="str">
        <f ca="1">LEFT(CELL("filename",A227),_05preva_view43[[#This Row],[Find Process &amp; Database]]-1)</f>
        <v>D:\OneDrive - apollo-towers.com\Apollo Towers\00-</v>
      </c>
      <c r="BG242" s="104" t="str">
        <f ca="1">_05preva_view43[Folder Path1]&amp;"Process &amp; Database\Documentation\Colo Applications"</f>
        <v>D:\OneDrive - apollo-towers.com\Apollo Towers\00-Process &amp; Database\Documentation\Colo Applications</v>
      </c>
      <c r="BH24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2" s="63" t="str">
        <f ca="1">_05preva_view43[[#This Row],[Folder Path3]]&amp;_05preva_view43[[#This Row],[File Name]]</f>
        <v>D:\OneDrive - apollo-towers.com\Apollo Towers\00-Process &amp; Database\Documentation\Colo Applications\Colo App MPT\1-01-05027-009 (SGG00227) Application Rev 2.xlsx</v>
      </c>
      <c r="BJ242" s="104"/>
      <c r="BK242" s="3"/>
      <c r="BL242" s="3"/>
      <c r="CJ242" s="5"/>
      <c r="CK242" s="5"/>
      <c r="CL242" s="3"/>
      <c r="CN242" s="5"/>
      <c r="CR242" s="3"/>
      <c r="CS242" s="3"/>
      <c r="CT242" s="5"/>
      <c r="CV242" s="3"/>
      <c r="DR242" s="5"/>
      <c r="DT242" s="3"/>
      <c r="EF242" s="7"/>
      <c r="EG242" s="7"/>
      <c r="EJ242" s="4"/>
      <c r="EK242" s="4"/>
      <c r="EU242" s="2"/>
      <c r="EV242" s="2"/>
    </row>
    <row r="243" spans="1:152">
      <c r="A243" s="287">
        <v>3373</v>
      </c>
      <c r="B243" s="288" t="s">
        <v>788</v>
      </c>
      <c r="C243" s="288" t="s">
        <v>278</v>
      </c>
      <c r="D243" s="288" t="s">
        <v>117</v>
      </c>
      <c r="E243" s="288" t="s">
        <v>789</v>
      </c>
      <c r="F243" s="288" t="s">
        <v>35</v>
      </c>
      <c r="G243" s="288" t="s">
        <v>1292</v>
      </c>
      <c r="H243" s="288" t="s">
        <v>1285</v>
      </c>
      <c r="I243" s="288" t="s">
        <v>790</v>
      </c>
      <c r="J243" s="288" t="s">
        <v>694</v>
      </c>
      <c r="K243" s="289">
        <v>43389</v>
      </c>
      <c r="L243" s="290"/>
      <c r="M243" s="290">
        <v>3.4</v>
      </c>
      <c r="N243" s="288">
        <v>4.1859999999999999</v>
      </c>
      <c r="O243" s="288" t="s">
        <v>687</v>
      </c>
      <c r="P243" s="291" t="s">
        <v>695</v>
      </c>
      <c r="Q243" s="291" t="s">
        <v>696</v>
      </c>
      <c r="R243" s="288" t="s">
        <v>24</v>
      </c>
      <c r="S243" s="288"/>
      <c r="T243" s="292" t="s">
        <v>615</v>
      </c>
      <c r="U243" s="288"/>
      <c r="V243" s="292" t="s">
        <v>615</v>
      </c>
      <c r="W243" s="288"/>
      <c r="X243" s="292" t="s">
        <v>120</v>
      </c>
      <c r="Y243" s="288" t="s">
        <v>791</v>
      </c>
      <c r="Z243" s="293" t="s">
        <v>120</v>
      </c>
      <c r="AA243" s="294"/>
      <c r="AB243" s="294"/>
      <c r="AC243" s="295" t="s">
        <v>123</v>
      </c>
      <c r="AD243" s="288" t="s">
        <v>792</v>
      </c>
      <c r="AE243" s="292" t="s">
        <v>615</v>
      </c>
      <c r="AF243" s="289"/>
      <c r="AG243" s="296"/>
      <c r="AH243" s="296"/>
      <c r="AI243" s="288"/>
      <c r="AJ243" s="292" t="s">
        <v>615</v>
      </c>
      <c r="AK243" s="288"/>
      <c r="AL243" s="288"/>
      <c r="AM243" s="292"/>
      <c r="AN243" s="288"/>
      <c r="AO243" s="288"/>
      <c r="AP243" s="297"/>
      <c r="AQ243" s="288"/>
      <c r="AR243" s="292"/>
      <c r="AS243" s="288"/>
      <c r="AT243" s="289"/>
      <c r="AU243" s="289"/>
      <c r="AV243" s="289"/>
      <c r="AW243" s="289"/>
      <c r="AX243" s="289"/>
      <c r="AY243" s="289"/>
      <c r="AZ243" s="298">
        <v>43389</v>
      </c>
      <c r="BA24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3" s="300">
        <f>COUNTIFS(_05preva_view43[Site ID],_05preva_view43[[#This Row],[Site ID]],_05preva_view43[Prevalidation Status],"Under Prevalidation")</f>
        <v>0</v>
      </c>
      <c r="BC24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3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1-01-14001-005 (SHS00183) Application Rev 4.xlsx</v>
      </c>
      <c r="BE243" s="64">
        <f t="shared" ca="1" si="5"/>
        <v>50</v>
      </c>
      <c r="BF243" s="104" t="str">
        <f ca="1">LEFT(CELL("filename",A228),_05preva_view43[[#This Row],[Find Process &amp; Database]]-1)</f>
        <v>D:\OneDrive - apollo-towers.com\Apollo Towers\00-</v>
      </c>
      <c r="BG243" s="104" t="str">
        <f ca="1">_05preva_view43[Folder Path1]&amp;"Process &amp; Database\Documentation\Colo Applications"</f>
        <v>D:\OneDrive - apollo-towers.com\Apollo Towers\00-Process &amp; Database\Documentation\Colo Applications</v>
      </c>
      <c r="BH24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3" s="63" t="str">
        <f ca="1">_05preva_view43[[#This Row],[Folder Path3]]&amp;_05preva_view43[[#This Row],[File Name]]</f>
        <v>D:\OneDrive - apollo-towers.com\Apollo Towers\00-Process &amp; Database\Documentation\Colo Applications\Colo App MPT\1-01-14001-005 (SHS00183) Application Rev 4.xlsx</v>
      </c>
      <c r="BJ243" s="104"/>
      <c r="BK243" s="3"/>
      <c r="BL243" s="3"/>
      <c r="CJ243" s="5"/>
      <c r="CK243" s="5"/>
      <c r="CL243" s="3"/>
      <c r="CN243" s="5"/>
      <c r="CR243" s="3"/>
      <c r="CS243" s="3"/>
      <c r="CT243" s="5"/>
      <c r="CV243" s="3"/>
      <c r="DR243" s="5"/>
      <c r="DT243" s="3"/>
      <c r="EF243" s="7"/>
      <c r="EG243" s="7"/>
      <c r="EJ243" s="4"/>
      <c r="EK243" s="4"/>
      <c r="EU243" s="2"/>
      <c r="EV243" s="2"/>
    </row>
    <row r="244" spans="1:152">
      <c r="A244" s="287">
        <v>3374</v>
      </c>
      <c r="B244" s="288" t="s">
        <v>793</v>
      </c>
      <c r="C244" s="288" t="s">
        <v>278</v>
      </c>
      <c r="D244" s="288" t="s">
        <v>127</v>
      </c>
      <c r="E244" s="288" t="s">
        <v>794</v>
      </c>
      <c r="F244" s="288" t="s">
        <v>35</v>
      </c>
      <c r="G244" s="288" t="s">
        <v>1292</v>
      </c>
      <c r="H244" s="288" t="s">
        <v>1285</v>
      </c>
      <c r="I244" s="288" t="s">
        <v>790</v>
      </c>
      <c r="J244" s="288" t="s">
        <v>727</v>
      </c>
      <c r="K244" s="289">
        <v>43389</v>
      </c>
      <c r="L244" s="290"/>
      <c r="M244" s="290">
        <v>3.7</v>
      </c>
      <c r="N244" s="288">
        <v>5.1020000000000003</v>
      </c>
      <c r="O244" s="288" t="s">
        <v>687</v>
      </c>
      <c r="P244" s="291" t="s">
        <v>695</v>
      </c>
      <c r="Q244" s="291" t="s">
        <v>696</v>
      </c>
      <c r="R244" s="288" t="s">
        <v>24</v>
      </c>
      <c r="S244" s="288"/>
      <c r="T244" s="292" t="s">
        <v>615</v>
      </c>
      <c r="U244" s="288"/>
      <c r="V244" s="292" t="s">
        <v>615</v>
      </c>
      <c r="W244" s="288"/>
      <c r="X244" s="292" t="s">
        <v>120</v>
      </c>
      <c r="Y244" s="288" t="s">
        <v>795</v>
      </c>
      <c r="Z244" s="293" t="s">
        <v>615</v>
      </c>
      <c r="AA244" s="294"/>
      <c r="AB244" s="294"/>
      <c r="AC244" s="295"/>
      <c r="AD244" s="288"/>
      <c r="AE244" s="292" t="s">
        <v>615</v>
      </c>
      <c r="AF244" s="289"/>
      <c r="AG244" s="296"/>
      <c r="AH244" s="296"/>
      <c r="AI244" s="288"/>
      <c r="AJ244" s="292" t="s">
        <v>615</v>
      </c>
      <c r="AK244" s="288"/>
      <c r="AL244" s="288"/>
      <c r="AM244" s="292"/>
      <c r="AN244" s="288"/>
      <c r="AO244" s="288"/>
      <c r="AP244" s="297"/>
      <c r="AQ244" s="288"/>
      <c r="AR244" s="292"/>
      <c r="AS244" s="288"/>
      <c r="AT244" s="289">
        <v>43420.4857730324</v>
      </c>
      <c r="AU244" s="289"/>
      <c r="AV244" s="289"/>
      <c r="AW244" s="289"/>
      <c r="AX244" s="289"/>
      <c r="AY244" s="289"/>
      <c r="AZ244" s="298">
        <v>43420.4857730324</v>
      </c>
      <c r="BA244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31.485773032400175</v>
      </c>
      <c r="BB244" s="300">
        <f>COUNTIFS(_05preva_view43[Site ID],_05preva_view43[[#This Row],[Site ID]],_05preva_view43[Prevalidation Status],"Under Prevalidation")</f>
        <v>0</v>
      </c>
      <c r="BC24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4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1-01-01009-013 (KCN00152) Application Rev 3.xlsx</v>
      </c>
      <c r="BE244" s="64">
        <f t="shared" ca="1" si="5"/>
        <v>50</v>
      </c>
      <c r="BF244" s="104" t="str">
        <f ca="1">LEFT(CELL("filename",A229),_05preva_view43[[#This Row],[Find Process &amp; Database]]-1)</f>
        <v>D:\OneDrive - apollo-towers.com\Apollo Towers\00-</v>
      </c>
      <c r="BG244" s="104" t="str">
        <f ca="1">_05preva_view43[Folder Path1]&amp;"Process &amp; Database\Documentation\Colo Applications"</f>
        <v>D:\OneDrive - apollo-towers.com\Apollo Towers\00-Process &amp; Database\Documentation\Colo Applications</v>
      </c>
      <c r="BH24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4" s="63" t="str">
        <f ca="1">_05preva_view43[[#This Row],[Folder Path3]]&amp;_05preva_view43[[#This Row],[File Name]]</f>
        <v>D:\OneDrive - apollo-towers.com\Apollo Towers\00-Process &amp; Database\Documentation\Colo Applications\Colo App MPT\1-01-01009-013 (KCN00152) Application Rev 3.xlsx</v>
      </c>
      <c r="BJ244" s="104"/>
      <c r="BK244" s="3"/>
      <c r="BL244" s="3"/>
      <c r="CJ244" s="5"/>
      <c r="CK244" s="5"/>
      <c r="CL244" s="3"/>
      <c r="CN244" s="5"/>
      <c r="CR244" s="3"/>
      <c r="CS244" s="3"/>
      <c r="CT244" s="5"/>
      <c r="CV244" s="3"/>
      <c r="DR244" s="5"/>
      <c r="DT244" s="3"/>
      <c r="EF244" s="7"/>
      <c r="EG244" s="7"/>
      <c r="EJ244" s="4"/>
      <c r="EK244" s="4"/>
      <c r="EU244" s="2"/>
      <c r="EV244" s="2"/>
    </row>
    <row r="245" spans="1:152">
      <c r="A245" s="287">
        <v>3352</v>
      </c>
      <c r="B245" s="288" t="s">
        <v>683</v>
      </c>
      <c r="C245" s="288" t="s">
        <v>278</v>
      </c>
      <c r="D245" s="288" t="s">
        <v>127</v>
      </c>
      <c r="E245" s="288" t="s">
        <v>684</v>
      </c>
      <c r="F245" s="288" t="s">
        <v>35</v>
      </c>
      <c r="G245" s="288" t="s">
        <v>1292</v>
      </c>
      <c r="H245" s="288" t="s">
        <v>1285</v>
      </c>
      <c r="I245" s="288" t="s">
        <v>685</v>
      </c>
      <c r="J245" s="288" t="s">
        <v>686</v>
      </c>
      <c r="K245" s="289">
        <v>43388</v>
      </c>
      <c r="L245" s="290"/>
      <c r="M245" s="290">
        <v>1.4</v>
      </c>
      <c r="N245" s="288">
        <v>5.24</v>
      </c>
      <c r="O245" s="288" t="s">
        <v>687</v>
      </c>
      <c r="P245" s="291" t="s">
        <v>597</v>
      </c>
      <c r="Q245" s="291" t="s">
        <v>688</v>
      </c>
      <c r="R245" s="288" t="s">
        <v>24</v>
      </c>
      <c r="S245" s="288"/>
      <c r="T245" s="292" t="s">
        <v>615</v>
      </c>
      <c r="U245" s="288"/>
      <c r="V245" s="292" t="s">
        <v>615</v>
      </c>
      <c r="W245" s="288"/>
      <c r="X245" s="292" t="s">
        <v>120</v>
      </c>
      <c r="Y245" s="288" t="s">
        <v>689</v>
      </c>
      <c r="Z245" s="293" t="s">
        <v>120</v>
      </c>
      <c r="AA245" s="294"/>
      <c r="AB245" s="294"/>
      <c r="AC245" s="295" t="s">
        <v>123</v>
      </c>
      <c r="AD245" s="288" t="s">
        <v>690</v>
      </c>
      <c r="AE245" s="292" t="s">
        <v>615</v>
      </c>
      <c r="AF245" s="289"/>
      <c r="AG245" s="296"/>
      <c r="AH245" s="296"/>
      <c r="AI245" s="288"/>
      <c r="AJ245" s="292" t="s">
        <v>615</v>
      </c>
      <c r="AK245" s="288"/>
      <c r="AL245" s="288"/>
      <c r="AM245" s="292"/>
      <c r="AN245" s="288"/>
      <c r="AO245" s="288"/>
      <c r="AP245" s="297"/>
      <c r="AQ245" s="288"/>
      <c r="AR245" s="292"/>
      <c r="AS245" s="288"/>
      <c r="AT245" s="289"/>
      <c r="AU245" s="289"/>
      <c r="AV245" s="289"/>
      <c r="AW245" s="289"/>
      <c r="AX245" s="289"/>
      <c r="AY245" s="289"/>
      <c r="AZ245" s="298">
        <v>43388</v>
      </c>
      <c r="BA24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5" s="300">
        <f>COUNTIFS(_05preva_view43[Site ID],_05preva_view43[[#This Row],[Site ID]],_05preva_view43[Prevalidation Status],"Under Prevalidation")</f>
        <v>0</v>
      </c>
      <c r="BC24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5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1-01-05027-002 (SGG00113) Application Rev 2.xlsx</v>
      </c>
      <c r="BE245" s="64">
        <f t="shared" ca="1" si="5"/>
        <v>50</v>
      </c>
      <c r="BF245" s="104" t="str">
        <f ca="1">LEFT(CELL("filename",A230),_05preva_view43[[#This Row],[Find Process &amp; Database]]-1)</f>
        <v>D:\OneDrive - apollo-towers.com\Apollo Towers\00-</v>
      </c>
      <c r="BG245" s="104" t="str">
        <f ca="1">_05preva_view43[Folder Path1]&amp;"Process &amp; Database\Documentation\Colo Applications"</f>
        <v>D:\OneDrive - apollo-towers.com\Apollo Towers\00-Process &amp; Database\Documentation\Colo Applications</v>
      </c>
      <c r="BH24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5" s="63" t="str">
        <f ca="1">_05preva_view43[[#This Row],[Folder Path3]]&amp;_05preva_view43[[#This Row],[File Name]]</f>
        <v>D:\OneDrive - apollo-towers.com\Apollo Towers\00-Process &amp; Database\Documentation\Colo Applications\Colo App MPT\1-01-05027-002 (SGG00113) Application Rev 2.xlsx</v>
      </c>
      <c r="BJ245" s="104"/>
      <c r="BK245" s="3"/>
      <c r="BL245" s="3"/>
      <c r="CJ245" s="5"/>
      <c r="CK245" s="5"/>
      <c r="CL245" s="3"/>
      <c r="CN245" s="5"/>
      <c r="CR245" s="3"/>
      <c r="CS245" s="3"/>
      <c r="CT245" s="5"/>
      <c r="CV245" s="3"/>
      <c r="DR245" s="5"/>
      <c r="DT245" s="3"/>
      <c r="EF245" s="7"/>
      <c r="EG245" s="7"/>
      <c r="EJ245" s="4"/>
      <c r="EK245" s="4"/>
      <c r="EU245" s="2"/>
      <c r="EV245" s="2"/>
    </row>
    <row r="246" spans="1:152">
      <c r="A246" s="287">
        <v>3353</v>
      </c>
      <c r="B246" s="288" t="s">
        <v>691</v>
      </c>
      <c r="C246" s="288" t="s">
        <v>278</v>
      </c>
      <c r="D246" s="288" t="s">
        <v>117</v>
      </c>
      <c r="E246" s="288" t="s">
        <v>692</v>
      </c>
      <c r="F246" s="288" t="s">
        <v>35</v>
      </c>
      <c r="G246" s="288" t="s">
        <v>1292</v>
      </c>
      <c r="H246" s="288" t="s">
        <v>1285</v>
      </c>
      <c r="I246" s="288" t="s">
        <v>693</v>
      </c>
      <c r="J246" s="288" t="s">
        <v>694</v>
      </c>
      <c r="K246" s="289">
        <v>43388</v>
      </c>
      <c r="L246" s="290"/>
      <c r="M246" s="290">
        <v>4.3</v>
      </c>
      <c r="N246" s="288">
        <v>4.55</v>
      </c>
      <c r="O246" s="288" t="s">
        <v>687</v>
      </c>
      <c r="P246" s="291" t="s">
        <v>695</v>
      </c>
      <c r="Q246" s="291" t="s">
        <v>696</v>
      </c>
      <c r="R246" s="288" t="s">
        <v>24</v>
      </c>
      <c r="S246" s="288"/>
      <c r="T246" s="292" t="s">
        <v>615</v>
      </c>
      <c r="U246" s="288"/>
      <c r="V246" s="292" t="s">
        <v>615</v>
      </c>
      <c r="W246" s="288"/>
      <c r="X246" s="292" t="s">
        <v>120</v>
      </c>
      <c r="Y246" s="288" t="s">
        <v>697</v>
      </c>
      <c r="Z246" s="293" t="s">
        <v>120</v>
      </c>
      <c r="AA246" s="294"/>
      <c r="AB246" s="294"/>
      <c r="AC246" s="295" t="s">
        <v>123</v>
      </c>
      <c r="AD246" s="288" t="s">
        <v>698</v>
      </c>
      <c r="AE246" s="292" t="s">
        <v>615</v>
      </c>
      <c r="AF246" s="289"/>
      <c r="AG246" s="296"/>
      <c r="AH246" s="296"/>
      <c r="AI246" s="288"/>
      <c r="AJ246" s="292" t="s">
        <v>615</v>
      </c>
      <c r="AK246" s="288"/>
      <c r="AL246" s="288"/>
      <c r="AM246" s="292"/>
      <c r="AN246" s="288"/>
      <c r="AO246" s="288"/>
      <c r="AP246" s="297"/>
      <c r="AQ246" s="288"/>
      <c r="AR246" s="292"/>
      <c r="AS246" s="288"/>
      <c r="AT246" s="289"/>
      <c r="AU246" s="289"/>
      <c r="AV246" s="289"/>
      <c r="AW246" s="289"/>
      <c r="AX246" s="289"/>
      <c r="AY246" s="289"/>
      <c r="AZ246" s="298">
        <v>43388</v>
      </c>
      <c r="BA24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6" s="300">
        <f>COUNTIFS(_05preva_view43[Site ID],_05preva_view43[[#This Row],[Site ID]],_05preva_view43[Prevalidation Status],"Under Prevalidation")</f>
        <v>0</v>
      </c>
      <c r="BC24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6" s="302" t="str">
        <f>CONCATENATE(_05preva_view43[[#This Row],[Site ID]]," (",_05preva_view43[[#This Row],[tenant id]],") Application",IF(_05preva_view43[[#This Row],[Colo Rev]]&gt;0," Rev "&amp;_05preva_view43[[#This Row],[Colo Rev]],""),".xlsx")</f>
        <v>1-01-16011-001 (SHE00089) Application Rev 4.xlsx</v>
      </c>
      <c r="BE246" s="64">
        <f t="shared" ca="1" si="5"/>
        <v>50</v>
      </c>
      <c r="BF246" s="104" t="str">
        <f ca="1">LEFT(CELL("filename",A231),_05preva_view43[[#This Row],[Find Process &amp; Database]]-1)</f>
        <v>D:\OneDrive - apollo-towers.com\Apollo Towers\00-</v>
      </c>
      <c r="BG246" s="104" t="str">
        <f ca="1">_05preva_view43[Folder Path1]&amp;"Process &amp; Database\Documentation\Colo Applications"</f>
        <v>D:\OneDrive - apollo-towers.com\Apollo Towers\00-Process &amp; Database\Documentation\Colo Applications</v>
      </c>
      <c r="BH24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6" s="63" t="str">
        <f ca="1">_05preva_view43[[#This Row],[Folder Path3]]&amp;_05preva_view43[[#This Row],[File Name]]</f>
        <v>D:\OneDrive - apollo-towers.com\Apollo Towers\00-Process &amp; Database\Documentation\Colo Applications\Colo App MPT\1-01-16011-001 (SHE00089) Application Rev 4.xlsx</v>
      </c>
      <c r="BJ246" s="104"/>
      <c r="BK246" s="3"/>
      <c r="BL246" s="3"/>
      <c r="CJ246" s="5"/>
      <c r="CK246" s="5"/>
      <c r="CL246" s="3"/>
      <c r="CN246" s="5"/>
      <c r="CR246" s="3"/>
      <c r="CS246" s="3"/>
      <c r="CT246" s="5"/>
      <c r="CV246" s="3"/>
      <c r="DR246" s="5"/>
      <c r="DT246" s="3"/>
      <c r="EF246" s="7"/>
      <c r="EG246" s="7"/>
      <c r="EJ246" s="4"/>
      <c r="EK246" s="4"/>
      <c r="EU246" s="2"/>
      <c r="EV246" s="2"/>
    </row>
    <row r="247" spans="1:152">
      <c r="A247" s="287">
        <v>3354</v>
      </c>
      <c r="B247" s="288" t="s">
        <v>699</v>
      </c>
      <c r="C247" s="288" t="s">
        <v>278</v>
      </c>
      <c r="D247" s="288" t="s">
        <v>117</v>
      </c>
      <c r="E247" s="288" t="s">
        <v>700</v>
      </c>
      <c r="F247" s="288" t="s">
        <v>35</v>
      </c>
      <c r="G247" s="288" t="s">
        <v>1292</v>
      </c>
      <c r="H247" s="288" t="s">
        <v>1285</v>
      </c>
      <c r="I247" s="288" t="s">
        <v>693</v>
      </c>
      <c r="J247" s="288" t="s">
        <v>694</v>
      </c>
      <c r="K247" s="289">
        <v>43388</v>
      </c>
      <c r="L247" s="290"/>
      <c r="M247" s="290">
        <v>3.4</v>
      </c>
      <c r="N247" s="288">
        <v>3.59</v>
      </c>
      <c r="O247" s="288" t="s">
        <v>687</v>
      </c>
      <c r="P247" s="291" t="s">
        <v>695</v>
      </c>
      <c r="Q247" s="291" t="s">
        <v>696</v>
      </c>
      <c r="R247" s="288" t="s">
        <v>24</v>
      </c>
      <c r="S247" s="288"/>
      <c r="T247" s="292" t="s">
        <v>615</v>
      </c>
      <c r="U247" s="288"/>
      <c r="V247" s="292" t="s">
        <v>615</v>
      </c>
      <c r="W247" s="288"/>
      <c r="X247" s="292" t="s">
        <v>120</v>
      </c>
      <c r="Y247" s="288" t="s">
        <v>701</v>
      </c>
      <c r="Z247" s="293" t="s">
        <v>120</v>
      </c>
      <c r="AA247" s="294"/>
      <c r="AB247" s="294"/>
      <c r="AC247" s="295" t="s">
        <v>123</v>
      </c>
      <c r="AD247" s="288" t="s">
        <v>702</v>
      </c>
      <c r="AE247" s="292" t="s">
        <v>615</v>
      </c>
      <c r="AF247" s="289"/>
      <c r="AG247" s="296"/>
      <c r="AH247" s="296"/>
      <c r="AI247" s="288"/>
      <c r="AJ247" s="292" t="s">
        <v>615</v>
      </c>
      <c r="AK247" s="288"/>
      <c r="AL247" s="288"/>
      <c r="AM247" s="292"/>
      <c r="AN247" s="288"/>
      <c r="AO247" s="288"/>
      <c r="AP247" s="297"/>
      <c r="AQ247" s="288"/>
      <c r="AR247" s="292"/>
      <c r="AS247" s="288"/>
      <c r="AT247" s="289"/>
      <c r="AU247" s="289"/>
      <c r="AV247" s="289"/>
      <c r="AW247" s="289"/>
      <c r="AX247" s="289"/>
      <c r="AY247" s="289"/>
      <c r="AZ247" s="298">
        <v>43388</v>
      </c>
      <c r="BA24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7" s="300">
        <f>COUNTIFS(_05preva_view43[Site ID],_05preva_view43[[#This Row],[Site ID]],_05preva_view43[Prevalidation Status],"Under Prevalidation")</f>
        <v>0</v>
      </c>
      <c r="BC24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7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1-01-14003-002 (SHS00117) Application Rev 4.xlsx</v>
      </c>
      <c r="BE247" s="64">
        <f t="shared" ca="1" si="5"/>
        <v>50</v>
      </c>
      <c r="BF247" s="104" t="str">
        <f ca="1">LEFT(CELL("filename",A232),_05preva_view43[[#This Row],[Find Process &amp; Database]]-1)</f>
        <v>D:\OneDrive - apollo-towers.com\Apollo Towers\00-</v>
      </c>
      <c r="BG247" s="104" t="str">
        <f ca="1">_05preva_view43[Folder Path1]&amp;"Process &amp; Database\Documentation\Colo Applications"</f>
        <v>D:\OneDrive - apollo-towers.com\Apollo Towers\00-Process &amp; Database\Documentation\Colo Applications</v>
      </c>
      <c r="BH24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7" s="63" t="str">
        <f ca="1">_05preva_view43[[#This Row],[Folder Path3]]&amp;_05preva_view43[[#This Row],[File Name]]</f>
        <v>D:\OneDrive - apollo-towers.com\Apollo Towers\00-Process &amp; Database\Documentation\Colo Applications\Colo App MPT\1-01-14003-002 (SHS00117) Application Rev 4.xlsx</v>
      </c>
      <c r="BJ247" s="104"/>
      <c r="BK247" s="3"/>
      <c r="BL247" s="3"/>
      <c r="CJ247" s="5"/>
      <c r="CK247" s="5"/>
      <c r="CL247" s="3"/>
      <c r="CN247" s="5"/>
      <c r="CR247" s="3"/>
      <c r="CS247" s="3"/>
      <c r="CT247" s="5"/>
      <c r="CV247" s="3"/>
      <c r="DR247" s="5"/>
      <c r="DT247" s="3"/>
      <c r="EF247" s="7"/>
      <c r="EG247" s="7"/>
      <c r="EJ247" s="4"/>
      <c r="EK247" s="4"/>
      <c r="EU247" s="2"/>
      <c r="EV247" s="2"/>
    </row>
    <row r="248" spans="1:152">
      <c r="A248" s="287">
        <v>3355</v>
      </c>
      <c r="B248" s="288" t="s">
        <v>703</v>
      </c>
      <c r="C248" s="288" t="s">
        <v>278</v>
      </c>
      <c r="D248" s="288" t="s">
        <v>117</v>
      </c>
      <c r="E248" s="288" t="s">
        <v>704</v>
      </c>
      <c r="F248" s="288" t="s">
        <v>35</v>
      </c>
      <c r="G248" s="288" t="s">
        <v>1292</v>
      </c>
      <c r="H248" s="288" t="s">
        <v>1285</v>
      </c>
      <c r="I248" s="288" t="s">
        <v>693</v>
      </c>
      <c r="J248" s="288" t="s">
        <v>686</v>
      </c>
      <c r="K248" s="289">
        <v>43388</v>
      </c>
      <c r="L248" s="290"/>
      <c r="M248" s="290">
        <v>3.9</v>
      </c>
      <c r="N248" s="288">
        <v>3.37</v>
      </c>
      <c r="O248" s="288" t="s">
        <v>687</v>
      </c>
      <c r="P248" s="291" t="s">
        <v>705</v>
      </c>
      <c r="Q248" s="291" t="s">
        <v>706</v>
      </c>
      <c r="R248" s="288" t="s">
        <v>24</v>
      </c>
      <c r="S248" s="288"/>
      <c r="T248" s="292" t="s">
        <v>615</v>
      </c>
      <c r="U248" s="288"/>
      <c r="V248" s="292" t="s">
        <v>615</v>
      </c>
      <c r="W248" s="288"/>
      <c r="X248" s="292" t="s">
        <v>120</v>
      </c>
      <c r="Y248" s="288" t="s">
        <v>707</v>
      </c>
      <c r="Z248" s="293" t="s">
        <v>120</v>
      </c>
      <c r="AA248" s="294"/>
      <c r="AB248" s="294"/>
      <c r="AC248" s="295" t="s">
        <v>123</v>
      </c>
      <c r="AD248" s="288" t="s">
        <v>708</v>
      </c>
      <c r="AE248" s="292" t="s">
        <v>615</v>
      </c>
      <c r="AF248" s="289"/>
      <c r="AG248" s="296"/>
      <c r="AH248" s="296"/>
      <c r="AI248" s="288"/>
      <c r="AJ248" s="292" t="s">
        <v>615</v>
      </c>
      <c r="AK248" s="288"/>
      <c r="AL248" s="288"/>
      <c r="AM248" s="292"/>
      <c r="AN248" s="288"/>
      <c r="AO248" s="288"/>
      <c r="AP248" s="297"/>
      <c r="AQ248" s="288"/>
      <c r="AR248" s="292"/>
      <c r="AS248" s="288"/>
      <c r="AT248" s="289"/>
      <c r="AU248" s="289"/>
      <c r="AV248" s="289"/>
      <c r="AW248" s="289"/>
      <c r="AX248" s="289"/>
      <c r="AY248" s="289"/>
      <c r="AZ248" s="298">
        <v>43388</v>
      </c>
      <c r="BA24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8" s="300">
        <f>COUNTIFS(_05preva_view43[Site ID],_05preva_view43[[#This Row],[Site ID]],_05preva_view43[Prevalidation Status],"Under Prevalidation")</f>
        <v>0</v>
      </c>
      <c r="BC24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8" s="302" t="str">
        <f>CONCATENATE(_05preva_view43[[#This Row],[Site ID]]," (",_05preva_view43[[#This Row],[tenant id]],") Application",IF(_05preva_view43[[#This Row],[Colo Rev]]&gt;0," Rev "&amp;_05preva_view43[[#This Row],[Colo Rev]],""),".xlsx")</f>
        <v>1-01-14013-002 (SHS00185) Application Rev 2.xlsx</v>
      </c>
      <c r="BE248" s="64">
        <f t="shared" ca="1" si="5"/>
        <v>50</v>
      </c>
      <c r="BF248" s="104" t="str">
        <f ca="1">LEFT(CELL("filename",A233),_05preva_view43[[#This Row],[Find Process &amp; Database]]-1)</f>
        <v>D:\OneDrive - apollo-towers.com\Apollo Towers\00-</v>
      </c>
      <c r="BG248" s="104" t="str">
        <f ca="1">_05preva_view43[Folder Path1]&amp;"Process &amp; Database\Documentation\Colo Applications"</f>
        <v>D:\OneDrive - apollo-towers.com\Apollo Towers\00-Process &amp; Database\Documentation\Colo Applications</v>
      </c>
      <c r="BH24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8" s="63" t="str">
        <f ca="1">_05preva_view43[[#This Row],[Folder Path3]]&amp;_05preva_view43[[#This Row],[File Name]]</f>
        <v>D:\OneDrive - apollo-towers.com\Apollo Towers\00-Process &amp; Database\Documentation\Colo Applications\Colo App MPT\1-01-14013-002 (SHS00185) Application Rev 2.xlsx</v>
      </c>
      <c r="BJ248" s="104"/>
      <c r="BK248" s="3"/>
      <c r="BL248" s="3"/>
      <c r="CJ248" s="5"/>
      <c r="CK248" s="5"/>
      <c r="CL248" s="3"/>
      <c r="CN248" s="5"/>
      <c r="CR248" s="3"/>
      <c r="CS248" s="3"/>
      <c r="CT248" s="5"/>
      <c r="CV248" s="3"/>
      <c r="DR248" s="5"/>
      <c r="DT248" s="3"/>
      <c r="EF248" s="7"/>
      <c r="EG248" s="7"/>
      <c r="EJ248" s="4"/>
      <c r="EK248" s="4"/>
      <c r="EU248" s="2"/>
      <c r="EV248" s="2"/>
    </row>
    <row r="249" spans="1:152">
      <c r="A249" s="287">
        <v>3356</v>
      </c>
      <c r="B249" s="288" t="s">
        <v>709</v>
      </c>
      <c r="C249" s="288" t="s">
        <v>278</v>
      </c>
      <c r="D249" s="288" t="s">
        <v>153</v>
      </c>
      <c r="E249" s="288" t="s">
        <v>710</v>
      </c>
      <c r="F249" s="288" t="s">
        <v>35</v>
      </c>
      <c r="G249" s="288" t="s">
        <v>1292</v>
      </c>
      <c r="H249" s="288" t="s">
        <v>1285</v>
      </c>
      <c r="I249" s="288" t="s">
        <v>693</v>
      </c>
      <c r="J249" s="288" t="s">
        <v>694</v>
      </c>
      <c r="K249" s="289">
        <v>43388</v>
      </c>
      <c r="L249" s="290"/>
      <c r="M249" s="290">
        <v>3.3</v>
      </c>
      <c r="N249" s="288">
        <v>4.3099999999999996</v>
      </c>
      <c r="O249" s="288" t="s">
        <v>687</v>
      </c>
      <c r="P249" s="291" t="s">
        <v>695</v>
      </c>
      <c r="Q249" s="291" t="s">
        <v>696</v>
      </c>
      <c r="R249" s="288" t="s">
        <v>24</v>
      </c>
      <c r="S249" s="288"/>
      <c r="T249" s="292" t="s">
        <v>615</v>
      </c>
      <c r="U249" s="288"/>
      <c r="V249" s="292" t="s">
        <v>615</v>
      </c>
      <c r="W249" s="288"/>
      <c r="X249" s="292" t="s">
        <v>120</v>
      </c>
      <c r="Y249" s="288" t="s">
        <v>711</v>
      </c>
      <c r="Z249" s="293" t="s">
        <v>120</v>
      </c>
      <c r="AA249" s="294"/>
      <c r="AB249" s="294"/>
      <c r="AC249" s="295" t="s">
        <v>123</v>
      </c>
      <c r="AD249" s="288" t="s">
        <v>712</v>
      </c>
      <c r="AE249" s="292" t="s">
        <v>615</v>
      </c>
      <c r="AF249" s="289"/>
      <c r="AG249" s="296"/>
      <c r="AH249" s="296"/>
      <c r="AI249" s="288"/>
      <c r="AJ249" s="292" t="s">
        <v>615</v>
      </c>
      <c r="AK249" s="288"/>
      <c r="AL249" s="288"/>
      <c r="AM249" s="292"/>
      <c r="AN249" s="288"/>
      <c r="AO249" s="288"/>
      <c r="AP249" s="297"/>
      <c r="AQ249" s="288"/>
      <c r="AR249" s="292"/>
      <c r="AS249" s="288"/>
      <c r="AT249" s="289"/>
      <c r="AU249" s="289"/>
      <c r="AV249" s="289"/>
      <c r="AW249" s="289"/>
      <c r="AX249" s="289"/>
      <c r="AY249" s="289"/>
      <c r="AZ249" s="298">
        <v>43388</v>
      </c>
      <c r="BA24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49" s="300">
        <f>COUNTIFS(_05preva_view43[Site ID],_05preva_view43[[#This Row],[Site ID]],_05preva_view43[Prevalidation Status],"Under Prevalidation")</f>
        <v>0</v>
      </c>
      <c r="BC24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49" s="302" t="str">
        <f>CONCATENATE(_05preva_view43[[#This Row],[Site ID]]," (",_05preva_view43[[#This Row],[tenant id]],") Application",IF(_05preva_view43[[#This Row],[Colo Rev]]&gt;0," Rev "&amp;_05preva_view43[[#This Row],[Colo Rev]],""),".xlsx")</f>
        <v>1-01-06008-002 (TNY00033) Application Rev 4.xlsx</v>
      </c>
      <c r="BE249" s="64">
        <f t="shared" ca="1" si="5"/>
        <v>50</v>
      </c>
      <c r="BF249" s="104" t="str">
        <f ca="1">LEFT(CELL("filename",A234),_05preva_view43[[#This Row],[Find Process &amp; Database]]-1)</f>
        <v>D:\OneDrive - apollo-towers.com\Apollo Towers\00-</v>
      </c>
      <c r="BG249" s="104" t="str">
        <f ca="1">_05preva_view43[Folder Path1]&amp;"Process &amp; Database\Documentation\Colo Applications"</f>
        <v>D:\OneDrive - apollo-towers.com\Apollo Towers\00-Process &amp; Database\Documentation\Colo Applications</v>
      </c>
      <c r="BH24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49" s="63" t="str">
        <f ca="1">_05preva_view43[[#This Row],[Folder Path3]]&amp;_05preva_view43[[#This Row],[File Name]]</f>
        <v>D:\OneDrive - apollo-towers.com\Apollo Towers\00-Process &amp; Database\Documentation\Colo Applications\Colo App MPT\1-01-06008-002 (TNY00033) Application Rev 4.xlsx</v>
      </c>
      <c r="BJ249" s="104"/>
      <c r="BK249" s="3"/>
      <c r="BL249" s="3"/>
      <c r="CJ249" s="5"/>
      <c r="CK249" s="5"/>
      <c r="CL249" s="3"/>
      <c r="CN249" s="5"/>
      <c r="CR249" s="3"/>
      <c r="CS249" s="3"/>
      <c r="CT249" s="5"/>
      <c r="CV249" s="3"/>
      <c r="DR249" s="5"/>
      <c r="DT249" s="3"/>
      <c r="EF249" s="7"/>
      <c r="EG249" s="7"/>
      <c r="EJ249" s="4"/>
      <c r="EK249" s="4"/>
      <c r="EU249" s="2"/>
      <c r="EV249" s="2"/>
    </row>
    <row r="250" spans="1:152">
      <c r="A250" s="287">
        <v>3357</v>
      </c>
      <c r="B250" s="288" t="s">
        <v>713</v>
      </c>
      <c r="C250" s="288" t="s">
        <v>278</v>
      </c>
      <c r="D250" s="288" t="s">
        <v>127</v>
      </c>
      <c r="E250" s="288" t="s">
        <v>714</v>
      </c>
      <c r="F250" s="288" t="s">
        <v>35</v>
      </c>
      <c r="G250" s="288" t="s">
        <v>1292</v>
      </c>
      <c r="H250" s="288" t="s">
        <v>1285</v>
      </c>
      <c r="I250" s="288" t="s">
        <v>693</v>
      </c>
      <c r="J250" s="288" t="s">
        <v>686</v>
      </c>
      <c r="K250" s="289">
        <v>43388</v>
      </c>
      <c r="L250" s="290"/>
      <c r="M250" s="290">
        <v>3.5</v>
      </c>
      <c r="N250" s="288">
        <v>4.25</v>
      </c>
      <c r="O250" s="288" t="s">
        <v>687</v>
      </c>
      <c r="P250" s="291" t="s">
        <v>508</v>
      </c>
      <c r="Q250" s="291" t="s">
        <v>509</v>
      </c>
      <c r="R250" s="288" t="s">
        <v>24</v>
      </c>
      <c r="S250" s="288"/>
      <c r="T250" s="292" t="s">
        <v>615</v>
      </c>
      <c r="U250" s="288"/>
      <c r="V250" s="292" t="s">
        <v>615</v>
      </c>
      <c r="W250" s="288"/>
      <c r="X250" s="292" t="s">
        <v>120</v>
      </c>
      <c r="Y250" s="288" t="s">
        <v>715</v>
      </c>
      <c r="Z250" s="293" t="s">
        <v>120</v>
      </c>
      <c r="AA250" s="294"/>
      <c r="AB250" s="294"/>
      <c r="AC250" s="295" t="s">
        <v>123</v>
      </c>
      <c r="AD250" s="288" t="s">
        <v>716</v>
      </c>
      <c r="AE250" s="292" t="s">
        <v>615</v>
      </c>
      <c r="AF250" s="289"/>
      <c r="AG250" s="296"/>
      <c r="AH250" s="296"/>
      <c r="AI250" s="288"/>
      <c r="AJ250" s="292" t="s">
        <v>615</v>
      </c>
      <c r="AK250" s="288"/>
      <c r="AL250" s="288"/>
      <c r="AM250" s="292"/>
      <c r="AN250" s="288"/>
      <c r="AO250" s="288"/>
      <c r="AP250" s="297"/>
      <c r="AQ250" s="288"/>
      <c r="AR250" s="292"/>
      <c r="AS250" s="288"/>
      <c r="AT250" s="289"/>
      <c r="AU250" s="289"/>
      <c r="AV250" s="289"/>
      <c r="AW250" s="289"/>
      <c r="AX250" s="289"/>
      <c r="AY250" s="289"/>
      <c r="AZ250" s="298">
        <v>43388</v>
      </c>
      <c r="BA25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0" s="300">
        <f>COUNTIFS(_05preva_view43[Site ID],_05preva_view43[[#This Row],[Site ID]],_05preva_view43[Prevalidation Status],"Under Prevalidation")</f>
        <v>0</v>
      </c>
      <c r="BC25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0" s="302" t="str">
        <f>CONCATENATE(_05preva_view43[[#This Row],[Site ID]]," (",_05preva_view43[[#This Row],[tenant id]],") Application",IF(_05preva_view43[[#This Row],[Colo Rev]]&gt;0," Rev "&amp;_05preva_view43[[#This Row],[Colo Rev]],""),".xlsx")</f>
        <v>1-01-01002-007 (KCN00293) Application Rev 2.xlsx</v>
      </c>
      <c r="BE250" s="64">
        <f t="shared" ca="1" si="5"/>
        <v>50</v>
      </c>
      <c r="BF250" s="104" t="str">
        <f ca="1">LEFT(CELL("filename",A235),_05preva_view43[[#This Row],[Find Process &amp; Database]]-1)</f>
        <v>D:\OneDrive - apollo-towers.com\Apollo Towers\00-</v>
      </c>
      <c r="BG250" s="104" t="str">
        <f ca="1">_05preva_view43[Folder Path1]&amp;"Process &amp; Database\Documentation\Colo Applications"</f>
        <v>D:\OneDrive - apollo-towers.com\Apollo Towers\00-Process &amp; Database\Documentation\Colo Applications</v>
      </c>
      <c r="BH25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0" s="63" t="str">
        <f ca="1">_05preva_view43[[#This Row],[Folder Path3]]&amp;_05preva_view43[[#This Row],[File Name]]</f>
        <v>D:\OneDrive - apollo-towers.com\Apollo Towers\00-Process &amp; Database\Documentation\Colo Applications\Colo App MPT\1-01-01002-007 (KCN00293) Application Rev 2.xlsx</v>
      </c>
      <c r="BJ250" s="104"/>
      <c r="BK250" s="3"/>
      <c r="BL250" s="3"/>
      <c r="CJ250" s="5"/>
      <c r="CK250" s="5"/>
      <c r="CL250" s="3"/>
      <c r="CN250" s="5"/>
      <c r="CR250" s="3"/>
      <c r="CS250" s="3"/>
      <c r="CT250" s="5"/>
      <c r="CV250" s="3"/>
      <c r="DR250" s="5"/>
      <c r="DT250" s="3"/>
      <c r="EF250" s="7"/>
      <c r="EG250" s="7"/>
      <c r="EJ250" s="4"/>
      <c r="EK250" s="4"/>
      <c r="EU250" s="2"/>
      <c r="EV250" s="2"/>
    </row>
    <row r="251" spans="1:152">
      <c r="A251" s="287">
        <v>3358</v>
      </c>
      <c r="B251" s="288" t="s">
        <v>717</v>
      </c>
      <c r="C251" s="288" t="s">
        <v>278</v>
      </c>
      <c r="D251" s="288" t="s">
        <v>153</v>
      </c>
      <c r="E251" s="288" t="s">
        <v>718</v>
      </c>
      <c r="F251" s="288" t="s">
        <v>35</v>
      </c>
      <c r="G251" s="288" t="s">
        <v>1292</v>
      </c>
      <c r="H251" s="288" t="s">
        <v>1285</v>
      </c>
      <c r="I251" s="288" t="s">
        <v>693</v>
      </c>
      <c r="J251" s="288" t="s">
        <v>686</v>
      </c>
      <c r="K251" s="289">
        <v>43388</v>
      </c>
      <c r="L251" s="290"/>
      <c r="M251" s="290">
        <v>2.7</v>
      </c>
      <c r="N251" s="288">
        <v>4.97</v>
      </c>
      <c r="O251" s="288" t="s">
        <v>687</v>
      </c>
      <c r="P251" s="291" t="s">
        <v>508</v>
      </c>
      <c r="Q251" s="291" t="s">
        <v>509</v>
      </c>
      <c r="R251" s="288" t="s">
        <v>24</v>
      </c>
      <c r="S251" s="288"/>
      <c r="T251" s="292" t="s">
        <v>615</v>
      </c>
      <c r="U251" s="288"/>
      <c r="V251" s="292" t="s">
        <v>615</v>
      </c>
      <c r="W251" s="288"/>
      <c r="X251" s="292" t="s">
        <v>120</v>
      </c>
      <c r="Y251" s="288" t="s">
        <v>719</v>
      </c>
      <c r="Z251" s="293" t="s">
        <v>120</v>
      </c>
      <c r="AA251" s="294"/>
      <c r="AB251" s="294"/>
      <c r="AC251" s="295" t="s">
        <v>123</v>
      </c>
      <c r="AD251" s="288" t="s">
        <v>720</v>
      </c>
      <c r="AE251" s="292" t="s">
        <v>615</v>
      </c>
      <c r="AF251" s="289"/>
      <c r="AG251" s="296"/>
      <c r="AH251" s="296"/>
      <c r="AI251" s="288"/>
      <c r="AJ251" s="292" t="s">
        <v>615</v>
      </c>
      <c r="AK251" s="288"/>
      <c r="AL251" s="288"/>
      <c r="AM251" s="292"/>
      <c r="AN251" s="288"/>
      <c r="AO251" s="288"/>
      <c r="AP251" s="297"/>
      <c r="AQ251" s="288"/>
      <c r="AR251" s="292"/>
      <c r="AS251" s="288"/>
      <c r="AT251" s="289"/>
      <c r="AU251" s="289"/>
      <c r="AV251" s="289"/>
      <c r="AW251" s="289"/>
      <c r="AX251" s="289"/>
      <c r="AY251" s="289"/>
      <c r="AZ251" s="298">
        <v>43388</v>
      </c>
      <c r="BA25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1" s="300">
        <f>COUNTIFS(_05preva_view43[Site ID],_05preva_view43[[#This Row],[Site ID]],_05preva_view43[Prevalidation Status],"Under Prevalidation")</f>
        <v>0</v>
      </c>
      <c r="BC25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1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1-01-17019-003 (AWD00111) Application Rev 2.xlsx</v>
      </c>
      <c r="BE251" s="64">
        <f t="shared" ca="1" si="5"/>
        <v>50</v>
      </c>
      <c r="BF251" s="104" t="str">
        <f ca="1">LEFT(CELL("filename",A236),_05preva_view43[[#This Row],[Find Process &amp; Database]]-1)</f>
        <v>D:\OneDrive - apollo-towers.com\Apollo Towers\00-</v>
      </c>
      <c r="BG251" s="104" t="str">
        <f ca="1">_05preva_view43[Folder Path1]&amp;"Process &amp; Database\Documentation\Colo Applications"</f>
        <v>D:\OneDrive - apollo-towers.com\Apollo Towers\00-Process &amp; Database\Documentation\Colo Applications</v>
      </c>
      <c r="BH25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1" s="63" t="str">
        <f ca="1">_05preva_view43[[#This Row],[Folder Path3]]&amp;_05preva_view43[[#This Row],[File Name]]</f>
        <v>D:\OneDrive - apollo-towers.com\Apollo Towers\00-Process &amp; Database\Documentation\Colo Applications\Colo App MPT\1-01-17019-003 (AWD00111) Application Rev 2.xlsx</v>
      </c>
      <c r="BJ251" s="104"/>
      <c r="BK251" s="3"/>
      <c r="BL251" s="3"/>
      <c r="CJ251" s="5"/>
      <c r="CK251" s="5"/>
      <c r="CL251" s="3"/>
      <c r="CN251" s="5"/>
      <c r="CR251" s="3"/>
      <c r="CS251" s="3"/>
      <c r="CT251" s="5"/>
      <c r="CV251" s="3"/>
      <c r="DR251" s="5"/>
      <c r="DT251" s="3"/>
      <c r="EF251" s="7"/>
      <c r="EG251" s="7"/>
      <c r="EJ251" s="4"/>
      <c r="EK251" s="4"/>
      <c r="EU251" s="2"/>
      <c r="EV251" s="2"/>
    </row>
    <row r="252" spans="1:152">
      <c r="A252" s="287">
        <v>3359</v>
      </c>
      <c r="B252" s="288" t="s">
        <v>721</v>
      </c>
      <c r="C252" s="288" t="s">
        <v>278</v>
      </c>
      <c r="D252" s="288" t="s">
        <v>127</v>
      </c>
      <c r="E252" s="288" t="s">
        <v>722</v>
      </c>
      <c r="F252" s="288" t="s">
        <v>35</v>
      </c>
      <c r="G252" s="288" t="s">
        <v>1292</v>
      </c>
      <c r="H252" s="288" t="s">
        <v>1285</v>
      </c>
      <c r="I252" s="288" t="s">
        <v>693</v>
      </c>
      <c r="J252" s="288" t="s">
        <v>686</v>
      </c>
      <c r="K252" s="289">
        <v>43388</v>
      </c>
      <c r="L252" s="290"/>
      <c r="M252" s="290">
        <v>2.2999999999999998</v>
      </c>
      <c r="N252" s="288">
        <v>3.11</v>
      </c>
      <c r="O252" s="288" t="s">
        <v>687</v>
      </c>
      <c r="P252" s="291" t="s">
        <v>279</v>
      </c>
      <c r="Q252" s="291" t="s">
        <v>526</v>
      </c>
      <c r="R252" s="288" t="s">
        <v>24</v>
      </c>
      <c r="S252" s="288"/>
      <c r="T252" s="292" t="s">
        <v>615</v>
      </c>
      <c r="U252" s="288"/>
      <c r="V252" s="292" t="s">
        <v>615</v>
      </c>
      <c r="W252" s="288"/>
      <c r="X252" s="292" t="s">
        <v>120</v>
      </c>
      <c r="Y252" s="288" t="s">
        <v>723</v>
      </c>
      <c r="Z252" s="293" t="s">
        <v>120</v>
      </c>
      <c r="AA252" s="294"/>
      <c r="AB252" s="294"/>
      <c r="AC252" s="295" t="s">
        <v>123</v>
      </c>
      <c r="AD252" s="288" t="s">
        <v>724</v>
      </c>
      <c r="AE252" s="292" t="s">
        <v>615</v>
      </c>
      <c r="AF252" s="289"/>
      <c r="AG252" s="296"/>
      <c r="AH252" s="296"/>
      <c r="AI252" s="288"/>
      <c r="AJ252" s="292" t="s">
        <v>615</v>
      </c>
      <c r="AK252" s="288"/>
      <c r="AL252" s="288"/>
      <c r="AM252" s="292"/>
      <c r="AN252" s="288"/>
      <c r="AO252" s="288"/>
      <c r="AP252" s="297"/>
      <c r="AQ252" s="288"/>
      <c r="AR252" s="292"/>
      <c r="AS252" s="288"/>
      <c r="AT252" s="289"/>
      <c r="AU252" s="289"/>
      <c r="AV252" s="289"/>
      <c r="AW252" s="289"/>
      <c r="AX252" s="289"/>
      <c r="AY252" s="289"/>
      <c r="AZ252" s="298">
        <v>43388</v>
      </c>
      <c r="BA25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2" s="300">
        <f>COUNTIFS(_05preva_view43[Site ID],_05preva_view43[[#This Row],[Site ID]],_05preva_view43[Prevalidation Status],"Under Prevalidation")</f>
        <v>0</v>
      </c>
      <c r="BC25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2" s="302" t="str">
        <f>CONCATENATE(_05preva_view43[[#This Row],[Site ID]]," (",_05preva_view43[[#This Row],[tenant id]],") Application",IF(_05preva_view43[[#This Row],[Colo Rev]]&gt;0," Rev "&amp;_05preva_view43[[#This Row],[Colo Rev]],""),".xlsx")</f>
        <v>1-01-05027-008 (SGG00158) Application Rev 2.xlsx</v>
      </c>
      <c r="BE252" s="64">
        <f t="shared" ca="1" si="5"/>
        <v>50</v>
      </c>
      <c r="BF252" s="104" t="str">
        <f ca="1">LEFT(CELL("filename",A237),_05preva_view43[[#This Row],[Find Process &amp; Database]]-1)</f>
        <v>D:\OneDrive - apollo-towers.com\Apollo Towers\00-</v>
      </c>
      <c r="BG252" s="104" t="str">
        <f ca="1">_05preva_view43[Folder Path1]&amp;"Process &amp; Database\Documentation\Colo Applications"</f>
        <v>D:\OneDrive - apollo-towers.com\Apollo Towers\00-Process &amp; Database\Documentation\Colo Applications</v>
      </c>
      <c r="BH25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2" s="63" t="str">
        <f ca="1">_05preva_view43[[#This Row],[Folder Path3]]&amp;_05preva_view43[[#This Row],[File Name]]</f>
        <v>D:\OneDrive - apollo-towers.com\Apollo Towers\00-Process &amp; Database\Documentation\Colo Applications\Colo App MPT\1-01-05027-008 (SGG00158) Application Rev 2.xlsx</v>
      </c>
      <c r="BJ252" s="104"/>
      <c r="BK252" s="3"/>
      <c r="BL252" s="3"/>
      <c r="CJ252" s="5"/>
      <c r="CK252" s="5"/>
      <c r="CL252" s="3"/>
      <c r="CN252" s="5"/>
      <c r="CR252" s="3"/>
      <c r="CS252" s="3"/>
      <c r="CT252" s="5"/>
      <c r="CV252" s="3"/>
      <c r="DR252" s="5"/>
      <c r="DT252" s="3"/>
      <c r="EF252" s="7"/>
      <c r="EG252" s="7"/>
      <c r="EJ252" s="4"/>
      <c r="EK252" s="4"/>
      <c r="EU252" s="2"/>
      <c r="EV252" s="2"/>
    </row>
    <row r="253" spans="1:152">
      <c r="A253" s="287">
        <v>3360</v>
      </c>
      <c r="B253" s="288" t="s">
        <v>725</v>
      </c>
      <c r="C253" s="288" t="s">
        <v>278</v>
      </c>
      <c r="D253" s="288" t="s">
        <v>127</v>
      </c>
      <c r="E253" s="288" t="s">
        <v>726</v>
      </c>
      <c r="F253" s="288" t="s">
        <v>35</v>
      </c>
      <c r="G253" s="288" t="s">
        <v>1292</v>
      </c>
      <c r="H253" s="288" t="s">
        <v>1285</v>
      </c>
      <c r="I253" s="288" t="s">
        <v>693</v>
      </c>
      <c r="J253" s="288" t="s">
        <v>727</v>
      </c>
      <c r="K253" s="289">
        <v>43388</v>
      </c>
      <c r="L253" s="290"/>
      <c r="M253" s="290">
        <v>2.64</v>
      </c>
      <c r="N253" s="288">
        <v>6.53</v>
      </c>
      <c r="O253" s="288" t="s">
        <v>687</v>
      </c>
      <c r="P253" s="291" t="s">
        <v>695</v>
      </c>
      <c r="Q253" s="291" t="s">
        <v>696</v>
      </c>
      <c r="R253" s="288" t="s">
        <v>24</v>
      </c>
      <c r="S253" s="288"/>
      <c r="T253" s="292" t="s">
        <v>615</v>
      </c>
      <c r="U253" s="288"/>
      <c r="V253" s="292" t="s">
        <v>615</v>
      </c>
      <c r="W253" s="288"/>
      <c r="X253" s="292" t="s">
        <v>120</v>
      </c>
      <c r="Y253" s="288" t="s">
        <v>728</v>
      </c>
      <c r="Z253" s="293" t="s">
        <v>120</v>
      </c>
      <c r="AA253" s="294"/>
      <c r="AB253" s="294"/>
      <c r="AC253" s="295" t="s">
        <v>123</v>
      </c>
      <c r="AD253" s="288" t="s">
        <v>729</v>
      </c>
      <c r="AE253" s="292" t="s">
        <v>615</v>
      </c>
      <c r="AF253" s="289"/>
      <c r="AG253" s="296"/>
      <c r="AH253" s="296"/>
      <c r="AI253" s="288"/>
      <c r="AJ253" s="292" t="s">
        <v>615</v>
      </c>
      <c r="AK253" s="288"/>
      <c r="AL253" s="288"/>
      <c r="AM253" s="292"/>
      <c r="AN253" s="288"/>
      <c r="AO253" s="288"/>
      <c r="AP253" s="297"/>
      <c r="AQ253" s="288"/>
      <c r="AR253" s="292"/>
      <c r="AS253" s="288"/>
      <c r="AT253" s="289"/>
      <c r="AU253" s="289"/>
      <c r="AV253" s="289"/>
      <c r="AW253" s="289"/>
      <c r="AX253" s="289"/>
      <c r="AY253" s="289"/>
      <c r="AZ253" s="298">
        <v>43388</v>
      </c>
      <c r="BA25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3" s="300">
        <f>COUNTIFS(_05preva_view43[Site ID],_05preva_view43[[#This Row],[Site ID]],_05preva_view43[Prevalidation Status],"Under Prevalidation")</f>
        <v>0</v>
      </c>
      <c r="BC25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3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1-01-05011-006 (SGG00544) Application Rev 3.xlsx</v>
      </c>
      <c r="BE253" s="64">
        <f t="shared" ca="1" si="5"/>
        <v>50</v>
      </c>
      <c r="BF253" s="104" t="str">
        <f ca="1">LEFT(CELL("filename",A238),_05preva_view43[[#This Row],[Find Process &amp; Database]]-1)</f>
        <v>D:\OneDrive - apollo-towers.com\Apollo Towers\00-</v>
      </c>
      <c r="BG253" s="104" t="str">
        <f ca="1">_05preva_view43[Folder Path1]&amp;"Process &amp; Database\Documentation\Colo Applications"</f>
        <v>D:\OneDrive - apollo-towers.com\Apollo Towers\00-Process &amp; Database\Documentation\Colo Applications</v>
      </c>
      <c r="BH25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3" s="63" t="str">
        <f ca="1">_05preva_view43[[#This Row],[Folder Path3]]&amp;_05preva_view43[[#This Row],[File Name]]</f>
        <v>D:\OneDrive - apollo-towers.com\Apollo Towers\00-Process &amp; Database\Documentation\Colo Applications\Colo App MPT\1-01-05011-006 (SGG00544) Application Rev 3.xlsx</v>
      </c>
      <c r="BJ253" s="104"/>
      <c r="BK253" s="3"/>
      <c r="BL253" s="3"/>
      <c r="CJ253" s="5"/>
      <c r="CK253" s="5"/>
      <c r="CL253" s="3"/>
      <c r="CN253" s="5"/>
      <c r="CR253" s="3"/>
      <c r="CS253" s="3"/>
      <c r="CT253" s="5"/>
      <c r="CV253" s="3"/>
      <c r="DR253" s="5"/>
      <c r="DT253" s="3"/>
      <c r="EF253" s="7"/>
      <c r="EG253" s="7"/>
      <c r="EJ253" s="4"/>
      <c r="EK253" s="4"/>
      <c r="EU253" s="2"/>
      <c r="EV253" s="2"/>
    </row>
    <row r="254" spans="1:152">
      <c r="A254" s="287">
        <v>3361</v>
      </c>
      <c r="B254" s="288" t="s">
        <v>730</v>
      </c>
      <c r="C254" s="288" t="s">
        <v>278</v>
      </c>
      <c r="D254" s="288" t="s">
        <v>117</v>
      </c>
      <c r="E254" s="288" t="s">
        <v>731</v>
      </c>
      <c r="F254" s="288" t="s">
        <v>35</v>
      </c>
      <c r="G254" s="288" t="s">
        <v>1292</v>
      </c>
      <c r="H254" s="288" t="s">
        <v>1285</v>
      </c>
      <c r="I254" s="288" t="s">
        <v>693</v>
      </c>
      <c r="J254" s="288" t="s">
        <v>686</v>
      </c>
      <c r="K254" s="289">
        <v>43388</v>
      </c>
      <c r="L254" s="290"/>
      <c r="M254" s="290">
        <v>2.1</v>
      </c>
      <c r="N254" s="288">
        <v>1.74</v>
      </c>
      <c r="O254" s="288" t="s">
        <v>687</v>
      </c>
      <c r="P254" s="291" t="s">
        <v>695</v>
      </c>
      <c r="Q254" s="291" t="s">
        <v>696</v>
      </c>
      <c r="R254" s="288" t="s">
        <v>24</v>
      </c>
      <c r="S254" s="288"/>
      <c r="T254" s="292" t="s">
        <v>615</v>
      </c>
      <c r="U254" s="288"/>
      <c r="V254" s="292" t="s">
        <v>615</v>
      </c>
      <c r="W254" s="288"/>
      <c r="X254" s="292" t="s">
        <v>120</v>
      </c>
      <c r="Y254" s="288" t="s">
        <v>732</v>
      </c>
      <c r="Z254" s="293" t="s">
        <v>120</v>
      </c>
      <c r="AA254" s="294"/>
      <c r="AB254" s="294"/>
      <c r="AC254" s="295" t="s">
        <v>123</v>
      </c>
      <c r="AD254" s="288" t="s">
        <v>733</v>
      </c>
      <c r="AE254" s="292" t="s">
        <v>615</v>
      </c>
      <c r="AF254" s="289"/>
      <c r="AG254" s="296"/>
      <c r="AH254" s="296"/>
      <c r="AI254" s="288"/>
      <c r="AJ254" s="292" t="s">
        <v>615</v>
      </c>
      <c r="AK254" s="288"/>
      <c r="AL254" s="288"/>
      <c r="AM254" s="292"/>
      <c r="AN254" s="288"/>
      <c r="AO254" s="288"/>
      <c r="AP254" s="297"/>
      <c r="AQ254" s="288"/>
      <c r="AR254" s="292"/>
      <c r="AS254" s="288"/>
      <c r="AT254" s="289"/>
      <c r="AU254" s="289"/>
      <c r="AV254" s="289"/>
      <c r="AW254" s="289"/>
      <c r="AX254" s="289"/>
      <c r="AY254" s="289"/>
      <c r="AZ254" s="298">
        <v>43388</v>
      </c>
      <c r="BA25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4" s="300">
        <f>COUNTIFS(_05preva_view43[Site ID],_05preva_view43[[#This Row],[Site ID]],_05preva_view43[Prevalidation Status],"Under Prevalidation")</f>
        <v>0</v>
      </c>
      <c r="BC25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4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1-01-14008-002 (SHS00382) Application Rev 2.xlsx</v>
      </c>
      <c r="BE254" s="64">
        <f t="shared" ca="1" si="5"/>
        <v>50</v>
      </c>
      <c r="BF254" s="104" t="str">
        <f ca="1">LEFT(CELL("filename",A239),_05preva_view43[[#This Row],[Find Process &amp; Database]]-1)</f>
        <v>D:\OneDrive - apollo-towers.com\Apollo Towers\00-</v>
      </c>
      <c r="BG254" s="104" t="str">
        <f ca="1">_05preva_view43[Folder Path1]&amp;"Process &amp; Database\Documentation\Colo Applications"</f>
        <v>D:\OneDrive - apollo-towers.com\Apollo Towers\00-Process &amp; Database\Documentation\Colo Applications</v>
      </c>
      <c r="BH25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4" s="63" t="str">
        <f ca="1">_05preva_view43[[#This Row],[Folder Path3]]&amp;_05preva_view43[[#This Row],[File Name]]</f>
        <v>D:\OneDrive - apollo-towers.com\Apollo Towers\00-Process &amp; Database\Documentation\Colo Applications\Colo App MPT\1-01-14008-002 (SHS00382) Application Rev 2.xlsx</v>
      </c>
      <c r="BJ254" s="104"/>
      <c r="BK254" s="3"/>
      <c r="BL254" s="3"/>
      <c r="CJ254" s="5"/>
      <c r="CK254" s="5"/>
      <c r="CL254" s="3"/>
      <c r="CN254" s="5"/>
      <c r="CR254" s="3"/>
      <c r="CS254" s="3"/>
      <c r="CT254" s="5"/>
      <c r="CV254" s="3"/>
      <c r="DR254" s="5"/>
      <c r="DT254" s="3"/>
      <c r="EF254" s="7"/>
      <c r="EG254" s="7"/>
      <c r="EJ254" s="4"/>
      <c r="EK254" s="4"/>
      <c r="EU254" s="2"/>
      <c r="EV254" s="2"/>
    </row>
    <row r="255" spans="1:152">
      <c r="A255" s="287">
        <v>3362</v>
      </c>
      <c r="B255" s="288" t="s">
        <v>734</v>
      </c>
      <c r="C255" s="288" t="s">
        <v>278</v>
      </c>
      <c r="D255" s="288" t="s">
        <v>117</v>
      </c>
      <c r="E255" s="288" t="s">
        <v>735</v>
      </c>
      <c r="F255" s="288" t="s">
        <v>35</v>
      </c>
      <c r="G255" s="288" t="s">
        <v>1292</v>
      </c>
      <c r="H255" s="288" t="s">
        <v>1285</v>
      </c>
      <c r="I255" s="288" t="s">
        <v>693</v>
      </c>
      <c r="J255" s="288" t="s">
        <v>668</v>
      </c>
      <c r="K255" s="289">
        <v>43388</v>
      </c>
      <c r="L255" s="290"/>
      <c r="M255" s="290">
        <v>1.8</v>
      </c>
      <c r="N255" s="288">
        <v>3.024</v>
      </c>
      <c r="O255" s="288" t="s">
        <v>687</v>
      </c>
      <c r="P255" s="291" t="s">
        <v>508</v>
      </c>
      <c r="Q255" s="291" t="s">
        <v>509</v>
      </c>
      <c r="R255" s="288" t="s">
        <v>24</v>
      </c>
      <c r="S255" s="288"/>
      <c r="T255" s="292" t="s">
        <v>615</v>
      </c>
      <c r="U255" s="288"/>
      <c r="V255" s="292" t="s">
        <v>615</v>
      </c>
      <c r="W255" s="288"/>
      <c r="X255" s="292" t="s">
        <v>120</v>
      </c>
      <c r="Y255" s="288" t="s">
        <v>736</v>
      </c>
      <c r="Z255" s="293" t="s">
        <v>120</v>
      </c>
      <c r="AA255" s="294"/>
      <c r="AB255" s="294"/>
      <c r="AC255" s="295" t="s">
        <v>123</v>
      </c>
      <c r="AD255" s="288" t="s">
        <v>737</v>
      </c>
      <c r="AE255" s="292" t="s">
        <v>615</v>
      </c>
      <c r="AF255" s="289"/>
      <c r="AG255" s="296"/>
      <c r="AH255" s="296"/>
      <c r="AI255" s="288"/>
      <c r="AJ255" s="292" t="s">
        <v>615</v>
      </c>
      <c r="AK255" s="288"/>
      <c r="AL255" s="288"/>
      <c r="AM255" s="292"/>
      <c r="AN255" s="288"/>
      <c r="AO255" s="288"/>
      <c r="AP255" s="297"/>
      <c r="AQ255" s="288"/>
      <c r="AR255" s="292"/>
      <c r="AS255" s="288"/>
      <c r="AT255" s="289"/>
      <c r="AU255" s="289"/>
      <c r="AV255" s="289"/>
      <c r="AW255" s="289"/>
      <c r="AX255" s="289"/>
      <c r="AY255" s="289"/>
      <c r="AZ255" s="298">
        <v>43388</v>
      </c>
      <c r="BA25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5" s="300">
        <f>COUNTIFS(_05preva_view43[Site ID],_05preva_view43[[#This Row],[Site ID]],_05preva_view43[Prevalidation Status],"Under Prevalidation")</f>
        <v>0</v>
      </c>
      <c r="BC25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5" s="302" t="str">
        <f>CONCATENATE(_05preva_view43[[#This Row],[Site ID]]," (",_05preva_view43[[#This Row],[tenant id]],") Application",IF(_05preva_view43[[#This Row],[Colo Rev]]&gt;0," Rev "&amp;_05preva_view43[[#This Row],[Colo Rev]],""),".xlsx")</f>
        <v>1-01-16001-003 (SHE00021) Application Rev 1.xlsx</v>
      </c>
      <c r="BE255" s="64">
        <f t="shared" ca="1" si="5"/>
        <v>50</v>
      </c>
      <c r="BF255" s="104" t="str">
        <f ca="1">LEFT(CELL("filename",A240),_05preva_view43[[#This Row],[Find Process &amp; Database]]-1)</f>
        <v>D:\OneDrive - apollo-towers.com\Apollo Towers\00-</v>
      </c>
      <c r="BG255" s="104" t="str">
        <f ca="1">_05preva_view43[Folder Path1]&amp;"Process &amp; Database\Documentation\Colo Applications"</f>
        <v>D:\OneDrive - apollo-towers.com\Apollo Towers\00-Process &amp; Database\Documentation\Colo Applications</v>
      </c>
      <c r="BH25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5" s="63" t="str">
        <f ca="1">_05preva_view43[[#This Row],[Folder Path3]]&amp;_05preva_view43[[#This Row],[File Name]]</f>
        <v>D:\OneDrive - apollo-towers.com\Apollo Towers\00-Process &amp; Database\Documentation\Colo Applications\Colo App MPT\1-01-16001-003 (SHE00021) Application Rev 1.xlsx</v>
      </c>
      <c r="BJ255" s="104"/>
      <c r="BK255" s="3"/>
      <c r="BL255" s="3"/>
      <c r="CJ255" s="5"/>
      <c r="CK255" s="5"/>
      <c r="CL255" s="3"/>
      <c r="CN255" s="5"/>
      <c r="CR255" s="3"/>
      <c r="CS255" s="3"/>
      <c r="CT255" s="5"/>
      <c r="CV255" s="3"/>
      <c r="DR255" s="5"/>
      <c r="DT255" s="3"/>
      <c r="EF255" s="7"/>
      <c r="EG255" s="7"/>
      <c r="EJ255" s="4"/>
      <c r="EK255" s="4"/>
      <c r="EU255" s="2"/>
      <c r="EV255" s="2"/>
    </row>
    <row r="256" spans="1:152">
      <c r="A256" s="287">
        <v>3363</v>
      </c>
      <c r="B256" s="288" t="s">
        <v>738</v>
      </c>
      <c r="C256" s="288" t="s">
        <v>278</v>
      </c>
      <c r="D256" s="288" t="s">
        <v>117</v>
      </c>
      <c r="E256" s="288" t="s">
        <v>739</v>
      </c>
      <c r="F256" s="288" t="s">
        <v>35</v>
      </c>
      <c r="G256" s="288" t="s">
        <v>1292</v>
      </c>
      <c r="H256" s="288" t="s">
        <v>1285</v>
      </c>
      <c r="I256" s="288" t="s">
        <v>693</v>
      </c>
      <c r="J256" s="288" t="s">
        <v>727</v>
      </c>
      <c r="K256" s="289">
        <v>43388</v>
      </c>
      <c r="L256" s="290"/>
      <c r="M256" s="290">
        <v>4.8</v>
      </c>
      <c r="N256" s="288">
        <v>5.9880000000000004</v>
      </c>
      <c r="O256" s="288" t="s">
        <v>687</v>
      </c>
      <c r="P256" s="291" t="s">
        <v>740</v>
      </c>
      <c r="Q256" s="291" t="s">
        <v>597</v>
      </c>
      <c r="R256" s="288" t="s">
        <v>24</v>
      </c>
      <c r="S256" s="288"/>
      <c r="T256" s="292" t="s">
        <v>615</v>
      </c>
      <c r="U256" s="288"/>
      <c r="V256" s="292" t="s">
        <v>615</v>
      </c>
      <c r="W256" s="288"/>
      <c r="X256" s="292" t="s">
        <v>120</v>
      </c>
      <c r="Y256" s="288" t="s">
        <v>741</v>
      </c>
      <c r="Z256" s="293" t="s">
        <v>120</v>
      </c>
      <c r="AA256" s="294"/>
      <c r="AB256" s="294"/>
      <c r="AC256" s="295" t="s">
        <v>123</v>
      </c>
      <c r="AD256" s="288" t="s">
        <v>742</v>
      </c>
      <c r="AE256" s="292" t="s">
        <v>615</v>
      </c>
      <c r="AF256" s="289"/>
      <c r="AG256" s="296"/>
      <c r="AH256" s="296"/>
      <c r="AI256" s="288"/>
      <c r="AJ256" s="292" t="s">
        <v>615</v>
      </c>
      <c r="AK256" s="288"/>
      <c r="AL256" s="288"/>
      <c r="AM256" s="292"/>
      <c r="AN256" s="288"/>
      <c r="AO256" s="288"/>
      <c r="AP256" s="297"/>
      <c r="AQ256" s="288"/>
      <c r="AR256" s="292"/>
      <c r="AS256" s="288"/>
      <c r="AT256" s="289">
        <v>43423.505113310202</v>
      </c>
      <c r="AU256" s="289"/>
      <c r="AV256" s="289">
        <v>43423.468237731497</v>
      </c>
      <c r="AW256" s="289"/>
      <c r="AX256" s="289"/>
      <c r="AY256" s="289"/>
      <c r="AZ256" s="298">
        <v>43423.505113310202</v>
      </c>
      <c r="BA256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35.505113310202432</v>
      </c>
      <c r="BB256" s="300">
        <f>COUNTIFS(_05preva_view43[Site ID],_05preva_view43[[#This Row],[Site ID]],_05preva_view43[Prevalidation Status],"Under Prevalidation")</f>
        <v>0</v>
      </c>
      <c r="BC25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6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1-01-14001-019 (SHS00259) Application Rev 3.xlsx</v>
      </c>
      <c r="BE256" s="64">
        <f t="shared" ca="1" si="5"/>
        <v>50</v>
      </c>
      <c r="BF256" s="104" t="str">
        <f ca="1">LEFT(CELL("filename",A241),_05preva_view43[[#This Row],[Find Process &amp; Database]]-1)</f>
        <v>D:\OneDrive - apollo-towers.com\Apollo Towers\00-</v>
      </c>
      <c r="BG256" s="104" t="str">
        <f ca="1">_05preva_view43[Folder Path1]&amp;"Process &amp; Database\Documentation\Colo Applications"</f>
        <v>D:\OneDrive - apollo-towers.com\Apollo Towers\00-Process &amp; Database\Documentation\Colo Applications</v>
      </c>
      <c r="BH25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6" s="63" t="str">
        <f ca="1">_05preva_view43[[#This Row],[Folder Path3]]&amp;_05preva_view43[[#This Row],[File Name]]</f>
        <v>D:\OneDrive - apollo-towers.com\Apollo Towers\00-Process &amp; Database\Documentation\Colo Applications\Colo App MPT\1-01-14001-019 (SHS00259) Application Rev 3.xlsx</v>
      </c>
      <c r="BJ256" s="104"/>
      <c r="BK256" s="3"/>
      <c r="BL256" s="3"/>
      <c r="CJ256" s="5"/>
      <c r="CK256" s="5"/>
      <c r="CL256" s="3"/>
      <c r="CN256" s="5"/>
      <c r="CR256" s="3"/>
      <c r="CS256" s="3"/>
      <c r="CT256" s="5"/>
      <c r="CV256" s="3"/>
      <c r="DR256" s="5"/>
      <c r="DT256" s="3"/>
      <c r="EF256" s="7"/>
      <c r="EG256" s="7"/>
      <c r="EJ256" s="4"/>
      <c r="EK256" s="4"/>
      <c r="EU256" s="2"/>
      <c r="EV256" s="2"/>
    </row>
    <row r="257" spans="1:152">
      <c r="A257" s="287">
        <v>3364</v>
      </c>
      <c r="B257" s="288" t="s">
        <v>743</v>
      </c>
      <c r="C257" s="288" t="s">
        <v>278</v>
      </c>
      <c r="D257" s="288" t="s">
        <v>127</v>
      </c>
      <c r="E257" s="288" t="s">
        <v>744</v>
      </c>
      <c r="F257" s="288" t="s">
        <v>35</v>
      </c>
      <c r="G257" s="288" t="s">
        <v>1292</v>
      </c>
      <c r="H257" s="288" t="s">
        <v>1285</v>
      </c>
      <c r="I257" s="288" t="s">
        <v>693</v>
      </c>
      <c r="J257" s="288" t="s">
        <v>727</v>
      </c>
      <c r="K257" s="289">
        <v>43388</v>
      </c>
      <c r="L257" s="290"/>
      <c r="M257" s="290">
        <v>3.88</v>
      </c>
      <c r="N257" s="288">
        <v>7.4580000000000002</v>
      </c>
      <c r="O257" s="288" t="s">
        <v>687</v>
      </c>
      <c r="P257" s="291" t="s">
        <v>508</v>
      </c>
      <c r="Q257" s="291" t="s">
        <v>509</v>
      </c>
      <c r="R257" s="288" t="s">
        <v>24</v>
      </c>
      <c r="S257" s="288"/>
      <c r="T257" s="292" t="s">
        <v>615</v>
      </c>
      <c r="U257" s="288"/>
      <c r="V257" s="292" t="s">
        <v>615</v>
      </c>
      <c r="W257" s="288"/>
      <c r="X257" s="292" t="s">
        <v>120</v>
      </c>
      <c r="Y257" s="288" t="s">
        <v>745</v>
      </c>
      <c r="Z257" s="293" t="s">
        <v>120</v>
      </c>
      <c r="AA257" s="294"/>
      <c r="AB257" s="294"/>
      <c r="AC257" s="295" t="s">
        <v>123</v>
      </c>
      <c r="AD257" s="288" t="s">
        <v>746</v>
      </c>
      <c r="AE257" s="292" t="s">
        <v>615</v>
      </c>
      <c r="AF257" s="289"/>
      <c r="AG257" s="296"/>
      <c r="AH257" s="296"/>
      <c r="AI257" s="288"/>
      <c r="AJ257" s="292" t="s">
        <v>615</v>
      </c>
      <c r="AK257" s="288"/>
      <c r="AL257" s="288"/>
      <c r="AM257" s="292"/>
      <c r="AN257" s="288"/>
      <c r="AO257" s="288"/>
      <c r="AP257" s="297"/>
      <c r="AQ257" s="288"/>
      <c r="AR257" s="292"/>
      <c r="AS257" s="288"/>
      <c r="AT257" s="289"/>
      <c r="AU257" s="289"/>
      <c r="AV257" s="289"/>
      <c r="AW257" s="289"/>
      <c r="AX257" s="289"/>
      <c r="AY257" s="289"/>
      <c r="AZ257" s="298">
        <v>43388</v>
      </c>
      <c r="BA25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7" s="300">
        <f>COUNTIFS(_05preva_view43[Site ID],_05preva_view43[[#This Row],[Site ID]],_05preva_view43[Prevalidation Status],"Under Prevalidation")</f>
        <v>0</v>
      </c>
      <c r="BC25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7" s="302" t="str">
        <f>CONCATENATE(_05preva_view43[[#This Row],[Site ID]]," (",_05preva_view43[[#This Row],[tenant id]],") Application",IF(_05preva_view43[[#This Row],[Colo Rev]]&gt;0," Rev "&amp;_05preva_view43[[#This Row],[Colo Rev]],""),".xlsx")</f>
        <v>1-01-15010-002 (SHN00092) Application Rev 3.xlsx</v>
      </c>
      <c r="BE257" s="64">
        <f t="shared" ca="1" si="5"/>
        <v>50</v>
      </c>
      <c r="BF257" s="104" t="str">
        <f ca="1">LEFT(CELL("filename",A242),_05preva_view43[[#This Row],[Find Process &amp; Database]]-1)</f>
        <v>D:\OneDrive - apollo-towers.com\Apollo Towers\00-</v>
      </c>
      <c r="BG257" s="104" t="str">
        <f ca="1">_05preva_view43[Folder Path1]&amp;"Process &amp; Database\Documentation\Colo Applications"</f>
        <v>D:\OneDrive - apollo-towers.com\Apollo Towers\00-Process &amp; Database\Documentation\Colo Applications</v>
      </c>
      <c r="BH25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7" s="63" t="str">
        <f ca="1">_05preva_view43[[#This Row],[Folder Path3]]&amp;_05preva_view43[[#This Row],[File Name]]</f>
        <v>D:\OneDrive - apollo-towers.com\Apollo Towers\00-Process &amp; Database\Documentation\Colo Applications\Colo App MPT\1-01-15010-002 (SHN00092) Application Rev 3.xlsx</v>
      </c>
      <c r="BJ257" s="104"/>
      <c r="BK257" s="3"/>
      <c r="BL257" s="3"/>
      <c r="CJ257" s="5"/>
      <c r="CK257" s="5"/>
      <c r="CL257" s="3"/>
      <c r="CN257" s="5"/>
      <c r="CR257" s="3"/>
      <c r="CS257" s="3"/>
      <c r="CT257" s="5"/>
      <c r="CV257" s="3"/>
      <c r="DR257" s="5"/>
      <c r="DT257" s="3"/>
      <c r="EF257" s="7"/>
      <c r="EG257" s="7"/>
      <c r="EJ257" s="4"/>
      <c r="EK257" s="4"/>
      <c r="EU257" s="2"/>
      <c r="EV257" s="2"/>
    </row>
    <row r="258" spans="1:152">
      <c r="A258" s="287">
        <v>3365</v>
      </c>
      <c r="B258" s="288" t="s">
        <v>747</v>
      </c>
      <c r="C258" s="288" t="s">
        <v>278</v>
      </c>
      <c r="D258" s="288" t="s">
        <v>117</v>
      </c>
      <c r="E258" s="288" t="s">
        <v>748</v>
      </c>
      <c r="F258" s="288" t="s">
        <v>35</v>
      </c>
      <c r="G258" s="288" t="s">
        <v>1292</v>
      </c>
      <c r="H258" s="288" t="s">
        <v>1285</v>
      </c>
      <c r="I258" s="288" t="s">
        <v>693</v>
      </c>
      <c r="J258" s="288" t="s">
        <v>686</v>
      </c>
      <c r="K258" s="289">
        <v>43388</v>
      </c>
      <c r="L258" s="290"/>
      <c r="M258" s="290">
        <v>3.3</v>
      </c>
      <c r="N258" s="288">
        <v>2.7519999999999998</v>
      </c>
      <c r="O258" s="288" t="s">
        <v>687</v>
      </c>
      <c r="P258" s="291" t="s">
        <v>749</v>
      </c>
      <c r="Q258" s="291" t="s">
        <v>750</v>
      </c>
      <c r="R258" s="288" t="s">
        <v>24</v>
      </c>
      <c r="S258" s="288"/>
      <c r="T258" s="292" t="s">
        <v>615</v>
      </c>
      <c r="U258" s="288"/>
      <c r="V258" s="292" t="s">
        <v>615</v>
      </c>
      <c r="W258" s="288"/>
      <c r="X258" s="292" t="s">
        <v>120</v>
      </c>
      <c r="Y258" s="288" t="s">
        <v>751</v>
      </c>
      <c r="Z258" s="293" t="s">
        <v>120</v>
      </c>
      <c r="AA258" s="294"/>
      <c r="AB258" s="294"/>
      <c r="AC258" s="295" t="s">
        <v>123</v>
      </c>
      <c r="AD258" s="288" t="s">
        <v>752</v>
      </c>
      <c r="AE258" s="292" t="s">
        <v>615</v>
      </c>
      <c r="AF258" s="289"/>
      <c r="AG258" s="296"/>
      <c r="AH258" s="296"/>
      <c r="AI258" s="288"/>
      <c r="AJ258" s="292" t="s">
        <v>615</v>
      </c>
      <c r="AK258" s="288"/>
      <c r="AL258" s="288"/>
      <c r="AM258" s="292"/>
      <c r="AN258" s="288"/>
      <c r="AO258" s="288"/>
      <c r="AP258" s="297"/>
      <c r="AQ258" s="288"/>
      <c r="AR258" s="292"/>
      <c r="AS258" s="288"/>
      <c r="AT258" s="289"/>
      <c r="AU258" s="289"/>
      <c r="AV258" s="289"/>
      <c r="AW258" s="289"/>
      <c r="AX258" s="289"/>
      <c r="AY258" s="289"/>
      <c r="AZ258" s="298">
        <v>43388</v>
      </c>
      <c r="BA25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8" s="300">
        <f>COUNTIFS(_05preva_view43[Site ID],_05preva_view43[[#This Row],[Site ID]],_05preva_view43[Prevalidation Status],"Under Prevalidation")</f>
        <v>0</v>
      </c>
      <c r="BC25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8" s="302" t="str">
        <f>CONCATENATE(_05preva_view43[[#This Row],[Site ID]]," (",_05preva_view43[[#This Row],[tenant id]],") Application",IF(_05preva_view43[[#This Row],[Colo Rev]]&gt;0," Rev "&amp;_05preva_view43[[#This Row],[Colo Rev]],""),".xlsx")</f>
        <v>1-01-08002-005 (BGW00115) Application Rev 2.xlsx</v>
      </c>
      <c r="BE258" s="64">
        <f t="shared" ca="1" si="5"/>
        <v>50</v>
      </c>
      <c r="BF258" s="104" t="str">
        <f ca="1">LEFT(CELL("filename",A243),_05preva_view43[[#This Row],[Find Process &amp; Database]]-1)</f>
        <v>D:\OneDrive - apollo-towers.com\Apollo Towers\00-</v>
      </c>
      <c r="BG258" s="104" t="str">
        <f ca="1">_05preva_view43[Folder Path1]&amp;"Process &amp; Database\Documentation\Colo Applications"</f>
        <v>D:\OneDrive - apollo-towers.com\Apollo Towers\00-Process &amp; Database\Documentation\Colo Applications</v>
      </c>
      <c r="BH258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8" s="63" t="str">
        <f ca="1">_05preva_view43[[#This Row],[Folder Path3]]&amp;_05preva_view43[[#This Row],[File Name]]</f>
        <v>D:\OneDrive - apollo-towers.com\Apollo Towers\00-Process &amp; Database\Documentation\Colo Applications\Colo App MPT\1-01-08002-005 (BGW00115) Application Rev 2.xlsx</v>
      </c>
      <c r="BJ258" s="104"/>
      <c r="BK258" s="3"/>
      <c r="BL258" s="3"/>
      <c r="CJ258" s="5"/>
      <c r="CK258" s="5"/>
      <c r="CL258" s="3"/>
      <c r="CN258" s="5"/>
      <c r="CR258" s="3"/>
      <c r="CS258" s="3"/>
      <c r="CT258" s="5"/>
      <c r="CV258" s="3"/>
      <c r="DR258" s="5"/>
      <c r="DT258" s="3"/>
      <c r="EF258" s="7"/>
      <c r="EG258" s="7"/>
      <c r="EJ258" s="4"/>
      <c r="EK258" s="4"/>
      <c r="EU258" s="2"/>
      <c r="EV258" s="2"/>
    </row>
    <row r="259" spans="1:152">
      <c r="A259" s="287">
        <v>3366</v>
      </c>
      <c r="B259" s="288" t="s">
        <v>753</v>
      </c>
      <c r="C259" s="288" t="s">
        <v>278</v>
      </c>
      <c r="D259" s="288" t="s">
        <v>153</v>
      </c>
      <c r="E259" s="288" t="s">
        <v>754</v>
      </c>
      <c r="F259" s="288" t="s">
        <v>35</v>
      </c>
      <c r="G259" s="288" t="s">
        <v>1292</v>
      </c>
      <c r="H259" s="288" t="s">
        <v>1285</v>
      </c>
      <c r="I259" s="288" t="s">
        <v>693</v>
      </c>
      <c r="J259" s="288" t="s">
        <v>686</v>
      </c>
      <c r="K259" s="289">
        <v>43388</v>
      </c>
      <c r="L259" s="290"/>
      <c r="M259" s="290">
        <v>4.8</v>
      </c>
      <c r="N259" s="288">
        <v>4.4539999999999997</v>
      </c>
      <c r="O259" s="288" t="s">
        <v>687</v>
      </c>
      <c r="P259" s="291" t="s">
        <v>755</v>
      </c>
      <c r="Q259" s="291" t="s">
        <v>756</v>
      </c>
      <c r="R259" s="288" t="s">
        <v>24</v>
      </c>
      <c r="S259" s="288"/>
      <c r="T259" s="292" t="s">
        <v>615</v>
      </c>
      <c r="U259" s="288"/>
      <c r="V259" s="292" t="s">
        <v>615</v>
      </c>
      <c r="W259" s="288"/>
      <c r="X259" s="292" t="s">
        <v>120</v>
      </c>
      <c r="Y259" s="288" t="s">
        <v>757</v>
      </c>
      <c r="Z259" s="293" t="s">
        <v>120</v>
      </c>
      <c r="AA259" s="294"/>
      <c r="AB259" s="294"/>
      <c r="AC259" s="295" t="s">
        <v>123</v>
      </c>
      <c r="AD259" s="288" t="s">
        <v>758</v>
      </c>
      <c r="AE259" s="292" t="s">
        <v>615</v>
      </c>
      <c r="AF259" s="289"/>
      <c r="AG259" s="296"/>
      <c r="AH259" s="296"/>
      <c r="AI259" s="288"/>
      <c r="AJ259" s="292" t="s">
        <v>615</v>
      </c>
      <c r="AK259" s="288"/>
      <c r="AL259" s="288"/>
      <c r="AM259" s="292"/>
      <c r="AN259" s="288"/>
      <c r="AO259" s="288"/>
      <c r="AP259" s="297"/>
      <c r="AQ259" s="288"/>
      <c r="AR259" s="292"/>
      <c r="AS259" s="288"/>
      <c r="AT259" s="289"/>
      <c r="AU259" s="289"/>
      <c r="AV259" s="289"/>
      <c r="AW259" s="289"/>
      <c r="AX259" s="289"/>
      <c r="AY259" s="289"/>
      <c r="AZ259" s="298">
        <v>43388</v>
      </c>
      <c r="BA25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59" s="300">
        <f>COUNTIFS(_05preva_view43[Site ID],_05preva_view43[[#This Row],[Site ID]],_05preva_view43[Prevalidation Status],"Under Prevalidation")</f>
        <v>0</v>
      </c>
      <c r="BC25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59" s="302" t="str">
        <f>CONCATENATE(_05preva_view43[[#This Row],[Site ID]]," (",_05preva_view43[[#This Row],[tenant id]],") Application",IF(_05preva_view43[[#This Row],[Colo Rev]]&gt;0," Rev "&amp;_05preva_view43[[#This Row],[Colo Rev]],""),".xlsx")</f>
        <v>1-01-11009-003 (MON00160) Application Rev 2.xlsx</v>
      </c>
      <c r="BE259" s="64">
        <f t="shared" ca="1" si="5"/>
        <v>50</v>
      </c>
      <c r="BF259" s="104" t="str">
        <f ca="1">LEFT(CELL("filename",A244),_05preva_view43[[#This Row],[Find Process &amp; Database]]-1)</f>
        <v>D:\OneDrive - apollo-towers.com\Apollo Towers\00-</v>
      </c>
      <c r="BG259" s="104" t="str">
        <f ca="1">_05preva_view43[Folder Path1]&amp;"Process &amp; Database\Documentation\Colo Applications"</f>
        <v>D:\OneDrive - apollo-towers.com\Apollo Towers\00-Process &amp; Database\Documentation\Colo Applications</v>
      </c>
      <c r="BH259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59" s="63" t="str">
        <f ca="1">_05preva_view43[[#This Row],[Folder Path3]]&amp;_05preva_view43[[#This Row],[File Name]]</f>
        <v>D:\OneDrive - apollo-towers.com\Apollo Towers\00-Process &amp; Database\Documentation\Colo Applications\Colo App MPT\1-01-11009-003 (MON00160) Application Rev 2.xlsx</v>
      </c>
      <c r="BJ259" s="104"/>
      <c r="BK259" s="3"/>
      <c r="BL259" s="3"/>
      <c r="CJ259" s="5"/>
      <c r="CK259" s="5"/>
      <c r="CL259" s="3"/>
      <c r="CN259" s="5"/>
      <c r="CR259" s="3"/>
      <c r="CS259" s="3"/>
      <c r="CT259" s="5"/>
      <c r="CV259" s="3"/>
      <c r="DR259" s="5"/>
      <c r="DT259" s="3"/>
      <c r="EF259" s="7"/>
      <c r="EG259" s="7"/>
      <c r="EJ259" s="4"/>
      <c r="EK259" s="4"/>
      <c r="EU259" s="2"/>
      <c r="EV259" s="2"/>
    </row>
    <row r="260" spans="1:152">
      <c r="A260" s="287">
        <v>3367</v>
      </c>
      <c r="B260" s="288" t="s">
        <v>759</v>
      </c>
      <c r="C260" s="288" t="s">
        <v>278</v>
      </c>
      <c r="D260" s="288" t="s">
        <v>117</v>
      </c>
      <c r="E260" s="288" t="s">
        <v>760</v>
      </c>
      <c r="F260" s="288" t="s">
        <v>35</v>
      </c>
      <c r="G260" s="288" t="s">
        <v>1292</v>
      </c>
      <c r="H260" s="288" t="s">
        <v>1285</v>
      </c>
      <c r="I260" s="288" t="s">
        <v>693</v>
      </c>
      <c r="J260" s="288" t="s">
        <v>694</v>
      </c>
      <c r="K260" s="289">
        <v>43388</v>
      </c>
      <c r="L260" s="290"/>
      <c r="M260" s="290">
        <v>3.3</v>
      </c>
      <c r="N260" s="288">
        <v>3.9460000000000002</v>
      </c>
      <c r="O260" s="288" t="s">
        <v>687</v>
      </c>
      <c r="P260" s="291" t="s">
        <v>695</v>
      </c>
      <c r="Q260" s="291" t="s">
        <v>696</v>
      </c>
      <c r="R260" s="288" t="s">
        <v>24</v>
      </c>
      <c r="S260" s="288"/>
      <c r="T260" s="292" t="s">
        <v>615</v>
      </c>
      <c r="U260" s="288"/>
      <c r="V260" s="292" t="s">
        <v>615</v>
      </c>
      <c r="W260" s="288"/>
      <c r="X260" s="292" t="s">
        <v>120</v>
      </c>
      <c r="Y260" s="288" t="s">
        <v>761</v>
      </c>
      <c r="Z260" s="293" t="s">
        <v>120</v>
      </c>
      <c r="AA260" s="294"/>
      <c r="AB260" s="294"/>
      <c r="AC260" s="295" t="s">
        <v>123</v>
      </c>
      <c r="AD260" s="288" t="s">
        <v>762</v>
      </c>
      <c r="AE260" s="292" t="s">
        <v>615</v>
      </c>
      <c r="AF260" s="289"/>
      <c r="AG260" s="296"/>
      <c r="AH260" s="296"/>
      <c r="AI260" s="288"/>
      <c r="AJ260" s="292" t="s">
        <v>615</v>
      </c>
      <c r="AK260" s="288"/>
      <c r="AL260" s="288"/>
      <c r="AM260" s="292"/>
      <c r="AN260" s="288"/>
      <c r="AO260" s="288"/>
      <c r="AP260" s="297"/>
      <c r="AQ260" s="288"/>
      <c r="AR260" s="292"/>
      <c r="AS260" s="288"/>
      <c r="AT260" s="289"/>
      <c r="AU260" s="289"/>
      <c r="AV260" s="289"/>
      <c r="AW260" s="289"/>
      <c r="AX260" s="289"/>
      <c r="AY260" s="289"/>
      <c r="AZ260" s="298">
        <v>43388</v>
      </c>
      <c r="BA26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0" s="300">
        <f>COUNTIFS(_05preva_view43[Site ID],_05preva_view43[[#This Row],[Site ID]],_05preva_view43[Prevalidation Status],"Under Prevalidation")</f>
        <v>0</v>
      </c>
      <c r="BC26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0" s="302" t="str">
        <f>CONCATENATE(_05preva_view43[[#This Row],[Site ID]]," (",_05preva_view43[[#This Row],[tenant id]],") Application",IF(_05preva_view43[[#This Row],[Colo Rev]]&gt;0," Rev "&amp;_05preva_view43[[#This Row],[Colo Rev]],""),".xlsx")</f>
        <v>1-01-14005-005 (SHS00349) Application Rev 4.xlsx</v>
      </c>
      <c r="BE260" s="64">
        <f t="shared" ca="1" si="5"/>
        <v>50</v>
      </c>
      <c r="BF260" s="104" t="str">
        <f ca="1">LEFT(CELL("filename",A245),_05preva_view43[[#This Row],[Find Process &amp; Database]]-1)</f>
        <v>D:\OneDrive - apollo-towers.com\Apollo Towers\00-</v>
      </c>
      <c r="BG260" s="104" t="str">
        <f ca="1">_05preva_view43[Folder Path1]&amp;"Process &amp; Database\Documentation\Colo Applications"</f>
        <v>D:\OneDrive - apollo-towers.com\Apollo Towers\00-Process &amp; Database\Documentation\Colo Applications</v>
      </c>
      <c r="BH26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0" s="63" t="str">
        <f ca="1">_05preva_view43[[#This Row],[Folder Path3]]&amp;_05preva_view43[[#This Row],[File Name]]</f>
        <v>D:\OneDrive - apollo-towers.com\Apollo Towers\00-Process &amp; Database\Documentation\Colo Applications\Colo App MPT\1-01-14005-005 (SHS00349) Application Rev 4.xlsx</v>
      </c>
      <c r="BJ260" s="104"/>
      <c r="BK260" s="3"/>
      <c r="BL260" s="3"/>
      <c r="CJ260" s="5"/>
      <c r="CK260" s="5"/>
      <c r="CL260" s="3"/>
      <c r="CN260" s="5"/>
      <c r="CR260" s="3"/>
      <c r="CS260" s="3"/>
      <c r="CT260" s="5"/>
      <c r="CV260" s="3"/>
      <c r="DR260" s="5"/>
      <c r="DT260" s="3"/>
      <c r="EF260" s="7"/>
      <c r="EG260" s="7"/>
      <c r="EJ260" s="4"/>
      <c r="EK260" s="4"/>
      <c r="EU260" s="2"/>
      <c r="EV260" s="2"/>
    </row>
    <row r="261" spans="1:152">
      <c r="A261" s="287">
        <v>3368</v>
      </c>
      <c r="B261" s="288" t="s">
        <v>763</v>
      </c>
      <c r="C261" s="288" t="s">
        <v>278</v>
      </c>
      <c r="D261" s="288" t="s">
        <v>153</v>
      </c>
      <c r="E261" s="288" t="s">
        <v>764</v>
      </c>
      <c r="F261" s="288" t="s">
        <v>35</v>
      </c>
      <c r="G261" s="288" t="s">
        <v>1292</v>
      </c>
      <c r="H261" s="288" t="s">
        <v>1285</v>
      </c>
      <c r="I261" s="288" t="s">
        <v>693</v>
      </c>
      <c r="J261" s="288" t="s">
        <v>686</v>
      </c>
      <c r="K261" s="289">
        <v>43388</v>
      </c>
      <c r="L261" s="290"/>
      <c r="M261" s="290">
        <v>2.1</v>
      </c>
      <c r="N261" s="288">
        <v>3.5750000000000002</v>
      </c>
      <c r="O261" s="288" t="s">
        <v>687</v>
      </c>
      <c r="P261" s="291" t="s">
        <v>765</v>
      </c>
      <c r="Q261" s="291" t="s">
        <v>766</v>
      </c>
      <c r="R261" s="288" t="s">
        <v>24</v>
      </c>
      <c r="S261" s="288"/>
      <c r="T261" s="292" t="s">
        <v>615</v>
      </c>
      <c r="U261" s="288"/>
      <c r="V261" s="292" t="s">
        <v>615</v>
      </c>
      <c r="W261" s="288"/>
      <c r="X261" s="292" t="s">
        <v>120</v>
      </c>
      <c r="Y261" s="288" t="s">
        <v>767</v>
      </c>
      <c r="Z261" s="293" t="s">
        <v>120</v>
      </c>
      <c r="AA261" s="294"/>
      <c r="AB261" s="294"/>
      <c r="AC261" s="295" t="s">
        <v>123</v>
      </c>
      <c r="AD261" s="288" t="s">
        <v>768</v>
      </c>
      <c r="AE261" s="292" t="s">
        <v>615</v>
      </c>
      <c r="AF261" s="289"/>
      <c r="AG261" s="296"/>
      <c r="AH261" s="296"/>
      <c r="AI261" s="288"/>
      <c r="AJ261" s="292" t="s">
        <v>615</v>
      </c>
      <c r="AK261" s="288"/>
      <c r="AL261" s="288"/>
      <c r="AM261" s="292"/>
      <c r="AN261" s="288"/>
      <c r="AO261" s="288"/>
      <c r="AP261" s="297"/>
      <c r="AQ261" s="288"/>
      <c r="AR261" s="292"/>
      <c r="AS261" s="288"/>
      <c r="AT261" s="289"/>
      <c r="AU261" s="289"/>
      <c r="AV261" s="289"/>
      <c r="AW261" s="289"/>
      <c r="AX261" s="289"/>
      <c r="AY261" s="289"/>
      <c r="AZ261" s="298">
        <v>43388</v>
      </c>
      <c r="BA26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1" s="300">
        <f>COUNTIFS(_05preva_view43[Site ID],_05preva_view43[[#This Row],[Site ID]],_05preva_view43[Prevalidation Status],"Under Prevalidation")</f>
        <v>0</v>
      </c>
      <c r="BC26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1" s="302" t="str">
        <f>CONCATENATE(_05preva_view43[[#This Row],[Site ID]]," (",_05preva_view43[[#This Row],[tenant id]],") Application",IF(_05preva_view43[[#This Row],[Colo Rev]]&gt;0," Rev "&amp;_05preva_view43[[#This Row],[Colo Rev]],""),".xlsx")</f>
        <v>1-01-17016-004 (AWD00498) Application Rev 2.xlsx</v>
      </c>
      <c r="BE261" s="64">
        <f t="shared" ca="1" si="5"/>
        <v>50</v>
      </c>
      <c r="BF261" s="104" t="str">
        <f ca="1">LEFT(CELL("filename",A246),_05preva_view43[[#This Row],[Find Process &amp; Database]]-1)</f>
        <v>D:\OneDrive - apollo-towers.com\Apollo Towers\00-</v>
      </c>
      <c r="BG261" s="104" t="str">
        <f ca="1">_05preva_view43[Folder Path1]&amp;"Process &amp; Database\Documentation\Colo Applications"</f>
        <v>D:\OneDrive - apollo-towers.com\Apollo Towers\00-Process &amp; Database\Documentation\Colo Applications</v>
      </c>
      <c r="BH26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1" s="63" t="str">
        <f ca="1">_05preva_view43[[#This Row],[Folder Path3]]&amp;_05preva_view43[[#This Row],[File Name]]</f>
        <v>D:\OneDrive - apollo-towers.com\Apollo Towers\00-Process &amp; Database\Documentation\Colo Applications\Colo App MPT\1-01-17016-004 (AWD00498) Application Rev 2.xlsx</v>
      </c>
      <c r="BJ261" s="104"/>
      <c r="BK261" s="3"/>
      <c r="BL261" s="3"/>
      <c r="CJ261" s="5"/>
      <c r="CK261" s="5"/>
      <c r="CL261" s="3"/>
      <c r="CN261" s="5"/>
      <c r="CR261" s="3"/>
      <c r="CS261" s="3"/>
      <c r="CT261" s="5"/>
      <c r="CV261" s="3"/>
      <c r="DR261" s="5"/>
      <c r="DT261" s="3"/>
      <c r="EF261" s="7"/>
      <c r="EG261" s="7"/>
      <c r="EJ261" s="4"/>
      <c r="EK261" s="4"/>
      <c r="EU261" s="2"/>
      <c r="EV261" s="2"/>
    </row>
    <row r="262" spans="1:152">
      <c r="A262" s="287">
        <v>3369</v>
      </c>
      <c r="B262" s="288" t="s">
        <v>769</v>
      </c>
      <c r="C262" s="288" t="s">
        <v>278</v>
      </c>
      <c r="D262" s="288" t="s">
        <v>153</v>
      </c>
      <c r="E262" s="288" t="s">
        <v>770</v>
      </c>
      <c r="F262" s="288" t="s">
        <v>35</v>
      </c>
      <c r="G262" s="288" t="s">
        <v>1292</v>
      </c>
      <c r="H262" s="288" t="s">
        <v>1285</v>
      </c>
      <c r="I262" s="288" t="s">
        <v>693</v>
      </c>
      <c r="J262" s="288" t="s">
        <v>686</v>
      </c>
      <c r="K262" s="289">
        <v>43388</v>
      </c>
      <c r="L262" s="290"/>
      <c r="M262" s="290">
        <v>2.4</v>
      </c>
      <c r="N262" s="288">
        <v>3.5150000000000001</v>
      </c>
      <c r="O262" s="288" t="s">
        <v>687</v>
      </c>
      <c r="P262" s="291" t="s">
        <v>508</v>
      </c>
      <c r="Q262" s="291" t="s">
        <v>509</v>
      </c>
      <c r="R262" s="288" t="s">
        <v>24</v>
      </c>
      <c r="S262" s="288"/>
      <c r="T262" s="292" t="s">
        <v>615</v>
      </c>
      <c r="U262" s="288"/>
      <c r="V262" s="292" t="s">
        <v>615</v>
      </c>
      <c r="W262" s="288"/>
      <c r="X262" s="292" t="s">
        <v>120</v>
      </c>
      <c r="Y262" s="288" t="s">
        <v>771</v>
      </c>
      <c r="Z262" s="293" t="s">
        <v>120</v>
      </c>
      <c r="AA262" s="294"/>
      <c r="AB262" s="294"/>
      <c r="AC262" s="295" t="s">
        <v>123</v>
      </c>
      <c r="AD262" s="288" t="s">
        <v>772</v>
      </c>
      <c r="AE262" s="292" t="s">
        <v>615</v>
      </c>
      <c r="AF262" s="289"/>
      <c r="AG262" s="296"/>
      <c r="AH262" s="296"/>
      <c r="AI262" s="288"/>
      <c r="AJ262" s="292" t="s">
        <v>615</v>
      </c>
      <c r="AK262" s="288"/>
      <c r="AL262" s="288"/>
      <c r="AM262" s="292"/>
      <c r="AN262" s="288"/>
      <c r="AO262" s="288"/>
      <c r="AP262" s="297"/>
      <c r="AQ262" s="288"/>
      <c r="AR262" s="292"/>
      <c r="AS262" s="288"/>
      <c r="AT262" s="289"/>
      <c r="AU262" s="289"/>
      <c r="AV262" s="289"/>
      <c r="AW262" s="289"/>
      <c r="AX262" s="289"/>
      <c r="AY262" s="289"/>
      <c r="AZ262" s="298">
        <v>43388</v>
      </c>
      <c r="BA26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2" s="300">
        <f>COUNTIFS(_05preva_view43[Site ID],_05preva_view43[[#This Row],[Site ID]],_05preva_view43[Prevalidation Status],"Under Prevalidation")</f>
        <v>0</v>
      </c>
      <c r="BC26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2" s="302" t="str">
        <f>CONCATENATE(_05preva_view43[[#This Row],[Site ID]]," (",_05preva_view43[[#This Row],[tenant id]],") Application",IF(_05preva_view43[[#This Row],[Colo Rev]]&gt;0," Rev "&amp;_05preva_view43[[#This Row],[Colo Rev]],""),".xlsx")</f>
        <v>1-01-13004-002 (YGN00555) Application Rev 2.xlsx</v>
      </c>
      <c r="BE262" s="64">
        <f t="shared" ca="1" si="5"/>
        <v>50</v>
      </c>
      <c r="BF262" s="104" t="str">
        <f ca="1">LEFT(CELL("filename",A247),_05preva_view43[[#This Row],[Find Process &amp; Database]]-1)</f>
        <v>D:\OneDrive - apollo-towers.com\Apollo Towers\00-</v>
      </c>
      <c r="BG262" s="104" t="str">
        <f ca="1">_05preva_view43[Folder Path1]&amp;"Process &amp; Database\Documentation\Colo Applications"</f>
        <v>D:\OneDrive - apollo-towers.com\Apollo Towers\00-Process &amp; Database\Documentation\Colo Applications</v>
      </c>
      <c r="BH26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2" s="63" t="str">
        <f ca="1">_05preva_view43[[#This Row],[Folder Path3]]&amp;_05preva_view43[[#This Row],[File Name]]</f>
        <v>D:\OneDrive - apollo-towers.com\Apollo Towers\00-Process &amp; Database\Documentation\Colo Applications\Colo App MPT\1-01-13004-002 (YGN00555) Application Rev 2.xlsx</v>
      </c>
      <c r="BJ262" s="104"/>
      <c r="BK262" s="3"/>
      <c r="BL262" s="3"/>
      <c r="CJ262" s="5"/>
      <c r="CK262" s="5"/>
      <c r="CL262" s="3"/>
      <c r="CN262" s="5"/>
      <c r="CR262" s="3"/>
      <c r="CS262" s="3"/>
      <c r="CT262" s="5"/>
      <c r="CV262" s="3"/>
      <c r="DR262" s="5"/>
      <c r="DT262" s="3"/>
      <c r="EF262" s="7"/>
      <c r="EG262" s="7"/>
      <c r="EJ262" s="4"/>
      <c r="EK262" s="4"/>
      <c r="EU262" s="2"/>
      <c r="EV262" s="2"/>
    </row>
    <row r="263" spans="1:152">
      <c r="A263" s="287">
        <v>3370</v>
      </c>
      <c r="B263" s="288" t="s">
        <v>773</v>
      </c>
      <c r="C263" s="288" t="s">
        <v>278</v>
      </c>
      <c r="D263" s="288" t="s">
        <v>153</v>
      </c>
      <c r="E263" s="288" t="s">
        <v>774</v>
      </c>
      <c r="F263" s="288" t="s">
        <v>35</v>
      </c>
      <c r="G263" s="288" t="s">
        <v>1292</v>
      </c>
      <c r="H263" s="288" t="s">
        <v>1285</v>
      </c>
      <c r="I263" s="288" t="s">
        <v>775</v>
      </c>
      <c r="J263" s="288" t="s">
        <v>686</v>
      </c>
      <c r="K263" s="289">
        <v>43388</v>
      </c>
      <c r="L263" s="290"/>
      <c r="M263" s="290">
        <v>0.9</v>
      </c>
      <c r="N263" s="288">
        <v>2.887</v>
      </c>
      <c r="O263" s="288" t="s">
        <v>687</v>
      </c>
      <c r="P263" s="291" t="s">
        <v>765</v>
      </c>
      <c r="Q263" s="291" t="s">
        <v>766</v>
      </c>
      <c r="R263" s="288" t="s">
        <v>24</v>
      </c>
      <c r="S263" s="288"/>
      <c r="T263" s="292" t="s">
        <v>615</v>
      </c>
      <c r="U263" s="288"/>
      <c r="V263" s="292" t="s">
        <v>615</v>
      </c>
      <c r="W263" s="288"/>
      <c r="X263" s="292" t="s">
        <v>120</v>
      </c>
      <c r="Y263" s="288" t="s">
        <v>776</v>
      </c>
      <c r="Z263" s="293" t="s">
        <v>120</v>
      </c>
      <c r="AA263" s="294"/>
      <c r="AB263" s="294"/>
      <c r="AC263" s="295" t="s">
        <v>123</v>
      </c>
      <c r="AD263" s="288" t="s">
        <v>777</v>
      </c>
      <c r="AE263" s="292" t="s">
        <v>615</v>
      </c>
      <c r="AF263" s="289"/>
      <c r="AG263" s="296"/>
      <c r="AH263" s="296"/>
      <c r="AI263" s="288"/>
      <c r="AJ263" s="292" t="s">
        <v>615</v>
      </c>
      <c r="AK263" s="288"/>
      <c r="AL263" s="288"/>
      <c r="AM263" s="292"/>
      <c r="AN263" s="288"/>
      <c r="AO263" s="288"/>
      <c r="AP263" s="297"/>
      <c r="AQ263" s="288"/>
      <c r="AR263" s="292"/>
      <c r="AS263" s="288"/>
      <c r="AT263" s="289"/>
      <c r="AU263" s="289"/>
      <c r="AV263" s="289"/>
      <c r="AW263" s="289"/>
      <c r="AX263" s="289"/>
      <c r="AY263" s="289"/>
      <c r="AZ263" s="298">
        <v>43388</v>
      </c>
      <c r="BA26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3" s="300">
        <f>COUNTIFS(_05preva_view43[Site ID],_05preva_view43[[#This Row],[Site ID]],_05preva_view43[Prevalidation Status],"Under Prevalidation")</f>
        <v>0</v>
      </c>
      <c r="BC26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3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1-01-17009-002 (AWD00481) Application Rev 2.xlsx</v>
      </c>
      <c r="BE263" s="64">
        <f t="shared" ca="1" si="5"/>
        <v>50</v>
      </c>
      <c r="BF263" s="104" t="str">
        <f ca="1">LEFT(CELL("filename",A248),_05preva_view43[[#This Row],[Find Process &amp; Database]]-1)</f>
        <v>D:\OneDrive - apollo-towers.com\Apollo Towers\00-</v>
      </c>
      <c r="BG263" s="104" t="str">
        <f ca="1">_05preva_view43[Folder Path1]&amp;"Process &amp; Database\Documentation\Colo Applications"</f>
        <v>D:\OneDrive - apollo-towers.com\Apollo Towers\00-Process &amp; Database\Documentation\Colo Applications</v>
      </c>
      <c r="BH26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3" s="63" t="str">
        <f ca="1">_05preva_view43[[#This Row],[Folder Path3]]&amp;_05preva_view43[[#This Row],[File Name]]</f>
        <v>D:\OneDrive - apollo-towers.com\Apollo Towers\00-Process &amp; Database\Documentation\Colo Applications\Colo App MPT\1-01-17009-002 (AWD00481) Application Rev 2.xlsx</v>
      </c>
      <c r="BJ263" s="104"/>
      <c r="BK263" s="3"/>
      <c r="BL263" s="3"/>
      <c r="CJ263" s="5"/>
      <c r="CK263" s="5"/>
      <c r="CL263" s="3"/>
      <c r="CN263" s="5"/>
      <c r="CR263" s="3"/>
      <c r="CS263" s="3"/>
      <c r="CT263" s="5"/>
      <c r="CV263" s="3"/>
      <c r="DR263" s="5"/>
      <c r="DT263" s="3"/>
      <c r="EF263" s="7"/>
      <c r="EG263" s="7"/>
      <c r="EJ263" s="4"/>
      <c r="EK263" s="4"/>
      <c r="EU263" s="2"/>
      <c r="EV263" s="2"/>
    </row>
    <row r="264" spans="1:152">
      <c r="A264" s="287">
        <v>3371</v>
      </c>
      <c r="B264" s="288" t="s">
        <v>778</v>
      </c>
      <c r="C264" s="288" t="s">
        <v>278</v>
      </c>
      <c r="D264" s="288" t="s">
        <v>153</v>
      </c>
      <c r="E264" s="288" t="s">
        <v>779</v>
      </c>
      <c r="F264" s="288" t="s">
        <v>35</v>
      </c>
      <c r="G264" s="288" t="s">
        <v>1292</v>
      </c>
      <c r="H264" s="288" t="s">
        <v>1285</v>
      </c>
      <c r="I264" s="288" t="s">
        <v>775</v>
      </c>
      <c r="J264" s="288" t="s">
        <v>686</v>
      </c>
      <c r="K264" s="289">
        <v>43388</v>
      </c>
      <c r="L264" s="290"/>
      <c r="M264" s="290">
        <v>1.5</v>
      </c>
      <c r="N264" s="288">
        <v>2.9119999999999999</v>
      </c>
      <c r="O264" s="288" t="s">
        <v>687</v>
      </c>
      <c r="P264" s="291" t="s">
        <v>533</v>
      </c>
      <c r="Q264" s="291" t="s">
        <v>780</v>
      </c>
      <c r="R264" s="288" t="s">
        <v>24</v>
      </c>
      <c r="S264" s="288"/>
      <c r="T264" s="292" t="s">
        <v>615</v>
      </c>
      <c r="U264" s="288"/>
      <c r="V264" s="292" t="s">
        <v>615</v>
      </c>
      <c r="W264" s="288"/>
      <c r="X264" s="292" t="s">
        <v>120</v>
      </c>
      <c r="Y264" s="288" t="s">
        <v>781</v>
      </c>
      <c r="Z264" s="293" t="s">
        <v>120</v>
      </c>
      <c r="AA264" s="294"/>
      <c r="AB264" s="294"/>
      <c r="AC264" s="295" t="s">
        <v>123</v>
      </c>
      <c r="AD264" s="288" t="s">
        <v>782</v>
      </c>
      <c r="AE264" s="292" t="s">
        <v>615</v>
      </c>
      <c r="AF264" s="289"/>
      <c r="AG264" s="296"/>
      <c r="AH264" s="296"/>
      <c r="AI264" s="288"/>
      <c r="AJ264" s="292" t="s">
        <v>615</v>
      </c>
      <c r="AK264" s="288"/>
      <c r="AL264" s="288"/>
      <c r="AM264" s="292"/>
      <c r="AN264" s="288"/>
      <c r="AO264" s="288"/>
      <c r="AP264" s="297"/>
      <c r="AQ264" s="288"/>
      <c r="AR264" s="292"/>
      <c r="AS264" s="288"/>
      <c r="AT264" s="289"/>
      <c r="AU264" s="289"/>
      <c r="AV264" s="289"/>
      <c r="AW264" s="289"/>
      <c r="AX264" s="289"/>
      <c r="AY264" s="289"/>
      <c r="AZ264" s="298">
        <v>43388</v>
      </c>
      <c r="BA26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4" s="300">
        <f>COUNTIFS(_05preva_view43[Site ID],_05preva_view43[[#This Row],[Site ID]],_05preva_view43[Prevalidation Status],"Under Prevalidation")</f>
        <v>0</v>
      </c>
      <c r="BC26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4" s="302" t="str">
        <f>CONCATENATE(_05preva_view43[[#This Row],[Site ID]]," (",_05preva_view43[[#This Row],[tenant id]],") Application",IF(_05preva_view43[[#This Row],[Colo Rev]]&gt;0," Rev "&amp;_05preva_view43[[#This Row],[Colo Rev]],""),".xlsx")</f>
        <v>1-01-17008-022 (AWD00548) Application Rev 2.xlsx</v>
      </c>
      <c r="BE264" s="64">
        <f t="shared" ca="1" si="5"/>
        <v>50</v>
      </c>
      <c r="BF264" s="104" t="str">
        <f ca="1">LEFT(CELL("filename",A249),_05preva_view43[[#This Row],[Find Process &amp; Database]]-1)</f>
        <v>D:\OneDrive - apollo-towers.com\Apollo Towers\00-</v>
      </c>
      <c r="BG264" s="104" t="str">
        <f ca="1">_05preva_view43[Folder Path1]&amp;"Process &amp; Database\Documentation\Colo Applications"</f>
        <v>D:\OneDrive - apollo-towers.com\Apollo Towers\00-Process &amp; Database\Documentation\Colo Applications</v>
      </c>
      <c r="BH26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4" s="63" t="str">
        <f ca="1">_05preva_view43[[#This Row],[Folder Path3]]&amp;_05preva_view43[[#This Row],[File Name]]</f>
        <v>D:\OneDrive - apollo-towers.com\Apollo Towers\00-Process &amp; Database\Documentation\Colo Applications\Colo App MPT\1-01-17008-022 (AWD00548) Application Rev 2.xlsx</v>
      </c>
      <c r="BJ264" s="104"/>
      <c r="BK264" s="3"/>
      <c r="BL264" s="3"/>
      <c r="CJ264" s="5"/>
      <c r="CK264" s="5"/>
      <c r="CL264" s="3"/>
      <c r="CN264" s="5"/>
      <c r="CR264" s="3"/>
      <c r="CS264" s="3"/>
      <c r="CT264" s="5"/>
      <c r="CV264" s="3"/>
      <c r="DR264" s="5"/>
      <c r="DT264" s="3"/>
      <c r="EF264" s="7"/>
      <c r="EG264" s="7"/>
      <c r="EJ264" s="4"/>
      <c r="EK264" s="4"/>
      <c r="EU264" s="2"/>
      <c r="EV264" s="2"/>
    </row>
    <row r="265" spans="1:152">
      <c r="A265" s="287">
        <v>3348</v>
      </c>
      <c r="B265" s="288" t="s">
        <v>665</v>
      </c>
      <c r="C265" s="288" t="s">
        <v>116</v>
      </c>
      <c r="D265" s="288" t="s">
        <v>127</v>
      </c>
      <c r="E265" s="288" t="s">
        <v>666</v>
      </c>
      <c r="F265" s="288" t="s">
        <v>35</v>
      </c>
      <c r="G265" s="288" t="s">
        <v>1287</v>
      </c>
      <c r="H265" s="288" t="s">
        <v>1285</v>
      </c>
      <c r="I265" s="288" t="s">
        <v>667</v>
      </c>
      <c r="J265" s="288" t="s">
        <v>668</v>
      </c>
      <c r="K265" s="289">
        <v>43384</v>
      </c>
      <c r="L265" s="290"/>
      <c r="M265" s="290">
        <v>1.4</v>
      </c>
      <c r="N265" s="288">
        <v>5</v>
      </c>
      <c r="O265" s="288" t="s">
        <v>119</v>
      </c>
      <c r="P265" s="291" t="s">
        <v>655</v>
      </c>
      <c r="Q265" s="291" t="s">
        <v>669</v>
      </c>
      <c r="R265" s="288" t="s">
        <v>24</v>
      </c>
      <c r="S265" s="288"/>
      <c r="T265" s="292" t="s">
        <v>615</v>
      </c>
      <c r="U265" s="288"/>
      <c r="V265" s="292" t="s">
        <v>141</v>
      </c>
      <c r="W265" s="288" t="s">
        <v>672</v>
      </c>
      <c r="X265" s="292" t="s">
        <v>120</v>
      </c>
      <c r="Y265" s="288" t="s">
        <v>670</v>
      </c>
      <c r="Z265" s="293" t="s">
        <v>120</v>
      </c>
      <c r="AA265" s="294"/>
      <c r="AB265" s="294"/>
      <c r="AC265" s="295"/>
      <c r="AD265" s="288"/>
      <c r="AE265" s="292" t="s">
        <v>615</v>
      </c>
      <c r="AF265" s="289"/>
      <c r="AG265" s="296"/>
      <c r="AH265" s="296"/>
      <c r="AI265" s="288" t="s">
        <v>671</v>
      </c>
      <c r="AJ265" s="292" t="s">
        <v>615</v>
      </c>
      <c r="AK265" s="288"/>
      <c r="AL265" s="288"/>
      <c r="AM265" s="292"/>
      <c r="AN265" s="288"/>
      <c r="AO265" s="288"/>
      <c r="AP265" s="297"/>
      <c r="AQ265" s="288"/>
      <c r="AR265" s="292"/>
      <c r="AS265" s="288"/>
      <c r="AT265" s="289"/>
      <c r="AU265" s="289"/>
      <c r="AV265" s="289"/>
      <c r="AW265" s="289"/>
      <c r="AX265" s="289"/>
      <c r="AY265" s="289"/>
      <c r="AZ265" s="298">
        <v>43384</v>
      </c>
      <c r="BA26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5" s="300">
        <f>COUNTIFS(_05preva_view43[Site ID],_05preva_view43[[#This Row],[Site ID]],_05preva_view43[Prevalidation Status],"Under Prevalidation")</f>
        <v>0</v>
      </c>
      <c r="BC26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5" s="302" t="str">
        <f>CONCATENATE(_05preva_view43[[#This Row],[Site ID]]," (",_05preva_view43[[#This Row],[tenant id]],") Application",IF(_05preva_view43[[#This Row],[Colo Rev]]&gt;0," Rev "&amp;_05preva_view43[[#This Row],[Colo Rev]],""),".xlsx")</f>
        <v>ANSG_0483 (SGG00406) Application Rev 1.xlsx</v>
      </c>
      <c r="BE265" s="64">
        <f t="shared" ca="1" si="5"/>
        <v>50</v>
      </c>
      <c r="BF265" s="104" t="str">
        <f ca="1">LEFT(CELL("filename",A250),_05preva_view43[[#This Row],[Find Process &amp; Database]]-1)</f>
        <v>D:\OneDrive - apollo-towers.com\Apollo Towers\00-</v>
      </c>
      <c r="BG265" s="104" t="str">
        <f ca="1">_05preva_view43[Folder Path1]&amp;"Process &amp; Database\Documentation\Colo Applications"</f>
        <v>D:\OneDrive - apollo-towers.com\Apollo Towers\00-Process &amp; Database\Documentation\Colo Applications</v>
      </c>
      <c r="BH265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5" s="63" t="str">
        <f ca="1">_05preva_view43[[#This Row],[Folder Path3]]&amp;_05preva_view43[[#This Row],[File Name]]</f>
        <v>D:\OneDrive - apollo-towers.com\Apollo Towers\00-Process &amp; Database\Documentation\Colo Applications\Colo App MPT\ANSG_0483 (SGG00406) Application Rev 1.xlsx</v>
      </c>
      <c r="BJ265" s="104"/>
      <c r="BK265" s="3"/>
      <c r="BL265" s="3"/>
      <c r="CJ265" s="5"/>
      <c r="CK265" s="5"/>
      <c r="CL265" s="3"/>
      <c r="CN265" s="5"/>
      <c r="CR265" s="3"/>
      <c r="CS265" s="3"/>
      <c r="CT265" s="5"/>
      <c r="CV265" s="3"/>
      <c r="DR265" s="5"/>
      <c r="DT265" s="3"/>
      <c r="EF265" s="7"/>
      <c r="EG265" s="7"/>
      <c r="EJ265" s="4"/>
      <c r="EK265" s="4"/>
      <c r="EU265" s="2"/>
      <c r="EV265" s="2"/>
    </row>
    <row r="266" spans="1:152">
      <c r="A266" s="287">
        <v>3349</v>
      </c>
      <c r="B266" s="288" t="s">
        <v>673</v>
      </c>
      <c r="C266" s="288" t="s">
        <v>116</v>
      </c>
      <c r="D266" s="288" t="s">
        <v>153</v>
      </c>
      <c r="E266" s="288" t="s">
        <v>674</v>
      </c>
      <c r="F266" s="288" t="s">
        <v>35</v>
      </c>
      <c r="G266" s="288" t="s">
        <v>675</v>
      </c>
      <c r="H266" s="288" t="s">
        <v>676</v>
      </c>
      <c r="I266" s="288" t="s">
        <v>667</v>
      </c>
      <c r="J266" s="288" t="s">
        <v>677</v>
      </c>
      <c r="K266" s="289">
        <v>43384</v>
      </c>
      <c r="L266" s="290"/>
      <c r="M266" s="290">
        <v>2.1</v>
      </c>
      <c r="N266" s="288">
        <v>5</v>
      </c>
      <c r="O266" s="288" t="s">
        <v>119</v>
      </c>
      <c r="P266" s="291" t="s">
        <v>247</v>
      </c>
      <c r="Q266" s="291" t="s">
        <v>227</v>
      </c>
      <c r="R266" s="288" t="s">
        <v>24</v>
      </c>
      <c r="S266" s="288"/>
      <c r="T266" s="292" t="s">
        <v>615</v>
      </c>
      <c r="U266" s="288"/>
      <c r="V266" s="292" t="s">
        <v>141</v>
      </c>
      <c r="W266" s="288" t="s">
        <v>680</v>
      </c>
      <c r="X266" s="292" t="s">
        <v>120</v>
      </c>
      <c r="Y266" s="288" t="s">
        <v>678</v>
      </c>
      <c r="Z266" s="293"/>
      <c r="AA266" s="294"/>
      <c r="AB266" s="294"/>
      <c r="AC266" s="295"/>
      <c r="AD266" s="288"/>
      <c r="AE266" s="292" t="s">
        <v>120</v>
      </c>
      <c r="AF266" s="289" t="s">
        <v>515</v>
      </c>
      <c r="AG266" s="296"/>
      <c r="AH266" s="296"/>
      <c r="AI266" s="288" t="s">
        <v>679</v>
      </c>
      <c r="AJ266" s="292" t="s">
        <v>615</v>
      </c>
      <c r="AK266" s="288"/>
      <c r="AL266" s="288"/>
      <c r="AM266" s="292"/>
      <c r="AN266" s="288"/>
      <c r="AO266" s="288"/>
      <c r="AP266" s="297"/>
      <c r="AQ266" s="288"/>
      <c r="AR266" s="292"/>
      <c r="AS266" s="288"/>
      <c r="AT266" s="289"/>
      <c r="AU266" s="289">
        <v>43453.379108564797</v>
      </c>
      <c r="AV266" s="289"/>
      <c r="AW266" s="289"/>
      <c r="AX266" s="289"/>
      <c r="AY266" s="289"/>
      <c r="AZ266" s="298">
        <v>43384</v>
      </c>
      <c r="BA26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6" s="300">
        <f>COUNTIFS(_05preva_view43[Site ID],_05preva_view43[[#This Row],[Site ID]],_05preva_view43[Prevalidation Status],"Under Prevalidation")</f>
        <v>0</v>
      </c>
      <c r="BC26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6" s="302" t="str">
        <f>CONCATENATE(_05preva_view43[[#This Row],[Site ID]]," (",_05preva_view43[[#This Row],[tenant id]],") Application",IF(_05preva_view43[[#This Row],[Colo Rev]]&gt;0," Rev "&amp;_05preva_view43[[#This Row],[Colo Rev]],""),".xlsx")</f>
        <v>AYYN_0609 (BGE00472) Application Rev 0.xlsx</v>
      </c>
      <c r="BE266" s="64">
        <f t="shared" ca="1" si="5"/>
        <v>50</v>
      </c>
      <c r="BF266" s="104" t="str">
        <f ca="1">LEFT(CELL("filename",A251),_05preva_view43[[#This Row],[Find Process &amp; Database]]-1)</f>
        <v>D:\OneDrive - apollo-towers.com\Apollo Towers\00-</v>
      </c>
      <c r="BG266" s="104" t="str">
        <f ca="1">_05preva_view43[Folder Path1]&amp;"Process &amp; Database\Documentation\Colo Applications"</f>
        <v>D:\OneDrive - apollo-towers.com\Apollo Towers\00-Process &amp; Database\Documentation\Colo Applications</v>
      </c>
      <c r="BH26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6" s="63" t="str">
        <f ca="1">_05preva_view43[[#This Row],[Folder Path3]]&amp;_05preva_view43[[#This Row],[File Name]]</f>
        <v>D:\OneDrive - apollo-towers.com\Apollo Towers\00-Process &amp; Database\Documentation\Colo Applications\Colo App MPT\AYYN_0609 (BGE00472) Application Rev 0.xlsx</v>
      </c>
      <c r="BJ266" s="104"/>
      <c r="BK266" s="3"/>
      <c r="BL266" s="3"/>
      <c r="CJ266" s="5"/>
      <c r="CK266" s="5"/>
      <c r="CL266" s="3"/>
      <c r="CN266" s="5"/>
      <c r="CR266" s="3"/>
      <c r="CS266" s="3"/>
      <c r="CT266" s="5"/>
      <c r="CV266" s="3"/>
      <c r="DR266" s="5"/>
      <c r="DT266" s="3"/>
      <c r="EF266" s="7"/>
      <c r="EG266" s="7"/>
      <c r="EJ266" s="4"/>
      <c r="EK266" s="4"/>
      <c r="EU266" s="2"/>
      <c r="EV266" s="2"/>
    </row>
    <row r="267" spans="1:152">
      <c r="A267" s="287">
        <v>3351</v>
      </c>
      <c r="B267" s="288" t="s">
        <v>213</v>
      </c>
      <c r="C267" s="288" t="s">
        <v>116</v>
      </c>
      <c r="D267" s="288" t="s">
        <v>153</v>
      </c>
      <c r="E267" s="288" t="s">
        <v>681</v>
      </c>
      <c r="F267" s="288" t="s">
        <v>35</v>
      </c>
      <c r="G267" s="288" t="s">
        <v>1287</v>
      </c>
      <c r="H267" s="288" t="s">
        <v>1285</v>
      </c>
      <c r="I267" s="288" t="s">
        <v>667</v>
      </c>
      <c r="J267" s="288" t="s">
        <v>677</v>
      </c>
      <c r="K267" s="289">
        <v>43384</v>
      </c>
      <c r="L267" s="290"/>
      <c r="M267" s="290">
        <v>2.1</v>
      </c>
      <c r="N267" s="288"/>
      <c r="O267" s="288" t="s">
        <v>119</v>
      </c>
      <c r="P267" s="291" t="s">
        <v>247</v>
      </c>
      <c r="Q267" s="291" t="s">
        <v>227</v>
      </c>
      <c r="R267" s="288" t="s">
        <v>24</v>
      </c>
      <c r="S267" s="288"/>
      <c r="T267" s="292" t="s">
        <v>615</v>
      </c>
      <c r="U267" s="288"/>
      <c r="V267" s="292" t="s">
        <v>120</v>
      </c>
      <c r="W267" s="288"/>
      <c r="X267" s="292" t="s">
        <v>120</v>
      </c>
      <c r="Y267" s="288" t="s">
        <v>682</v>
      </c>
      <c r="Z267" s="293"/>
      <c r="AA267" s="294"/>
      <c r="AB267" s="294"/>
      <c r="AC267" s="295"/>
      <c r="AD267" s="288"/>
      <c r="AE267" s="292" t="s">
        <v>120</v>
      </c>
      <c r="AF267" s="289" t="s">
        <v>639</v>
      </c>
      <c r="AG267" s="296"/>
      <c r="AH267" s="296"/>
      <c r="AI267" s="288"/>
      <c r="AJ267" s="292" t="s">
        <v>615</v>
      </c>
      <c r="AK267" s="288"/>
      <c r="AL267" s="288"/>
      <c r="AM267" s="292"/>
      <c r="AN267" s="288"/>
      <c r="AO267" s="288"/>
      <c r="AP267" s="297"/>
      <c r="AQ267" s="288"/>
      <c r="AR267" s="292"/>
      <c r="AS267" s="288"/>
      <c r="AT267" s="289"/>
      <c r="AU267" s="289">
        <v>43453.379109722198</v>
      </c>
      <c r="AV267" s="289"/>
      <c r="AW267" s="289"/>
      <c r="AX267" s="289"/>
      <c r="AY267" s="289"/>
      <c r="AZ267" s="298">
        <v>43384</v>
      </c>
      <c r="BA26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7" s="300">
        <f>COUNTIFS(_05preva_view43[Site ID],_05preva_view43[[#This Row],[Site ID]],_05preva_view43[Prevalidation Status],"Under Prevalidation")</f>
        <v>0</v>
      </c>
      <c r="BC26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7" s="302" t="str">
        <f>CONCATENATE(_05preva_view43[[#This Row],[Site ID]]," (",_05preva_view43[[#This Row],[tenant id]],") Application",IF(_05preva_view43[[#This Row],[Colo Rev]]&gt;0," Rev "&amp;_05preva_view43[[#This Row],[Colo Rev]],""),".xlsx")</f>
        <v>AYYN_0529 (YGN00500) Application Rev 0.xlsx</v>
      </c>
      <c r="BE267" s="64">
        <f t="shared" ca="1" si="5"/>
        <v>50</v>
      </c>
      <c r="BF267" s="104" t="str">
        <f ca="1">LEFT(CELL("filename",A252),_05preva_view43[[#This Row],[Find Process &amp; Database]]-1)</f>
        <v>D:\OneDrive - apollo-towers.com\Apollo Towers\00-</v>
      </c>
      <c r="BG267" s="104" t="str">
        <f ca="1">_05preva_view43[Folder Path1]&amp;"Process &amp; Database\Documentation\Colo Applications"</f>
        <v>D:\OneDrive - apollo-towers.com\Apollo Towers\00-Process &amp; Database\Documentation\Colo Applications</v>
      </c>
      <c r="BH267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267" s="63" t="str">
        <f ca="1">_05preva_view43[[#This Row],[Folder Path3]]&amp;_05preva_view43[[#This Row],[File Name]]</f>
        <v>D:\OneDrive - apollo-towers.com\Apollo Towers\00-Process &amp; Database\Documentation\Colo Applications\Colo App MPT\AYYN_0529 (YGN00500) Application Rev 0.xlsx</v>
      </c>
      <c r="BJ267" s="104"/>
      <c r="BK267" s="3"/>
      <c r="BL267" s="3"/>
      <c r="CJ267" s="5"/>
      <c r="CK267" s="5"/>
      <c r="CL267" s="3"/>
      <c r="CN267" s="5"/>
      <c r="CR267" s="3"/>
      <c r="CS267" s="3"/>
      <c r="CT267" s="5"/>
      <c r="CV267" s="3"/>
      <c r="DR267" s="5"/>
      <c r="DT267" s="3"/>
      <c r="EF267" s="7"/>
      <c r="EG267" s="7"/>
      <c r="EJ267" s="4"/>
      <c r="EK267" s="4"/>
      <c r="EU267" s="2"/>
      <c r="EV267" s="2"/>
    </row>
    <row r="268" spans="1:152">
      <c r="A268" s="287">
        <v>648</v>
      </c>
      <c r="B268" s="288" t="s">
        <v>645</v>
      </c>
      <c r="C268" s="288" t="s">
        <v>116</v>
      </c>
      <c r="D268" s="288" t="s">
        <v>153</v>
      </c>
      <c r="E268" s="288" t="s">
        <v>646</v>
      </c>
      <c r="F268" s="288" t="s">
        <v>40</v>
      </c>
      <c r="G268" s="288" t="s">
        <v>1289</v>
      </c>
      <c r="H268" s="288" t="s">
        <v>1285</v>
      </c>
      <c r="I268" s="288" t="s">
        <v>118</v>
      </c>
      <c r="J268" s="288"/>
      <c r="K268" s="289">
        <v>43350</v>
      </c>
      <c r="L268" s="290"/>
      <c r="M268" s="290">
        <v>3</v>
      </c>
      <c r="N268" s="288">
        <v>6</v>
      </c>
      <c r="O268" s="288" t="s">
        <v>119</v>
      </c>
      <c r="P268" s="291" t="s">
        <v>281</v>
      </c>
      <c r="Q268" s="291" t="s">
        <v>647</v>
      </c>
      <c r="R268" s="288" t="s">
        <v>24</v>
      </c>
      <c r="S268" s="288"/>
      <c r="T268" s="292" t="s">
        <v>120</v>
      </c>
      <c r="U268" s="288" t="s">
        <v>644</v>
      </c>
      <c r="V268" s="292" t="s">
        <v>120</v>
      </c>
      <c r="W268" s="288"/>
      <c r="X268" s="292" t="s">
        <v>120</v>
      </c>
      <c r="Y268" s="288"/>
      <c r="Z268" s="293" t="s">
        <v>615</v>
      </c>
      <c r="AA268" s="294"/>
      <c r="AB268" s="294"/>
      <c r="AC268" s="295" t="s">
        <v>123</v>
      </c>
      <c r="AD268" s="288"/>
      <c r="AE268" s="292" t="s">
        <v>120</v>
      </c>
      <c r="AF268" s="289" t="s">
        <v>639</v>
      </c>
      <c r="AG268" s="296"/>
      <c r="AH268" s="296"/>
      <c r="AI268" s="288" t="s">
        <v>648</v>
      </c>
      <c r="AJ268" s="292" t="s">
        <v>120</v>
      </c>
      <c r="AK268" s="288" t="s">
        <v>123</v>
      </c>
      <c r="AL268" s="288"/>
      <c r="AM268" s="292"/>
      <c r="AN268" s="288"/>
      <c r="AO268" s="288"/>
      <c r="AP268" s="297"/>
      <c r="AQ268" s="288"/>
      <c r="AR268" s="292"/>
      <c r="AS268" s="288"/>
      <c r="AT268" s="289">
        <v>43417.622355671301</v>
      </c>
      <c r="AU268" s="289">
        <v>43417.673049305602</v>
      </c>
      <c r="AV268" s="289"/>
      <c r="AW268" s="289">
        <v>43417.7298373843</v>
      </c>
      <c r="AX268" s="289">
        <v>43417.688155439799</v>
      </c>
      <c r="AY268" s="289">
        <v>43417.684582291702</v>
      </c>
      <c r="AZ268" s="298">
        <v>43350</v>
      </c>
      <c r="BA26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8" s="300">
        <f>COUNTIFS(_05preva_view43[Site ID],_05preva_view43[[#This Row],[Site ID]],_05preva_view43[Prevalidation Status],"Under Prevalidation")</f>
        <v>0</v>
      </c>
      <c r="BC26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8" s="302" t="str">
        <f>CONCATENATE(_05preva_view43[[#This Row],[Site ID]]," (",_05preva_view43[[#This Row],[tenant id]],") Application",IF(_05preva_view43[[#This Row],[Colo Rev]]&gt;0," Rev "&amp;_05preva_view43[[#This Row],[Colo Rev]],""),".xlsx")</f>
        <v>ACAY_0154 (AYW5603) Application.xlsx</v>
      </c>
      <c r="BE268" s="64">
        <f t="shared" ca="1" si="5"/>
        <v>50</v>
      </c>
      <c r="BF268" s="104" t="str">
        <f ca="1">LEFT(CELL("filename",A253),_05preva_view43[[#This Row],[Find Process &amp; Database]]-1)</f>
        <v>D:\OneDrive - apollo-towers.com\Apollo Towers\00-</v>
      </c>
      <c r="BG268" s="104" t="str">
        <f ca="1">_05preva_view43[Folder Path1]&amp;"Process &amp; Database\Documentation\Colo Applications"</f>
        <v>D:\OneDrive - apollo-towers.com\Apollo Towers\00-Process &amp; Database\Documentation\Colo Applications</v>
      </c>
      <c r="BH26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68" s="63" t="str">
        <f ca="1">_05preva_view43[[#This Row],[Folder Path3]]&amp;_05preva_view43[[#This Row],[File Name]]</f>
        <v>D:\OneDrive - apollo-towers.com\Apollo Towers\00-Process &amp; Database\Documentation\Colo Applications\Colo App OML\ACAY_0154 (AYW5603) Application.xlsx</v>
      </c>
      <c r="BJ268" s="104"/>
      <c r="BK268" s="3"/>
      <c r="BL268" s="3"/>
      <c r="CJ268" s="5"/>
      <c r="CK268" s="5"/>
      <c r="CL268" s="3"/>
      <c r="CN268" s="5"/>
      <c r="CR268" s="3"/>
      <c r="CS268" s="3"/>
      <c r="CT268" s="5"/>
      <c r="CV268" s="3"/>
      <c r="DR268" s="5"/>
      <c r="DT268" s="3"/>
      <c r="EF268" s="7"/>
      <c r="EG268" s="7"/>
      <c r="EJ268" s="4"/>
      <c r="EK268" s="4"/>
      <c r="EU268" s="2"/>
      <c r="EV268" s="2"/>
    </row>
    <row r="269" spans="1:152">
      <c r="A269" s="287">
        <v>649</v>
      </c>
      <c r="B269" s="288" t="s">
        <v>649</v>
      </c>
      <c r="C269" s="288" t="s">
        <v>116</v>
      </c>
      <c r="D269" s="288" t="s">
        <v>153</v>
      </c>
      <c r="E269" s="288" t="s">
        <v>650</v>
      </c>
      <c r="F269" s="288" t="s">
        <v>40</v>
      </c>
      <c r="G269" s="288" t="s">
        <v>1289</v>
      </c>
      <c r="H269" s="288" t="s">
        <v>1285</v>
      </c>
      <c r="I269" s="288" t="s">
        <v>118</v>
      </c>
      <c r="J269" s="288"/>
      <c r="K269" s="289">
        <v>43350</v>
      </c>
      <c r="L269" s="290"/>
      <c r="M269" s="290">
        <v>3</v>
      </c>
      <c r="N269" s="288">
        <v>6</v>
      </c>
      <c r="O269" s="288" t="s">
        <v>119</v>
      </c>
      <c r="P269" s="291" t="s">
        <v>281</v>
      </c>
      <c r="Q269" s="291" t="s">
        <v>647</v>
      </c>
      <c r="R269" s="288" t="s">
        <v>24</v>
      </c>
      <c r="S269" s="288"/>
      <c r="T269" s="292" t="s">
        <v>120</v>
      </c>
      <c r="U269" s="288" t="s">
        <v>644</v>
      </c>
      <c r="V269" s="292" t="s">
        <v>120</v>
      </c>
      <c r="W269" s="288"/>
      <c r="X269" s="292" t="s">
        <v>120</v>
      </c>
      <c r="Y269" s="288"/>
      <c r="Z269" s="293" t="s">
        <v>615</v>
      </c>
      <c r="AA269" s="294"/>
      <c r="AB269" s="294"/>
      <c r="AC269" s="295" t="s">
        <v>123</v>
      </c>
      <c r="AD269" s="288"/>
      <c r="AE269" s="292" t="s">
        <v>120</v>
      </c>
      <c r="AF269" s="289" t="s">
        <v>515</v>
      </c>
      <c r="AG269" s="296"/>
      <c r="AH269" s="296"/>
      <c r="AI269" s="288" t="s">
        <v>651</v>
      </c>
      <c r="AJ269" s="292" t="s">
        <v>120</v>
      </c>
      <c r="AK269" s="288" t="s">
        <v>123</v>
      </c>
      <c r="AL269" s="288"/>
      <c r="AM269" s="292"/>
      <c r="AN269" s="288"/>
      <c r="AO269" s="288"/>
      <c r="AP269" s="297"/>
      <c r="AQ269" s="288"/>
      <c r="AR269" s="292"/>
      <c r="AS269" s="288"/>
      <c r="AT269" s="289">
        <v>43417.622356828702</v>
      </c>
      <c r="AU269" s="289">
        <v>43417.673049999998</v>
      </c>
      <c r="AV269" s="289"/>
      <c r="AW269" s="289">
        <v>43417.729837847197</v>
      </c>
      <c r="AX269" s="289">
        <v>43417.688155787</v>
      </c>
      <c r="AY269" s="289">
        <v>43417.684582870403</v>
      </c>
      <c r="AZ269" s="298">
        <v>43350</v>
      </c>
      <c r="BA26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69" s="300">
        <f>COUNTIFS(_05preva_view43[Site ID],_05preva_view43[[#This Row],[Site ID]],_05preva_view43[Prevalidation Status],"Under Prevalidation")</f>
        <v>0</v>
      </c>
      <c r="BC26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69" s="302" t="str">
        <f>CONCATENATE(_05preva_view43[[#This Row],[Site ID]]," (",_05preva_view43[[#This Row],[tenant id]],") Application",IF(_05preva_view43[[#This Row],[Colo Rev]]&gt;0," Rev "&amp;_05preva_view43[[#This Row],[Colo Rev]],""),".xlsx")</f>
        <v>ACAY_0056 (AYW5611) Application.xlsx</v>
      </c>
      <c r="BE269" s="64">
        <f t="shared" ca="1" si="5"/>
        <v>50</v>
      </c>
      <c r="BF269" s="104" t="str">
        <f ca="1">LEFT(CELL("filename",A254),_05preva_view43[[#This Row],[Find Process &amp; Database]]-1)</f>
        <v>D:\OneDrive - apollo-towers.com\Apollo Towers\00-</v>
      </c>
      <c r="BG269" s="104" t="str">
        <f ca="1">_05preva_view43[Folder Path1]&amp;"Process &amp; Database\Documentation\Colo Applications"</f>
        <v>D:\OneDrive - apollo-towers.com\Apollo Towers\00-Process &amp; Database\Documentation\Colo Applications</v>
      </c>
      <c r="BH26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69" s="63" t="str">
        <f ca="1">_05preva_view43[[#This Row],[Folder Path3]]&amp;_05preva_view43[[#This Row],[File Name]]</f>
        <v>D:\OneDrive - apollo-towers.com\Apollo Towers\00-Process &amp; Database\Documentation\Colo Applications\Colo App OML\ACAY_0056 (AYW5611) Application.xlsx</v>
      </c>
      <c r="BJ269" s="104"/>
      <c r="BK269" s="3"/>
      <c r="BL269" s="3"/>
      <c r="CJ269" s="5"/>
      <c r="CK269" s="5"/>
      <c r="CL269" s="3"/>
      <c r="CN269" s="5"/>
      <c r="CR269" s="3"/>
      <c r="CS269" s="3"/>
      <c r="CT269" s="5"/>
      <c r="CV269" s="3"/>
      <c r="DR269" s="5"/>
      <c r="DT269" s="3"/>
      <c r="EF269" s="7"/>
      <c r="EG269" s="7"/>
      <c r="EJ269" s="4"/>
      <c r="EK269" s="4"/>
      <c r="EU269" s="2"/>
      <c r="EV269" s="2"/>
    </row>
    <row r="270" spans="1:152">
      <c r="A270" s="287">
        <v>652</v>
      </c>
      <c r="B270" s="288" t="s">
        <v>653</v>
      </c>
      <c r="C270" s="288" t="s">
        <v>116</v>
      </c>
      <c r="D270" s="288" t="s">
        <v>153</v>
      </c>
      <c r="E270" s="288" t="s">
        <v>654</v>
      </c>
      <c r="F270" s="288" t="s">
        <v>40</v>
      </c>
      <c r="G270" s="288" t="s">
        <v>1289</v>
      </c>
      <c r="H270" s="288" t="s">
        <v>1285</v>
      </c>
      <c r="I270" s="288" t="s">
        <v>118</v>
      </c>
      <c r="J270" s="288"/>
      <c r="K270" s="289">
        <v>43350</v>
      </c>
      <c r="L270" s="290"/>
      <c r="M270" s="290">
        <v>3</v>
      </c>
      <c r="N270" s="288">
        <v>6</v>
      </c>
      <c r="O270" s="288" t="s">
        <v>119</v>
      </c>
      <c r="P270" s="291" t="s">
        <v>652</v>
      </c>
      <c r="Q270" s="291" t="s">
        <v>655</v>
      </c>
      <c r="R270" s="288" t="s">
        <v>24</v>
      </c>
      <c r="S270" s="288"/>
      <c r="T270" s="292" t="s">
        <v>120</v>
      </c>
      <c r="U270" s="288" t="s">
        <v>656</v>
      </c>
      <c r="V270" s="292" t="s">
        <v>120</v>
      </c>
      <c r="W270" s="288"/>
      <c r="X270" s="292" t="s">
        <v>120</v>
      </c>
      <c r="Y270" s="288"/>
      <c r="Z270" s="293" t="s">
        <v>615</v>
      </c>
      <c r="AA270" s="294"/>
      <c r="AB270" s="294"/>
      <c r="AC270" s="295" t="s">
        <v>123</v>
      </c>
      <c r="AD270" s="288"/>
      <c r="AE270" s="292" t="s">
        <v>120</v>
      </c>
      <c r="AF270" s="289" t="s">
        <v>515</v>
      </c>
      <c r="AG270" s="296"/>
      <c r="AH270" s="296"/>
      <c r="AI270" s="288" t="s">
        <v>657</v>
      </c>
      <c r="AJ270" s="292" t="s">
        <v>120</v>
      </c>
      <c r="AK270" s="288" t="s">
        <v>123</v>
      </c>
      <c r="AL270" s="288" t="s">
        <v>398</v>
      </c>
      <c r="AM270" s="292"/>
      <c r="AN270" s="288"/>
      <c r="AO270" s="288"/>
      <c r="AP270" s="297"/>
      <c r="AQ270" s="288"/>
      <c r="AR270" s="292"/>
      <c r="AS270" s="288"/>
      <c r="AT270" s="289">
        <v>43417.622359027802</v>
      </c>
      <c r="AU270" s="289">
        <v>43417.673053819402</v>
      </c>
      <c r="AV270" s="289"/>
      <c r="AW270" s="289">
        <v>43417.729839930602</v>
      </c>
      <c r="AX270" s="289">
        <v>43417.6881587963</v>
      </c>
      <c r="AY270" s="289">
        <v>43417.684587268501</v>
      </c>
      <c r="AZ270" s="298">
        <v>43350</v>
      </c>
      <c r="BA27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0" s="300">
        <f>COUNTIFS(_05preva_view43[Site ID],_05preva_view43[[#This Row],[Site ID]],_05preva_view43[Prevalidation Status],"Under Prevalidation")</f>
        <v>0</v>
      </c>
      <c r="BC27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0" s="302" t="str">
        <f>CONCATENATE(_05preva_view43[[#This Row],[Site ID]]," (",_05preva_view43[[#This Row],[tenant id]],") Application",IF(_05preva_view43[[#This Row],[Colo Rev]]&gt;0," Rev "&amp;_05preva_view43[[#This Row],[Colo Rev]],""),".xlsx")</f>
        <v>ASMO_0161 (MOW6321) Application.xlsx</v>
      </c>
      <c r="BE270" s="64">
        <f t="shared" ca="1" si="5"/>
        <v>50</v>
      </c>
      <c r="BF270" s="104" t="str">
        <f ca="1">LEFT(CELL("filename",A255),_05preva_view43[[#This Row],[Find Process &amp; Database]]-1)</f>
        <v>D:\OneDrive - apollo-towers.com\Apollo Towers\00-</v>
      </c>
      <c r="BG270" s="104" t="str">
        <f ca="1">_05preva_view43[Folder Path1]&amp;"Process &amp; Database\Documentation\Colo Applications"</f>
        <v>D:\OneDrive - apollo-towers.com\Apollo Towers\00-Process &amp; Database\Documentation\Colo Applications</v>
      </c>
      <c r="BH27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70" s="63" t="str">
        <f ca="1">_05preva_view43[[#This Row],[Folder Path3]]&amp;_05preva_view43[[#This Row],[File Name]]</f>
        <v>D:\OneDrive - apollo-towers.com\Apollo Towers\00-Process &amp; Database\Documentation\Colo Applications\Colo App OML\ASMO_0161 (MOW6321) Application.xlsx</v>
      </c>
      <c r="BJ270" s="104"/>
      <c r="BK270" s="3"/>
      <c r="BL270" s="3"/>
      <c r="CJ270" s="5"/>
      <c r="CK270" s="5"/>
      <c r="CL270" s="3"/>
      <c r="CN270" s="5"/>
      <c r="CR270" s="3"/>
      <c r="CS270" s="3"/>
      <c r="CT270" s="5"/>
      <c r="CV270" s="3"/>
      <c r="DR270" s="5"/>
      <c r="DT270" s="3"/>
      <c r="EF270" s="7"/>
      <c r="EG270" s="7"/>
      <c r="EJ270" s="4"/>
      <c r="EK270" s="4"/>
      <c r="EU270" s="2"/>
      <c r="EV270" s="2"/>
    </row>
    <row r="271" spans="1:152">
      <c r="A271" s="287">
        <v>653</v>
      </c>
      <c r="B271" s="288" t="s">
        <v>658</v>
      </c>
      <c r="C271" s="288" t="s">
        <v>116</v>
      </c>
      <c r="D271" s="288" t="s">
        <v>117</v>
      </c>
      <c r="E271" s="288" t="s">
        <v>659</v>
      </c>
      <c r="F271" s="288" t="s">
        <v>40</v>
      </c>
      <c r="G271" s="288" t="s">
        <v>1289</v>
      </c>
      <c r="H271" s="288" t="s">
        <v>1285</v>
      </c>
      <c r="I271" s="288" t="s">
        <v>118</v>
      </c>
      <c r="J271" s="288"/>
      <c r="K271" s="289">
        <v>43350</v>
      </c>
      <c r="L271" s="290"/>
      <c r="M271" s="290">
        <v>3</v>
      </c>
      <c r="N271" s="288">
        <v>6</v>
      </c>
      <c r="O271" s="288" t="s">
        <v>119</v>
      </c>
      <c r="P271" s="291" t="s">
        <v>228</v>
      </c>
      <c r="Q271" s="291" t="s">
        <v>284</v>
      </c>
      <c r="R271" s="288" t="s">
        <v>24</v>
      </c>
      <c r="S271" s="288"/>
      <c r="T271" s="292" t="s">
        <v>120</v>
      </c>
      <c r="U271" s="288" t="s">
        <v>644</v>
      </c>
      <c r="V271" s="292" t="s">
        <v>120</v>
      </c>
      <c r="W271" s="288"/>
      <c r="X271" s="292" t="s">
        <v>120</v>
      </c>
      <c r="Y271" s="288"/>
      <c r="Z271" s="293" t="s">
        <v>615</v>
      </c>
      <c r="AA271" s="294"/>
      <c r="AB271" s="294"/>
      <c r="AC271" s="295" t="s">
        <v>123</v>
      </c>
      <c r="AD271" s="288"/>
      <c r="AE271" s="292" t="s">
        <v>120</v>
      </c>
      <c r="AF271" s="289" t="s">
        <v>515</v>
      </c>
      <c r="AG271" s="296"/>
      <c r="AH271" s="296"/>
      <c r="AI271" s="288" t="s">
        <v>660</v>
      </c>
      <c r="AJ271" s="292" t="s">
        <v>615</v>
      </c>
      <c r="AK271" s="288"/>
      <c r="AL271" s="288"/>
      <c r="AM271" s="292"/>
      <c r="AN271" s="288"/>
      <c r="AO271" s="288"/>
      <c r="AP271" s="297"/>
      <c r="AQ271" s="288"/>
      <c r="AR271" s="292"/>
      <c r="AS271" s="288"/>
      <c r="AT271" s="289">
        <v>43417.622359606503</v>
      </c>
      <c r="AU271" s="289">
        <v>43417.6730545139</v>
      </c>
      <c r="AV271" s="289"/>
      <c r="AW271" s="289"/>
      <c r="AX271" s="289">
        <v>43417.6881601852</v>
      </c>
      <c r="AY271" s="289">
        <v>43417.684589236102</v>
      </c>
      <c r="AZ271" s="298">
        <v>43350</v>
      </c>
      <c r="BA27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1" s="300">
        <f>COUNTIFS(_05preva_view43[Site ID],_05preva_view43[[#This Row],[Site ID]],_05preva_view43[Prevalidation Status],"Under Prevalidation")</f>
        <v>0</v>
      </c>
      <c r="BC27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1" s="302" t="str">
        <f>CONCATENATE(_05preva_view43[[#This Row],[Site ID]]," (",_05preva_view43[[#This Row],[tenant id]],") Application",IF(_05preva_view43[[#This Row],[Colo Rev]]&gt;0," Rev "&amp;_05preva_view43[[#This Row],[Colo Rev]],""),".xlsx")</f>
        <v>ACBA_0104 (BAW5607) Application.xlsx</v>
      </c>
      <c r="BE271" s="64">
        <f t="shared" ca="1" si="5"/>
        <v>50</v>
      </c>
      <c r="BF271" s="104" t="str">
        <f ca="1">LEFT(CELL("filename",A256),_05preva_view43[[#This Row],[Find Process &amp; Database]]-1)</f>
        <v>D:\OneDrive - apollo-towers.com\Apollo Towers\00-</v>
      </c>
      <c r="BG271" s="104" t="str">
        <f ca="1">_05preva_view43[Folder Path1]&amp;"Process &amp; Database\Documentation\Colo Applications"</f>
        <v>D:\OneDrive - apollo-towers.com\Apollo Towers\00-Process &amp; Database\Documentation\Colo Applications</v>
      </c>
      <c r="BH27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71" s="63" t="str">
        <f ca="1">_05preva_view43[[#This Row],[Folder Path3]]&amp;_05preva_view43[[#This Row],[File Name]]</f>
        <v>D:\OneDrive - apollo-towers.com\Apollo Towers\00-Process &amp; Database\Documentation\Colo Applications\Colo App OML\ACBA_0104 (BAW5607) Application.xlsx</v>
      </c>
      <c r="BJ271" s="104"/>
      <c r="BK271" s="3"/>
      <c r="BL271" s="3"/>
      <c r="CJ271" s="5"/>
      <c r="CK271" s="5"/>
      <c r="CL271" s="3"/>
      <c r="CN271" s="5"/>
      <c r="CR271" s="3"/>
      <c r="CS271" s="3"/>
      <c r="CT271" s="5"/>
      <c r="CV271" s="3"/>
      <c r="DR271" s="5"/>
      <c r="DT271" s="3"/>
      <c r="EF271" s="7"/>
      <c r="EG271" s="7"/>
      <c r="EJ271" s="4"/>
      <c r="EK271" s="4"/>
      <c r="EU271" s="2"/>
      <c r="EV271" s="2"/>
    </row>
    <row r="272" spans="1:152">
      <c r="A272" s="287">
        <v>654</v>
      </c>
      <c r="B272" s="288" t="s">
        <v>661</v>
      </c>
      <c r="C272" s="288" t="s">
        <v>116</v>
      </c>
      <c r="D272" s="288" t="s">
        <v>117</v>
      </c>
      <c r="E272" s="288" t="s">
        <v>662</v>
      </c>
      <c r="F272" s="288" t="s">
        <v>40</v>
      </c>
      <c r="G272" s="288" t="s">
        <v>1289</v>
      </c>
      <c r="H272" s="288" t="s">
        <v>1285</v>
      </c>
      <c r="I272" s="288" t="s">
        <v>118</v>
      </c>
      <c r="J272" s="288"/>
      <c r="K272" s="289">
        <v>43350</v>
      </c>
      <c r="L272" s="290"/>
      <c r="M272" s="290">
        <v>3</v>
      </c>
      <c r="N272" s="288">
        <v>6</v>
      </c>
      <c r="O272" s="288" t="s">
        <v>119</v>
      </c>
      <c r="P272" s="291" t="s">
        <v>281</v>
      </c>
      <c r="Q272" s="291" t="s">
        <v>647</v>
      </c>
      <c r="R272" s="288" t="s">
        <v>24</v>
      </c>
      <c r="S272" s="288"/>
      <c r="T272" s="292" t="s">
        <v>120</v>
      </c>
      <c r="U272" s="288" t="s">
        <v>644</v>
      </c>
      <c r="V272" s="292" t="s">
        <v>120</v>
      </c>
      <c r="W272" s="288"/>
      <c r="X272" s="292" t="s">
        <v>120</v>
      </c>
      <c r="Y272" s="288"/>
      <c r="Z272" s="293" t="s">
        <v>615</v>
      </c>
      <c r="AA272" s="294"/>
      <c r="AB272" s="294"/>
      <c r="AC272" s="295" t="s">
        <v>123</v>
      </c>
      <c r="AD272" s="288"/>
      <c r="AE272" s="292" t="s">
        <v>120</v>
      </c>
      <c r="AF272" s="289" t="s">
        <v>663</v>
      </c>
      <c r="AG272" s="296"/>
      <c r="AH272" s="296"/>
      <c r="AI272" s="288" t="s">
        <v>664</v>
      </c>
      <c r="AJ272" s="292" t="s">
        <v>615</v>
      </c>
      <c r="AK272" s="288"/>
      <c r="AL272" s="288"/>
      <c r="AM272" s="292"/>
      <c r="AN272" s="288"/>
      <c r="AO272" s="288"/>
      <c r="AP272" s="297"/>
      <c r="AQ272" s="288"/>
      <c r="AR272" s="292"/>
      <c r="AS272" s="288"/>
      <c r="AT272" s="289">
        <v>43417.622361226902</v>
      </c>
      <c r="AU272" s="289">
        <v>43417.673056597203</v>
      </c>
      <c r="AV272" s="289"/>
      <c r="AW272" s="289"/>
      <c r="AX272" s="289">
        <v>43417.688161689803</v>
      </c>
      <c r="AY272" s="289">
        <v>43417.684589583303</v>
      </c>
      <c r="AZ272" s="298">
        <v>43350</v>
      </c>
      <c r="BA27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2" s="300">
        <f>COUNTIFS(_05preva_view43[Site ID],_05preva_view43[[#This Row],[Site ID]],_05preva_view43[Prevalidation Status],"Under Prevalidation")</f>
        <v>0</v>
      </c>
      <c r="BC27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2" s="302" t="str">
        <f>CONCATENATE(_05preva_view43[[#This Row],[Site ID]]," (",_05preva_view43[[#This Row],[tenant id]],") Application",IF(_05preva_view43[[#This Row],[Colo Rev]]&gt;0," Rev "&amp;_05preva_view43[[#This Row],[Colo Rev]],""),".xlsx")</f>
        <v>ACBA_0099 (BAW5608) Application.xlsx</v>
      </c>
      <c r="BE272" s="64">
        <f t="shared" ref="BE272:BE335" ca="1" si="6">FIND("Process &amp; Database\",CELL("filename",$A$1))</f>
        <v>50</v>
      </c>
      <c r="BF272" s="104" t="str">
        <f ca="1">LEFT(CELL("filename",A257),_05preva_view43[[#This Row],[Find Process &amp; Database]]-1)</f>
        <v>D:\OneDrive - apollo-towers.com\Apollo Towers\00-</v>
      </c>
      <c r="BG272" s="104" t="str">
        <f ca="1">_05preva_view43[Folder Path1]&amp;"Process &amp; Database\Documentation\Colo Applications"</f>
        <v>D:\OneDrive - apollo-towers.com\Apollo Towers\00-Process &amp; Database\Documentation\Colo Applications</v>
      </c>
      <c r="BH27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72" s="63" t="str">
        <f ca="1">_05preva_view43[[#This Row],[Folder Path3]]&amp;_05preva_view43[[#This Row],[File Name]]</f>
        <v>D:\OneDrive - apollo-towers.com\Apollo Towers\00-Process &amp; Database\Documentation\Colo Applications\Colo App OML\ACBA_0099 (BAW5608) Application.xlsx</v>
      </c>
      <c r="BJ272" s="104"/>
      <c r="BK272" s="3"/>
      <c r="BL272" s="3"/>
      <c r="CJ272" s="5"/>
      <c r="CK272" s="5"/>
      <c r="CL272" s="3"/>
      <c r="CN272" s="5"/>
      <c r="CR272" s="3"/>
      <c r="CS272" s="3"/>
      <c r="CT272" s="5"/>
      <c r="CV272" s="3"/>
      <c r="DR272" s="5"/>
      <c r="DT272" s="3"/>
      <c r="EF272" s="7"/>
      <c r="EG272" s="7"/>
      <c r="EJ272" s="4"/>
      <c r="EK272" s="4"/>
      <c r="EU272" s="2"/>
      <c r="EV272" s="2"/>
    </row>
    <row r="273" spans="1:152">
      <c r="A273" s="287">
        <v>275</v>
      </c>
      <c r="B273" s="288" t="s">
        <v>635</v>
      </c>
      <c r="C273" s="288" t="s">
        <v>116</v>
      </c>
      <c r="D273" s="288" t="s">
        <v>127</v>
      </c>
      <c r="E273" s="288" t="s">
        <v>636</v>
      </c>
      <c r="F273" s="288" t="s">
        <v>41</v>
      </c>
      <c r="G273" s="288" t="s">
        <v>118</v>
      </c>
      <c r="H273" s="288"/>
      <c r="I273" s="288" t="s">
        <v>118</v>
      </c>
      <c r="J273" s="288"/>
      <c r="K273" s="289">
        <v>43327</v>
      </c>
      <c r="L273" s="290"/>
      <c r="M273" s="290">
        <v>2.5</v>
      </c>
      <c r="N273" s="288">
        <v>3</v>
      </c>
      <c r="O273" s="288" t="s">
        <v>119</v>
      </c>
      <c r="P273" s="291" t="s">
        <v>637</v>
      </c>
      <c r="Q273" s="291" t="s">
        <v>638</v>
      </c>
      <c r="R273" s="288" t="s">
        <v>24</v>
      </c>
      <c r="S273" s="288"/>
      <c r="T273" s="292" t="s">
        <v>120</v>
      </c>
      <c r="U273" s="288"/>
      <c r="V273" s="292" t="s">
        <v>120</v>
      </c>
      <c r="W273" s="288"/>
      <c r="X273" s="292" t="s">
        <v>120</v>
      </c>
      <c r="Y273" s="288"/>
      <c r="Z273" s="293"/>
      <c r="AA273" s="294"/>
      <c r="AB273" s="294"/>
      <c r="AC273" s="295"/>
      <c r="AD273" s="288" t="s">
        <v>1034</v>
      </c>
      <c r="AE273" s="292" t="s">
        <v>120</v>
      </c>
      <c r="AF273" s="289" t="s">
        <v>639</v>
      </c>
      <c r="AG273" s="296"/>
      <c r="AH273" s="296"/>
      <c r="AI273" s="288" t="s">
        <v>640</v>
      </c>
      <c r="AJ273" s="292" t="s">
        <v>615</v>
      </c>
      <c r="AK273" s="288"/>
      <c r="AL273" s="288"/>
      <c r="AM273" s="292" t="s">
        <v>615</v>
      </c>
      <c r="AN273" s="288"/>
      <c r="AO273" s="288" t="s">
        <v>615</v>
      </c>
      <c r="AP273" s="297"/>
      <c r="AQ273" s="288"/>
      <c r="AR273" s="292" t="s">
        <v>1548</v>
      </c>
      <c r="AS273" s="288" t="s">
        <v>1549</v>
      </c>
      <c r="AT273" s="289">
        <v>43417.622354629602</v>
      </c>
      <c r="AU273" s="289">
        <v>43417.673047453703</v>
      </c>
      <c r="AV273" s="289"/>
      <c r="AW273" s="289"/>
      <c r="AX273" s="289">
        <v>43424.368673379598</v>
      </c>
      <c r="AY273" s="289">
        <v>43462.484713888902</v>
      </c>
      <c r="AZ273" s="298">
        <v>43462.484713888902</v>
      </c>
      <c r="BA273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135.48471388890175</v>
      </c>
      <c r="BB273" s="300">
        <f>COUNTIFS(_05preva_view43[Site ID],_05preva_view43[[#This Row],[Site ID]],_05preva_view43[Prevalidation Status],"Under Prevalidation")</f>
        <v>0</v>
      </c>
      <c r="BC27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3" s="302" t="str">
        <f>CONCATENATE(_05preva_view43[[#This Row],[Site ID]]," (",_05preva_view43[[#This Row],[tenant id]],") Application",IF(_05preva_view43[[#This Row],[Colo Rev]]&gt;0," Rev "&amp;_05preva_view43[[#This Row],[Colo Rev]],""),".xlsx")</f>
        <v>ANMD_0011 (MDYAMTZ017) Application.xlsx</v>
      </c>
      <c r="BE273" s="64">
        <f t="shared" ca="1" si="6"/>
        <v>50</v>
      </c>
      <c r="BF273" s="104" t="str">
        <f ca="1">LEFT(CELL("filename",A258),_05preva_view43[[#This Row],[Find Process &amp; Database]]-1)</f>
        <v>D:\OneDrive - apollo-towers.com\Apollo Towers\00-</v>
      </c>
      <c r="BG273" s="104" t="str">
        <f ca="1">_05preva_view43[Folder Path1]&amp;"Process &amp; Database\Documentation\Colo Applications"</f>
        <v>D:\OneDrive - apollo-towers.com\Apollo Towers\00-Process &amp; Database\Documentation\Colo Applications</v>
      </c>
      <c r="BH27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73" s="63" t="str">
        <f ca="1">_05preva_view43[[#This Row],[Folder Path3]]&amp;_05preva_view43[[#This Row],[File Name]]</f>
        <v>D:\OneDrive - apollo-towers.com\Apollo Towers\00-Process &amp; Database\Documentation\Colo Applications\Colo App Amara\ANMD_0011 (MDYAMTZ017) Application.xlsx</v>
      </c>
      <c r="BJ273" s="104"/>
      <c r="BK273" s="3"/>
      <c r="BL273" s="3"/>
      <c r="CJ273" s="5"/>
      <c r="CK273" s="5"/>
      <c r="CL273" s="3"/>
      <c r="CN273" s="5"/>
      <c r="CR273" s="3"/>
      <c r="CS273" s="3"/>
      <c r="CT273" s="5"/>
      <c r="CV273" s="3"/>
      <c r="DR273" s="5"/>
      <c r="DT273" s="3"/>
      <c r="EF273" s="7"/>
      <c r="EG273" s="7"/>
      <c r="EJ273" s="4"/>
      <c r="EK273" s="4"/>
      <c r="EU273" s="2"/>
      <c r="EV273" s="2"/>
    </row>
    <row r="274" spans="1:152">
      <c r="A274" s="287">
        <v>276</v>
      </c>
      <c r="B274" s="288" t="s">
        <v>641</v>
      </c>
      <c r="C274" s="288" t="s">
        <v>116</v>
      </c>
      <c r="D274" s="288" t="s">
        <v>127</v>
      </c>
      <c r="E274" s="288" t="s">
        <v>642</v>
      </c>
      <c r="F274" s="288" t="s">
        <v>41</v>
      </c>
      <c r="G274" s="288" t="s">
        <v>1286</v>
      </c>
      <c r="H274" s="288" t="s">
        <v>1290</v>
      </c>
      <c r="I274" s="288" t="s">
        <v>118</v>
      </c>
      <c r="J274" s="288"/>
      <c r="K274" s="289">
        <v>43327</v>
      </c>
      <c r="L274" s="290"/>
      <c r="M274" s="290">
        <v>2.5</v>
      </c>
      <c r="N274" s="288">
        <v>3</v>
      </c>
      <c r="O274" s="288" t="s">
        <v>119</v>
      </c>
      <c r="P274" s="291" t="s">
        <v>279</v>
      </c>
      <c r="Q274" s="291" t="s">
        <v>526</v>
      </c>
      <c r="R274" s="288" t="s">
        <v>24</v>
      </c>
      <c r="S274" s="288" t="s">
        <v>643</v>
      </c>
      <c r="T274" s="292" t="s">
        <v>120</v>
      </c>
      <c r="U274" s="288" t="s">
        <v>644</v>
      </c>
      <c r="V274" s="292" t="s">
        <v>120</v>
      </c>
      <c r="W274" s="288"/>
      <c r="X274" s="292" t="s">
        <v>120</v>
      </c>
      <c r="Y274" s="288"/>
      <c r="Z274" s="293"/>
      <c r="AA274" s="294"/>
      <c r="AB274" s="294"/>
      <c r="AC274" s="295" t="s">
        <v>123</v>
      </c>
      <c r="AD274" s="288"/>
      <c r="AE274" s="292"/>
      <c r="AF274" s="289"/>
      <c r="AG274" s="296"/>
      <c r="AH274" s="296"/>
      <c r="AI274" s="288"/>
      <c r="AJ274" s="292"/>
      <c r="AK274" s="288"/>
      <c r="AL274" s="288"/>
      <c r="AM274" s="292"/>
      <c r="AN274" s="288"/>
      <c r="AO274" s="288"/>
      <c r="AP274" s="297"/>
      <c r="AQ274" s="288"/>
      <c r="AR274" s="292"/>
      <c r="AS274" s="288"/>
      <c r="AT274" s="289"/>
      <c r="AU274" s="289"/>
      <c r="AV274" s="289"/>
      <c r="AW274" s="289"/>
      <c r="AX274" s="289"/>
      <c r="AY274" s="289"/>
      <c r="AZ274" s="298">
        <v>43327</v>
      </c>
      <c r="BA27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4" s="300">
        <f>COUNTIFS(_05preva_view43[Site ID],_05preva_view43[[#This Row],[Site ID]],_05preva_view43[Prevalidation Status],"Under Prevalidation")</f>
        <v>0</v>
      </c>
      <c r="BC27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4" s="302" t="str">
        <f>CONCATENATE(_05preva_view43[[#This Row],[Site ID]]," (",_05preva_view43[[#This Row],[tenant id]],") Application",IF(_05preva_view43[[#This Row],[Colo Rev]]&gt;0," Rev "&amp;_05preva_view43[[#This Row],[Colo Rev]],""),".xlsx")</f>
        <v>ANMD_0097 (MDYCMTZ034) Application.xlsx</v>
      </c>
      <c r="BE274" s="64">
        <f t="shared" ca="1" si="6"/>
        <v>50</v>
      </c>
      <c r="BF274" s="104" t="str">
        <f ca="1">LEFT(CELL("filename",A259),_05preva_view43[[#This Row],[Find Process &amp; Database]]-1)</f>
        <v>D:\OneDrive - apollo-towers.com\Apollo Towers\00-</v>
      </c>
      <c r="BG274" s="104" t="str">
        <f ca="1">_05preva_view43[Folder Path1]&amp;"Process &amp; Database\Documentation\Colo Applications"</f>
        <v>D:\OneDrive - apollo-towers.com\Apollo Towers\00-Process &amp; Database\Documentation\Colo Applications</v>
      </c>
      <c r="BH27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74" s="63" t="str">
        <f ca="1">_05preva_view43[[#This Row],[Folder Path3]]&amp;_05preva_view43[[#This Row],[File Name]]</f>
        <v>D:\OneDrive - apollo-towers.com\Apollo Towers\00-Process &amp; Database\Documentation\Colo Applications\Colo App Amara\ANMD_0097 (MDYCMTZ034) Application.xlsx</v>
      </c>
      <c r="BJ274" s="104"/>
      <c r="BK274" s="3"/>
      <c r="BL274" s="3"/>
      <c r="CJ274" s="5"/>
      <c r="CK274" s="5"/>
      <c r="CL274" s="3"/>
      <c r="CN274" s="5"/>
      <c r="CR274" s="3"/>
      <c r="CS274" s="3"/>
      <c r="CT274" s="5"/>
      <c r="CV274" s="3"/>
      <c r="DR274" s="5"/>
      <c r="DT274" s="3"/>
      <c r="EF274" s="7"/>
      <c r="EG274" s="7"/>
      <c r="EJ274" s="4"/>
      <c r="EK274" s="4"/>
      <c r="EU274" s="2"/>
      <c r="EV274" s="2"/>
    </row>
    <row r="275" spans="1:152">
      <c r="A275" s="287">
        <v>266</v>
      </c>
      <c r="B275" s="288" t="s">
        <v>617</v>
      </c>
      <c r="C275" s="288" t="s">
        <v>116</v>
      </c>
      <c r="D275" s="288" t="s">
        <v>153</v>
      </c>
      <c r="E275" s="288" t="s">
        <v>618</v>
      </c>
      <c r="F275" s="288" t="s">
        <v>34</v>
      </c>
      <c r="G275" s="288" t="s">
        <v>1284</v>
      </c>
      <c r="H275" s="288" t="s">
        <v>1285</v>
      </c>
      <c r="I275" s="288" t="s">
        <v>118</v>
      </c>
      <c r="J275" s="288"/>
      <c r="K275" s="289">
        <v>43318</v>
      </c>
      <c r="L275" s="290"/>
      <c r="M275" s="290">
        <v>2</v>
      </c>
      <c r="N275" s="288"/>
      <c r="O275" s="288" t="s">
        <v>119</v>
      </c>
      <c r="P275" s="291" t="s">
        <v>240</v>
      </c>
      <c r="Q275" s="291" t="s">
        <v>241</v>
      </c>
      <c r="R275" s="288" t="s">
        <v>24</v>
      </c>
      <c r="S275" s="288"/>
      <c r="T275" s="292" t="s">
        <v>120</v>
      </c>
      <c r="U275" s="288" t="s">
        <v>619</v>
      </c>
      <c r="V275" s="292" t="s">
        <v>120</v>
      </c>
      <c r="W275" s="288"/>
      <c r="X275" s="292" t="s">
        <v>120</v>
      </c>
      <c r="Y275" s="288"/>
      <c r="Z275" s="293" t="s">
        <v>229</v>
      </c>
      <c r="AA275" s="294"/>
      <c r="AB275" s="294"/>
      <c r="AC275" s="295"/>
      <c r="AD275" s="288" t="s">
        <v>620</v>
      </c>
      <c r="AE275" s="292" t="s">
        <v>120</v>
      </c>
      <c r="AF275" s="289" t="s">
        <v>621</v>
      </c>
      <c r="AG275" s="296"/>
      <c r="AH275" s="296"/>
      <c r="AI275" s="288" t="s">
        <v>622</v>
      </c>
      <c r="AJ275" s="292" t="s">
        <v>120</v>
      </c>
      <c r="AK275" s="288"/>
      <c r="AL275" s="288"/>
      <c r="AM275" s="292"/>
      <c r="AN275" s="288"/>
      <c r="AO275" s="288"/>
      <c r="AP275" s="297"/>
      <c r="AQ275" s="288"/>
      <c r="AR275" s="292"/>
      <c r="AS275" s="288"/>
      <c r="AT275" s="289"/>
      <c r="AU275" s="289">
        <v>43453.379096643497</v>
      </c>
      <c r="AV275" s="289"/>
      <c r="AW275" s="289"/>
      <c r="AX275" s="289"/>
      <c r="AY275" s="289"/>
      <c r="AZ275" s="298"/>
      <c r="BA27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5" s="300">
        <f>COUNTIFS(_05preva_view43[Site ID],_05preva_view43[[#This Row],[Site ID]],_05preva_view43[Prevalidation Status],"Under Prevalidation")</f>
        <v>0</v>
      </c>
      <c r="BC27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5" s="302" t="str">
        <f>CONCATENATE(_05preva_view43[[#This Row],[Site ID]]," (",_05preva_view43[[#This Row],[tenant id]],") Application",IF(_05preva_view43[[#This Row],[Colo Rev]]&gt;0," Rev "&amp;_05preva_view43[[#This Row],[Colo Rev]],""),".xlsx")</f>
        <v>AYYN_0021 (YGN0821) Application.xlsx</v>
      </c>
      <c r="BE275" s="64">
        <f t="shared" ca="1" si="6"/>
        <v>50</v>
      </c>
      <c r="BF275" s="104" t="str">
        <f ca="1">LEFT(CELL("filename",A260),_05preva_view43[[#This Row],[Find Process &amp; Database]]-1)</f>
        <v>D:\OneDrive - apollo-towers.com\Apollo Towers\00-</v>
      </c>
      <c r="BG275" s="104" t="str">
        <f ca="1">_05preva_view43[Folder Path1]&amp;"Process &amp; Database\Documentation\Colo Applications"</f>
        <v>D:\OneDrive - apollo-towers.com\Apollo Towers\00-Process &amp; Database\Documentation\Colo Applications</v>
      </c>
      <c r="BH27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75" s="63" t="str">
        <f ca="1">_05preva_view43[[#This Row],[Folder Path3]]&amp;_05preva_view43[[#This Row],[File Name]]</f>
        <v>D:\OneDrive - apollo-towers.com\Apollo Towers\00-Process &amp; Database\Documentation\Colo Applications\Colo App Mytel\AYYN_0021 (YGN0821) Application.xlsx</v>
      </c>
      <c r="BJ275" s="104"/>
      <c r="BK275" s="3"/>
      <c r="BL275" s="3"/>
      <c r="CJ275" s="5"/>
      <c r="CK275" s="5"/>
      <c r="CL275" s="3"/>
      <c r="CN275" s="5"/>
      <c r="CR275" s="3"/>
      <c r="CS275" s="3"/>
      <c r="CT275" s="5"/>
      <c r="CV275" s="3"/>
      <c r="DR275" s="5"/>
      <c r="DT275" s="3"/>
      <c r="EF275" s="7"/>
      <c r="EG275" s="7"/>
      <c r="EJ275" s="4"/>
      <c r="EK275" s="4"/>
      <c r="EU275" s="2"/>
      <c r="EV275" s="2"/>
    </row>
    <row r="276" spans="1:152">
      <c r="A276" s="287">
        <v>268</v>
      </c>
      <c r="B276" s="288" t="s">
        <v>624</v>
      </c>
      <c r="C276" s="288" t="s">
        <v>278</v>
      </c>
      <c r="D276" s="288" t="s">
        <v>127</v>
      </c>
      <c r="E276" s="288" t="s">
        <v>625</v>
      </c>
      <c r="F276" s="288" t="s">
        <v>34</v>
      </c>
      <c r="G276" s="288" t="s">
        <v>1291</v>
      </c>
      <c r="H276" s="288" t="s">
        <v>1290</v>
      </c>
      <c r="I276" s="288" t="s">
        <v>118</v>
      </c>
      <c r="J276" s="288"/>
      <c r="K276" s="289">
        <v>43318</v>
      </c>
      <c r="L276" s="290"/>
      <c r="M276" s="290">
        <v>2</v>
      </c>
      <c r="N276" s="288"/>
      <c r="O276" s="288" t="s">
        <v>119</v>
      </c>
      <c r="P276" s="291" t="s">
        <v>248</v>
      </c>
      <c r="Q276" s="291" t="s">
        <v>249</v>
      </c>
      <c r="R276" s="288" t="s">
        <v>24</v>
      </c>
      <c r="S276" s="288"/>
      <c r="T276" s="292" t="s">
        <v>120</v>
      </c>
      <c r="U276" s="288" t="s">
        <v>619</v>
      </c>
      <c r="V276" s="292" t="s">
        <v>120</v>
      </c>
      <c r="W276" s="288"/>
      <c r="X276" s="292" t="s">
        <v>120</v>
      </c>
      <c r="Y276" s="288"/>
      <c r="Z276" s="293" t="s">
        <v>229</v>
      </c>
      <c r="AA276" s="294"/>
      <c r="AB276" s="294"/>
      <c r="AC276" s="295"/>
      <c r="AD276" s="288" t="s">
        <v>626</v>
      </c>
      <c r="AE276" s="292" t="s">
        <v>120</v>
      </c>
      <c r="AF276" s="289" t="s">
        <v>621</v>
      </c>
      <c r="AG276" s="296"/>
      <c r="AH276" s="296"/>
      <c r="AI276" s="288" t="s">
        <v>622</v>
      </c>
      <c r="AJ276" s="292" t="s">
        <v>120</v>
      </c>
      <c r="AK276" s="288"/>
      <c r="AL276" s="288"/>
      <c r="AM276" s="292"/>
      <c r="AN276" s="288"/>
      <c r="AO276" s="288"/>
      <c r="AP276" s="297"/>
      <c r="AQ276" s="288"/>
      <c r="AR276" s="292"/>
      <c r="AS276" s="288"/>
      <c r="AT276" s="289"/>
      <c r="AU276" s="289">
        <v>43453.379098032397</v>
      </c>
      <c r="AV276" s="289"/>
      <c r="AW276" s="289"/>
      <c r="AX276" s="289"/>
      <c r="AY276" s="289"/>
      <c r="AZ276" s="298"/>
      <c r="BA27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6" s="300">
        <f>COUNTIFS(_05preva_view43[Site ID],_05preva_view43[[#This Row],[Site ID]],_05preva_view43[Prevalidation Status],"Under Prevalidation")</f>
        <v>0</v>
      </c>
      <c r="BC27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6" s="302" t="str">
        <f>CONCATENATE(_05preva_view43[[#This Row],[Site ID]]," (",_05preva_view43[[#This Row],[tenant id]],") Application",IF(_05preva_view43[[#This Row],[Colo Rev]]&gt;0," Rev "&amp;_05preva_view43[[#This Row],[Colo Rev]],""),".xlsx")</f>
        <v>1-01-05018-005 (SGG0351) Application.xlsx</v>
      </c>
      <c r="BE276" s="64">
        <f t="shared" ca="1" si="6"/>
        <v>50</v>
      </c>
      <c r="BF276" s="104" t="str">
        <f ca="1">LEFT(CELL("filename",A261),_05preva_view43[[#This Row],[Find Process &amp; Database]]-1)</f>
        <v>D:\OneDrive - apollo-towers.com\Apollo Towers\00-</v>
      </c>
      <c r="BG276" s="104" t="str">
        <f ca="1">_05preva_view43[Folder Path1]&amp;"Process &amp; Database\Documentation\Colo Applications"</f>
        <v>D:\OneDrive - apollo-towers.com\Apollo Towers\00-Process &amp; Database\Documentation\Colo Applications</v>
      </c>
      <c r="BH27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76" s="63" t="str">
        <f ca="1">_05preva_view43[[#This Row],[Folder Path3]]&amp;_05preva_view43[[#This Row],[File Name]]</f>
        <v>D:\OneDrive - apollo-towers.com\Apollo Towers\00-Process &amp; Database\Documentation\Colo Applications\Colo App Mytel\1-01-05018-005 (SGG0351) Application.xlsx</v>
      </c>
      <c r="BJ276" s="104"/>
      <c r="BK276" s="3"/>
      <c r="BL276" s="3"/>
      <c r="CJ276" s="5"/>
      <c r="CK276" s="5"/>
      <c r="CL276" s="3"/>
      <c r="CN276" s="5"/>
      <c r="CR276" s="3"/>
      <c r="CS276" s="3"/>
      <c r="CT276" s="5"/>
      <c r="CV276" s="3"/>
      <c r="DR276" s="5"/>
      <c r="DT276" s="3"/>
      <c r="EF276" s="7"/>
      <c r="EG276" s="7"/>
      <c r="EJ276" s="4"/>
      <c r="EK276" s="4"/>
      <c r="EU276" s="2"/>
      <c r="EV276" s="2"/>
    </row>
    <row r="277" spans="1:152">
      <c r="A277" s="287">
        <v>269</v>
      </c>
      <c r="B277" s="288" t="s">
        <v>627</v>
      </c>
      <c r="C277" s="288" t="s">
        <v>116</v>
      </c>
      <c r="D277" s="288" t="s">
        <v>153</v>
      </c>
      <c r="E277" s="288" t="s">
        <v>628</v>
      </c>
      <c r="F277" s="288" t="s">
        <v>34</v>
      </c>
      <c r="G277" s="288" t="s">
        <v>1284</v>
      </c>
      <c r="H277" s="288" t="s">
        <v>1285</v>
      </c>
      <c r="I277" s="288" t="s">
        <v>118</v>
      </c>
      <c r="J277" s="288"/>
      <c r="K277" s="289">
        <v>43318</v>
      </c>
      <c r="L277" s="290"/>
      <c r="M277" s="290">
        <v>2</v>
      </c>
      <c r="N277" s="288"/>
      <c r="O277" s="288" t="s">
        <v>119</v>
      </c>
      <c r="P277" s="291" t="s">
        <v>526</v>
      </c>
      <c r="Q277" s="291" t="s">
        <v>629</v>
      </c>
      <c r="R277" s="288" t="s">
        <v>24</v>
      </c>
      <c r="S277" s="288"/>
      <c r="T277" s="292" t="s">
        <v>120</v>
      </c>
      <c r="U277" s="288" t="s">
        <v>619</v>
      </c>
      <c r="V277" s="292" t="s">
        <v>120</v>
      </c>
      <c r="W277" s="288"/>
      <c r="X277" s="292" t="s">
        <v>120</v>
      </c>
      <c r="Y277" s="288"/>
      <c r="Z277" s="293" t="s">
        <v>125</v>
      </c>
      <c r="AA277" s="294"/>
      <c r="AB277" s="294"/>
      <c r="AC277" s="295" t="s">
        <v>123</v>
      </c>
      <c r="AD277" s="288" t="s">
        <v>630</v>
      </c>
      <c r="AE277" s="292" t="s">
        <v>120</v>
      </c>
      <c r="AF277" s="289" t="s">
        <v>621</v>
      </c>
      <c r="AG277" s="296"/>
      <c r="AH277" s="296"/>
      <c r="AI277" s="288" t="s">
        <v>622</v>
      </c>
      <c r="AJ277" s="292" t="s">
        <v>120</v>
      </c>
      <c r="AK277" s="288"/>
      <c r="AL277" s="288"/>
      <c r="AM277" s="292"/>
      <c r="AN277" s="288"/>
      <c r="AO277" s="288"/>
      <c r="AP277" s="297"/>
      <c r="AQ277" s="288"/>
      <c r="AR277" s="292"/>
      <c r="AS277" s="288"/>
      <c r="AT277" s="289"/>
      <c r="AU277" s="289">
        <v>43453.379098726902</v>
      </c>
      <c r="AV277" s="289"/>
      <c r="AW277" s="289"/>
      <c r="AX277" s="289"/>
      <c r="AY277" s="289"/>
      <c r="AZ277" s="298">
        <v>43318</v>
      </c>
      <c r="BA27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7" s="300">
        <f>COUNTIFS(_05preva_view43[Site ID],_05preva_view43[[#This Row],[Site ID]],_05preva_view43[Prevalidation Status],"Under Prevalidation")</f>
        <v>0</v>
      </c>
      <c r="BC27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7" s="302" t="str">
        <f>CONCATENATE(_05preva_view43[[#This Row],[Site ID]]," (",_05preva_view43[[#This Row],[tenant id]],") Application",IF(_05preva_view43[[#This Row],[Colo Rev]]&gt;0," Rev "&amp;_05preva_view43[[#This Row],[Colo Rev]],""),".xlsx")</f>
        <v>AYYN_0323 (YGN1545) Application.xlsx</v>
      </c>
      <c r="BE277" s="64">
        <f t="shared" ca="1" si="6"/>
        <v>50</v>
      </c>
      <c r="BF277" s="104" t="str">
        <f ca="1">LEFT(CELL("filename",A262),_05preva_view43[[#This Row],[Find Process &amp; Database]]-1)</f>
        <v>D:\OneDrive - apollo-towers.com\Apollo Towers\00-</v>
      </c>
      <c r="BG277" s="104" t="str">
        <f ca="1">_05preva_view43[Folder Path1]&amp;"Process &amp; Database\Documentation\Colo Applications"</f>
        <v>D:\OneDrive - apollo-towers.com\Apollo Towers\00-Process &amp; Database\Documentation\Colo Applications</v>
      </c>
      <c r="BH27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77" s="63" t="str">
        <f ca="1">_05preva_view43[[#This Row],[Folder Path3]]&amp;_05preva_view43[[#This Row],[File Name]]</f>
        <v>D:\OneDrive - apollo-towers.com\Apollo Towers\00-Process &amp; Database\Documentation\Colo Applications\Colo App Mytel\AYYN_0323 (YGN1545) Application.xlsx</v>
      </c>
      <c r="BJ277" s="104"/>
      <c r="BK277" s="3"/>
      <c r="BL277" s="3"/>
      <c r="CJ277" s="5"/>
      <c r="CK277" s="5"/>
      <c r="CL277" s="3"/>
      <c r="CN277" s="5"/>
      <c r="CR277" s="3"/>
      <c r="CS277" s="3"/>
      <c r="CT277" s="5"/>
      <c r="CV277" s="3"/>
      <c r="DR277" s="5"/>
      <c r="DT277" s="3"/>
      <c r="EF277" s="7"/>
      <c r="EG277" s="7"/>
      <c r="EJ277" s="4"/>
      <c r="EK277" s="4"/>
      <c r="EU277" s="2"/>
      <c r="EV277" s="2"/>
    </row>
    <row r="278" spans="1:152">
      <c r="A278" s="287">
        <v>270</v>
      </c>
      <c r="B278" s="288" t="s">
        <v>631</v>
      </c>
      <c r="C278" s="288" t="s">
        <v>116</v>
      </c>
      <c r="D278" s="288" t="s">
        <v>117</v>
      </c>
      <c r="E278" s="288" t="s">
        <v>632</v>
      </c>
      <c r="F278" s="288" t="s">
        <v>34</v>
      </c>
      <c r="G278" s="288" t="s">
        <v>1284</v>
      </c>
      <c r="H278" s="288" t="s">
        <v>1285</v>
      </c>
      <c r="I278" s="288" t="s">
        <v>118</v>
      </c>
      <c r="J278" s="288"/>
      <c r="K278" s="289">
        <v>43318</v>
      </c>
      <c r="L278" s="290"/>
      <c r="M278" s="290"/>
      <c r="N278" s="288"/>
      <c r="O278" s="288" t="s">
        <v>119</v>
      </c>
      <c r="P278" s="291" t="s">
        <v>228</v>
      </c>
      <c r="Q278" s="291" t="s">
        <v>284</v>
      </c>
      <c r="R278" s="288" t="s">
        <v>24</v>
      </c>
      <c r="S278" s="288"/>
      <c r="T278" s="292" t="s">
        <v>120</v>
      </c>
      <c r="U278" s="288" t="s">
        <v>619</v>
      </c>
      <c r="V278" s="292" t="s">
        <v>120</v>
      </c>
      <c r="W278" s="288"/>
      <c r="X278" s="292" t="s">
        <v>120</v>
      </c>
      <c r="Y278" s="288"/>
      <c r="Z278" s="293" t="s">
        <v>229</v>
      </c>
      <c r="AA278" s="294"/>
      <c r="AB278" s="294"/>
      <c r="AC278" s="295"/>
      <c r="AD278" s="288" t="s">
        <v>626</v>
      </c>
      <c r="AE278" s="292" t="s">
        <v>120</v>
      </c>
      <c r="AF278" s="289" t="s">
        <v>621</v>
      </c>
      <c r="AG278" s="296"/>
      <c r="AH278" s="296"/>
      <c r="AI278" s="288" t="s">
        <v>622</v>
      </c>
      <c r="AJ278" s="292" t="s">
        <v>120</v>
      </c>
      <c r="AK278" s="288"/>
      <c r="AL278" s="288"/>
      <c r="AM278" s="292"/>
      <c r="AN278" s="288"/>
      <c r="AO278" s="288"/>
      <c r="AP278" s="297"/>
      <c r="AQ278" s="288"/>
      <c r="AR278" s="292"/>
      <c r="AS278" s="288"/>
      <c r="AT278" s="289"/>
      <c r="AU278" s="289">
        <v>43453.379099421298</v>
      </c>
      <c r="AV278" s="289"/>
      <c r="AW278" s="289"/>
      <c r="AX278" s="289"/>
      <c r="AY278" s="289"/>
      <c r="AZ278" s="298"/>
      <c r="BA27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8" s="300">
        <f>COUNTIFS(_05preva_view43[Site ID],_05preva_view43[[#This Row],[Site ID]],_05preva_view43[Prevalidation Status],"Under Prevalidation")</f>
        <v>0</v>
      </c>
      <c r="BC27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8" s="302" t="str">
        <f>CONCATENATE(_05preva_view43[[#This Row],[Site ID]]," (",_05preva_view43[[#This Row],[tenant id]],") Application",IF(_05preva_view43[[#This Row],[Colo Rev]]&gt;0," Rev "&amp;_05preva_view43[[#This Row],[Colo Rev]],""),".xlsx")</f>
        <v>ANMG_0076 (MGY0061) Application.xlsx</v>
      </c>
      <c r="BE278" s="64">
        <f t="shared" ca="1" si="6"/>
        <v>50</v>
      </c>
      <c r="BF278" s="104" t="str">
        <f ca="1">LEFT(CELL("filename",A263),_05preva_view43[[#This Row],[Find Process &amp; Database]]-1)</f>
        <v>D:\OneDrive - apollo-towers.com\Apollo Towers\00-</v>
      </c>
      <c r="BG278" s="104" t="str">
        <f ca="1">_05preva_view43[Folder Path1]&amp;"Process &amp; Database\Documentation\Colo Applications"</f>
        <v>D:\OneDrive - apollo-towers.com\Apollo Towers\00-Process &amp; Database\Documentation\Colo Applications</v>
      </c>
      <c r="BH27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78" s="63" t="str">
        <f ca="1">_05preva_view43[[#This Row],[Folder Path3]]&amp;_05preva_view43[[#This Row],[File Name]]</f>
        <v>D:\OneDrive - apollo-towers.com\Apollo Towers\00-Process &amp; Database\Documentation\Colo Applications\Colo App Mytel\ANMG_0076 (MGY0061) Application.xlsx</v>
      </c>
      <c r="BJ278" s="104"/>
      <c r="BK278" s="3"/>
      <c r="BL278" s="3"/>
      <c r="CJ278" s="5"/>
      <c r="CK278" s="5"/>
      <c r="CL278" s="3"/>
      <c r="CN278" s="5"/>
      <c r="CR278" s="3"/>
      <c r="CS278" s="3"/>
      <c r="CT278" s="5"/>
      <c r="CV278" s="3"/>
      <c r="DR278" s="5"/>
      <c r="DT278" s="3"/>
      <c r="EF278" s="7"/>
      <c r="EG278" s="7"/>
      <c r="EJ278" s="4"/>
      <c r="EK278" s="4"/>
      <c r="EU278" s="2"/>
      <c r="EV278" s="2"/>
    </row>
    <row r="279" spans="1:152">
      <c r="A279" s="287">
        <v>273</v>
      </c>
      <c r="B279" s="288" t="s">
        <v>633</v>
      </c>
      <c r="C279" s="288" t="s">
        <v>116</v>
      </c>
      <c r="D279" s="288" t="s">
        <v>117</v>
      </c>
      <c r="E279" s="288" t="s">
        <v>634</v>
      </c>
      <c r="F279" s="288" t="s">
        <v>34</v>
      </c>
      <c r="G279" s="288" t="s">
        <v>1284</v>
      </c>
      <c r="H279" s="288" t="s">
        <v>1285</v>
      </c>
      <c r="I279" s="288" t="s">
        <v>118</v>
      </c>
      <c r="J279" s="288"/>
      <c r="K279" s="289">
        <v>43307</v>
      </c>
      <c r="L279" s="290"/>
      <c r="M279" s="290">
        <v>2</v>
      </c>
      <c r="N279" s="288"/>
      <c r="O279" s="288" t="s">
        <v>119</v>
      </c>
      <c r="P279" s="291" t="s">
        <v>248</v>
      </c>
      <c r="Q279" s="291" t="s">
        <v>249</v>
      </c>
      <c r="R279" s="288" t="s">
        <v>24</v>
      </c>
      <c r="S279" s="288"/>
      <c r="T279" s="292" t="s">
        <v>120</v>
      </c>
      <c r="U279" s="288"/>
      <c r="V279" s="292" t="s">
        <v>120</v>
      </c>
      <c r="W279" s="288"/>
      <c r="X279" s="292" t="s">
        <v>120</v>
      </c>
      <c r="Y279" s="288"/>
      <c r="Z279" s="293" t="s">
        <v>229</v>
      </c>
      <c r="AA279" s="294"/>
      <c r="AB279" s="294"/>
      <c r="AC279" s="295"/>
      <c r="AD279" s="288" t="s">
        <v>229</v>
      </c>
      <c r="AE279" s="292" t="s">
        <v>120</v>
      </c>
      <c r="AF279" s="289"/>
      <c r="AG279" s="296"/>
      <c r="AH279" s="296"/>
      <c r="AI279" s="288"/>
      <c r="AJ279" s="292" t="s">
        <v>120</v>
      </c>
      <c r="AK279" s="288"/>
      <c r="AL279" s="288"/>
      <c r="AM279" s="292"/>
      <c r="AN279" s="288"/>
      <c r="AO279" s="288"/>
      <c r="AP279" s="297"/>
      <c r="AQ279" s="288"/>
      <c r="AR279" s="292"/>
      <c r="AS279" s="288"/>
      <c r="AT279" s="289"/>
      <c r="AU279" s="289">
        <v>43453.379102199098</v>
      </c>
      <c r="AV279" s="289"/>
      <c r="AW279" s="289"/>
      <c r="AX279" s="289"/>
      <c r="AY279" s="289"/>
      <c r="AZ279" s="298"/>
      <c r="BA27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79" s="300">
        <f>COUNTIFS(_05preva_view43[Site ID],_05preva_view43[[#This Row],[Site ID]],_05preva_view43[Prevalidation Status],"Under Prevalidation")</f>
        <v>0</v>
      </c>
      <c r="BC27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79" s="302" t="str">
        <f>CONCATENATE(_05preva_view43[[#This Row],[Site ID]]," (",_05preva_view43[[#This Row],[tenant id]],") Application",IF(_05preva_view43[[#This Row],[Colo Rev]]&gt;0," Rev "&amp;_05preva_view43[[#This Row],[Colo Rev]],""),".xlsx")</f>
        <v>ANNP_0329 (NPW0281) Application.xlsx</v>
      </c>
      <c r="BE279" s="64">
        <f t="shared" ca="1" si="6"/>
        <v>50</v>
      </c>
      <c r="BF279" s="104" t="str">
        <f ca="1">LEFT(CELL("filename",A264),_05preva_view43[[#This Row],[Find Process &amp; Database]]-1)</f>
        <v>D:\OneDrive - apollo-towers.com\Apollo Towers\00-</v>
      </c>
      <c r="BG279" s="104" t="str">
        <f ca="1">_05preva_view43[Folder Path1]&amp;"Process &amp; Database\Documentation\Colo Applications"</f>
        <v>D:\OneDrive - apollo-towers.com\Apollo Towers\00-Process &amp; Database\Documentation\Colo Applications</v>
      </c>
      <c r="BH27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79" s="63" t="str">
        <f ca="1">_05preva_view43[[#This Row],[Folder Path3]]&amp;_05preva_view43[[#This Row],[File Name]]</f>
        <v>D:\OneDrive - apollo-towers.com\Apollo Towers\00-Process &amp; Database\Documentation\Colo Applications\Colo App Mytel\ANNP_0329 (NPW0281) Application.xlsx</v>
      </c>
      <c r="BJ279" s="104"/>
      <c r="BK279" s="3"/>
      <c r="BL279" s="3"/>
      <c r="CJ279" s="5"/>
      <c r="CK279" s="5"/>
      <c r="CL279" s="3"/>
      <c r="CN279" s="5"/>
      <c r="CR279" s="3"/>
      <c r="CS279" s="3"/>
      <c r="CT279" s="5"/>
      <c r="CV279" s="3"/>
      <c r="DR279" s="5"/>
      <c r="DT279" s="3"/>
      <c r="EF279" s="7"/>
      <c r="EG279" s="7"/>
      <c r="EJ279" s="4"/>
      <c r="EK279" s="4"/>
      <c r="EU279" s="2"/>
      <c r="EV279" s="2"/>
    </row>
    <row r="280" spans="1:152">
      <c r="A280" s="287">
        <v>265</v>
      </c>
      <c r="B280" s="288" t="s">
        <v>285</v>
      </c>
      <c r="C280" s="288" t="s">
        <v>116</v>
      </c>
      <c r="D280" s="288" t="s">
        <v>127</v>
      </c>
      <c r="E280" s="288" t="s">
        <v>611</v>
      </c>
      <c r="F280" s="288" t="s">
        <v>40</v>
      </c>
      <c r="G280" s="288" t="s">
        <v>1289</v>
      </c>
      <c r="H280" s="288" t="s">
        <v>1285</v>
      </c>
      <c r="I280" s="288" t="s">
        <v>118</v>
      </c>
      <c r="J280" s="288"/>
      <c r="K280" s="289">
        <v>43299</v>
      </c>
      <c r="L280" s="290"/>
      <c r="M280" s="290">
        <v>3</v>
      </c>
      <c r="N280" s="288">
        <v>6.5</v>
      </c>
      <c r="O280" s="288" t="s">
        <v>119</v>
      </c>
      <c r="P280" s="291" t="s">
        <v>612</v>
      </c>
      <c r="Q280" s="291" t="s">
        <v>246</v>
      </c>
      <c r="R280" s="288" t="s">
        <v>24</v>
      </c>
      <c r="S280" s="288"/>
      <c r="T280" s="292" t="s">
        <v>120</v>
      </c>
      <c r="U280" s="288" t="s">
        <v>613</v>
      </c>
      <c r="V280" s="292" t="s">
        <v>120</v>
      </c>
      <c r="W280" s="288"/>
      <c r="X280" s="292" t="s">
        <v>120</v>
      </c>
      <c r="Y280" s="288" t="s">
        <v>614</v>
      </c>
      <c r="Z280" s="293" t="s">
        <v>615</v>
      </c>
      <c r="AA280" s="294"/>
      <c r="AB280" s="294"/>
      <c r="AC280" s="295" t="s">
        <v>123</v>
      </c>
      <c r="AD280" s="288"/>
      <c r="AE280" s="292" t="s">
        <v>120</v>
      </c>
      <c r="AF280" s="289"/>
      <c r="AG280" s="296"/>
      <c r="AH280" s="296"/>
      <c r="AI280" s="288"/>
      <c r="AJ280" s="292" t="s">
        <v>120</v>
      </c>
      <c r="AK280" s="288" t="s">
        <v>206</v>
      </c>
      <c r="AL280" s="288" t="s">
        <v>616</v>
      </c>
      <c r="AM280" s="292"/>
      <c r="AN280" s="288"/>
      <c r="AO280" s="288"/>
      <c r="AP280" s="297"/>
      <c r="AQ280" s="288"/>
      <c r="AR280" s="292"/>
      <c r="AS280" s="288"/>
      <c r="AT280" s="289">
        <v>43417.622354282401</v>
      </c>
      <c r="AU280" s="289">
        <v>43417.673046759301</v>
      </c>
      <c r="AV280" s="289"/>
      <c r="AW280" s="289">
        <v>43417.729836574101</v>
      </c>
      <c r="AX280" s="289">
        <v>43417.688153472198</v>
      </c>
      <c r="AY280" s="289">
        <v>43417.684579629597</v>
      </c>
      <c r="AZ280" s="298">
        <v>43299</v>
      </c>
      <c r="BA28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0" s="300">
        <f>COUNTIFS(_05preva_view43[Site ID],_05preva_view43[[#This Row],[Site ID]],_05preva_view43[Prevalidation Status],"Under Prevalidation")</f>
        <v>0</v>
      </c>
      <c r="BC28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0" s="302" t="str">
        <f>CONCATENATE(_05preva_view43[[#This Row],[Site ID]]," (",_05preva_view43[[#This Row],[tenant id]],") Application",IF(_05preva_view43[[#This Row],[Colo Rev]]&gt;0," Rev "&amp;_05preva_view43[[#This Row],[Colo Rev]],""),".xlsx")</f>
        <v>ANMD_0080 (MAW2380) Application.xlsx</v>
      </c>
      <c r="BE280" s="64">
        <f t="shared" ca="1" si="6"/>
        <v>50</v>
      </c>
      <c r="BF280" s="104" t="str">
        <f ca="1">LEFT(CELL("filename",A265),_05preva_view43[[#This Row],[Find Process &amp; Database]]-1)</f>
        <v>D:\OneDrive - apollo-towers.com\Apollo Towers\00-</v>
      </c>
      <c r="BG280" s="104" t="str">
        <f ca="1">_05preva_view43[Folder Path1]&amp;"Process &amp; Database\Documentation\Colo Applications"</f>
        <v>D:\OneDrive - apollo-towers.com\Apollo Towers\00-Process &amp; Database\Documentation\Colo Applications</v>
      </c>
      <c r="BH28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80" s="63" t="str">
        <f ca="1">_05preva_view43[[#This Row],[Folder Path3]]&amp;_05preva_view43[[#This Row],[File Name]]</f>
        <v>D:\OneDrive - apollo-towers.com\Apollo Towers\00-Process &amp; Database\Documentation\Colo Applications\Colo App OML\ANMD_0080 (MAW2380) Application.xlsx</v>
      </c>
      <c r="BJ280" s="104"/>
      <c r="BK280" s="3"/>
      <c r="BL280" s="3"/>
      <c r="CJ280" s="5"/>
      <c r="CK280" s="5"/>
      <c r="CL280" s="3"/>
      <c r="CN280" s="5"/>
      <c r="CR280" s="3"/>
      <c r="CS280" s="3"/>
      <c r="CT280" s="5"/>
      <c r="CV280" s="3"/>
      <c r="DR280" s="5"/>
      <c r="DT280" s="3"/>
      <c r="EF280" s="7"/>
      <c r="EG280" s="7"/>
      <c r="EJ280" s="4"/>
      <c r="EK280" s="4"/>
      <c r="EU280" s="2"/>
      <c r="EV280" s="2"/>
    </row>
    <row r="281" spans="1:152">
      <c r="A281" s="287">
        <v>261</v>
      </c>
      <c r="B281" s="288" t="s">
        <v>609</v>
      </c>
      <c r="C281" s="288" t="s">
        <v>116</v>
      </c>
      <c r="D281" s="288" t="s">
        <v>117</v>
      </c>
      <c r="E281" s="288" t="s">
        <v>610</v>
      </c>
      <c r="F281" s="288" t="s">
        <v>40</v>
      </c>
      <c r="G281" s="288" t="s">
        <v>1289</v>
      </c>
      <c r="H281" s="288" t="s">
        <v>1290</v>
      </c>
      <c r="I281" s="288" t="s">
        <v>118</v>
      </c>
      <c r="J281" s="288"/>
      <c r="K281" s="289">
        <v>43298</v>
      </c>
      <c r="L281" s="290"/>
      <c r="M281" s="290">
        <v>3</v>
      </c>
      <c r="N281" s="288">
        <v>6</v>
      </c>
      <c r="O281" s="288" t="s">
        <v>119</v>
      </c>
      <c r="P281" s="291"/>
      <c r="Q281" s="291"/>
      <c r="R281" s="288" t="s">
        <v>24</v>
      </c>
      <c r="S281" s="288"/>
      <c r="T281" s="292" t="s">
        <v>120</v>
      </c>
      <c r="U281" s="288" t="s">
        <v>607</v>
      </c>
      <c r="V281" s="292" t="s">
        <v>120</v>
      </c>
      <c r="W281" s="288"/>
      <c r="X281" s="292" t="s">
        <v>120</v>
      </c>
      <c r="Y281" s="288" t="s">
        <v>320</v>
      </c>
      <c r="Z281" s="293" t="s">
        <v>120</v>
      </c>
      <c r="AA281" s="294"/>
      <c r="AB281" s="294"/>
      <c r="AC281" s="295" t="s">
        <v>123</v>
      </c>
      <c r="AD281" s="288"/>
      <c r="AE281" s="292" t="s">
        <v>125</v>
      </c>
      <c r="AF281" s="289"/>
      <c r="AG281" s="296"/>
      <c r="AH281" s="296"/>
      <c r="AI281" s="288" t="s">
        <v>608</v>
      </c>
      <c r="AJ281" s="292"/>
      <c r="AK281" s="288"/>
      <c r="AL281" s="288"/>
      <c r="AM281" s="292"/>
      <c r="AN281" s="288"/>
      <c r="AO281" s="288"/>
      <c r="AP281" s="297"/>
      <c r="AQ281" s="288"/>
      <c r="AR281" s="292"/>
      <c r="AS281" s="288"/>
      <c r="AT281" s="289"/>
      <c r="AU281" s="289"/>
      <c r="AV281" s="289"/>
      <c r="AW281" s="289"/>
      <c r="AX281" s="289"/>
      <c r="AY281" s="289"/>
      <c r="AZ281" s="298"/>
      <c r="BA28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1" s="300">
        <f>COUNTIFS(_05preva_view43[Site ID],_05preva_view43[[#This Row],[Site ID]],_05preva_view43[Prevalidation Status],"Under Prevalidation")</f>
        <v>0</v>
      </c>
      <c r="BC28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1" s="302" t="str">
        <f>CONCATENATE(_05preva_view43[[#This Row],[Site ID]]," (",_05preva_view43[[#This Row],[tenant id]],") Application",IF(_05preva_view43[[#This Row],[Colo Rev]]&gt;0," Rev "&amp;_05preva_view43[[#This Row],[Colo Rev]],""),".xlsx")</f>
        <v>ANSH_0044 (SHW1986) Application.xlsx</v>
      </c>
      <c r="BE281" s="64">
        <f t="shared" ca="1" si="6"/>
        <v>50</v>
      </c>
      <c r="BF281" s="104" t="str">
        <f ca="1">LEFT(CELL("filename",A266),_05preva_view43[[#This Row],[Find Process &amp; Database]]-1)</f>
        <v>D:\OneDrive - apollo-towers.com\Apollo Towers\00-</v>
      </c>
      <c r="BG281" s="104" t="str">
        <f ca="1">_05preva_view43[Folder Path1]&amp;"Process &amp; Database\Documentation\Colo Applications"</f>
        <v>D:\OneDrive - apollo-towers.com\Apollo Towers\00-Process &amp; Database\Documentation\Colo Applications</v>
      </c>
      <c r="BH28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81" s="63" t="str">
        <f ca="1">_05preva_view43[[#This Row],[Folder Path3]]&amp;_05preva_view43[[#This Row],[File Name]]</f>
        <v>D:\OneDrive - apollo-towers.com\Apollo Towers\00-Process &amp; Database\Documentation\Colo Applications\Colo App OML\ANSH_0044 (SHW1986) Application.xlsx</v>
      </c>
      <c r="BJ281" s="104"/>
      <c r="BK281" s="3"/>
      <c r="BL281" s="3"/>
      <c r="CJ281" s="5"/>
      <c r="CK281" s="5"/>
      <c r="CL281" s="3"/>
      <c r="CN281" s="5"/>
      <c r="CR281" s="3"/>
      <c r="CS281" s="3"/>
      <c r="CT281" s="5"/>
      <c r="CV281" s="3"/>
      <c r="DR281" s="5"/>
      <c r="DT281" s="3"/>
      <c r="EF281" s="7"/>
      <c r="EG281" s="7"/>
      <c r="EJ281" s="4"/>
      <c r="EK281" s="4"/>
      <c r="EU281" s="2"/>
      <c r="EV281" s="2"/>
    </row>
    <row r="282" spans="1:152">
      <c r="A282" s="287">
        <v>258</v>
      </c>
      <c r="B282" s="288" t="s">
        <v>601</v>
      </c>
      <c r="C282" s="288" t="s">
        <v>116</v>
      </c>
      <c r="D282" s="288" t="s">
        <v>153</v>
      </c>
      <c r="E282" s="288" t="s">
        <v>602</v>
      </c>
      <c r="F282" s="288" t="s">
        <v>41</v>
      </c>
      <c r="G282" s="288" t="s">
        <v>1286</v>
      </c>
      <c r="H282" s="288" t="s">
        <v>1290</v>
      </c>
      <c r="I282" s="288" t="s">
        <v>118</v>
      </c>
      <c r="J282" s="288"/>
      <c r="K282" s="289">
        <v>43290</v>
      </c>
      <c r="L282" s="290"/>
      <c r="M282" s="290">
        <v>1.9</v>
      </c>
      <c r="N282" s="288">
        <v>3</v>
      </c>
      <c r="O282" s="288" t="s">
        <v>119</v>
      </c>
      <c r="P282" s="291" t="s">
        <v>603</v>
      </c>
      <c r="Q282" s="291" t="s">
        <v>604</v>
      </c>
      <c r="R282" s="288" t="s">
        <v>24</v>
      </c>
      <c r="S282" s="288"/>
      <c r="T282" s="292" t="s">
        <v>120</v>
      </c>
      <c r="U282" s="288" t="s">
        <v>582</v>
      </c>
      <c r="V282" s="292" t="s">
        <v>120</v>
      </c>
      <c r="W282" s="288"/>
      <c r="X282" s="292" t="s">
        <v>120</v>
      </c>
      <c r="Y282" s="288" t="s">
        <v>120</v>
      </c>
      <c r="Z282" s="293" t="s">
        <v>120</v>
      </c>
      <c r="AA282" s="294"/>
      <c r="AB282" s="294"/>
      <c r="AC282" s="295" t="s">
        <v>123</v>
      </c>
      <c r="AD282" s="288" t="s">
        <v>293</v>
      </c>
      <c r="AE282" s="292" t="s">
        <v>229</v>
      </c>
      <c r="AF282" s="289" t="s">
        <v>585</v>
      </c>
      <c r="AG282" s="296"/>
      <c r="AH282" s="296"/>
      <c r="AI282" s="288" t="s">
        <v>606</v>
      </c>
      <c r="AJ282" s="292" t="s">
        <v>120</v>
      </c>
      <c r="AK282" s="288" t="s">
        <v>206</v>
      </c>
      <c r="AL282" s="288" t="s">
        <v>605</v>
      </c>
      <c r="AM282" s="292"/>
      <c r="AN282" s="288"/>
      <c r="AO282" s="288"/>
      <c r="AP282" s="297"/>
      <c r="AQ282" s="288"/>
      <c r="AR282" s="292"/>
      <c r="AS282" s="288"/>
      <c r="AT282" s="289"/>
      <c r="AU282" s="289">
        <v>43453.3790934028</v>
      </c>
      <c r="AV282" s="289"/>
      <c r="AW282" s="289"/>
      <c r="AX282" s="289"/>
      <c r="AY282" s="289"/>
      <c r="AZ282" s="298">
        <v>43290</v>
      </c>
      <c r="BA28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2" s="300">
        <f>COUNTIFS(_05preva_view43[Site ID],_05preva_view43[[#This Row],[Site ID]],_05preva_view43[Prevalidation Status],"Under Prevalidation")</f>
        <v>0</v>
      </c>
      <c r="BC28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2" s="302" t="str">
        <f>CONCATENATE(_05preva_view43[[#This Row],[Site ID]]," (",_05preva_view43[[#This Row],[tenant id]],") Application",IF(_05preva_view43[[#This Row],[Colo Rev]]&gt;0," Rev "&amp;_05preva_view43[[#This Row],[Colo Rev]],""),".xlsx")</f>
        <v>AYYN_0413 (YGNTKTA008) Application.xlsx</v>
      </c>
      <c r="BE282" s="64">
        <f t="shared" ca="1" si="6"/>
        <v>50</v>
      </c>
      <c r="BF282" s="104" t="str">
        <f ca="1">LEFT(CELL("filename",A267),_05preva_view43[[#This Row],[Find Process &amp; Database]]-1)</f>
        <v>D:\OneDrive - apollo-towers.com\Apollo Towers\00-</v>
      </c>
      <c r="BG282" s="104" t="str">
        <f ca="1">_05preva_view43[Folder Path1]&amp;"Process &amp; Database\Documentation\Colo Applications"</f>
        <v>D:\OneDrive - apollo-towers.com\Apollo Towers\00-Process &amp; Database\Documentation\Colo Applications</v>
      </c>
      <c r="BH282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82" s="63" t="str">
        <f ca="1">_05preva_view43[[#This Row],[Folder Path3]]&amp;_05preva_view43[[#This Row],[File Name]]</f>
        <v>D:\OneDrive - apollo-towers.com\Apollo Towers\00-Process &amp; Database\Documentation\Colo Applications\Colo App Amara\AYYN_0413 (YGNTKTA008) Application.xlsx</v>
      </c>
      <c r="BJ282" s="104"/>
      <c r="BK282" s="3"/>
      <c r="BL282" s="3"/>
      <c r="CJ282" s="5"/>
      <c r="CK282" s="5"/>
      <c r="CL282" s="3"/>
      <c r="CN282" s="5"/>
      <c r="CR282" s="3"/>
      <c r="CS282" s="3"/>
      <c r="CT282" s="5"/>
      <c r="CV282" s="3"/>
      <c r="DR282" s="5"/>
      <c r="DT282" s="3"/>
      <c r="EF282" s="7"/>
      <c r="EG282" s="7"/>
      <c r="EJ282" s="4"/>
      <c r="EK282" s="4"/>
      <c r="EU282" s="2"/>
      <c r="EV282" s="2"/>
    </row>
    <row r="283" spans="1:152">
      <c r="A283" s="287">
        <v>256</v>
      </c>
      <c r="B283" s="288" t="s">
        <v>180</v>
      </c>
      <c r="C283" s="288" t="s">
        <v>116</v>
      </c>
      <c r="D283" s="288" t="s">
        <v>127</v>
      </c>
      <c r="E283" s="288" t="s">
        <v>595</v>
      </c>
      <c r="F283" s="288" t="s">
        <v>41</v>
      </c>
      <c r="G283" s="288" t="s">
        <v>1286</v>
      </c>
      <c r="H283" s="288" t="s">
        <v>1290</v>
      </c>
      <c r="I283" s="288" t="s">
        <v>118</v>
      </c>
      <c r="J283" s="288"/>
      <c r="K283" s="289">
        <v>43286</v>
      </c>
      <c r="L283" s="290"/>
      <c r="M283" s="290">
        <v>2.5</v>
      </c>
      <c r="N283" s="288">
        <v>3</v>
      </c>
      <c r="O283" s="288" t="s">
        <v>119</v>
      </c>
      <c r="P283" s="291" t="s">
        <v>596</v>
      </c>
      <c r="Q283" s="291" t="s">
        <v>597</v>
      </c>
      <c r="R283" s="288" t="s">
        <v>24</v>
      </c>
      <c r="S283" s="288" t="s">
        <v>598</v>
      </c>
      <c r="T283" s="292" t="s">
        <v>120</v>
      </c>
      <c r="U283" s="288" t="s">
        <v>599</v>
      </c>
      <c r="V283" s="292" t="s">
        <v>125</v>
      </c>
      <c r="W283" s="288" t="s">
        <v>600</v>
      </c>
      <c r="X283" s="292" t="s">
        <v>120</v>
      </c>
      <c r="Y283" s="288" t="s">
        <v>120</v>
      </c>
      <c r="Z283" s="293" t="s">
        <v>120</v>
      </c>
      <c r="AA283" s="294"/>
      <c r="AB283" s="294"/>
      <c r="AC283" s="295" t="s">
        <v>123</v>
      </c>
      <c r="AD283" s="288"/>
      <c r="AE283" s="292" t="s">
        <v>229</v>
      </c>
      <c r="AF283" s="289" t="s">
        <v>585</v>
      </c>
      <c r="AG283" s="296"/>
      <c r="AH283" s="296"/>
      <c r="AI283" s="288" t="s">
        <v>586</v>
      </c>
      <c r="AJ283" s="292"/>
      <c r="AK283" s="288"/>
      <c r="AL283" s="288"/>
      <c r="AM283" s="292"/>
      <c r="AN283" s="288"/>
      <c r="AO283" s="288"/>
      <c r="AP283" s="297"/>
      <c r="AQ283" s="288"/>
      <c r="AR283" s="292"/>
      <c r="AS283" s="288"/>
      <c r="AT283" s="289"/>
      <c r="AU283" s="289">
        <v>43453.3790920139</v>
      </c>
      <c r="AV283" s="289"/>
      <c r="AW283" s="289"/>
      <c r="AX283" s="289"/>
      <c r="AY283" s="289"/>
      <c r="AZ283" s="298">
        <v>43286</v>
      </c>
      <c r="BA28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3" s="300">
        <f>COUNTIFS(_05preva_view43[Site ID],_05preva_view43[[#This Row],[Site ID]],_05preva_view43[Prevalidation Status],"Under Prevalidation")</f>
        <v>0</v>
      </c>
      <c r="BC28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3" s="302" t="str">
        <f>CONCATENATE(_05preva_view43[[#This Row],[Site ID]]," (",_05preva_view43[[#This Row],[tenant id]],") Application",IF(_05preva_view43[[#This Row],[Colo Rev]]&gt;0," Rev "&amp;_05preva_view43[[#This Row],[Colo Rev]],""),".xlsx")</f>
        <v>ANMD_0273 (MDYAMTZ023) Application.xlsx</v>
      </c>
      <c r="BE283" s="64">
        <f t="shared" ca="1" si="6"/>
        <v>50</v>
      </c>
      <c r="BF283" s="104" t="str">
        <f ca="1">LEFT(CELL("filename",A268),_05preva_view43[[#This Row],[Find Process &amp; Database]]-1)</f>
        <v>D:\OneDrive - apollo-towers.com\Apollo Towers\00-</v>
      </c>
      <c r="BG283" s="104" t="str">
        <f ca="1">_05preva_view43[Folder Path1]&amp;"Process &amp; Database\Documentation\Colo Applications"</f>
        <v>D:\OneDrive - apollo-towers.com\Apollo Towers\00-Process &amp; Database\Documentation\Colo Applications</v>
      </c>
      <c r="BH283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83" s="63" t="str">
        <f ca="1">_05preva_view43[[#This Row],[Folder Path3]]&amp;_05preva_view43[[#This Row],[File Name]]</f>
        <v>D:\OneDrive - apollo-towers.com\Apollo Towers\00-Process &amp; Database\Documentation\Colo Applications\Colo App Amara\ANMD_0273 (MDYAMTZ023) Application.xlsx</v>
      </c>
      <c r="BJ283" s="104"/>
      <c r="BK283" s="3"/>
      <c r="BL283" s="3"/>
      <c r="CJ283" s="5"/>
      <c r="CK283" s="5"/>
      <c r="CL283" s="3"/>
      <c r="CN283" s="5"/>
      <c r="CR283" s="3"/>
      <c r="CS283" s="3"/>
      <c r="CT283" s="5"/>
      <c r="CV283" s="3"/>
      <c r="DR283" s="5"/>
      <c r="DT283" s="3"/>
      <c r="EF283" s="7"/>
      <c r="EG283" s="7"/>
      <c r="EJ283" s="4"/>
      <c r="EK283" s="4"/>
      <c r="EU283" s="2"/>
      <c r="EV283" s="2"/>
    </row>
    <row r="284" spans="1:152">
      <c r="A284" s="287">
        <v>252</v>
      </c>
      <c r="B284" s="288" t="s">
        <v>591</v>
      </c>
      <c r="C284" s="288" t="s">
        <v>116</v>
      </c>
      <c r="D284" s="288" t="s">
        <v>153</v>
      </c>
      <c r="E284" s="288" t="s">
        <v>592</v>
      </c>
      <c r="F284" s="288" t="s">
        <v>41</v>
      </c>
      <c r="G284" s="288" t="s">
        <v>118</v>
      </c>
      <c r="H284" s="288"/>
      <c r="I284" s="288" t="s">
        <v>118</v>
      </c>
      <c r="J284" s="288"/>
      <c r="K284" s="289">
        <v>43277</v>
      </c>
      <c r="L284" s="290"/>
      <c r="M284" s="290">
        <v>1.9</v>
      </c>
      <c r="N284" s="288">
        <v>3</v>
      </c>
      <c r="O284" s="288" t="s">
        <v>119</v>
      </c>
      <c r="P284" s="291" t="s">
        <v>593</v>
      </c>
      <c r="Q284" s="291" t="s">
        <v>594</v>
      </c>
      <c r="R284" s="288" t="s">
        <v>24</v>
      </c>
      <c r="S284" s="288"/>
      <c r="T284" s="292" t="s">
        <v>120</v>
      </c>
      <c r="U284" s="288" t="s">
        <v>582</v>
      </c>
      <c r="V284" s="292" t="s">
        <v>120</v>
      </c>
      <c r="W284" s="288"/>
      <c r="X284" s="292" t="s">
        <v>120</v>
      </c>
      <c r="Y284" s="288" t="s">
        <v>120</v>
      </c>
      <c r="Z284" s="293" t="s">
        <v>120</v>
      </c>
      <c r="AA284" s="294"/>
      <c r="AB284" s="294"/>
      <c r="AC284" s="295" t="s">
        <v>123</v>
      </c>
      <c r="AD284" s="288" t="s">
        <v>583</v>
      </c>
      <c r="AE284" s="292" t="s">
        <v>120</v>
      </c>
      <c r="AF284" s="289" t="s">
        <v>585</v>
      </c>
      <c r="AG284" s="296"/>
      <c r="AH284" s="296"/>
      <c r="AI284" s="288" t="s">
        <v>586</v>
      </c>
      <c r="AJ284" s="292" t="s">
        <v>120</v>
      </c>
      <c r="AK284" s="288" t="s">
        <v>206</v>
      </c>
      <c r="AL284" s="288"/>
      <c r="AM284" s="292"/>
      <c r="AN284" s="288"/>
      <c r="AO284" s="288"/>
      <c r="AP284" s="297"/>
      <c r="AQ284" s="288"/>
      <c r="AR284" s="292"/>
      <c r="AS284" s="288"/>
      <c r="AT284" s="289"/>
      <c r="AU284" s="289">
        <v>43453.379089930597</v>
      </c>
      <c r="AV284" s="289"/>
      <c r="AW284" s="289"/>
      <c r="AX284" s="289"/>
      <c r="AY284" s="289"/>
      <c r="AZ284" s="298">
        <v>43277</v>
      </c>
      <c r="BA28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4" s="300">
        <f>COUNTIFS(_05preva_view43[Site ID],_05preva_view43[[#This Row],[Site ID]],_05preva_view43[Prevalidation Status],"Under Prevalidation")</f>
        <v>0</v>
      </c>
      <c r="BC28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4" s="302" t="str">
        <f>CONCATENATE(_05preva_view43[[#This Row],[Site ID]]," (",_05preva_view43[[#This Row],[tenant id]],") Application",IF(_05preva_view43[[#This Row],[Colo Rev]]&gt;0," Rev "&amp;_05preva_view43[[#This Row],[Colo Rev]],""),".xlsx")</f>
        <v>AYYN_0141 (YGNLTHA011) Application.xlsx</v>
      </c>
      <c r="BE284" s="64">
        <f t="shared" ca="1" si="6"/>
        <v>50</v>
      </c>
      <c r="BF284" s="104" t="str">
        <f ca="1">LEFT(CELL("filename",A269),_05preva_view43[[#This Row],[Find Process &amp; Database]]-1)</f>
        <v>D:\OneDrive - apollo-towers.com\Apollo Towers\00-</v>
      </c>
      <c r="BG284" s="104" t="str">
        <f ca="1">_05preva_view43[Folder Path1]&amp;"Process &amp; Database\Documentation\Colo Applications"</f>
        <v>D:\OneDrive - apollo-towers.com\Apollo Towers\00-Process &amp; Database\Documentation\Colo Applications</v>
      </c>
      <c r="BH284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84" s="63" t="str">
        <f ca="1">_05preva_view43[[#This Row],[Folder Path3]]&amp;_05preva_view43[[#This Row],[File Name]]</f>
        <v>D:\OneDrive - apollo-towers.com\Apollo Towers\00-Process &amp; Database\Documentation\Colo Applications\Colo App Amara\AYYN_0141 (YGNLTHA011) Application.xlsx</v>
      </c>
      <c r="BJ284" s="104"/>
      <c r="BK284" s="3"/>
      <c r="BL284" s="3"/>
      <c r="CJ284" s="5"/>
      <c r="CK284" s="5"/>
      <c r="CL284" s="3"/>
      <c r="CN284" s="5"/>
      <c r="CR284" s="3"/>
      <c r="CS284" s="3"/>
      <c r="CT284" s="5"/>
      <c r="CV284" s="3"/>
      <c r="DR284" s="5"/>
      <c r="DT284" s="3"/>
      <c r="EF284" s="7"/>
      <c r="EG284" s="7"/>
      <c r="EJ284" s="4"/>
      <c r="EK284" s="4"/>
      <c r="EU284" s="2"/>
      <c r="EV284" s="2"/>
    </row>
    <row r="285" spans="1:152">
      <c r="A285" s="287">
        <v>246</v>
      </c>
      <c r="B285" s="288" t="s">
        <v>571</v>
      </c>
      <c r="C285" s="288" t="s">
        <v>116</v>
      </c>
      <c r="D285" s="288" t="s">
        <v>153</v>
      </c>
      <c r="E285" s="288" t="s">
        <v>572</v>
      </c>
      <c r="F285" s="288" t="s">
        <v>40</v>
      </c>
      <c r="G285" s="288" t="s">
        <v>1289</v>
      </c>
      <c r="H285" s="288" t="s">
        <v>1285</v>
      </c>
      <c r="I285" s="288" t="s">
        <v>118</v>
      </c>
      <c r="J285" s="288"/>
      <c r="K285" s="289">
        <v>43273</v>
      </c>
      <c r="L285" s="290"/>
      <c r="M285" s="290">
        <v>3</v>
      </c>
      <c r="N285" s="288">
        <v>6</v>
      </c>
      <c r="O285" s="288" t="s">
        <v>119</v>
      </c>
      <c r="P285" s="291"/>
      <c r="Q285" s="291"/>
      <c r="R285" s="288" t="s">
        <v>24</v>
      </c>
      <c r="S285" s="288"/>
      <c r="T285" s="292" t="s">
        <v>120</v>
      </c>
      <c r="U285" s="288" t="s">
        <v>573</v>
      </c>
      <c r="V285" s="292" t="s">
        <v>120</v>
      </c>
      <c r="W285" s="288"/>
      <c r="X285" s="292" t="s">
        <v>120</v>
      </c>
      <c r="Y285" s="288" t="s">
        <v>320</v>
      </c>
      <c r="Z285" s="293" t="s">
        <v>120</v>
      </c>
      <c r="AA285" s="294"/>
      <c r="AB285" s="294"/>
      <c r="AC285" s="295" t="s">
        <v>123</v>
      </c>
      <c r="AD285" s="288"/>
      <c r="AE285" s="292" t="s">
        <v>125</v>
      </c>
      <c r="AF285" s="289"/>
      <c r="AG285" s="296"/>
      <c r="AH285" s="296"/>
      <c r="AI285" s="288" t="s">
        <v>308</v>
      </c>
      <c r="AJ285" s="292" t="s">
        <v>120</v>
      </c>
      <c r="AK285" s="288" t="s">
        <v>123</v>
      </c>
      <c r="AL285" s="288" t="s">
        <v>546</v>
      </c>
      <c r="AM285" s="292"/>
      <c r="AN285" s="288"/>
      <c r="AO285" s="288"/>
      <c r="AP285" s="297"/>
      <c r="AQ285" s="288"/>
      <c r="AR285" s="292"/>
      <c r="AS285" s="288"/>
      <c r="AT285" s="289"/>
      <c r="AU285" s="289"/>
      <c r="AV285" s="289"/>
      <c r="AW285" s="289"/>
      <c r="AX285" s="289"/>
      <c r="AY285" s="289"/>
      <c r="AZ285" s="298"/>
      <c r="BA28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5" s="300">
        <f>COUNTIFS(_05preva_view43[Site ID],_05preva_view43[[#This Row],[Site ID]],_05preva_view43[Prevalidation Status],"Under Prevalidation")</f>
        <v>0</v>
      </c>
      <c r="BC28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5" s="302" t="str">
        <f>CONCATENATE(_05preva_view43[[#This Row],[Site ID]]," (",_05preva_view43[[#This Row],[tenant id]],") Application",IF(_05preva_view43[[#This Row],[Colo Rev]]&gt;0," Rev "&amp;_05preva_view43[[#This Row],[Colo Rev]],""),".xlsx")</f>
        <v>ACAY_3003 (AYW5573) Application.xlsx</v>
      </c>
      <c r="BE285" s="64">
        <f t="shared" ca="1" si="6"/>
        <v>50</v>
      </c>
      <c r="BF285" s="104" t="str">
        <f ca="1">LEFT(CELL("filename",A270),_05preva_view43[[#This Row],[Find Process &amp; Database]]-1)</f>
        <v>D:\OneDrive - apollo-towers.com\Apollo Towers\00-</v>
      </c>
      <c r="BG285" s="104" t="str">
        <f ca="1">_05preva_view43[Folder Path1]&amp;"Process &amp; Database\Documentation\Colo Applications"</f>
        <v>D:\OneDrive - apollo-towers.com\Apollo Towers\00-Process &amp; Database\Documentation\Colo Applications</v>
      </c>
      <c r="BH28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85" s="63" t="str">
        <f ca="1">_05preva_view43[[#This Row],[Folder Path3]]&amp;_05preva_view43[[#This Row],[File Name]]</f>
        <v>D:\OneDrive - apollo-towers.com\Apollo Towers\00-Process &amp; Database\Documentation\Colo Applications\Colo App OML\ACAY_3003 (AYW5573) Application.xlsx</v>
      </c>
      <c r="BJ285" s="104"/>
      <c r="BK285" s="3"/>
      <c r="BL285" s="3"/>
      <c r="CJ285" s="5"/>
      <c r="CK285" s="5"/>
      <c r="CL285" s="3"/>
      <c r="CN285" s="5"/>
      <c r="CR285" s="3"/>
      <c r="CS285" s="3"/>
      <c r="CT285" s="5"/>
      <c r="CV285" s="3"/>
      <c r="DR285" s="5"/>
      <c r="DT285" s="3"/>
      <c r="EF285" s="7"/>
      <c r="EG285" s="7"/>
      <c r="EJ285" s="4"/>
      <c r="EK285" s="4"/>
      <c r="EU285" s="2"/>
      <c r="EV285" s="2"/>
    </row>
    <row r="286" spans="1:152">
      <c r="A286" s="287">
        <v>248</v>
      </c>
      <c r="B286" s="288" t="s">
        <v>574</v>
      </c>
      <c r="C286" s="288" t="s">
        <v>116</v>
      </c>
      <c r="D286" s="288" t="s">
        <v>117</v>
      </c>
      <c r="E286" s="288" t="s">
        <v>575</v>
      </c>
      <c r="F286" s="288" t="s">
        <v>40</v>
      </c>
      <c r="G286" s="288" t="s">
        <v>118</v>
      </c>
      <c r="H286" s="288"/>
      <c r="I286" s="288" t="s">
        <v>118</v>
      </c>
      <c r="J286" s="288"/>
      <c r="K286" s="289">
        <v>43273</v>
      </c>
      <c r="L286" s="290"/>
      <c r="M286" s="290">
        <v>3</v>
      </c>
      <c r="N286" s="288">
        <v>6</v>
      </c>
      <c r="O286" s="288" t="s">
        <v>119</v>
      </c>
      <c r="P286" s="291"/>
      <c r="Q286" s="291"/>
      <c r="R286" s="288" t="s">
        <v>24</v>
      </c>
      <c r="S286" s="288"/>
      <c r="T286" s="292" t="s">
        <v>120</v>
      </c>
      <c r="U286" s="288" t="s">
        <v>556</v>
      </c>
      <c r="V286" s="292" t="s">
        <v>120</v>
      </c>
      <c r="W286" s="288"/>
      <c r="X286" s="292" t="s">
        <v>120</v>
      </c>
      <c r="Y286" s="288" t="s">
        <v>320</v>
      </c>
      <c r="Z286" s="293" t="s">
        <v>120</v>
      </c>
      <c r="AA286" s="294"/>
      <c r="AB286" s="294"/>
      <c r="AC286" s="295" t="s">
        <v>123</v>
      </c>
      <c r="AD286" s="288"/>
      <c r="AE286" s="292" t="s">
        <v>125</v>
      </c>
      <c r="AF286" s="289"/>
      <c r="AG286" s="296"/>
      <c r="AH286" s="296"/>
      <c r="AI286" s="288" t="s">
        <v>308</v>
      </c>
      <c r="AJ286" s="292" t="s">
        <v>120</v>
      </c>
      <c r="AK286" s="288" t="s">
        <v>123</v>
      </c>
      <c r="AL286" s="288" t="s">
        <v>546</v>
      </c>
      <c r="AM286" s="292"/>
      <c r="AN286" s="288"/>
      <c r="AO286" s="288"/>
      <c r="AP286" s="297"/>
      <c r="AQ286" s="288"/>
      <c r="AR286" s="292"/>
      <c r="AS286" s="288"/>
      <c r="AT286" s="289"/>
      <c r="AU286" s="289"/>
      <c r="AV286" s="289"/>
      <c r="AW286" s="289"/>
      <c r="AX286" s="289"/>
      <c r="AY286" s="289"/>
      <c r="AZ286" s="298"/>
      <c r="BA28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6" s="300">
        <f>COUNTIFS(_05preva_view43[Site ID],_05preva_view43[[#This Row],[Site ID]],_05preva_view43[Prevalidation Status],"Under Prevalidation")</f>
        <v>0</v>
      </c>
      <c r="BC28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6" s="302" t="str">
        <f>CONCATENATE(_05preva_view43[[#This Row],[Site ID]]," (",_05preva_view43[[#This Row],[tenant id]],") Application",IF(_05preva_view43[[#This Row],[Colo Rev]]&gt;0," Rev "&amp;_05preva_view43[[#This Row],[Colo Rev]],""),".xlsx")</f>
        <v>ANMG_0027 (MWW3486) Application.xlsx</v>
      </c>
      <c r="BE286" s="64">
        <f t="shared" ca="1" si="6"/>
        <v>50</v>
      </c>
      <c r="BF286" s="104" t="str">
        <f ca="1">LEFT(CELL("filename",A271),_05preva_view43[[#This Row],[Find Process &amp; Database]]-1)</f>
        <v>D:\OneDrive - apollo-towers.com\Apollo Towers\00-</v>
      </c>
      <c r="BG286" s="104" t="str">
        <f ca="1">_05preva_view43[Folder Path1]&amp;"Process &amp; Database\Documentation\Colo Applications"</f>
        <v>D:\OneDrive - apollo-towers.com\Apollo Towers\00-Process &amp; Database\Documentation\Colo Applications</v>
      </c>
      <c r="BH28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86" s="63" t="str">
        <f ca="1">_05preva_view43[[#This Row],[Folder Path3]]&amp;_05preva_view43[[#This Row],[File Name]]</f>
        <v>D:\OneDrive - apollo-towers.com\Apollo Towers\00-Process &amp; Database\Documentation\Colo Applications\Colo App OML\ANMG_0027 (MWW3486) Application.xlsx</v>
      </c>
      <c r="BJ286" s="104"/>
      <c r="BK286" s="3"/>
      <c r="BL286" s="3"/>
      <c r="CJ286" s="5"/>
      <c r="CK286" s="5"/>
      <c r="CL286" s="3"/>
      <c r="CN286" s="5"/>
      <c r="CR286" s="3"/>
      <c r="CS286" s="3"/>
      <c r="CT286" s="5"/>
      <c r="CV286" s="3"/>
      <c r="DR286" s="5"/>
      <c r="DT286" s="3"/>
      <c r="EF286" s="7"/>
      <c r="EG286" s="7"/>
      <c r="EJ286" s="4"/>
      <c r="EK286" s="4"/>
      <c r="EU286" s="2"/>
      <c r="EV286" s="2"/>
    </row>
    <row r="287" spans="1:152">
      <c r="A287" s="287">
        <v>249</v>
      </c>
      <c r="B287" s="288" t="s">
        <v>576</v>
      </c>
      <c r="C287" s="288" t="s">
        <v>116</v>
      </c>
      <c r="D287" s="288" t="s">
        <v>117</v>
      </c>
      <c r="E287" s="288" t="s">
        <v>577</v>
      </c>
      <c r="F287" s="288" t="s">
        <v>40</v>
      </c>
      <c r="G287" s="288" t="s">
        <v>1289</v>
      </c>
      <c r="H287" s="288" t="s">
        <v>1290</v>
      </c>
      <c r="I287" s="288" t="s">
        <v>118</v>
      </c>
      <c r="J287" s="288"/>
      <c r="K287" s="289">
        <v>43273</v>
      </c>
      <c r="L287" s="290"/>
      <c r="M287" s="290">
        <v>3</v>
      </c>
      <c r="N287" s="288">
        <v>6</v>
      </c>
      <c r="O287" s="288" t="s">
        <v>119</v>
      </c>
      <c r="P287" s="291"/>
      <c r="Q287" s="291"/>
      <c r="R287" s="288" t="s">
        <v>24</v>
      </c>
      <c r="S287" s="288"/>
      <c r="T287" s="292" t="s">
        <v>120</v>
      </c>
      <c r="U287" s="288" t="s">
        <v>573</v>
      </c>
      <c r="V287" s="292" t="s">
        <v>120</v>
      </c>
      <c r="W287" s="288"/>
      <c r="X287" s="292" t="s">
        <v>120</v>
      </c>
      <c r="Y287" s="288" t="s">
        <v>320</v>
      </c>
      <c r="Z287" s="293" t="s">
        <v>120</v>
      </c>
      <c r="AA287" s="294"/>
      <c r="AB287" s="294"/>
      <c r="AC287" s="295" t="s">
        <v>123</v>
      </c>
      <c r="AD287" s="288"/>
      <c r="AE287" s="292" t="s">
        <v>125</v>
      </c>
      <c r="AF287" s="289"/>
      <c r="AG287" s="296"/>
      <c r="AH287" s="296"/>
      <c r="AI287" s="288" t="s">
        <v>208</v>
      </c>
      <c r="AJ287" s="292" t="s">
        <v>120</v>
      </c>
      <c r="AK287" s="288" t="s">
        <v>123</v>
      </c>
      <c r="AL287" s="288" t="s">
        <v>546</v>
      </c>
      <c r="AM287" s="292"/>
      <c r="AN287" s="288"/>
      <c r="AO287" s="288"/>
      <c r="AP287" s="297"/>
      <c r="AQ287" s="288"/>
      <c r="AR287" s="292"/>
      <c r="AS287" s="288"/>
      <c r="AT287" s="289"/>
      <c r="AU287" s="289"/>
      <c r="AV287" s="289"/>
      <c r="AW287" s="289"/>
      <c r="AX287" s="289"/>
      <c r="AY287" s="289"/>
      <c r="AZ287" s="298"/>
      <c r="BA28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7" s="300">
        <f>COUNTIFS(_05preva_view43[Site ID],_05preva_view43[[#This Row],[Site ID]],_05preva_view43[Prevalidation Status],"Under Prevalidation")</f>
        <v>0</v>
      </c>
      <c r="BC28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7" s="302" t="str">
        <f>CONCATENATE(_05preva_view43[[#This Row],[Site ID]]," (",_05preva_view43[[#This Row],[tenant id]],") Application",IF(_05preva_view43[[#This Row],[Colo Rev]]&gt;0," Rev "&amp;_05preva_view43[[#This Row],[Colo Rev]],""),".xlsx")</f>
        <v>ANSH_0013 (SHW1978) Application.xlsx</v>
      </c>
      <c r="BE287" s="64">
        <f t="shared" ca="1" si="6"/>
        <v>50</v>
      </c>
      <c r="BF287" s="104" t="str">
        <f ca="1">LEFT(CELL("filename",A272),_05preva_view43[[#This Row],[Find Process &amp; Database]]-1)</f>
        <v>D:\OneDrive - apollo-towers.com\Apollo Towers\00-</v>
      </c>
      <c r="BG287" s="104" t="str">
        <f ca="1">_05preva_view43[Folder Path1]&amp;"Process &amp; Database\Documentation\Colo Applications"</f>
        <v>D:\OneDrive - apollo-towers.com\Apollo Towers\00-Process &amp; Database\Documentation\Colo Applications</v>
      </c>
      <c r="BH28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87" s="63" t="str">
        <f ca="1">_05preva_view43[[#This Row],[Folder Path3]]&amp;_05preva_view43[[#This Row],[File Name]]</f>
        <v>D:\OneDrive - apollo-towers.com\Apollo Towers\00-Process &amp; Database\Documentation\Colo Applications\Colo App OML\ANSH_0013 (SHW1978) Application.xlsx</v>
      </c>
      <c r="BJ287" s="104"/>
      <c r="BK287" s="3"/>
      <c r="BL287" s="3"/>
      <c r="CJ287" s="5"/>
      <c r="CK287" s="5"/>
      <c r="CL287" s="3"/>
      <c r="CN287" s="5"/>
      <c r="CR287" s="3"/>
      <c r="CS287" s="3"/>
      <c r="CT287" s="5"/>
      <c r="CV287" s="3"/>
      <c r="DR287" s="5"/>
      <c r="DT287" s="3"/>
      <c r="EF287" s="7"/>
      <c r="EG287" s="7"/>
      <c r="EJ287" s="4"/>
      <c r="EK287" s="4"/>
      <c r="EU287" s="2"/>
      <c r="EV287" s="2"/>
    </row>
    <row r="288" spans="1:152">
      <c r="A288" s="287">
        <v>250</v>
      </c>
      <c r="B288" s="288" t="s">
        <v>578</v>
      </c>
      <c r="C288" s="288" t="s">
        <v>116</v>
      </c>
      <c r="D288" s="288" t="s">
        <v>153</v>
      </c>
      <c r="E288" s="288" t="s">
        <v>579</v>
      </c>
      <c r="F288" s="288" t="s">
        <v>41</v>
      </c>
      <c r="G288" s="288" t="s">
        <v>1286</v>
      </c>
      <c r="H288" s="288" t="s">
        <v>1290</v>
      </c>
      <c r="I288" s="288" t="s">
        <v>118</v>
      </c>
      <c r="J288" s="288"/>
      <c r="K288" s="289">
        <v>43273</v>
      </c>
      <c r="L288" s="290"/>
      <c r="M288" s="290">
        <v>1.9</v>
      </c>
      <c r="N288" s="288">
        <v>3</v>
      </c>
      <c r="O288" s="288" t="s">
        <v>119</v>
      </c>
      <c r="P288" s="291" t="s">
        <v>580</v>
      </c>
      <c r="Q288" s="291" t="s">
        <v>581</v>
      </c>
      <c r="R288" s="288" t="s">
        <v>24</v>
      </c>
      <c r="S288" s="288"/>
      <c r="T288" s="292" t="s">
        <v>120</v>
      </c>
      <c r="U288" s="288" t="s">
        <v>582</v>
      </c>
      <c r="V288" s="292" t="s">
        <v>120</v>
      </c>
      <c r="W288" s="288"/>
      <c r="X288" s="292" t="s">
        <v>120</v>
      </c>
      <c r="Y288" s="288" t="s">
        <v>120</v>
      </c>
      <c r="Z288" s="293" t="s">
        <v>120</v>
      </c>
      <c r="AA288" s="294"/>
      <c r="AB288" s="294"/>
      <c r="AC288" s="295" t="s">
        <v>123</v>
      </c>
      <c r="AD288" s="288" t="s">
        <v>583</v>
      </c>
      <c r="AE288" s="292" t="s">
        <v>120</v>
      </c>
      <c r="AF288" s="289" t="s">
        <v>585</v>
      </c>
      <c r="AG288" s="296"/>
      <c r="AH288" s="296"/>
      <c r="AI288" s="288" t="s">
        <v>586</v>
      </c>
      <c r="AJ288" s="292" t="s">
        <v>120</v>
      </c>
      <c r="AK288" s="288" t="s">
        <v>206</v>
      </c>
      <c r="AL288" s="288" t="s">
        <v>584</v>
      </c>
      <c r="AM288" s="292"/>
      <c r="AN288" s="288"/>
      <c r="AO288" s="288"/>
      <c r="AP288" s="297"/>
      <c r="AQ288" s="288"/>
      <c r="AR288" s="292"/>
      <c r="AS288" s="288"/>
      <c r="AT288" s="289"/>
      <c r="AU288" s="289">
        <v>43453.3790876157</v>
      </c>
      <c r="AV288" s="289"/>
      <c r="AW288" s="289"/>
      <c r="AX288" s="289"/>
      <c r="AY288" s="289"/>
      <c r="AZ288" s="298">
        <v>43273</v>
      </c>
      <c r="BA28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88" s="300">
        <f>COUNTIFS(_05preva_view43[Site ID],_05preva_view43[[#This Row],[Site ID]],_05preva_view43[Prevalidation Status],"Under Prevalidation")</f>
        <v>0</v>
      </c>
      <c r="BC28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8" s="302" t="str">
        <f>CONCATENATE(_05preva_view43[[#This Row],[Site ID]]," (",_05preva_view43[[#This Row],[tenant id]],") Application",IF(_05preva_view43[[#This Row],[Colo Rev]]&gt;0," Rev "&amp;_05preva_view43[[#This Row],[Colo Rev]],""),".xlsx")</f>
        <v>AYYN_0419 (YGNKTDA015) Application.xlsx</v>
      </c>
      <c r="BE288" s="64">
        <f t="shared" ca="1" si="6"/>
        <v>50</v>
      </c>
      <c r="BF288" s="104" t="str">
        <f ca="1">LEFT(CELL("filename",A273),_05preva_view43[[#This Row],[Find Process &amp; Database]]-1)</f>
        <v>D:\OneDrive - apollo-towers.com\Apollo Towers\00-</v>
      </c>
      <c r="BG288" s="104" t="str">
        <f ca="1">_05preva_view43[Folder Path1]&amp;"Process &amp; Database\Documentation\Colo Applications"</f>
        <v>D:\OneDrive - apollo-towers.com\Apollo Towers\00-Process &amp; Database\Documentation\Colo Applications</v>
      </c>
      <c r="BH288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88" s="63" t="str">
        <f ca="1">_05preva_view43[[#This Row],[Folder Path3]]&amp;_05preva_view43[[#This Row],[File Name]]</f>
        <v>D:\OneDrive - apollo-towers.com\Apollo Towers\00-Process &amp; Database\Documentation\Colo Applications\Colo App Amara\AYYN_0419 (YGNKTDA015) Application.xlsx</v>
      </c>
      <c r="BJ288" s="104"/>
      <c r="BK288" s="3"/>
      <c r="BL288" s="3"/>
      <c r="CJ288" s="5"/>
      <c r="CK288" s="5"/>
      <c r="CL288" s="3"/>
      <c r="CN288" s="5"/>
      <c r="CR288" s="3"/>
      <c r="CS288" s="3"/>
      <c r="CT288" s="5"/>
      <c r="CV288" s="3"/>
      <c r="DR288" s="5"/>
      <c r="DT288" s="3"/>
      <c r="EF288" s="7"/>
      <c r="EG288" s="7"/>
      <c r="EJ288" s="4"/>
      <c r="EK288" s="4"/>
      <c r="EU288" s="2"/>
      <c r="EV288" s="2"/>
    </row>
    <row r="289" spans="1:152">
      <c r="A289" s="287">
        <v>251</v>
      </c>
      <c r="B289" s="288" t="s">
        <v>587</v>
      </c>
      <c r="C289" s="288" t="s">
        <v>116</v>
      </c>
      <c r="D289" s="288" t="s">
        <v>153</v>
      </c>
      <c r="E289" s="288" t="s">
        <v>588</v>
      </c>
      <c r="F289" s="288" t="s">
        <v>34</v>
      </c>
      <c r="G289" s="288" t="s">
        <v>1284</v>
      </c>
      <c r="H289" s="288" t="s">
        <v>1285</v>
      </c>
      <c r="I289" s="288" t="s">
        <v>118</v>
      </c>
      <c r="J289" s="288"/>
      <c r="K289" s="289">
        <v>43267</v>
      </c>
      <c r="L289" s="290"/>
      <c r="M289" s="290">
        <v>2</v>
      </c>
      <c r="N289" s="288">
        <v>6</v>
      </c>
      <c r="O289" s="288" t="s">
        <v>119</v>
      </c>
      <c r="P289" s="291" t="s">
        <v>280</v>
      </c>
      <c r="Q289" s="291" t="s">
        <v>281</v>
      </c>
      <c r="R289" s="288" t="s">
        <v>24</v>
      </c>
      <c r="S289" s="288"/>
      <c r="T289" s="292" t="s">
        <v>120</v>
      </c>
      <c r="U289" s="288" t="s">
        <v>589</v>
      </c>
      <c r="V289" s="292" t="s">
        <v>120</v>
      </c>
      <c r="W289" s="288"/>
      <c r="X289" s="292" t="s">
        <v>120</v>
      </c>
      <c r="Y289" s="288" t="s">
        <v>120</v>
      </c>
      <c r="Z289" s="293" t="s">
        <v>120</v>
      </c>
      <c r="AA289" s="294"/>
      <c r="AB289" s="294"/>
      <c r="AC289" s="295" t="s">
        <v>123</v>
      </c>
      <c r="AD289" s="288"/>
      <c r="AE289" s="292" t="s">
        <v>120</v>
      </c>
      <c r="AF289" s="289" t="s">
        <v>499</v>
      </c>
      <c r="AG289" s="296"/>
      <c r="AH289" s="296">
        <v>2</v>
      </c>
      <c r="AI289" s="288" t="s">
        <v>590</v>
      </c>
      <c r="AJ289" s="292" t="s">
        <v>120</v>
      </c>
      <c r="AK289" s="288" t="s">
        <v>123</v>
      </c>
      <c r="AL289" s="288"/>
      <c r="AM289" s="292"/>
      <c r="AN289" s="288"/>
      <c r="AO289" s="288"/>
      <c r="AP289" s="297"/>
      <c r="AQ289" s="288"/>
      <c r="AR289" s="292"/>
      <c r="AS289" s="288"/>
      <c r="AT289" s="289">
        <v>43417.626841782403</v>
      </c>
      <c r="AU289" s="289">
        <v>43417.673045254603</v>
      </c>
      <c r="AV289" s="289">
        <v>43417.680086458298</v>
      </c>
      <c r="AW289" s="289">
        <v>43417.711250578701</v>
      </c>
      <c r="AX289" s="289">
        <v>43417.688152893497</v>
      </c>
      <c r="AY289" s="289">
        <v>43417.6845791667</v>
      </c>
      <c r="AZ289" s="298">
        <v>43454.726610648097</v>
      </c>
      <c r="BA28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187.72661064809654</v>
      </c>
      <c r="BB289" s="300">
        <f>COUNTIFS(_05preva_view43[Site ID],_05preva_view43[[#This Row],[Site ID]],_05preva_view43[Prevalidation Status],"Under Prevalidation")</f>
        <v>0</v>
      </c>
      <c r="BC28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89" s="302" t="str">
        <f>CONCATENATE(_05preva_view43[[#This Row],[Site ID]]," (",_05preva_view43[[#This Row],[tenant id]],") Application",IF(_05preva_view43[[#This Row],[Colo Rev]]&gt;0," Rev "&amp;_05preva_view43[[#This Row],[Colo Rev]],""),".xlsx")</f>
        <v>AYYN_0100 (YGN0496) Application.xlsx</v>
      </c>
      <c r="BE289" s="64">
        <f t="shared" ca="1" si="6"/>
        <v>50</v>
      </c>
      <c r="BF289" s="104" t="str">
        <f ca="1">LEFT(CELL("filename",A274),_05preva_view43[[#This Row],[Find Process &amp; Database]]-1)</f>
        <v>D:\OneDrive - apollo-towers.com\Apollo Towers\00-</v>
      </c>
      <c r="BG289" s="104" t="str">
        <f ca="1">_05preva_view43[Folder Path1]&amp;"Process &amp; Database\Documentation\Colo Applications"</f>
        <v>D:\OneDrive - apollo-towers.com\Apollo Towers\00-Process &amp; Database\Documentation\Colo Applications</v>
      </c>
      <c r="BH28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289" s="63" t="str">
        <f ca="1">_05preva_view43[[#This Row],[Folder Path3]]&amp;_05preva_view43[[#This Row],[File Name]]</f>
        <v>D:\OneDrive - apollo-towers.com\Apollo Towers\00-Process &amp; Database\Documentation\Colo Applications\Colo App Mytel\AYYN_0100 (YGN0496) Application.xlsx</v>
      </c>
      <c r="BJ289" s="104"/>
      <c r="BK289" s="3"/>
      <c r="BL289" s="3"/>
      <c r="CJ289" s="5"/>
      <c r="CK289" s="5"/>
      <c r="CL289" s="3"/>
      <c r="CN289" s="5"/>
      <c r="CR289" s="3"/>
      <c r="CS289" s="3"/>
      <c r="CT289" s="5"/>
      <c r="CV289" s="3"/>
      <c r="DR289" s="5"/>
      <c r="DT289" s="3"/>
      <c r="EF289" s="7"/>
      <c r="EG289" s="7"/>
      <c r="EJ289" s="4"/>
      <c r="EK289" s="4"/>
      <c r="EU289" s="2"/>
      <c r="EV289" s="2"/>
    </row>
    <row r="290" spans="1:152">
      <c r="A290" s="287">
        <v>244</v>
      </c>
      <c r="B290" s="288" t="s">
        <v>446</v>
      </c>
      <c r="C290" s="288" t="s">
        <v>116</v>
      </c>
      <c r="D290" s="288" t="s">
        <v>127</v>
      </c>
      <c r="E290" s="288" t="s">
        <v>566</v>
      </c>
      <c r="F290" s="288" t="s">
        <v>41</v>
      </c>
      <c r="G290" s="288" t="s">
        <v>1286</v>
      </c>
      <c r="H290" s="288" t="s">
        <v>1290</v>
      </c>
      <c r="I290" s="288" t="s">
        <v>118</v>
      </c>
      <c r="J290" s="288"/>
      <c r="K290" s="289">
        <v>43265</v>
      </c>
      <c r="L290" s="290"/>
      <c r="M290" s="290">
        <v>2</v>
      </c>
      <c r="N290" s="288">
        <v>5</v>
      </c>
      <c r="O290" s="288" t="s">
        <v>119</v>
      </c>
      <c r="P290" s="291" t="s">
        <v>567</v>
      </c>
      <c r="Q290" s="291" t="s">
        <v>568</v>
      </c>
      <c r="R290" s="288" t="s">
        <v>24</v>
      </c>
      <c r="S290" s="288" t="s">
        <v>569</v>
      </c>
      <c r="T290" s="292" t="s">
        <v>120</v>
      </c>
      <c r="U290" s="288" t="s">
        <v>570</v>
      </c>
      <c r="V290" s="292" t="s">
        <v>120</v>
      </c>
      <c r="W290" s="288"/>
      <c r="X290" s="292" t="s">
        <v>120</v>
      </c>
      <c r="Y290" s="288" t="s">
        <v>120</v>
      </c>
      <c r="Z290" s="293" t="s">
        <v>120</v>
      </c>
      <c r="AA290" s="294"/>
      <c r="AB290" s="294"/>
      <c r="AC290" s="295" t="s">
        <v>123</v>
      </c>
      <c r="AD290" s="288" t="s">
        <v>293</v>
      </c>
      <c r="AE290" s="292" t="s">
        <v>120</v>
      </c>
      <c r="AF290" s="289" t="s">
        <v>448</v>
      </c>
      <c r="AG290" s="296"/>
      <c r="AH290" s="296">
        <v>2</v>
      </c>
      <c r="AI290" s="288" t="s">
        <v>381</v>
      </c>
      <c r="AJ290" s="292"/>
      <c r="AK290" s="288"/>
      <c r="AL290" s="288"/>
      <c r="AM290" s="292"/>
      <c r="AN290" s="288"/>
      <c r="AO290" s="288"/>
      <c r="AP290" s="297"/>
      <c r="AQ290" s="288"/>
      <c r="AR290" s="292"/>
      <c r="AS290" s="288"/>
      <c r="AT290" s="289"/>
      <c r="AU290" s="289">
        <v>43453.379085185203</v>
      </c>
      <c r="AV290" s="289"/>
      <c r="AW290" s="289"/>
      <c r="AX290" s="289"/>
      <c r="AY290" s="289"/>
      <c r="AZ290" s="298">
        <v>43265</v>
      </c>
      <c r="BA29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0" s="300">
        <f>COUNTIFS(_05preva_view43[Site ID],_05preva_view43[[#This Row],[Site ID]],_05preva_view43[Prevalidation Status],"Under Prevalidation")</f>
        <v>0</v>
      </c>
      <c r="BC29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0" s="302" t="str">
        <f>CONCATENATE(_05preva_view43[[#This Row],[Site ID]]," (",_05preva_view43[[#This Row],[tenant id]],") Application",IF(_05preva_view43[[#This Row],[Colo Rev]]&gt;0," Rev "&amp;_05preva_view43[[#This Row],[Colo Rev]],""),".xlsx")</f>
        <v>ANMD_0118 (MDYMHAM042) Application.xlsx</v>
      </c>
      <c r="BE290" s="64">
        <f t="shared" ca="1" si="6"/>
        <v>50</v>
      </c>
      <c r="BF290" s="104" t="str">
        <f ca="1">LEFT(CELL("filename",A275),_05preva_view43[[#This Row],[Find Process &amp; Database]]-1)</f>
        <v>D:\OneDrive - apollo-towers.com\Apollo Towers\00-</v>
      </c>
      <c r="BG290" s="104" t="str">
        <f ca="1">_05preva_view43[Folder Path1]&amp;"Process &amp; Database\Documentation\Colo Applications"</f>
        <v>D:\OneDrive - apollo-towers.com\Apollo Towers\00-Process &amp; Database\Documentation\Colo Applications</v>
      </c>
      <c r="BH290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90" s="63" t="str">
        <f ca="1">_05preva_view43[[#This Row],[Folder Path3]]&amp;_05preva_view43[[#This Row],[File Name]]</f>
        <v>D:\OneDrive - apollo-towers.com\Apollo Towers\00-Process &amp; Database\Documentation\Colo Applications\Colo App Amara\ANMD_0118 (MDYMHAM042) Application.xlsx</v>
      </c>
      <c r="BJ290" s="104"/>
      <c r="BK290" s="3"/>
      <c r="BL290" s="3"/>
      <c r="CJ290" s="5"/>
      <c r="CK290" s="5"/>
      <c r="CL290" s="3"/>
      <c r="CN290" s="5"/>
      <c r="CR290" s="3"/>
      <c r="CS290" s="3"/>
      <c r="CT290" s="5"/>
      <c r="CV290" s="3"/>
      <c r="DR290" s="5"/>
      <c r="DT290" s="3"/>
      <c r="EF290" s="7"/>
      <c r="EG290" s="7"/>
      <c r="EJ290" s="4"/>
      <c r="EK290" s="4"/>
      <c r="EU290" s="2"/>
      <c r="EV290" s="2"/>
    </row>
    <row r="291" spans="1:152">
      <c r="A291" s="287">
        <v>242</v>
      </c>
      <c r="B291" s="288" t="s">
        <v>560</v>
      </c>
      <c r="C291" s="288" t="s">
        <v>116</v>
      </c>
      <c r="D291" s="288" t="s">
        <v>127</v>
      </c>
      <c r="E291" s="288" t="s">
        <v>561</v>
      </c>
      <c r="F291" s="288" t="s">
        <v>41</v>
      </c>
      <c r="G291" s="288" t="s">
        <v>118</v>
      </c>
      <c r="H291" s="288"/>
      <c r="I291" s="288" t="s">
        <v>118</v>
      </c>
      <c r="J291" s="288"/>
      <c r="K291" s="289">
        <v>43263</v>
      </c>
      <c r="L291" s="290"/>
      <c r="M291" s="290">
        <v>2</v>
      </c>
      <c r="N291" s="288">
        <v>5</v>
      </c>
      <c r="O291" s="288" t="s">
        <v>119</v>
      </c>
      <c r="P291" s="291" t="s">
        <v>247</v>
      </c>
      <c r="Q291" s="291" t="s">
        <v>227</v>
      </c>
      <c r="R291" s="288" t="s">
        <v>24</v>
      </c>
      <c r="S291" s="288" t="s">
        <v>562</v>
      </c>
      <c r="T291" s="292" t="s">
        <v>120</v>
      </c>
      <c r="U291" s="288" t="s">
        <v>563</v>
      </c>
      <c r="V291" s="292" t="s">
        <v>120</v>
      </c>
      <c r="W291" s="288"/>
      <c r="X291" s="292" t="s">
        <v>120</v>
      </c>
      <c r="Y291" s="288" t="s">
        <v>120</v>
      </c>
      <c r="Z291" s="293" t="s">
        <v>120</v>
      </c>
      <c r="AA291" s="294"/>
      <c r="AB291" s="294"/>
      <c r="AC291" s="295" t="s">
        <v>123</v>
      </c>
      <c r="AD291" s="288" t="s">
        <v>293</v>
      </c>
      <c r="AE291" s="292" t="s">
        <v>120</v>
      </c>
      <c r="AF291" s="289" t="s">
        <v>564</v>
      </c>
      <c r="AG291" s="296"/>
      <c r="AH291" s="296"/>
      <c r="AI291" s="288" t="s">
        <v>565</v>
      </c>
      <c r="AJ291" s="292"/>
      <c r="AK291" s="288"/>
      <c r="AL291" s="288"/>
      <c r="AM291" s="292"/>
      <c r="AN291" s="288"/>
      <c r="AO291" s="288"/>
      <c r="AP291" s="297"/>
      <c r="AQ291" s="288"/>
      <c r="AR291" s="292"/>
      <c r="AS291" s="288"/>
      <c r="AT291" s="289"/>
      <c r="AU291" s="289">
        <v>43453.379084490698</v>
      </c>
      <c r="AV291" s="289"/>
      <c r="AW291" s="289"/>
      <c r="AX291" s="289"/>
      <c r="AY291" s="289"/>
      <c r="AZ291" s="298">
        <v>43263</v>
      </c>
      <c r="BA29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1" s="300">
        <f>COUNTIFS(_05preva_view43[Site ID],_05preva_view43[[#This Row],[Site ID]],_05preva_view43[Prevalidation Status],"Under Prevalidation")</f>
        <v>0</v>
      </c>
      <c r="BC29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1" s="302" t="str">
        <f>CONCATENATE(_05preva_view43[[#This Row],[Site ID]]," (",_05preva_view43[[#This Row],[tenant id]],") Application",IF(_05preva_view43[[#This Row],[Colo Rev]]&gt;0," Rev "&amp;_05preva_view43[[#This Row],[Colo Rev]],""),".xlsx")</f>
        <v>ANMD_0089 (MDYCMTN019_2) Application.xlsx</v>
      </c>
      <c r="BE291" s="64">
        <f t="shared" ca="1" si="6"/>
        <v>50</v>
      </c>
      <c r="BF291" s="104" t="str">
        <f ca="1">LEFT(CELL("filename",A276),_05preva_view43[[#This Row],[Find Process &amp; Database]]-1)</f>
        <v>D:\OneDrive - apollo-towers.com\Apollo Towers\00-</v>
      </c>
      <c r="BG291" s="104" t="str">
        <f ca="1">_05preva_view43[Folder Path1]&amp;"Process &amp; Database\Documentation\Colo Applications"</f>
        <v>D:\OneDrive - apollo-towers.com\Apollo Towers\00-Process &amp; Database\Documentation\Colo Applications</v>
      </c>
      <c r="BH291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91" s="63" t="str">
        <f ca="1">_05preva_view43[[#This Row],[Folder Path3]]&amp;_05preva_view43[[#This Row],[File Name]]</f>
        <v>D:\OneDrive - apollo-towers.com\Apollo Towers\00-Process &amp; Database\Documentation\Colo Applications\Colo App Amara\ANMD_0089 (MDYCMTN019_2) Application.xlsx</v>
      </c>
      <c r="BJ291" s="104"/>
      <c r="BK291" s="3"/>
      <c r="BL291" s="3"/>
      <c r="CJ291" s="5"/>
      <c r="CK291" s="5"/>
      <c r="CL291" s="3"/>
      <c r="CN291" s="5"/>
      <c r="CR291" s="3"/>
      <c r="CS291" s="3"/>
      <c r="CT291" s="5"/>
      <c r="CV291" s="3"/>
      <c r="DR291" s="5"/>
      <c r="DT291" s="3"/>
      <c r="EF291" s="7"/>
      <c r="EG291" s="7"/>
      <c r="EJ291" s="4"/>
      <c r="EK291" s="4"/>
      <c r="EU291" s="2"/>
      <c r="EV291" s="2"/>
    </row>
    <row r="292" spans="1:152">
      <c r="A292" s="287">
        <v>239</v>
      </c>
      <c r="B292" s="288" t="s">
        <v>554</v>
      </c>
      <c r="C292" s="288" t="s">
        <v>116</v>
      </c>
      <c r="D292" s="288" t="s">
        <v>117</v>
      </c>
      <c r="E292" s="288" t="s">
        <v>555</v>
      </c>
      <c r="F292" s="288" t="s">
        <v>40</v>
      </c>
      <c r="G292" s="288" t="s">
        <v>118</v>
      </c>
      <c r="H292" s="288"/>
      <c r="I292" s="288" t="s">
        <v>118</v>
      </c>
      <c r="J292" s="288"/>
      <c r="K292" s="289">
        <v>43257</v>
      </c>
      <c r="L292" s="290"/>
      <c r="M292" s="290">
        <v>3</v>
      </c>
      <c r="N292" s="288">
        <v>6</v>
      </c>
      <c r="O292" s="288" t="s">
        <v>119</v>
      </c>
      <c r="P292" s="291"/>
      <c r="Q292" s="291"/>
      <c r="R292" s="288" t="s">
        <v>24</v>
      </c>
      <c r="S292" s="288"/>
      <c r="T292" s="292" t="s">
        <v>120</v>
      </c>
      <c r="U292" s="288" t="s">
        <v>556</v>
      </c>
      <c r="V292" s="292" t="s">
        <v>120</v>
      </c>
      <c r="W292" s="288"/>
      <c r="X292" s="292" t="s">
        <v>120</v>
      </c>
      <c r="Y292" s="288" t="s">
        <v>320</v>
      </c>
      <c r="Z292" s="293" t="s">
        <v>120</v>
      </c>
      <c r="AA292" s="294"/>
      <c r="AB292" s="294"/>
      <c r="AC292" s="295" t="s">
        <v>123</v>
      </c>
      <c r="AD292" s="288" t="s">
        <v>325</v>
      </c>
      <c r="AE292" s="292" t="s">
        <v>125</v>
      </c>
      <c r="AF292" s="289"/>
      <c r="AG292" s="296"/>
      <c r="AH292" s="296"/>
      <c r="AI292" s="288" t="s">
        <v>399</v>
      </c>
      <c r="AJ292" s="292" t="s">
        <v>120</v>
      </c>
      <c r="AK292" s="288" t="s">
        <v>123</v>
      </c>
      <c r="AL292" s="288" t="s">
        <v>557</v>
      </c>
      <c r="AM292" s="292"/>
      <c r="AN292" s="288"/>
      <c r="AO292" s="288"/>
      <c r="AP292" s="297"/>
      <c r="AQ292" s="288"/>
      <c r="AR292" s="292"/>
      <c r="AS292" s="288"/>
      <c r="AT292" s="289"/>
      <c r="AU292" s="289"/>
      <c r="AV292" s="289"/>
      <c r="AW292" s="289"/>
      <c r="AX292" s="289"/>
      <c r="AY292" s="289"/>
      <c r="AZ292" s="298"/>
      <c r="BA29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2" s="300">
        <f>COUNTIFS(_05preva_view43[Site ID],_05preva_view43[[#This Row],[Site ID]],_05preva_view43[Prevalidation Status],"Under Prevalidation")</f>
        <v>0</v>
      </c>
      <c r="BC29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2" s="302" t="str">
        <f>CONCATENATE(_05preva_view43[[#This Row],[Site ID]]," (",_05preva_view43[[#This Row],[tenant id]],") Application",IF(_05preva_view43[[#This Row],[Colo Rev]]&gt;0," Rev "&amp;_05preva_view43[[#This Row],[Colo Rev]],""),".xlsx")</f>
        <v>ANMG_0011 (MWW3525) Application.xlsx</v>
      </c>
      <c r="BE292" s="64">
        <f t="shared" ca="1" si="6"/>
        <v>50</v>
      </c>
      <c r="BF292" s="104" t="str">
        <f ca="1">LEFT(CELL("filename",A277),_05preva_view43[[#This Row],[Find Process &amp; Database]]-1)</f>
        <v>D:\OneDrive - apollo-towers.com\Apollo Towers\00-</v>
      </c>
      <c r="BG292" s="104" t="str">
        <f ca="1">_05preva_view43[Folder Path1]&amp;"Process &amp; Database\Documentation\Colo Applications"</f>
        <v>D:\OneDrive - apollo-towers.com\Apollo Towers\00-Process &amp; Database\Documentation\Colo Applications</v>
      </c>
      <c r="BH29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2" s="63" t="str">
        <f ca="1">_05preva_view43[[#This Row],[Folder Path3]]&amp;_05preva_view43[[#This Row],[File Name]]</f>
        <v>D:\OneDrive - apollo-towers.com\Apollo Towers\00-Process &amp; Database\Documentation\Colo Applications\Colo App OML\ANMG_0011 (MWW3525) Application.xlsx</v>
      </c>
      <c r="BJ292" s="104"/>
      <c r="BK292" s="3"/>
      <c r="BL292" s="3"/>
      <c r="CJ292" s="5"/>
      <c r="CK292" s="5"/>
      <c r="CL292" s="3"/>
      <c r="CN292" s="5"/>
      <c r="CR292" s="3"/>
      <c r="CS292" s="3"/>
      <c r="CT292" s="5"/>
      <c r="CV292" s="3"/>
      <c r="DR292" s="5"/>
      <c r="DT292" s="3"/>
      <c r="EF292" s="7"/>
      <c r="EG292" s="7"/>
      <c r="EJ292" s="4"/>
      <c r="EK292" s="4"/>
      <c r="EU292" s="2"/>
      <c r="EV292" s="2"/>
    </row>
    <row r="293" spans="1:152">
      <c r="A293" s="287">
        <v>240</v>
      </c>
      <c r="B293" s="288" t="s">
        <v>558</v>
      </c>
      <c r="C293" s="288" t="s">
        <v>116</v>
      </c>
      <c r="D293" s="288" t="s">
        <v>117</v>
      </c>
      <c r="E293" s="288" t="s">
        <v>559</v>
      </c>
      <c r="F293" s="288" t="s">
        <v>40</v>
      </c>
      <c r="G293" s="288" t="s">
        <v>1289</v>
      </c>
      <c r="H293" s="288" t="s">
        <v>1290</v>
      </c>
      <c r="I293" s="288" t="s">
        <v>118</v>
      </c>
      <c r="J293" s="288"/>
      <c r="K293" s="289">
        <v>43257</v>
      </c>
      <c r="L293" s="290"/>
      <c r="M293" s="290">
        <v>3</v>
      </c>
      <c r="N293" s="288">
        <v>6</v>
      </c>
      <c r="O293" s="288" t="s">
        <v>119</v>
      </c>
      <c r="P293" s="291"/>
      <c r="Q293" s="291"/>
      <c r="R293" s="288" t="s">
        <v>24</v>
      </c>
      <c r="S293" s="288"/>
      <c r="T293" s="292" t="s">
        <v>120</v>
      </c>
      <c r="U293" s="288" t="s">
        <v>556</v>
      </c>
      <c r="V293" s="292" t="s">
        <v>125</v>
      </c>
      <c r="W293" s="288" t="s">
        <v>212</v>
      </c>
      <c r="X293" s="292" t="s">
        <v>120</v>
      </c>
      <c r="Y293" s="288" t="s">
        <v>320</v>
      </c>
      <c r="Z293" s="293" t="s">
        <v>120</v>
      </c>
      <c r="AA293" s="294"/>
      <c r="AB293" s="294"/>
      <c r="AC293" s="295" t="s">
        <v>123</v>
      </c>
      <c r="AD293" s="288" t="s">
        <v>325</v>
      </c>
      <c r="AE293" s="292" t="s">
        <v>125</v>
      </c>
      <c r="AF293" s="289"/>
      <c r="AG293" s="296"/>
      <c r="AH293" s="296"/>
      <c r="AI293" s="288" t="s">
        <v>345</v>
      </c>
      <c r="AJ293" s="292" t="s">
        <v>120</v>
      </c>
      <c r="AK293" s="288" t="s">
        <v>123</v>
      </c>
      <c r="AL293" s="288" t="s">
        <v>553</v>
      </c>
      <c r="AM293" s="292"/>
      <c r="AN293" s="288"/>
      <c r="AO293" s="288"/>
      <c r="AP293" s="297"/>
      <c r="AQ293" s="288"/>
      <c r="AR293" s="292"/>
      <c r="AS293" s="288"/>
      <c r="AT293" s="289"/>
      <c r="AU293" s="289"/>
      <c r="AV293" s="289"/>
      <c r="AW293" s="289"/>
      <c r="AX293" s="289"/>
      <c r="AY293" s="289"/>
      <c r="AZ293" s="298"/>
      <c r="BA29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3" s="300">
        <f>COUNTIFS(_05preva_view43[Site ID],_05preva_view43[[#This Row],[Site ID]],_05preva_view43[Prevalidation Status],"Under Prevalidation")</f>
        <v>0</v>
      </c>
      <c r="BC29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3" s="302" t="str">
        <f>CONCATENATE(_05preva_view43[[#This Row],[Site ID]]," (",_05preva_view43[[#This Row],[tenant id]],") Application",IF(_05preva_view43[[#This Row],[Colo Rev]]&gt;0," Rev "&amp;_05preva_view43[[#This Row],[Colo Rev]],""),".xlsx")</f>
        <v>ANMG_0113 (MWW3516) Application.xlsx</v>
      </c>
      <c r="BE293" s="64">
        <f t="shared" ca="1" si="6"/>
        <v>50</v>
      </c>
      <c r="BF293" s="104" t="str">
        <f ca="1">LEFT(CELL("filename",A278),_05preva_view43[[#This Row],[Find Process &amp; Database]]-1)</f>
        <v>D:\OneDrive - apollo-towers.com\Apollo Towers\00-</v>
      </c>
      <c r="BG293" s="104" t="str">
        <f ca="1">_05preva_view43[Folder Path1]&amp;"Process &amp; Database\Documentation\Colo Applications"</f>
        <v>D:\OneDrive - apollo-towers.com\Apollo Towers\00-Process &amp; Database\Documentation\Colo Applications</v>
      </c>
      <c r="BH29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3" s="63" t="str">
        <f ca="1">_05preva_view43[[#This Row],[Folder Path3]]&amp;_05preva_view43[[#This Row],[File Name]]</f>
        <v>D:\OneDrive - apollo-towers.com\Apollo Towers\00-Process &amp; Database\Documentation\Colo Applications\Colo App OML\ANMG_0113 (MWW3516) Application.xlsx</v>
      </c>
      <c r="BJ293" s="104"/>
      <c r="BK293" s="3"/>
      <c r="BL293" s="3"/>
      <c r="CJ293" s="5"/>
      <c r="CK293" s="5"/>
      <c r="CL293" s="3"/>
      <c r="CN293" s="5"/>
      <c r="CR293" s="3"/>
      <c r="CS293" s="3"/>
      <c r="CT293" s="5"/>
      <c r="CV293" s="3"/>
      <c r="DR293" s="5"/>
      <c r="DT293" s="3"/>
      <c r="EF293" s="7"/>
      <c r="EG293" s="7"/>
      <c r="EJ293" s="4"/>
      <c r="EK293" s="4"/>
      <c r="EU293" s="2"/>
      <c r="EV293" s="2"/>
    </row>
    <row r="294" spans="1:152">
      <c r="A294" s="287">
        <v>241</v>
      </c>
      <c r="B294" s="288" t="s">
        <v>317</v>
      </c>
      <c r="C294" s="288" t="s">
        <v>116</v>
      </c>
      <c r="D294" s="288" t="s">
        <v>153</v>
      </c>
      <c r="E294" s="288" t="s">
        <v>318</v>
      </c>
      <c r="F294" s="288" t="s">
        <v>40</v>
      </c>
      <c r="G294" s="288" t="s">
        <v>118</v>
      </c>
      <c r="H294" s="288"/>
      <c r="I294" s="288" t="s">
        <v>118</v>
      </c>
      <c r="J294" s="288"/>
      <c r="K294" s="289">
        <v>43257</v>
      </c>
      <c r="L294" s="290"/>
      <c r="M294" s="290">
        <v>3</v>
      </c>
      <c r="N294" s="288">
        <v>6</v>
      </c>
      <c r="O294" s="288" t="s">
        <v>119</v>
      </c>
      <c r="P294" s="291"/>
      <c r="Q294" s="291"/>
      <c r="R294" s="288" t="s">
        <v>24</v>
      </c>
      <c r="S294" s="288"/>
      <c r="T294" s="292" t="s">
        <v>120</v>
      </c>
      <c r="U294" s="288" t="s">
        <v>556</v>
      </c>
      <c r="V294" s="292" t="s">
        <v>120</v>
      </c>
      <c r="W294" s="288"/>
      <c r="X294" s="292" t="s">
        <v>120</v>
      </c>
      <c r="Y294" s="288" t="s">
        <v>320</v>
      </c>
      <c r="Z294" s="293" t="s">
        <v>120</v>
      </c>
      <c r="AA294" s="294"/>
      <c r="AB294" s="294"/>
      <c r="AC294" s="295" t="s">
        <v>123</v>
      </c>
      <c r="AD294" s="288" t="s">
        <v>325</v>
      </c>
      <c r="AE294" s="292" t="s">
        <v>125</v>
      </c>
      <c r="AF294" s="289"/>
      <c r="AG294" s="296"/>
      <c r="AH294" s="296"/>
      <c r="AI294" s="288" t="s">
        <v>485</v>
      </c>
      <c r="AJ294" s="292" t="s">
        <v>120</v>
      </c>
      <c r="AK294" s="288" t="s">
        <v>123</v>
      </c>
      <c r="AL294" s="288"/>
      <c r="AM294" s="292"/>
      <c r="AN294" s="288"/>
      <c r="AO294" s="288"/>
      <c r="AP294" s="297"/>
      <c r="AQ294" s="288"/>
      <c r="AR294" s="292"/>
      <c r="AS294" s="288"/>
      <c r="AT294" s="289"/>
      <c r="AU294" s="289"/>
      <c r="AV294" s="289"/>
      <c r="AW294" s="289"/>
      <c r="AX294" s="289"/>
      <c r="AY294" s="289"/>
      <c r="AZ294" s="298"/>
      <c r="BA29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4" s="300">
        <f>COUNTIFS(_05preva_view43[Site ID],_05preva_view43[[#This Row],[Site ID]],_05preva_view43[Prevalidation Status],"Under Prevalidation")</f>
        <v>0</v>
      </c>
      <c r="BC29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4" s="302" t="str">
        <f>CONCATENATE(_05preva_view43[[#This Row],[Site ID]]," (",_05preva_view43[[#This Row],[tenant id]],") Application",IF(_05preva_view43[[#This Row],[Colo Rev]]&gt;0," Rev "&amp;_05preva_view43[[#This Row],[Colo Rev]],""),".xlsx")</f>
        <v>AYYN_0517 (YAW7769) Application.xlsx</v>
      </c>
      <c r="BE294" s="64">
        <f t="shared" ca="1" si="6"/>
        <v>50</v>
      </c>
      <c r="BF294" s="104" t="str">
        <f ca="1">LEFT(CELL("filename",A279),_05preva_view43[[#This Row],[Find Process &amp; Database]]-1)</f>
        <v>D:\OneDrive - apollo-towers.com\Apollo Towers\00-</v>
      </c>
      <c r="BG294" s="104" t="str">
        <f ca="1">_05preva_view43[Folder Path1]&amp;"Process &amp; Database\Documentation\Colo Applications"</f>
        <v>D:\OneDrive - apollo-towers.com\Apollo Towers\00-Process &amp; Database\Documentation\Colo Applications</v>
      </c>
      <c r="BH29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4" s="63" t="str">
        <f ca="1">_05preva_view43[[#This Row],[Folder Path3]]&amp;_05preva_view43[[#This Row],[File Name]]</f>
        <v>D:\OneDrive - apollo-towers.com\Apollo Towers\00-Process &amp; Database\Documentation\Colo Applications\Colo App OML\AYYN_0517 (YAW7769) Application.xlsx</v>
      </c>
      <c r="BJ294" s="104"/>
      <c r="BK294" s="3"/>
      <c r="BL294" s="3"/>
      <c r="CJ294" s="5"/>
      <c r="CK294" s="5"/>
      <c r="CL294" s="3"/>
      <c r="CN294" s="5"/>
      <c r="CR294" s="3"/>
      <c r="CS294" s="3"/>
      <c r="CT294" s="5"/>
      <c r="CV294" s="3"/>
      <c r="DR294" s="5"/>
      <c r="DT294" s="3"/>
      <c r="EF294" s="7"/>
      <c r="EG294" s="7"/>
      <c r="EJ294" s="4"/>
      <c r="EK294" s="4"/>
      <c r="EU294" s="2"/>
      <c r="EV294" s="2"/>
    </row>
    <row r="295" spans="1:152">
      <c r="A295" s="287">
        <v>225</v>
      </c>
      <c r="B295" s="288" t="s">
        <v>524</v>
      </c>
      <c r="C295" s="288" t="s">
        <v>116</v>
      </c>
      <c r="D295" s="288" t="s">
        <v>127</v>
      </c>
      <c r="E295" s="288" t="s">
        <v>525</v>
      </c>
      <c r="F295" s="288" t="s">
        <v>41</v>
      </c>
      <c r="G295" s="288" t="s">
        <v>1286</v>
      </c>
      <c r="H295" s="288" t="s">
        <v>1290</v>
      </c>
      <c r="I295" s="288" t="s">
        <v>118</v>
      </c>
      <c r="J295" s="288"/>
      <c r="K295" s="289">
        <v>43250</v>
      </c>
      <c r="L295" s="290"/>
      <c r="M295" s="290">
        <v>2</v>
      </c>
      <c r="N295" s="288">
        <v>3</v>
      </c>
      <c r="O295" s="288" t="s">
        <v>119</v>
      </c>
      <c r="P295" s="291" t="s">
        <v>280</v>
      </c>
      <c r="Q295" s="291" t="s">
        <v>526</v>
      </c>
      <c r="R295" s="288" t="s">
        <v>24</v>
      </c>
      <c r="S295" s="288" t="s">
        <v>527</v>
      </c>
      <c r="T295" s="292" t="s">
        <v>120</v>
      </c>
      <c r="U295" s="288" t="s">
        <v>528</v>
      </c>
      <c r="V295" s="292" t="s">
        <v>120</v>
      </c>
      <c r="W295" s="288" t="s">
        <v>530</v>
      </c>
      <c r="X295" s="292" t="s">
        <v>120</v>
      </c>
      <c r="Y295" s="288" t="s">
        <v>120</v>
      </c>
      <c r="Z295" s="293" t="s">
        <v>120</v>
      </c>
      <c r="AA295" s="294"/>
      <c r="AB295" s="294"/>
      <c r="AC295" s="295" t="s">
        <v>123</v>
      </c>
      <c r="AD295" s="288" t="s">
        <v>293</v>
      </c>
      <c r="AE295" s="292" t="s">
        <v>229</v>
      </c>
      <c r="AF295" s="289"/>
      <c r="AG295" s="296"/>
      <c r="AH295" s="296"/>
      <c r="AI295" s="288" t="s">
        <v>529</v>
      </c>
      <c r="AJ295" s="292"/>
      <c r="AK295" s="288"/>
      <c r="AL295" s="288"/>
      <c r="AM295" s="292"/>
      <c r="AN295" s="288"/>
      <c r="AO295" s="288"/>
      <c r="AP295" s="297"/>
      <c r="AQ295" s="288"/>
      <c r="AR295" s="292"/>
      <c r="AS295" s="288"/>
      <c r="AT295" s="289"/>
      <c r="AU295" s="289">
        <v>43453.379072685202</v>
      </c>
      <c r="AV295" s="289"/>
      <c r="AW295" s="289"/>
      <c r="AX295" s="289"/>
      <c r="AY295" s="289"/>
      <c r="AZ295" s="298">
        <v>43250</v>
      </c>
      <c r="BA29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5" s="300">
        <f>COUNTIFS(_05preva_view43[Site ID],_05preva_view43[[#This Row],[Site ID]],_05preva_view43[Prevalidation Status],"Under Prevalidation")</f>
        <v>0</v>
      </c>
      <c r="BC29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5" s="302" t="str">
        <f>CONCATENATE(_05preva_view43[[#This Row],[Site ID]]," (",_05preva_view43[[#This Row],[tenant id]],") Application",IF(_05preva_view43[[#This Row],[Colo Rev]]&gt;0," Rev "&amp;_05preva_view43[[#This Row],[Colo Rev]],""),".xlsx")</f>
        <v>ANMD_0091 (MDYCMTN004) Application.xlsx</v>
      </c>
      <c r="BE295" s="64">
        <f t="shared" ca="1" si="6"/>
        <v>50</v>
      </c>
      <c r="BF295" s="104" t="str">
        <f ca="1">LEFT(CELL("filename",A280),_05preva_view43[[#This Row],[Find Process &amp; Database]]-1)</f>
        <v>D:\OneDrive - apollo-towers.com\Apollo Towers\00-</v>
      </c>
      <c r="BG295" s="104" t="str">
        <f ca="1">_05preva_view43[Folder Path1]&amp;"Process &amp; Database\Documentation\Colo Applications"</f>
        <v>D:\OneDrive - apollo-towers.com\Apollo Towers\00-Process &amp; Database\Documentation\Colo Applications</v>
      </c>
      <c r="BH295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95" s="63" t="str">
        <f ca="1">_05preva_view43[[#This Row],[Folder Path3]]&amp;_05preva_view43[[#This Row],[File Name]]</f>
        <v>D:\OneDrive - apollo-towers.com\Apollo Towers\00-Process &amp; Database\Documentation\Colo Applications\Colo App Amara\ANMD_0091 (MDYCMTN004) Application.xlsx</v>
      </c>
      <c r="BJ295" s="104"/>
      <c r="BK295" s="3"/>
      <c r="BL295" s="3"/>
      <c r="CJ295" s="5"/>
      <c r="CK295" s="5"/>
      <c r="CL295" s="3"/>
      <c r="CN295" s="5"/>
      <c r="CR295" s="3"/>
      <c r="CS295" s="3"/>
      <c r="CT295" s="5"/>
      <c r="CV295" s="3"/>
      <c r="DR295" s="5"/>
      <c r="DT295" s="3"/>
      <c r="EF295" s="7"/>
      <c r="EG295" s="7"/>
      <c r="EJ295" s="4"/>
      <c r="EK295" s="4"/>
      <c r="EU295" s="2"/>
      <c r="EV295" s="2"/>
    </row>
    <row r="296" spans="1:152">
      <c r="A296" s="287">
        <v>227</v>
      </c>
      <c r="B296" s="288" t="s">
        <v>531</v>
      </c>
      <c r="C296" s="288" t="s">
        <v>116</v>
      </c>
      <c r="D296" s="288" t="s">
        <v>127</v>
      </c>
      <c r="E296" s="288" t="s">
        <v>532</v>
      </c>
      <c r="F296" s="288" t="s">
        <v>41</v>
      </c>
      <c r="G296" s="288" t="s">
        <v>1286</v>
      </c>
      <c r="H296" s="288" t="s">
        <v>1290</v>
      </c>
      <c r="I296" s="288" t="s">
        <v>118</v>
      </c>
      <c r="J296" s="288"/>
      <c r="K296" s="289">
        <v>43250</v>
      </c>
      <c r="L296" s="290"/>
      <c r="M296" s="290">
        <v>2</v>
      </c>
      <c r="N296" s="288">
        <v>3</v>
      </c>
      <c r="O296" s="288" t="s">
        <v>119</v>
      </c>
      <c r="P296" s="291" t="s">
        <v>526</v>
      </c>
      <c r="Q296" s="291" t="s">
        <v>533</v>
      </c>
      <c r="R296" s="288" t="s">
        <v>24</v>
      </c>
      <c r="S296" s="288" t="s">
        <v>534</v>
      </c>
      <c r="T296" s="292" t="s">
        <v>120</v>
      </c>
      <c r="U296" s="288" t="s">
        <v>528</v>
      </c>
      <c r="V296" s="292" t="s">
        <v>120</v>
      </c>
      <c r="W296" s="288"/>
      <c r="X296" s="292" t="s">
        <v>120</v>
      </c>
      <c r="Y296" s="288" t="s">
        <v>120</v>
      </c>
      <c r="Z296" s="293" t="s">
        <v>120</v>
      </c>
      <c r="AA296" s="294"/>
      <c r="AB296" s="294"/>
      <c r="AC296" s="295" t="s">
        <v>123</v>
      </c>
      <c r="AD296" s="288" t="s">
        <v>293</v>
      </c>
      <c r="AE296" s="292" t="s">
        <v>229</v>
      </c>
      <c r="AF296" s="289"/>
      <c r="AG296" s="296"/>
      <c r="AH296" s="296"/>
      <c r="AI296" s="288" t="s">
        <v>535</v>
      </c>
      <c r="AJ296" s="292"/>
      <c r="AK296" s="288"/>
      <c r="AL296" s="288"/>
      <c r="AM296" s="292"/>
      <c r="AN296" s="288"/>
      <c r="AO296" s="288"/>
      <c r="AP296" s="297"/>
      <c r="AQ296" s="288"/>
      <c r="AR296" s="292"/>
      <c r="AS296" s="288"/>
      <c r="AT296" s="289"/>
      <c r="AU296" s="289">
        <v>43453.379073726901</v>
      </c>
      <c r="AV296" s="289"/>
      <c r="AW296" s="289"/>
      <c r="AX296" s="289"/>
      <c r="AY296" s="289"/>
      <c r="AZ296" s="298">
        <v>43250</v>
      </c>
      <c r="BA29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6" s="300">
        <f>COUNTIFS(_05preva_view43[Site ID],_05preva_view43[[#This Row],[Site ID]],_05preva_view43[Prevalidation Status],"Under Prevalidation")</f>
        <v>0</v>
      </c>
      <c r="BC29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6" s="302" t="str">
        <f>CONCATENATE(_05preva_view43[[#This Row],[Site ID]]," (",_05preva_view43[[#This Row],[tenant id]],") Application",IF(_05preva_view43[[#This Row],[Colo Rev]]&gt;0," Rev "&amp;_05preva_view43[[#This Row],[Colo Rev]],""),".xlsx")</f>
        <v>ANMD_0105 (MDYCMTZ023) Application.xlsx</v>
      </c>
      <c r="BE296" s="64">
        <f t="shared" ca="1" si="6"/>
        <v>50</v>
      </c>
      <c r="BF296" s="104" t="str">
        <f ca="1">LEFT(CELL("filename",A281),_05preva_view43[[#This Row],[Find Process &amp; Database]]-1)</f>
        <v>D:\OneDrive - apollo-towers.com\Apollo Towers\00-</v>
      </c>
      <c r="BG296" s="104" t="str">
        <f ca="1">_05preva_view43[Folder Path1]&amp;"Process &amp; Database\Documentation\Colo Applications"</f>
        <v>D:\OneDrive - apollo-towers.com\Apollo Towers\00-Process &amp; Database\Documentation\Colo Applications</v>
      </c>
      <c r="BH296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296" s="63" t="str">
        <f ca="1">_05preva_view43[[#This Row],[Folder Path3]]&amp;_05preva_view43[[#This Row],[File Name]]</f>
        <v>D:\OneDrive - apollo-towers.com\Apollo Towers\00-Process &amp; Database\Documentation\Colo Applications\Colo App Amara\ANMD_0105 (MDYCMTZ023) Application.xlsx</v>
      </c>
      <c r="BJ296" s="104"/>
      <c r="BK296" s="3"/>
      <c r="BL296" s="3"/>
      <c r="CJ296" s="5"/>
      <c r="CK296" s="5"/>
      <c r="CL296" s="3"/>
      <c r="CN296" s="5"/>
      <c r="CR296" s="3"/>
      <c r="CS296" s="3"/>
      <c r="CT296" s="5"/>
      <c r="CV296" s="3"/>
      <c r="DR296" s="5"/>
      <c r="DT296" s="3"/>
      <c r="EF296" s="7"/>
      <c r="EG296" s="7"/>
      <c r="EJ296" s="4"/>
      <c r="EK296" s="4"/>
      <c r="EU296" s="2"/>
      <c r="EV296" s="2"/>
    </row>
    <row r="297" spans="1:152">
      <c r="A297" s="287">
        <v>229</v>
      </c>
      <c r="B297" s="288" t="s">
        <v>536</v>
      </c>
      <c r="C297" s="288" t="s">
        <v>116</v>
      </c>
      <c r="D297" s="288" t="s">
        <v>153</v>
      </c>
      <c r="E297" s="288" t="s">
        <v>537</v>
      </c>
      <c r="F297" s="288" t="s">
        <v>40</v>
      </c>
      <c r="G297" s="288" t="s">
        <v>1289</v>
      </c>
      <c r="H297" s="288" t="s">
        <v>1285</v>
      </c>
      <c r="I297" s="288" t="s">
        <v>118</v>
      </c>
      <c r="J297" s="288"/>
      <c r="K297" s="289">
        <v>43250</v>
      </c>
      <c r="L297" s="290"/>
      <c r="M297" s="290">
        <v>3</v>
      </c>
      <c r="N297" s="288">
        <v>6</v>
      </c>
      <c r="O297" s="288" t="s">
        <v>119</v>
      </c>
      <c r="P297" s="291"/>
      <c r="Q297" s="291"/>
      <c r="R297" s="288" t="s">
        <v>24</v>
      </c>
      <c r="S297" s="288"/>
      <c r="T297" s="292" t="s">
        <v>120</v>
      </c>
      <c r="U297" s="288" t="s">
        <v>538</v>
      </c>
      <c r="V297" s="292" t="s">
        <v>120</v>
      </c>
      <c r="W297" s="288"/>
      <c r="X297" s="292" t="s">
        <v>120</v>
      </c>
      <c r="Y297" s="288" t="s">
        <v>120</v>
      </c>
      <c r="Z297" s="293" t="s">
        <v>120</v>
      </c>
      <c r="AA297" s="294"/>
      <c r="AB297" s="294"/>
      <c r="AC297" s="295" t="s">
        <v>123</v>
      </c>
      <c r="AD297" s="288"/>
      <c r="AE297" s="292" t="s">
        <v>125</v>
      </c>
      <c r="AF297" s="289"/>
      <c r="AG297" s="296"/>
      <c r="AH297" s="296"/>
      <c r="AI297" s="288" t="s">
        <v>305</v>
      </c>
      <c r="AJ297" s="292" t="s">
        <v>120</v>
      </c>
      <c r="AK297" s="288" t="s">
        <v>123</v>
      </c>
      <c r="AL297" s="288"/>
      <c r="AM297" s="292"/>
      <c r="AN297" s="288"/>
      <c r="AO297" s="288"/>
      <c r="AP297" s="297"/>
      <c r="AQ297" s="288"/>
      <c r="AR297" s="292"/>
      <c r="AS297" s="288"/>
      <c r="AT297" s="289"/>
      <c r="AU297" s="289"/>
      <c r="AV297" s="289"/>
      <c r="AW297" s="289"/>
      <c r="AX297" s="289"/>
      <c r="AY297" s="289"/>
      <c r="AZ297" s="298"/>
      <c r="BA29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7" s="300">
        <f>COUNTIFS(_05preva_view43[Site ID],_05preva_view43[[#This Row],[Site ID]],_05preva_view43[Prevalidation Status],"Under Prevalidation")</f>
        <v>0</v>
      </c>
      <c r="BC29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7" s="302" t="str">
        <f>CONCATENATE(_05preva_view43[[#This Row],[Site ID]]," (",_05preva_view43[[#This Row],[tenant id]],") Application",IF(_05preva_view43[[#This Row],[Colo Rev]]&gt;0," Rev "&amp;_05preva_view43[[#This Row],[Colo Rev]],""),".xlsx")</f>
        <v>AYYN_0520 (YAM7610) Application.xlsx</v>
      </c>
      <c r="BE297" s="64">
        <f t="shared" ca="1" si="6"/>
        <v>50</v>
      </c>
      <c r="BF297" s="104" t="str">
        <f ca="1">LEFT(CELL("filename",A282),_05preva_view43[[#This Row],[Find Process &amp; Database]]-1)</f>
        <v>D:\OneDrive - apollo-towers.com\Apollo Towers\00-</v>
      </c>
      <c r="BG297" s="104" t="str">
        <f ca="1">_05preva_view43[Folder Path1]&amp;"Process &amp; Database\Documentation\Colo Applications"</f>
        <v>D:\OneDrive - apollo-towers.com\Apollo Towers\00-Process &amp; Database\Documentation\Colo Applications</v>
      </c>
      <c r="BH29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7" s="63" t="str">
        <f ca="1">_05preva_view43[[#This Row],[Folder Path3]]&amp;_05preva_view43[[#This Row],[File Name]]</f>
        <v>D:\OneDrive - apollo-towers.com\Apollo Towers\00-Process &amp; Database\Documentation\Colo Applications\Colo App OML\AYYN_0520 (YAM7610) Application.xlsx</v>
      </c>
      <c r="BJ297" s="104"/>
      <c r="BK297" s="3"/>
      <c r="BL297" s="3"/>
      <c r="CJ297" s="5"/>
      <c r="CK297" s="5"/>
      <c r="CL297" s="3"/>
      <c r="CN297" s="5"/>
      <c r="CR297" s="3"/>
      <c r="CS297" s="3"/>
      <c r="CT297" s="5"/>
      <c r="CV297" s="3"/>
      <c r="DR297" s="5"/>
      <c r="DT297" s="3"/>
      <c r="EF297" s="7"/>
      <c r="EG297" s="7"/>
      <c r="EJ297" s="4"/>
      <c r="EK297" s="4"/>
      <c r="EU297" s="2"/>
      <c r="EV297" s="2"/>
    </row>
    <row r="298" spans="1:152">
      <c r="A298" s="287">
        <v>230</v>
      </c>
      <c r="B298" s="288" t="s">
        <v>539</v>
      </c>
      <c r="C298" s="288" t="s">
        <v>116</v>
      </c>
      <c r="D298" s="288" t="s">
        <v>153</v>
      </c>
      <c r="E298" s="288" t="s">
        <v>540</v>
      </c>
      <c r="F298" s="288" t="s">
        <v>40</v>
      </c>
      <c r="G298" s="288" t="s">
        <v>1289</v>
      </c>
      <c r="H298" s="288" t="s">
        <v>1285</v>
      </c>
      <c r="I298" s="288" t="s">
        <v>118</v>
      </c>
      <c r="J298" s="288"/>
      <c r="K298" s="289">
        <v>43250</v>
      </c>
      <c r="L298" s="290"/>
      <c r="M298" s="290">
        <v>3</v>
      </c>
      <c r="N298" s="288">
        <v>6</v>
      </c>
      <c r="O298" s="288" t="s">
        <v>119</v>
      </c>
      <c r="P298" s="291"/>
      <c r="Q298" s="291"/>
      <c r="R298" s="288" t="s">
        <v>24</v>
      </c>
      <c r="S298" s="288"/>
      <c r="T298" s="292" t="s">
        <v>120</v>
      </c>
      <c r="U298" s="288" t="s">
        <v>528</v>
      </c>
      <c r="V298" s="292" t="s">
        <v>120</v>
      </c>
      <c r="W298" s="288"/>
      <c r="X298" s="292" t="s">
        <v>120</v>
      </c>
      <c r="Y298" s="288" t="s">
        <v>541</v>
      </c>
      <c r="Z298" s="293" t="s">
        <v>120</v>
      </c>
      <c r="AA298" s="294"/>
      <c r="AB298" s="294"/>
      <c r="AC298" s="295" t="s">
        <v>123</v>
      </c>
      <c r="AD298" s="288" t="s">
        <v>325</v>
      </c>
      <c r="AE298" s="292" t="s">
        <v>120</v>
      </c>
      <c r="AF298" s="289" t="s">
        <v>207</v>
      </c>
      <c r="AG298" s="296"/>
      <c r="AH298" s="296">
        <v>3.5</v>
      </c>
      <c r="AI298" s="288" t="s">
        <v>208</v>
      </c>
      <c r="AJ298" s="292" t="s">
        <v>120</v>
      </c>
      <c r="AK298" s="288" t="s">
        <v>123</v>
      </c>
      <c r="AL298" s="288" t="s">
        <v>139</v>
      </c>
      <c r="AM298" s="292"/>
      <c r="AN298" s="288"/>
      <c r="AO298" s="288"/>
      <c r="AP298" s="297"/>
      <c r="AQ298" s="288"/>
      <c r="AR298" s="292"/>
      <c r="AS298" s="288"/>
      <c r="AT298" s="289"/>
      <c r="AU298" s="289">
        <v>43453.379074884302</v>
      </c>
      <c r="AV298" s="289"/>
      <c r="AW298" s="289"/>
      <c r="AX298" s="289"/>
      <c r="AY298" s="289"/>
      <c r="AZ298" s="298">
        <v>43250</v>
      </c>
      <c r="BA29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8" s="300">
        <f>COUNTIFS(_05preva_view43[Site ID],_05preva_view43[[#This Row],[Site ID]],_05preva_view43[Prevalidation Status],"Under Prevalidation")</f>
        <v>0</v>
      </c>
      <c r="BC29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8" s="302" t="str">
        <f>CONCATENATE(_05preva_view43[[#This Row],[Site ID]]," (",_05preva_view43[[#This Row],[tenant id]],") Application",IF(_05preva_view43[[#This Row],[Colo Rev]]&gt;0," Rev "&amp;_05preva_view43[[#This Row],[Colo Rev]],""),".xlsx")</f>
        <v>AYYN_0110 (YAW7657) Application.xlsx</v>
      </c>
      <c r="BE298" s="64">
        <f t="shared" ca="1" si="6"/>
        <v>50</v>
      </c>
      <c r="BF298" s="104" t="str">
        <f ca="1">LEFT(CELL("filename",A283),_05preva_view43[[#This Row],[Find Process &amp; Database]]-1)</f>
        <v>D:\OneDrive - apollo-towers.com\Apollo Towers\00-</v>
      </c>
      <c r="BG298" s="104" t="str">
        <f ca="1">_05preva_view43[Folder Path1]&amp;"Process &amp; Database\Documentation\Colo Applications"</f>
        <v>D:\OneDrive - apollo-towers.com\Apollo Towers\00-Process &amp; Database\Documentation\Colo Applications</v>
      </c>
      <c r="BH29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8" s="63" t="str">
        <f ca="1">_05preva_view43[[#This Row],[Folder Path3]]&amp;_05preva_view43[[#This Row],[File Name]]</f>
        <v>D:\OneDrive - apollo-towers.com\Apollo Towers\00-Process &amp; Database\Documentation\Colo Applications\Colo App OML\AYYN_0110 (YAW7657) Application.xlsx</v>
      </c>
      <c r="BJ298" s="104"/>
      <c r="BK298" s="3"/>
      <c r="BL298" s="3"/>
      <c r="CJ298" s="5"/>
      <c r="CK298" s="5"/>
      <c r="CL298" s="3"/>
      <c r="CN298" s="5"/>
      <c r="CR298" s="3"/>
      <c r="CS298" s="3"/>
      <c r="CT298" s="5"/>
      <c r="CV298" s="3"/>
      <c r="DR298" s="5"/>
      <c r="DT298" s="3"/>
      <c r="EF298" s="7"/>
      <c r="EG298" s="7"/>
      <c r="EJ298" s="4"/>
      <c r="EK298" s="4"/>
      <c r="EU298" s="2"/>
      <c r="EV298" s="2"/>
    </row>
    <row r="299" spans="1:152">
      <c r="A299" s="287">
        <v>232</v>
      </c>
      <c r="B299" s="288" t="s">
        <v>520</v>
      </c>
      <c r="C299" s="288" t="s">
        <v>116</v>
      </c>
      <c r="D299" s="288" t="s">
        <v>117</v>
      </c>
      <c r="E299" s="288" t="s">
        <v>542</v>
      </c>
      <c r="F299" s="288" t="s">
        <v>40</v>
      </c>
      <c r="G299" s="288" t="s">
        <v>118</v>
      </c>
      <c r="H299" s="288"/>
      <c r="I299" s="288" t="s">
        <v>118</v>
      </c>
      <c r="J299" s="288"/>
      <c r="K299" s="289">
        <v>43250</v>
      </c>
      <c r="L299" s="290"/>
      <c r="M299" s="290">
        <v>3</v>
      </c>
      <c r="N299" s="288">
        <v>6</v>
      </c>
      <c r="O299" s="288" t="s">
        <v>119</v>
      </c>
      <c r="P299" s="291"/>
      <c r="Q299" s="291"/>
      <c r="R299" s="288" t="s">
        <v>24</v>
      </c>
      <c r="S299" s="288"/>
      <c r="T299" s="292" t="s">
        <v>120</v>
      </c>
      <c r="U299" s="288" t="s">
        <v>543</v>
      </c>
      <c r="V299" s="292" t="s">
        <v>120</v>
      </c>
      <c r="W299" s="288"/>
      <c r="X299" s="292" t="s">
        <v>120</v>
      </c>
      <c r="Y299" s="288" t="s">
        <v>120</v>
      </c>
      <c r="Z299" s="293" t="s">
        <v>120</v>
      </c>
      <c r="AA299" s="294"/>
      <c r="AB299" s="294"/>
      <c r="AC299" s="295" t="s">
        <v>123</v>
      </c>
      <c r="AD299" s="288" t="s">
        <v>325</v>
      </c>
      <c r="AE299" s="292" t="s">
        <v>120</v>
      </c>
      <c r="AF299" s="289" t="s">
        <v>358</v>
      </c>
      <c r="AG299" s="296"/>
      <c r="AH299" s="296">
        <v>3.5</v>
      </c>
      <c r="AI299" s="288" t="s">
        <v>211</v>
      </c>
      <c r="AJ299" s="292" t="s">
        <v>120</v>
      </c>
      <c r="AK299" s="288" t="s">
        <v>206</v>
      </c>
      <c r="AL299" s="288" t="s">
        <v>361</v>
      </c>
      <c r="AM299" s="292"/>
      <c r="AN299" s="288"/>
      <c r="AO299" s="288"/>
      <c r="AP299" s="297"/>
      <c r="AQ299" s="288"/>
      <c r="AR299" s="292"/>
      <c r="AS299" s="288"/>
      <c r="AT299" s="289"/>
      <c r="AU299" s="289">
        <v>43453.379077546299</v>
      </c>
      <c r="AV299" s="289"/>
      <c r="AW299" s="289"/>
      <c r="AX299" s="289"/>
      <c r="AY299" s="289"/>
      <c r="AZ299" s="298">
        <v>43250</v>
      </c>
      <c r="BA29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299" s="300">
        <f>COUNTIFS(_05preva_view43[Site ID],_05preva_view43[[#This Row],[Site ID]],_05preva_view43[Prevalidation Status],"Under Prevalidation")</f>
        <v>0</v>
      </c>
      <c r="BC29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299" s="302" t="str">
        <f>CONCATENATE(_05preva_view43[[#This Row],[Site ID]]," (",_05preva_view43[[#This Row],[tenant id]],") Application",IF(_05preva_view43[[#This Row],[Colo Rev]]&gt;0," Rev "&amp;_05preva_view43[[#This Row],[Colo Rev]],""),".xlsx")</f>
        <v>ANNP_0210 (NPW2259) Application.xlsx</v>
      </c>
      <c r="BE299" s="64">
        <f t="shared" ca="1" si="6"/>
        <v>50</v>
      </c>
      <c r="BF299" s="104" t="str">
        <f ca="1">LEFT(CELL("filename",A284),_05preva_view43[[#This Row],[Find Process &amp; Database]]-1)</f>
        <v>D:\OneDrive - apollo-towers.com\Apollo Towers\00-</v>
      </c>
      <c r="BG299" s="104" t="str">
        <f ca="1">_05preva_view43[Folder Path1]&amp;"Process &amp; Database\Documentation\Colo Applications"</f>
        <v>D:\OneDrive - apollo-towers.com\Apollo Towers\00-Process &amp; Database\Documentation\Colo Applications</v>
      </c>
      <c r="BH29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299" s="63" t="str">
        <f ca="1">_05preva_view43[[#This Row],[Folder Path3]]&amp;_05preva_view43[[#This Row],[File Name]]</f>
        <v>D:\OneDrive - apollo-towers.com\Apollo Towers\00-Process &amp; Database\Documentation\Colo Applications\Colo App OML\ANNP_0210 (NPW2259) Application.xlsx</v>
      </c>
      <c r="BJ299" s="104"/>
      <c r="BK299" s="3"/>
      <c r="BL299" s="3"/>
      <c r="CJ299" s="5"/>
      <c r="CK299" s="5"/>
      <c r="CL299" s="3"/>
      <c r="CN299" s="5"/>
      <c r="CR299" s="3"/>
      <c r="CS299" s="3"/>
      <c r="CT299" s="5"/>
      <c r="CV299" s="3"/>
      <c r="DR299" s="5"/>
      <c r="DT299" s="3"/>
      <c r="EF299" s="7"/>
      <c r="EG299" s="7"/>
      <c r="EJ299" s="4"/>
      <c r="EK299" s="4"/>
      <c r="EU299" s="2"/>
      <c r="EV299" s="2"/>
    </row>
    <row r="300" spans="1:152">
      <c r="A300" s="287">
        <v>234</v>
      </c>
      <c r="B300" s="288" t="s">
        <v>544</v>
      </c>
      <c r="C300" s="288" t="s">
        <v>116</v>
      </c>
      <c r="D300" s="288" t="s">
        <v>127</v>
      </c>
      <c r="E300" s="288" t="s">
        <v>545</v>
      </c>
      <c r="F300" s="288" t="s">
        <v>40</v>
      </c>
      <c r="G300" s="288" t="s">
        <v>1289</v>
      </c>
      <c r="H300" s="288" t="s">
        <v>1290</v>
      </c>
      <c r="I300" s="288" t="s">
        <v>118</v>
      </c>
      <c r="J300" s="288"/>
      <c r="K300" s="289">
        <v>43250</v>
      </c>
      <c r="L300" s="290"/>
      <c r="M300" s="290">
        <v>3</v>
      </c>
      <c r="N300" s="288">
        <v>6</v>
      </c>
      <c r="O300" s="288" t="s">
        <v>119</v>
      </c>
      <c r="P300" s="291"/>
      <c r="Q300" s="291"/>
      <c r="R300" s="288" t="s">
        <v>24</v>
      </c>
      <c r="S300" s="288"/>
      <c r="T300" s="292" t="s">
        <v>120</v>
      </c>
      <c r="U300" s="288" t="s">
        <v>528</v>
      </c>
      <c r="V300" s="292" t="s">
        <v>125</v>
      </c>
      <c r="W300" s="288" t="s">
        <v>514</v>
      </c>
      <c r="X300" s="292" t="s">
        <v>120</v>
      </c>
      <c r="Y300" s="288" t="s">
        <v>120</v>
      </c>
      <c r="Z300" s="293" t="s">
        <v>120</v>
      </c>
      <c r="AA300" s="294"/>
      <c r="AB300" s="294"/>
      <c r="AC300" s="295" t="s">
        <v>123</v>
      </c>
      <c r="AD300" s="288"/>
      <c r="AE300" s="292" t="s">
        <v>125</v>
      </c>
      <c r="AF300" s="289"/>
      <c r="AG300" s="296"/>
      <c r="AH300" s="296"/>
      <c r="AI300" s="288" t="s">
        <v>208</v>
      </c>
      <c r="AJ300" s="292" t="s">
        <v>120</v>
      </c>
      <c r="AK300" s="288" t="s">
        <v>123</v>
      </c>
      <c r="AL300" s="288" t="s">
        <v>546</v>
      </c>
      <c r="AM300" s="292"/>
      <c r="AN300" s="288"/>
      <c r="AO300" s="288"/>
      <c r="AP300" s="297"/>
      <c r="AQ300" s="288"/>
      <c r="AR300" s="292"/>
      <c r="AS300" s="288"/>
      <c r="AT300" s="289"/>
      <c r="AU300" s="289"/>
      <c r="AV300" s="289"/>
      <c r="AW300" s="289"/>
      <c r="AX300" s="289"/>
      <c r="AY300" s="289"/>
      <c r="AZ300" s="298"/>
      <c r="BA30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0" s="300">
        <f>COUNTIFS(_05preva_view43[Site ID],_05preva_view43[[#This Row],[Site ID]],_05preva_view43[Prevalidation Status],"Under Prevalidation")</f>
        <v>0</v>
      </c>
      <c r="BC30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0" s="302" t="str">
        <f>CONCATENATE(_05preva_view43[[#This Row],[Site ID]]," (",_05preva_view43[[#This Row],[tenant id]],") Application",IF(_05preva_view43[[#This Row],[Colo Rev]]&gt;0," Rev "&amp;_05preva_view43[[#This Row],[Colo Rev]],""),".xlsx")</f>
        <v>ANSG_0364 (SAW0705) Application.xlsx</v>
      </c>
      <c r="BE300" s="64">
        <f t="shared" ca="1" si="6"/>
        <v>50</v>
      </c>
      <c r="BF300" s="104" t="str">
        <f ca="1">LEFT(CELL("filename",A285),_05preva_view43[[#This Row],[Find Process &amp; Database]]-1)</f>
        <v>D:\OneDrive - apollo-towers.com\Apollo Towers\00-</v>
      </c>
      <c r="BG300" s="104" t="str">
        <f ca="1">_05preva_view43[Folder Path1]&amp;"Process &amp; Database\Documentation\Colo Applications"</f>
        <v>D:\OneDrive - apollo-towers.com\Apollo Towers\00-Process &amp; Database\Documentation\Colo Applications</v>
      </c>
      <c r="BH30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0" s="63" t="str">
        <f ca="1">_05preva_view43[[#This Row],[Folder Path3]]&amp;_05preva_view43[[#This Row],[File Name]]</f>
        <v>D:\OneDrive - apollo-towers.com\Apollo Towers\00-Process &amp; Database\Documentation\Colo Applications\Colo App OML\ANSG_0364 (SAW0705) Application.xlsx</v>
      </c>
      <c r="BJ300" s="104"/>
      <c r="BK300" s="3"/>
      <c r="BL300" s="3"/>
      <c r="CJ300" s="5"/>
      <c r="CK300" s="5"/>
      <c r="CL300" s="3"/>
      <c r="CN300" s="5"/>
      <c r="CR300" s="3"/>
      <c r="CS300" s="3"/>
      <c r="CT300" s="5"/>
      <c r="CV300" s="3"/>
      <c r="DR300" s="5"/>
      <c r="DT300" s="3"/>
      <c r="EF300" s="7"/>
      <c r="EG300" s="7"/>
      <c r="EJ300" s="4"/>
      <c r="EK300" s="4"/>
      <c r="EU300" s="2"/>
      <c r="EV300" s="2"/>
    </row>
    <row r="301" spans="1:152">
      <c r="A301" s="287">
        <v>235</v>
      </c>
      <c r="B301" s="288" t="s">
        <v>547</v>
      </c>
      <c r="C301" s="288" t="s">
        <v>116</v>
      </c>
      <c r="D301" s="288" t="s">
        <v>153</v>
      </c>
      <c r="E301" s="288" t="s">
        <v>548</v>
      </c>
      <c r="F301" s="288" t="s">
        <v>40</v>
      </c>
      <c r="G301" s="288" t="s">
        <v>118</v>
      </c>
      <c r="H301" s="288"/>
      <c r="I301" s="288" t="s">
        <v>118</v>
      </c>
      <c r="J301" s="288"/>
      <c r="K301" s="289">
        <v>43250</v>
      </c>
      <c r="L301" s="290"/>
      <c r="M301" s="290">
        <v>3</v>
      </c>
      <c r="N301" s="288">
        <v>6</v>
      </c>
      <c r="O301" s="288" t="s">
        <v>119</v>
      </c>
      <c r="P301" s="291"/>
      <c r="Q301" s="291"/>
      <c r="R301" s="288" t="s">
        <v>24</v>
      </c>
      <c r="S301" s="288" t="s">
        <v>337</v>
      </c>
      <c r="T301" s="292" t="s">
        <v>120</v>
      </c>
      <c r="U301" s="288" t="s">
        <v>528</v>
      </c>
      <c r="V301" s="292" t="s">
        <v>120</v>
      </c>
      <c r="W301" s="288"/>
      <c r="X301" s="292" t="s">
        <v>120</v>
      </c>
      <c r="Y301" s="288" t="s">
        <v>120</v>
      </c>
      <c r="Z301" s="293" t="s">
        <v>125</v>
      </c>
      <c r="AA301" s="294"/>
      <c r="AB301" s="294"/>
      <c r="AC301" s="295" t="s">
        <v>123</v>
      </c>
      <c r="AD301" s="288" t="s">
        <v>339</v>
      </c>
      <c r="AE301" s="292" t="s">
        <v>125</v>
      </c>
      <c r="AF301" s="289"/>
      <c r="AG301" s="296"/>
      <c r="AH301" s="296"/>
      <c r="AI301" s="288" t="s">
        <v>208</v>
      </c>
      <c r="AJ301" s="292" t="s">
        <v>120</v>
      </c>
      <c r="AK301" s="288" t="s">
        <v>123</v>
      </c>
      <c r="AL301" s="288"/>
      <c r="AM301" s="292"/>
      <c r="AN301" s="288"/>
      <c r="AO301" s="288"/>
      <c r="AP301" s="297"/>
      <c r="AQ301" s="288"/>
      <c r="AR301" s="292"/>
      <c r="AS301" s="288"/>
      <c r="AT301" s="289"/>
      <c r="AU301" s="289"/>
      <c r="AV301" s="289"/>
      <c r="AW301" s="289"/>
      <c r="AX301" s="289"/>
      <c r="AY301" s="289"/>
      <c r="AZ301" s="298"/>
      <c r="BA30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1" s="300">
        <f>COUNTIFS(_05preva_view43[Site ID],_05preva_view43[[#This Row],[Site ID]],_05preva_view43[Prevalidation Status],"Under Prevalidation")</f>
        <v>0</v>
      </c>
      <c r="BC30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1" s="302" t="str">
        <f>CONCATENATE(_05preva_view43[[#This Row],[Site ID]]," (",_05preva_view43[[#This Row],[tenant id]],") Application",IF(_05preva_view43[[#This Row],[Colo Rev]]&gt;0," Rev "&amp;_05preva_view43[[#This Row],[Colo Rev]],""),".xlsx")</f>
        <v>ACAY_0102 (AYW5275) Application.xlsx</v>
      </c>
      <c r="BE301" s="64">
        <f t="shared" ca="1" si="6"/>
        <v>50</v>
      </c>
      <c r="BF301" s="104" t="str">
        <f ca="1">LEFT(CELL("filename",A286),_05preva_view43[[#This Row],[Find Process &amp; Database]]-1)</f>
        <v>D:\OneDrive - apollo-towers.com\Apollo Towers\00-</v>
      </c>
      <c r="BG301" s="104" t="str">
        <f ca="1">_05preva_view43[Folder Path1]&amp;"Process &amp; Database\Documentation\Colo Applications"</f>
        <v>D:\OneDrive - apollo-towers.com\Apollo Towers\00-Process &amp; Database\Documentation\Colo Applications</v>
      </c>
      <c r="BH30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1" s="63" t="str">
        <f ca="1">_05preva_view43[[#This Row],[Folder Path3]]&amp;_05preva_view43[[#This Row],[File Name]]</f>
        <v>D:\OneDrive - apollo-towers.com\Apollo Towers\00-Process &amp; Database\Documentation\Colo Applications\Colo App OML\ACAY_0102 (AYW5275) Application.xlsx</v>
      </c>
      <c r="BJ301" s="104"/>
      <c r="BK301" s="3"/>
      <c r="BL301" s="3"/>
      <c r="CJ301" s="5"/>
      <c r="CK301" s="5"/>
      <c r="CL301" s="3"/>
      <c r="CN301" s="5"/>
      <c r="CR301" s="3"/>
      <c r="CS301" s="3"/>
      <c r="CT301" s="5"/>
      <c r="CV301" s="3"/>
      <c r="DR301" s="5"/>
      <c r="DT301" s="3"/>
      <c r="EF301" s="7"/>
      <c r="EG301" s="7"/>
      <c r="EJ301" s="4"/>
      <c r="EK301" s="4"/>
      <c r="EU301" s="2"/>
      <c r="EV301" s="2"/>
    </row>
    <row r="302" spans="1:152">
      <c r="A302" s="287">
        <v>236</v>
      </c>
      <c r="B302" s="288" t="s">
        <v>549</v>
      </c>
      <c r="C302" s="288" t="s">
        <v>116</v>
      </c>
      <c r="D302" s="288" t="s">
        <v>117</v>
      </c>
      <c r="E302" s="288" t="s">
        <v>550</v>
      </c>
      <c r="F302" s="288" t="s">
        <v>40</v>
      </c>
      <c r="G302" s="288" t="s">
        <v>118</v>
      </c>
      <c r="H302" s="288"/>
      <c r="I302" s="288" t="s">
        <v>118</v>
      </c>
      <c r="J302" s="288"/>
      <c r="K302" s="289">
        <v>43250</v>
      </c>
      <c r="L302" s="290"/>
      <c r="M302" s="290">
        <v>3</v>
      </c>
      <c r="N302" s="288">
        <v>6</v>
      </c>
      <c r="O302" s="288" t="s">
        <v>119</v>
      </c>
      <c r="P302" s="291"/>
      <c r="Q302" s="291"/>
      <c r="R302" s="288" t="s">
        <v>24</v>
      </c>
      <c r="S302" s="288"/>
      <c r="T302" s="292" t="s">
        <v>120</v>
      </c>
      <c r="U302" s="288" t="s">
        <v>538</v>
      </c>
      <c r="V302" s="292" t="s">
        <v>120</v>
      </c>
      <c r="W302" s="288"/>
      <c r="X302" s="292" t="s">
        <v>120</v>
      </c>
      <c r="Y302" s="288" t="s">
        <v>120</v>
      </c>
      <c r="Z302" s="293" t="s">
        <v>120</v>
      </c>
      <c r="AA302" s="294"/>
      <c r="AB302" s="294"/>
      <c r="AC302" s="295" t="s">
        <v>123</v>
      </c>
      <c r="AD302" s="288"/>
      <c r="AE302" s="292" t="s">
        <v>120</v>
      </c>
      <c r="AF302" s="289" t="s">
        <v>207</v>
      </c>
      <c r="AG302" s="296"/>
      <c r="AH302" s="296">
        <v>3.5</v>
      </c>
      <c r="AI302" s="288" t="s">
        <v>308</v>
      </c>
      <c r="AJ302" s="292" t="s">
        <v>120</v>
      </c>
      <c r="AK302" s="288" t="s">
        <v>123</v>
      </c>
      <c r="AL302" s="288"/>
      <c r="AM302" s="292"/>
      <c r="AN302" s="288"/>
      <c r="AO302" s="288"/>
      <c r="AP302" s="297"/>
      <c r="AQ302" s="288"/>
      <c r="AR302" s="292"/>
      <c r="AS302" s="288"/>
      <c r="AT302" s="289"/>
      <c r="AU302" s="289">
        <v>43453.379079976898</v>
      </c>
      <c r="AV302" s="289"/>
      <c r="AW302" s="289"/>
      <c r="AX302" s="289"/>
      <c r="AY302" s="289"/>
      <c r="AZ302" s="298">
        <v>43250</v>
      </c>
      <c r="BA30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2" s="300">
        <f>COUNTIFS(_05preva_view43[Site ID],_05preva_view43[[#This Row],[Site ID]],_05preva_view43[Prevalidation Status],"Under Prevalidation")</f>
        <v>0</v>
      </c>
      <c r="BC30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2" s="302" t="str">
        <f>CONCATENATE(_05preva_view43[[#This Row],[Site ID]]," (",_05preva_view43[[#This Row],[tenant id]],") Application",IF(_05preva_view43[[#This Row],[Colo Rev]]&gt;0," Rev "&amp;_05preva_view43[[#This Row],[Colo Rev]],""),".xlsx")</f>
        <v>ASKH_3000 (KYW6046) Application.xlsx</v>
      </c>
      <c r="BE302" s="64">
        <f t="shared" ca="1" si="6"/>
        <v>50</v>
      </c>
      <c r="BF302" s="104" t="str">
        <f ca="1">LEFT(CELL("filename",A287),_05preva_view43[[#This Row],[Find Process &amp; Database]]-1)</f>
        <v>D:\OneDrive - apollo-towers.com\Apollo Towers\00-</v>
      </c>
      <c r="BG302" s="104" t="str">
        <f ca="1">_05preva_view43[Folder Path1]&amp;"Process &amp; Database\Documentation\Colo Applications"</f>
        <v>D:\OneDrive - apollo-towers.com\Apollo Towers\00-Process &amp; Database\Documentation\Colo Applications</v>
      </c>
      <c r="BH30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2" s="63" t="str">
        <f ca="1">_05preva_view43[[#This Row],[Folder Path3]]&amp;_05preva_view43[[#This Row],[File Name]]</f>
        <v>D:\OneDrive - apollo-towers.com\Apollo Towers\00-Process &amp; Database\Documentation\Colo Applications\Colo App OML\ASKH_3000 (KYW6046) Application.xlsx</v>
      </c>
      <c r="BJ302" s="104"/>
      <c r="BK302" s="3"/>
      <c r="BL302" s="3"/>
      <c r="CJ302" s="5"/>
      <c r="CK302" s="5"/>
      <c r="CL302" s="3"/>
      <c r="CN302" s="5"/>
      <c r="CR302" s="3"/>
      <c r="CS302" s="3"/>
      <c r="CT302" s="5"/>
      <c r="CV302" s="3"/>
      <c r="DR302" s="5"/>
      <c r="DT302" s="3"/>
      <c r="EF302" s="7"/>
      <c r="EG302" s="7"/>
      <c r="EJ302" s="4"/>
      <c r="EK302" s="4"/>
      <c r="EU302" s="2"/>
      <c r="EV302" s="2"/>
    </row>
    <row r="303" spans="1:152">
      <c r="A303" s="287">
        <v>237</v>
      </c>
      <c r="B303" s="288" t="s">
        <v>551</v>
      </c>
      <c r="C303" s="288" t="s">
        <v>116</v>
      </c>
      <c r="D303" s="288" t="s">
        <v>127</v>
      </c>
      <c r="E303" s="288" t="s">
        <v>552</v>
      </c>
      <c r="F303" s="288" t="s">
        <v>40</v>
      </c>
      <c r="G303" s="288" t="s">
        <v>1289</v>
      </c>
      <c r="H303" s="288" t="s">
        <v>1285</v>
      </c>
      <c r="I303" s="288" t="s">
        <v>118</v>
      </c>
      <c r="J303" s="288"/>
      <c r="K303" s="289">
        <v>43250</v>
      </c>
      <c r="L303" s="290"/>
      <c r="M303" s="290">
        <v>3</v>
      </c>
      <c r="N303" s="288">
        <v>6</v>
      </c>
      <c r="O303" s="288" t="s">
        <v>119</v>
      </c>
      <c r="P303" s="291"/>
      <c r="Q303" s="291"/>
      <c r="R303" s="288" t="s">
        <v>24</v>
      </c>
      <c r="S303" s="288"/>
      <c r="T303" s="292" t="s">
        <v>120</v>
      </c>
      <c r="U303" s="288" t="s">
        <v>528</v>
      </c>
      <c r="V303" s="292" t="s">
        <v>120</v>
      </c>
      <c r="W303" s="288"/>
      <c r="X303" s="292" t="s">
        <v>120</v>
      </c>
      <c r="Y303" s="288" t="s">
        <v>120</v>
      </c>
      <c r="Z303" s="293" t="s">
        <v>120</v>
      </c>
      <c r="AA303" s="294"/>
      <c r="AB303" s="294"/>
      <c r="AC303" s="295" t="s">
        <v>123</v>
      </c>
      <c r="AD303" s="288" t="s">
        <v>325</v>
      </c>
      <c r="AE303" s="292" t="s">
        <v>120</v>
      </c>
      <c r="AF303" s="289" t="s">
        <v>207</v>
      </c>
      <c r="AG303" s="296"/>
      <c r="AH303" s="296">
        <v>3.5</v>
      </c>
      <c r="AI303" s="288" t="s">
        <v>399</v>
      </c>
      <c r="AJ303" s="292" t="s">
        <v>120</v>
      </c>
      <c r="AK303" s="288" t="s">
        <v>123</v>
      </c>
      <c r="AL303" s="288" t="s">
        <v>546</v>
      </c>
      <c r="AM303" s="292"/>
      <c r="AN303" s="288"/>
      <c r="AO303" s="288"/>
      <c r="AP303" s="297"/>
      <c r="AQ303" s="288"/>
      <c r="AR303" s="292"/>
      <c r="AS303" s="288"/>
      <c r="AT303" s="289"/>
      <c r="AU303" s="289">
        <v>43453.379080787003</v>
      </c>
      <c r="AV303" s="289"/>
      <c r="AW303" s="289"/>
      <c r="AX303" s="289"/>
      <c r="AY303" s="289"/>
      <c r="AZ303" s="298">
        <v>43250</v>
      </c>
      <c r="BA30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3" s="300">
        <f>COUNTIFS(_05preva_view43[Site ID],_05preva_view43[[#This Row],[Site ID]],_05preva_view43[Prevalidation Status],"Under Prevalidation")</f>
        <v>0</v>
      </c>
      <c r="BC30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3" s="302" t="str">
        <f>CONCATENATE(_05preva_view43[[#This Row],[Site ID]]," (",_05preva_view43[[#This Row],[tenant id]],") Application",IF(_05preva_view43[[#This Row],[Colo Rev]]&gt;0," Rev "&amp;_05preva_view43[[#This Row],[Colo Rev]],""),".xlsx")</f>
        <v>ANSG_0348 (SAW0704) Application.xlsx</v>
      </c>
      <c r="BE303" s="64">
        <f t="shared" ca="1" si="6"/>
        <v>50</v>
      </c>
      <c r="BF303" s="104" t="str">
        <f ca="1">LEFT(CELL("filename",A288),_05preva_view43[[#This Row],[Find Process &amp; Database]]-1)</f>
        <v>D:\OneDrive - apollo-towers.com\Apollo Towers\00-</v>
      </c>
      <c r="BG303" s="104" t="str">
        <f ca="1">_05preva_view43[Folder Path1]&amp;"Process &amp; Database\Documentation\Colo Applications"</f>
        <v>D:\OneDrive - apollo-towers.com\Apollo Towers\00-Process &amp; Database\Documentation\Colo Applications</v>
      </c>
      <c r="BH30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3" s="63" t="str">
        <f ca="1">_05preva_view43[[#This Row],[Folder Path3]]&amp;_05preva_view43[[#This Row],[File Name]]</f>
        <v>D:\OneDrive - apollo-towers.com\Apollo Towers\00-Process &amp; Database\Documentation\Colo Applications\Colo App OML\ANSG_0348 (SAW0704) Application.xlsx</v>
      </c>
      <c r="BJ303" s="104"/>
      <c r="BK303" s="3"/>
      <c r="BL303" s="3"/>
      <c r="CJ303" s="5"/>
      <c r="CK303" s="5"/>
      <c r="CL303" s="3"/>
      <c r="CN303" s="5"/>
      <c r="CR303" s="3"/>
      <c r="CS303" s="3"/>
      <c r="CT303" s="5"/>
      <c r="CV303" s="3"/>
      <c r="DR303" s="5"/>
      <c r="DT303" s="3"/>
      <c r="EF303" s="7"/>
      <c r="EG303" s="7"/>
      <c r="EJ303" s="4"/>
      <c r="EK303" s="4"/>
      <c r="EU303" s="2"/>
      <c r="EV303" s="2"/>
    </row>
    <row r="304" spans="1:152">
      <c r="A304" s="287">
        <v>221</v>
      </c>
      <c r="B304" s="288" t="s">
        <v>516</v>
      </c>
      <c r="C304" s="288" t="s">
        <v>116</v>
      </c>
      <c r="D304" s="288" t="s">
        <v>117</v>
      </c>
      <c r="E304" s="288" t="s">
        <v>517</v>
      </c>
      <c r="F304" s="288" t="s">
        <v>34</v>
      </c>
      <c r="G304" s="288" t="s">
        <v>1284</v>
      </c>
      <c r="H304" s="288" t="s">
        <v>1285</v>
      </c>
      <c r="I304" s="288" t="s">
        <v>118</v>
      </c>
      <c r="J304" s="288"/>
      <c r="K304" s="289">
        <v>43245</v>
      </c>
      <c r="L304" s="290"/>
      <c r="M304" s="290">
        <v>2</v>
      </c>
      <c r="N304" s="288">
        <v>6</v>
      </c>
      <c r="O304" s="288" t="s">
        <v>119</v>
      </c>
      <c r="P304" s="291" t="s">
        <v>227</v>
      </c>
      <c r="Q304" s="291" t="s">
        <v>228</v>
      </c>
      <c r="R304" s="288" t="s">
        <v>24</v>
      </c>
      <c r="S304" s="288"/>
      <c r="T304" s="292" t="s">
        <v>120</v>
      </c>
      <c r="U304" s="288" t="s">
        <v>513</v>
      </c>
      <c r="V304" s="292" t="s">
        <v>120</v>
      </c>
      <c r="W304" s="288"/>
      <c r="X304" s="292" t="s">
        <v>120</v>
      </c>
      <c r="Y304" s="288" t="s">
        <v>120</v>
      </c>
      <c r="Z304" s="293" t="s">
        <v>120</v>
      </c>
      <c r="AA304" s="294"/>
      <c r="AB304" s="294"/>
      <c r="AC304" s="295" t="s">
        <v>123</v>
      </c>
      <c r="AD304" s="288"/>
      <c r="AE304" s="292" t="s">
        <v>120</v>
      </c>
      <c r="AF304" s="289" t="s">
        <v>518</v>
      </c>
      <c r="AG304" s="296"/>
      <c r="AH304" s="296">
        <v>1.5</v>
      </c>
      <c r="AI304" s="288" t="s">
        <v>519</v>
      </c>
      <c r="AJ304" s="292" t="s">
        <v>120</v>
      </c>
      <c r="AK304" s="288" t="s">
        <v>123</v>
      </c>
      <c r="AL304" s="288"/>
      <c r="AM304" s="292"/>
      <c r="AN304" s="288"/>
      <c r="AO304" s="288"/>
      <c r="AP304" s="297"/>
      <c r="AQ304" s="288"/>
      <c r="AR304" s="292"/>
      <c r="AS304" s="288"/>
      <c r="AT304" s="289"/>
      <c r="AU304" s="289">
        <v>43453.379071064803</v>
      </c>
      <c r="AV304" s="289"/>
      <c r="AW304" s="289"/>
      <c r="AX304" s="289"/>
      <c r="AY304" s="289"/>
      <c r="AZ304" s="298">
        <v>43245</v>
      </c>
      <c r="BA30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4" s="300">
        <f>COUNTIFS(_05preva_view43[Site ID],_05preva_view43[[#This Row],[Site ID]],_05preva_view43[Prevalidation Status],"Under Prevalidation")</f>
        <v>0</v>
      </c>
      <c r="BC30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4" s="302" t="str">
        <f>CONCATENATE(_05preva_view43[[#This Row],[Site ID]]," (",_05preva_view43[[#This Row],[tenant id]],") Application",IF(_05preva_view43[[#This Row],[Colo Rev]]&gt;0," Rev "&amp;_05preva_view43[[#This Row],[Colo Rev]],""),".xlsx")</f>
        <v>ANNP_0391 (NPW0266) Application.xlsx</v>
      </c>
      <c r="BE304" s="64">
        <f t="shared" ca="1" si="6"/>
        <v>50</v>
      </c>
      <c r="BF304" s="104" t="str">
        <f ca="1">LEFT(CELL("filename",A289),_05preva_view43[[#This Row],[Find Process &amp; Database]]-1)</f>
        <v>D:\OneDrive - apollo-towers.com\Apollo Towers\00-</v>
      </c>
      <c r="BG304" s="104" t="str">
        <f ca="1">_05preva_view43[Folder Path1]&amp;"Process &amp; Database\Documentation\Colo Applications"</f>
        <v>D:\OneDrive - apollo-towers.com\Apollo Towers\00-Process &amp; Database\Documentation\Colo Applications</v>
      </c>
      <c r="BH304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04" s="63" t="str">
        <f ca="1">_05preva_view43[[#This Row],[Folder Path3]]&amp;_05preva_view43[[#This Row],[File Name]]</f>
        <v>D:\OneDrive - apollo-towers.com\Apollo Towers\00-Process &amp; Database\Documentation\Colo Applications\Colo App Mytel\ANNP_0391 (NPW0266) Application.xlsx</v>
      </c>
      <c r="BJ304" s="104"/>
      <c r="BK304" s="3"/>
      <c r="BL304" s="3"/>
      <c r="CJ304" s="5"/>
      <c r="CK304" s="5"/>
      <c r="CL304" s="3"/>
      <c r="CN304" s="5"/>
      <c r="CR304" s="3"/>
      <c r="CS304" s="3"/>
      <c r="CT304" s="5"/>
      <c r="CV304" s="3"/>
      <c r="DR304" s="5"/>
      <c r="DT304" s="3"/>
      <c r="EF304" s="7"/>
      <c r="EG304" s="7"/>
      <c r="EJ304" s="4"/>
      <c r="EK304" s="4"/>
      <c r="EU304" s="2"/>
      <c r="EV304" s="2"/>
    </row>
    <row r="305" spans="1:152">
      <c r="A305" s="287">
        <v>224</v>
      </c>
      <c r="B305" s="288" t="s">
        <v>521</v>
      </c>
      <c r="C305" s="288" t="s">
        <v>116</v>
      </c>
      <c r="D305" s="288" t="s">
        <v>127</v>
      </c>
      <c r="E305" s="288" t="s">
        <v>522</v>
      </c>
      <c r="F305" s="288" t="s">
        <v>34</v>
      </c>
      <c r="G305" s="288" t="s">
        <v>1284</v>
      </c>
      <c r="H305" s="288" t="s">
        <v>1290</v>
      </c>
      <c r="I305" s="288" t="s">
        <v>118</v>
      </c>
      <c r="J305" s="288"/>
      <c r="K305" s="289">
        <v>43245</v>
      </c>
      <c r="L305" s="290"/>
      <c r="M305" s="290">
        <v>2</v>
      </c>
      <c r="N305" s="288">
        <v>6</v>
      </c>
      <c r="O305" s="288" t="s">
        <v>119</v>
      </c>
      <c r="P305" s="291" t="s">
        <v>240</v>
      </c>
      <c r="Q305" s="291" t="s">
        <v>241</v>
      </c>
      <c r="R305" s="288" t="s">
        <v>24</v>
      </c>
      <c r="S305" s="288"/>
      <c r="T305" s="292" t="s">
        <v>120</v>
      </c>
      <c r="U305" s="288" t="s">
        <v>513</v>
      </c>
      <c r="V305" s="292" t="s">
        <v>120</v>
      </c>
      <c r="W305" s="288"/>
      <c r="X305" s="292" t="s">
        <v>120</v>
      </c>
      <c r="Y305" s="288" t="s">
        <v>120</v>
      </c>
      <c r="Z305" s="293" t="s">
        <v>120</v>
      </c>
      <c r="AA305" s="294"/>
      <c r="AB305" s="294"/>
      <c r="AC305" s="295" t="s">
        <v>123</v>
      </c>
      <c r="AD305" s="288"/>
      <c r="AE305" s="292" t="s">
        <v>615</v>
      </c>
      <c r="AF305" s="289" t="s">
        <v>282</v>
      </c>
      <c r="AG305" s="296"/>
      <c r="AH305" s="296">
        <v>2</v>
      </c>
      <c r="AI305" s="288" t="s">
        <v>523</v>
      </c>
      <c r="AJ305" s="292" t="s">
        <v>120</v>
      </c>
      <c r="AK305" s="288" t="s">
        <v>123</v>
      </c>
      <c r="AL305" s="288"/>
      <c r="AM305" s="292" t="s">
        <v>615</v>
      </c>
      <c r="AN305" s="288"/>
      <c r="AO305" s="288" t="s">
        <v>615</v>
      </c>
      <c r="AP305" s="297"/>
      <c r="AQ305" s="288"/>
      <c r="AR305" s="292" t="s">
        <v>120</v>
      </c>
      <c r="AS305" s="288"/>
      <c r="AT305" s="289">
        <v>43417.622353009298</v>
      </c>
      <c r="AU305" s="289"/>
      <c r="AV305" s="289">
        <v>43417.680085648099</v>
      </c>
      <c r="AW305" s="289">
        <v>43417.71125</v>
      </c>
      <c r="AX305" s="289">
        <v>43417.688151388902</v>
      </c>
      <c r="AY305" s="289">
        <v>43417.684578588</v>
      </c>
      <c r="AZ305" s="298">
        <v>43454.726609722202</v>
      </c>
      <c r="BA305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209.72660972220183</v>
      </c>
      <c r="BB305" s="300">
        <f>COUNTIFS(_05preva_view43[Site ID],_05preva_view43[[#This Row],[Site ID]],_05preva_view43[Prevalidation Status],"Under Prevalidation")</f>
        <v>0</v>
      </c>
      <c r="BC30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5" s="302" t="str">
        <f>CONCATENATE(_05preva_view43[[#This Row],[Site ID]]," (",_05preva_view43[[#This Row],[tenant id]],") Application",IF(_05preva_view43[[#This Row],[Colo Rev]]&gt;0," Rev "&amp;_05preva_view43[[#This Row],[Colo Rev]],""),".xlsx")</f>
        <v>ANSG_0373 (SGG0992) Application.xlsx</v>
      </c>
      <c r="BE305" s="64">
        <f t="shared" ca="1" si="6"/>
        <v>50</v>
      </c>
      <c r="BF305" s="104" t="str">
        <f ca="1">LEFT(CELL("filename",A290),_05preva_view43[[#This Row],[Find Process &amp; Database]]-1)</f>
        <v>D:\OneDrive - apollo-towers.com\Apollo Towers\00-</v>
      </c>
      <c r="BG305" s="104" t="str">
        <f ca="1">_05preva_view43[Folder Path1]&amp;"Process &amp; Database\Documentation\Colo Applications"</f>
        <v>D:\OneDrive - apollo-towers.com\Apollo Towers\00-Process &amp; Database\Documentation\Colo Applications</v>
      </c>
      <c r="BH30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05" s="63" t="str">
        <f ca="1">_05preva_view43[[#This Row],[Folder Path3]]&amp;_05preva_view43[[#This Row],[File Name]]</f>
        <v>D:\OneDrive - apollo-towers.com\Apollo Towers\00-Process &amp; Database\Documentation\Colo Applications\Colo App Mytel\ANSG_0373 (SGG0992) Application.xlsx</v>
      </c>
      <c r="BJ305" s="104"/>
      <c r="BK305" s="3"/>
      <c r="BL305" s="3"/>
      <c r="CJ305" s="5"/>
      <c r="CK305" s="5"/>
      <c r="CL305" s="3"/>
      <c r="CN305" s="5"/>
      <c r="CR305" s="3"/>
      <c r="CS305" s="3"/>
      <c r="CT305" s="5"/>
      <c r="CV305" s="3"/>
      <c r="DR305" s="5"/>
      <c r="DT305" s="3"/>
      <c r="EF305" s="7"/>
      <c r="EG305" s="7"/>
      <c r="EJ305" s="4"/>
      <c r="EK305" s="4"/>
      <c r="EU305" s="2"/>
      <c r="EV305" s="2"/>
    </row>
    <row r="306" spans="1:152">
      <c r="A306" s="287">
        <v>217</v>
      </c>
      <c r="B306" s="288" t="s">
        <v>506</v>
      </c>
      <c r="C306" s="288" t="s">
        <v>116</v>
      </c>
      <c r="D306" s="288" t="s">
        <v>117</v>
      </c>
      <c r="E306" s="288" t="s">
        <v>507</v>
      </c>
      <c r="F306" s="288" t="s">
        <v>35</v>
      </c>
      <c r="G306" s="288" t="s">
        <v>1287</v>
      </c>
      <c r="H306" s="288" t="s">
        <v>1285</v>
      </c>
      <c r="I306" s="288" t="s">
        <v>118</v>
      </c>
      <c r="J306" s="288"/>
      <c r="K306" s="289">
        <v>43237</v>
      </c>
      <c r="L306" s="290"/>
      <c r="M306" s="290">
        <v>1.3</v>
      </c>
      <c r="N306" s="288">
        <v>1</v>
      </c>
      <c r="O306" s="288" t="s">
        <v>119</v>
      </c>
      <c r="P306" s="291" t="s">
        <v>508</v>
      </c>
      <c r="Q306" s="291" t="s">
        <v>509</v>
      </c>
      <c r="R306" s="288" t="s">
        <v>24</v>
      </c>
      <c r="S306" s="288"/>
      <c r="T306" s="292" t="s">
        <v>120</v>
      </c>
      <c r="U306" s="288" t="s">
        <v>510</v>
      </c>
      <c r="V306" s="292" t="s">
        <v>120</v>
      </c>
      <c r="W306" s="288"/>
      <c r="X306" s="292" t="s">
        <v>120</v>
      </c>
      <c r="Y306" s="288"/>
      <c r="Z306" s="293" t="s">
        <v>120</v>
      </c>
      <c r="AA306" s="294"/>
      <c r="AB306" s="294"/>
      <c r="AC306" s="295" t="s">
        <v>123</v>
      </c>
      <c r="AD306" s="288"/>
      <c r="AE306" s="292" t="s">
        <v>120</v>
      </c>
      <c r="AF306" s="289" t="s">
        <v>511</v>
      </c>
      <c r="AG306" s="296"/>
      <c r="AH306" s="296">
        <v>2</v>
      </c>
      <c r="AI306" s="288" t="s">
        <v>512</v>
      </c>
      <c r="AJ306" s="292" t="s">
        <v>120</v>
      </c>
      <c r="AK306" s="288" t="s">
        <v>123</v>
      </c>
      <c r="AL306" s="288"/>
      <c r="AM306" s="292"/>
      <c r="AN306" s="288"/>
      <c r="AO306" s="288"/>
      <c r="AP306" s="297"/>
      <c r="AQ306" s="288"/>
      <c r="AR306" s="292"/>
      <c r="AS306" s="288"/>
      <c r="AT306" s="289"/>
      <c r="AU306" s="289">
        <v>43453.379067592599</v>
      </c>
      <c r="AV306" s="289"/>
      <c r="AW306" s="289"/>
      <c r="AX306" s="289"/>
      <c r="AY306" s="289"/>
      <c r="AZ306" s="298">
        <v>43237</v>
      </c>
      <c r="BA30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6" s="300">
        <f>COUNTIFS(_05preva_view43[Site ID],_05preva_view43[[#This Row],[Site ID]],_05preva_view43[Prevalidation Status],"Under Prevalidation")</f>
        <v>0</v>
      </c>
      <c r="BC30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6" s="302" t="str">
        <f>CONCATENATE(_05preva_view43[[#This Row],[Site ID]]," (",_05preva_view43[[#This Row],[tenant id]],") Application",IF(_05preva_view43[[#This Row],[Colo Rev]]&gt;0," Rev "&amp;_05preva_view43[[#This Row],[Colo Rev]],""),".xlsx")</f>
        <v>ACRK_0028 (RKE00512) Application.xlsx</v>
      </c>
      <c r="BE306" s="64">
        <f t="shared" ca="1" si="6"/>
        <v>50</v>
      </c>
      <c r="BF306" s="104" t="str">
        <f ca="1">LEFT(CELL("filename",A291),_05preva_view43[[#This Row],[Find Process &amp; Database]]-1)</f>
        <v>D:\OneDrive - apollo-towers.com\Apollo Towers\00-</v>
      </c>
      <c r="BG306" s="104" t="str">
        <f ca="1">_05preva_view43[Folder Path1]&amp;"Process &amp; Database\Documentation\Colo Applications"</f>
        <v>D:\OneDrive - apollo-towers.com\Apollo Towers\00-Process &amp; Database\Documentation\Colo Applications</v>
      </c>
      <c r="BH306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06" s="63" t="str">
        <f ca="1">_05preva_view43[[#This Row],[Folder Path3]]&amp;_05preva_view43[[#This Row],[File Name]]</f>
        <v>D:\OneDrive - apollo-towers.com\Apollo Towers\00-Process &amp; Database\Documentation\Colo Applications\Colo App MPT\ACRK_0028 (RKE00512) Application.xlsx</v>
      </c>
      <c r="BJ306" s="104"/>
      <c r="BK306" s="3"/>
      <c r="BL306" s="3"/>
      <c r="CJ306" s="5"/>
      <c r="CK306" s="5"/>
      <c r="CL306" s="3"/>
      <c r="CN306" s="5"/>
      <c r="CR306" s="3"/>
      <c r="CS306" s="3"/>
      <c r="CT306" s="5"/>
      <c r="CV306" s="3"/>
      <c r="DR306" s="5"/>
      <c r="DT306" s="3"/>
      <c r="EF306" s="7"/>
      <c r="EG306" s="7"/>
      <c r="EJ306" s="4"/>
      <c r="EK306" s="4"/>
      <c r="EU306" s="2"/>
      <c r="EV306" s="2"/>
    </row>
    <row r="307" spans="1:152">
      <c r="A307" s="287">
        <v>69</v>
      </c>
      <c r="B307" s="288" t="s">
        <v>303</v>
      </c>
      <c r="C307" s="288" t="s">
        <v>116</v>
      </c>
      <c r="D307" s="288" t="s">
        <v>153</v>
      </c>
      <c r="E307" s="288" t="s">
        <v>304</v>
      </c>
      <c r="F307" s="288" t="s">
        <v>40</v>
      </c>
      <c r="G307" s="288" t="s">
        <v>118</v>
      </c>
      <c r="H307" s="288"/>
      <c r="I307" s="288" t="s">
        <v>118</v>
      </c>
      <c r="J307" s="288"/>
      <c r="K307" s="289">
        <v>43236</v>
      </c>
      <c r="L307" s="290"/>
      <c r="M307" s="290">
        <v>3</v>
      </c>
      <c r="N307" s="288"/>
      <c r="O307" s="288" t="s">
        <v>119</v>
      </c>
      <c r="P307" s="291"/>
      <c r="Q307" s="291"/>
      <c r="R307" s="288" t="s">
        <v>24</v>
      </c>
      <c r="S307" s="288"/>
      <c r="T307" s="292" t="s">
        <v>120</v>
      </c>
      <c r="U307" s="288" t="s">
        <v>301</v>
      </c>
      <c r="V307" s="292" t="s">
        <v>120</v>
      </c>
      <c r="W307" s="288"/>
      <c r="X307" s="292" t="s">
        <v>120</v>
      </c>
      <c r="Y307" s="288" t="s">
        <v>120</v>
      </c>
      <c r="Z307" s="293" t="s">
        <v>120</v>
      </c>
      <c r="AA307" s="294"/>
      <c r="AB307" s="294"/>
      <c r="AC307" s="295"/>
      <c r="AD307" s="288" t="s">
        <v>120</v>
      </c>
      <c r="AE307" s="292" t="s">
        <v>120</v>
      </c>
      <c r="AF307" s="289" t="s">
        <v>300</v>
      </c>
      <c r="AG307" s="296"/>
      <c r="AH307" s="296">
        <v>2</v>
      </c>
      <c r="AI307" s="288" t="s">
        <v>305</v>
      </c>
      <c r="AJ307" s="292" t="s">
        <v>120</v>
      </c>
      <c r="AK307" s="288" t="s">
        <v>123</v>
      </c>
      <c r="AL307" s="288"/>
      <c r="AM307" s="292"/>
      <c r="AN307" s="288"/>
      <c r="AO307" s="288"/>
      <c r="AP307" s="297"/>
      <c r="AQ307" s="288"/>
      <c r="AR307" s="292"/>
      <c r="AS307" s="288"/>
      <c r="AT307" s="289"/>
      <c r="AU307" s="289">
        <v>43453.378971296297</v>
      </c>
      <c r="AV307" s="289"/>
      <c r="AW307" s="289"/>
      <c r="AX307" s="289"/>
      <c r="AY307" s="289"/>
      <c r="AZ307" s="298">
        <v>43236</v>
      </c>
      <c r="BA30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7" s="300">
        <f>COUNTIFS(_05preva_view43[Site ID],_05preva_view43[[#This Row],[Site ID]],_05preva_view43[Prevalidation Status],"Under Prevalidation")</f>
        <v>0</v>
      </c>
      <c r="BC30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7" s="302" t="str">
        <f>CONCATENATE(_05preva_view43[[#This Row],[Site ID]]," (",_05preva_view43[[#This Row],[tenant id]],") Application",IF(_05preva_view43[[#This Row],[Colo Rev]]&gt;0," Rev "&amp;_05preva_view43[[#This Row],[Colo Rev]],""),".xlsx")</f>
        <v>ACAY_0015 (AYW5549) Application.xlsx</v>
      </c>
      <c r="BE307" s="64">
        <f t="shared" ca="1" si="6"/>
        <v>50</v>
      </c>
      <c r="BF307" s="104" t="str">
        <f ca="1">LEFT(CELL("filename",A292),_05preva_view43[[#This Row],[Find Process &amp; Database]]-1)</f>
        <v>D:\OneDrive - apollo-towers.com\Apollo Towers\00-</v>
      </c>
      <c r="BG307" s="104" t="str">
        <f ca="1">_05preva_view43[Folder Path1]&amp;"Process &amp; Database\Documentation\Colo Applications"</f>
        <v>D:\OneDrive - apollo-towers.com\Apollo Towers\00-Process &amp; Database\Documentation\Colo Applications</v>
      </c>
      <c r="BH30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7" s="63" t="str">
        <f ca="1">_05preva_view43[[#This Row],[Folder Path3]]&amp;_05preva_view43[[#This Row],[File Name]]</f>
        <v>D:\OneDrive - apollo-towers.com\Apollo Towers\00-Process &amp; Database\Documentation\Colo Applications\Colo App OML\ACAY_0015 (AYW5549) Application.xlsx</v>
      </c>
      <c r="BJ307" s="104"/>
      <c r="BK307" s="3"/>
      <c r="BL307" s="3"/>
      <c r="CJ307" s="5"/>
      <c r="CK307" s="5"/>
      <c r="CL307" s="3"/>
      <c r="CN307" s="5"/>
      <c r="CR307" s="3"/>
      <c r="CS307" s="3"/>
      <c r="CT307" s="5"/>
      <c r="CV307" s="3"/>
      <c r="DR307" s="5"/>
      <c r="DT307" s="3"/>
      <c r="EF307" s="7"/>
      <c r="EG307" s="7"/>
      <c r="EJ307" s="4"/>
      <c r="EK307" s="4"/>
      <c r="EU307" s="2"/>
      <c r="EV307" s="2"/>
    </row>
    <row r="308" spans="1:152">
      <c r="A308" s="287">
        <v>70</v>
      </c>
      <c r="B308" s="288" t="s">
        <v>306</v>
      </c>
      <c r="C308" s="288" t="s">
        <v>116</v>
      </c>
      <c r="D308" s="288" t="s">
        <v>153</v>
      </c>
      <c r="E308" s="288" t="s">
        <v>307</v>
      </c>
      <c r="F308" s="288" t="s">
        <v>40</v>
      </c>
      <c r="G308" s="288" t="s">
        <v>118</v>
      </c>
      <c r="H308" s="288"/>
      <c r="I308" s="288" t="s">
        <v>118</v>
      </c>
      <c r="J308" s="288"/>
      <c r="K308" s="289">
        <v>43236</v>
      </c>
      <c r="L308" s="290"/>
      <c r="M308" s="290">
        <v>3</v>
      </c>
      <c r="N308" s="288"/>
      <c r="O308" s="288" t="s">
        <v>119</v>
      </c>
      <c r="P308" s="291"/>
      <c r="Q308" s="291"/>
      <c r="R308" s="288" t="s">
        <v>24</v>
      </c>
      <c r="S308" s="288"/>
      <c r="T308" s="292" t="s">
        <v>120</v>
      </c>
      <c r="U308" s="288" t="s">
        <v>301</v>
      </c>
      <c r="V308" s="292" t="s">
        <v>120</v>
      </c>
      <c r="W308" s="288"/>
      <c r="X308" s="292" t="s">
        <v>120</v>
      </c>
      <c r="Y308" s="288" t="s">
        <v>120</v>
      </c>
      <c r="Z308" s="293" t="s">
        <v>120</v>
      </c>
      <c r="AA308" s="294"/>
      <c r="AB308" s="294"/>
      <c r="AC308" s="295"/>
      <c r="AD308" s="288" t="s">
        <v>120</v>
      </c>
      <c r="AE308" s="292" t="s">
        <v>120</v>
      </c>
      <c r="AF308" s="289" t="s">
        <v>207</v>
      </c>
      <c r="AG308" s="296"/>
      <c r="AH308" s="296">
        <v>3.5</v>
      </c>
      <c r="AI308" s="288" t="s">
        <v>308</v>
      </c>
      <c r="AJ308" s="292" t="s">
        <v>120</v>
      </c>
      <c r="AK308" s="288" t="s">
        <v>123</v>
      </c>
      <c r="AL308" s="288"/>
      <c r="AM308" s="292"/>
      <c r="AN308" s="288"/>
      <c r="AO308" s="288"/>
      <c r="AP308" s="297"/>
      <c r="AQ308" s="288"/>
      <c r="AR308" s="292"/>
      <c r="AS308" s="288"/>
      <c r="AT308" s="289"/>
      <c r="AU308" s="289">
        <v>43453.378972222199</v>
      </c>
      <c r="AV308" s="289"/>
      <c r="AW308" s="289"/>
      <c r="AX308" s="289"/>
      <c r="AY308" s="289"/>
      <c r="AZ308" s="298">
        <v>43236</v>
      </c>
      <c r="BA30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8" s="300">
        <f>COUNTIFS(_05preva_view43[Site ID],_05preva_view43[[#This Row],[Site ID]],_05preva_view43[Prevalidation Status],"Under Prevalidation")</f>
        <v>0</v>
      </c>
      <c r="BC30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8" s="302" t="str">
        <f>CONCATENATE(_05preva_view43[[#This Row],[Site ID]]," (",_05preva_view43[[#This Row],[tenant id]],") Application",IF(_05preva_view43[[#This Row],[Colo Rev]]&gt;0," Rev "&amp;_05preva_view43[[#This Row],[Colo Rev]],""),".xlsx")</f>
        <v>ASMO_0313 (MOW6298) Application.xlsx</v>
      </c>
      <c r="BE308" s="64">
        <f t="shared" ca="1" si="6"/>
        <v>50</v>
      </c>
      <c r="BF308" s="104" t="str">
        <f ca="1">LEFT(CELL("filename",A293),_05preva_view43[[#This Row],[Find Process &amp; Database]]-1)</f>
        <v>D:\OneDrive - apollo-towers.com\Apollo Towers\00-</v>
      </c>
      <c r="BG308" s="104" t="str">
        <f ca="1">_05preva_view43[Folder Path1]&amp;"Process &amp; Database\Documentation\Colo Applications"</f>
        <v>D:\OneDrive - apollo-towers.com\Apollo Towers\00-Process &amp; Database\Documentation\Colo Applications</v>
      </c>
      <c r="BH30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8" s="63" t="str">
        <f ca="1">_05preva_view43[[#This Row],[Folder Path3]]&amp;_05preva_view43[[#This Row],[File Name]]</f>
        <v>D:\OneDrive - apollo-towers.com\Apollo Towers\00-Process &amp; Database\Documentation\Colo Applications\Colo App OML\ASMO_0313 (MOW6298) Application.xlsx</v>
      </c>
      <c r="BJ308" s="104"/>
      <c r="BK308" s="3"/>
      <c r="BL308" s="3"/>
      <c r="CJ308" s="5"/>
      <c r="CK308" s="5"/>
      <c r="CL308" s="3"/>
      <c r="CN308" s="5"/>
      <c r="CR308" s="3"/>
      <c r="CS308" s="3"/>
      <c r="CT308" s="5"/>
      <c r="CV308" s="3"/>
      <c r="DR308" s="5"/>
      <c r="DT308" s="3"/>
      <c r="EF308" s="7"/>
      <c r="EG308" s="7"/>
      <c r="EJ308" s="4"/>
      <c r="EK308" s="4"/>
      <c r="EU308" s="2"/>
      <c r="EV308" s="2"/>
    </row>
    <row r="309" spans="1:152">
      <c r="A309" s="287">
        <v>71</v>
      </c>
      <c r="B309" s="288" t="s">
        <v>309</v>
      </c>
      <c r="C309" s="288" t="s">
        <v>116</v>
      </c>
      <c r="D309" s="288" t="s">
        <v>153</v>
      </c>
      <c r="E309" s="288" t="s">
        <v>310</v>
      </c>
      <c r="F309" s="288" t="s">
        <v>40</v>
      </c>
      <c r="G309" s="288" t="s">
        <v>118</v>
      </c>
      <c r="H309" s="288"/>
      <c r="I309" s="288" t="s">
        <v>118</v>
      </c>
      <c r="J309" s="288"/>
      <c r="K309" s="289">
        <v>43236</v>
      </c>
      <c r="L309" s="290"/>
      <c r="M309" s="290">
        <v>3</v>
      </c>
      <c r="N309" s="288"/>
      <c r="O309" s="288" t="s">
        <v>119</v>
      </c>
      <c r="P309" s="291"/>
      <c r="Q309" s="291"/>
      <c r="R309" s="288" t="s">
        <v>24</v>
      </c>
      <c r="S309" s="288"/>
      <c r="T309" s="292" t="s">
        <v>120</v>
      </c>
      <c r="U309" s="288" t="s">
        <v>301</v>
      </c>
      <c r="V309" s="292" t="s">
        <v>120</v>
      </c>
      <c r="W309" s="288"/>
      <c r="X309" s="292" t="s">
        <v>120</v>
      </c>
      <c r="Y309" s="288" t="s">
        <v>120</v>
      </c>
      <c r="Z309" s="293" t="s">
        <v>120</v>
      </c>
      <c r="AA309" s="294"/>
      <c r="AB309" s="294"/>
      <c r="AC309" s="295"/>
      <c r="AD309" s="288" t="s">
        <v>120</v>
      </c>
      <c r="AE309" s="292" t="s">
        <v>120</v>
      </c>
      <c r="AF309" s="289" t="s">
        <v>300</v>
      </c>
      <c r="AG309" s="296"/>
      <c r="AH309" s="296">
        <v>2</v>
      </c>
      <c r="AI309" s="288" t="s">
        <v>311</v>
      </c>
      <c r="AJ309" s="292" t="s">
        <v>120</v>
      </c>
      <c r="AK309" s="288" t="s">
        <v>123</v>
      </c>
      <c r="AL309" s="288"/>
      <c r="AM309" s="292"/>
      <c r="AN309" s="288"/>
      <c r="AO309" s="288"/>
      <c r="AP309" s="297"/>
      <c r="AQ309" s="288"/>
      <c r="AR309" s="292"/>
      <c r="AS309" s="288"/>
      <c r="AT309" s="289"/>
      <c r="AU309" s="289">
        <v>43453.378973032399</v>
      </c>
      <c r="AV309" s="289"/>
      <c r="AW309" s="289"/>
      <c r="AX309" s="289"/>
      <c r="AY309" s="289"/>
      <c r="AZ309" s="298">
        <v>43236</v>
      </c>
      <c r="BA30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09" s="300">
        <f>COUNTIFS(_05preva_view43[Site ID],_05preva_view43[[#This Row],[Site ID]],_05preva_view43[Prevalidation Status],"Under Prevalidation")</f>
        <v>0</v>
      </c>
      <c r="BC30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09" s="302" t="str">
        <f>CONCATENATE(_05preva_view43[[#This Row],[Site ID]]," (",_05preva_view43[[#This Row],[tenant id]],") Application",IF(_05preva_view43[[#This Row],[Colo Rev]]&gt;0," Rev "&amp;_05preva_view43[[#This Row],[Colo Rev]],""),".xlsx")</f>
        <v>ASMO_0201 (MOW6299) Application.xlsx</v>
      </c>
      <c r="BE309" s="64">
        <f t="shared" ca="1" si="6"/>
        <v>50</v>
      </c>
      <c r="BF309" s="104" t="str">
        <f ca="1">LEFT(CELL("filename",A294),_05preva_view43[[#This Row],[Find Process &amp; Database]]-1)</f>
        <v>D:\OneDrive - apollo-towers.com\Apollo Towers\00-</v>
      </c>
      <c r="BG309" s="104" t="str">
        <f ca="1">_05preva_view43[Folder Path1]&amp;"Process &amp; Database\Documentation\Colo Applications"</f>
        <v>D:\OneDrive - apollo-towers.com\Apollo Towers\00-Process &amp; Database\Documentation\Colo Applications</v>
      </c>
      <c r="BH30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09" s="63" t="str">
        <f ca="1">_05preva_view43[[#This Row],[Folder Path3]]&amp;_05preva_view43[[#This Row],[File Name]]</f>
        <v>D:\OneDrive - apollo-towers.com\Apollo Towers\00-Process &amp; Database\Documentation\Colo Applications\Colo App OML\ASMO_0201 (MOW6299) Application.xlsx</v>
      </c>
      <c r="BJ309" s="104"/>
      <c r="BK309" s="3"/>
      <c r="BL309" s="3"/>
      <c r="CJ309" s="5"/>
      <c r="CK309" s="5"/>
      <c r="CL309" s="3"/>
      <c r="CN309" s="5"/>
      <c r="CR309" s="3"/>
      <c r="CS309" s="3"/>
      <c r="CT309" s="5"/>
      <c r="CV309" s="3"/>
      <c r="DR309" s="5"/>
      <c r="DT309" s="3"/>
      <c r="EF309" s="7"/>
      <c r="EG309" s="7"/>
      <c r="EJ309" s="4"/>
      <c r="EK309" s="4"/>
      <c r="EU309" s="2"/>
      <c r="EV309" s="2"/>
    </row>
    <row r="310" spans="1:152">
      <c r="A310" s="287">
        <v>72</v>
      </c>
      <c r="B310" s="288" t="s">
        <v>312</v>
      </c>
      <c r="C310" s="288" t="s">
        <v>116</v>
      </c>
      <c r="D310" s="288" t="s">
        <v>153</v>
      </c>
      <c r="E310" s="288" t="s">
        <v>313</v>
      </c>
      <c r="F310" s="288" t="s">
        <v>40</v>
      </c>
      <c r="G310" s="288" t="s">
        <v>118</v>
      </c>
      <c r="H310" s="288"/>
      <c r="I310" s="288" t="s">
        <v>118</v>
      </c>
      <c r="J310" s="288"/>
      <c r="K310" s="289">
        <v>43236</v>
      </c>
      <c r="L310" s="290"/>
      <c r="M310" s="290">
        <v>3</v>
      </c>
      <c r="N310" s="288"/>
      <c r="O310" s="288" t="s">
        <v>119</v>
      </c>
      <c r="P310" s="291"/>
      <c r="Q310" s="291"/>
      <c r="R310" s="288" t="s">
        <v>24</v>
      </c>
      <c r="S310" s="288"/>
      <c r="T310" s="292" t="s">
        <v>120</v>
      </c>
      <c r="U310" s="288" t="s">
        <v>301</v>
      </c>
      <c r="V310" s="292" t="s">
        <v>120</v>
      </c>
      <c r="W310" s="288"/>
      <c r="X310" s="292" t="s">
        <v>120</v>
      </c>
      <c r="Y310" s="288" t="s">
        <v>120</v>
      </c>
      <c r="Z310" s="293" t="s">
        <v>120</v>
      </c>
      <c r="AA310" s="294"/>
      <c r="AB310" s="294"/>
      <c r="AC310" s="295"/>
      <c r="AD310" s="288" t="s">
        <v>120</v>
      </c>
      <c r="AE310" s="292" t="s">
        <v>120</v>
      </c>
      <c r="AF310" s="289" t="s">
        <v>207</v>
      </c>
      <c r="AG310" s="296"/>
      <c r="AH310" s="296">
        <v>3.5</v>
      </c>
      <c r="AI310" s="288" t="s">
        <v>208</v>
      </c>
      <c r="AJ310" s="292" t="s">
        <v>120</v>
      </c>
      <c r="AK310" s="288" t="s">
        <v>123</v>
      </c>
      <c r="AL310" s="288"/>
      <c r="AM310" s="292"/>
      <c r="AN310" s="288"/>
      <c r="AO310" s="288"/>
      <c r="AP310" s="297"/>
      <c r="AQ310" s="288"/>
      <c r="AR310" s="292"/>
      <c r="AS310" s="288"/>
      <c r="AT310" s="289"/>
      <c r="AU310" s="289">
        <v>43453.378975</v>
      </c>
      <c r="AV310" s="289"/>
      <c r="AW310" s="289"/>
      <c r="AX310" s="289"/>
      <c r="AY310" s="289"/>
      <c r="AZ310" s="298">
        <v>43236</v>
      </c>
      <c r="BA31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0" s="300">
        <f>COUNTIFS(_05preva_view43[Site ID],_05preva_view43[[#This Row],[Site ID]],_05preva_view43[Prevalidation Status],"Under Prevalidation")</f>
        <v>0</v>
      </c>
      <c r="BC31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0" s="302" t="str">
        <f>CONCATENATE(_05preva_view43[[#This Row],[Site ID]]," (",_05preva_view43[[#This Row],[tenant id]],") Application",IF(_05preva_view43[[#This Row],[Colo Rev]]&gt;0," Rev "&amp;_05preva_view43[[#This Row],[Colo Rev]],""),".xlsx")</f>
        <v>ACBA_0255 (BAW5557) Application.xlsx</v>
      </c>
      <c r="BE310" s="64">
        <f t="shared" ca="1" si="6"/>
        <v>50</v>
      </c>
      <c r="BF310" s="104" t="str">
        <f ca="1">LEFT(CELL("filename",A295),_05preva_view43[[#This Row],[Find Process &amp; Database]]-1)</f>
        <v>D:\OneDrive - apollo-towers.com\Apollo Towers\00-</v>
      </c>
      <c r="BG310" s="104" t="str">
        <f ca="1">_05preva_view43[Folder Path1]&amp;"Process &amp; Database\Documentation\Colo Applications"</f>
        <v>D:\OneDrive - apollo-towers.com\Apollo Towers\00-Process &amp; Database\Documentation\Colo Applications</v>
      </c>
      <c r="BH31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0" s="63" t="str">
        <f ca="1">_05preva_view43[[#This Row],[Folder Path3]]&amp;_05preva_view43[[#This Row],[File Name]]</f>
        <v>D:\OneDrive - apollo-towers.com\Apollo Towers\00-Process &amp; Database\Documentation\Colo Applications\Colo App OML\ACBA_0255 (BAW5557) Application.xlsx</v>
      </c>
      <c r="BJ310" s="104"/>
      <c r="BK310" s="3"/>
      <c r="BL310" s="3"/>
      <c r="CJ310" s="5"/>
      <c r="CK310" s="5"/>
      <c r="CL310" s="3"/>
      <c r="CN310" s="5"/>
      <c r="CR310" s="3"/>
      <c r="CS310" s="3"/>
      <c r="CT310" s="5"/>
      <c r="CV310" s="3"/>
      <c r="DR310" s="5"/>
      <c r="DT310" s="3"/>
      <c r="EF310" s="7"/>
      <c r="EG310" s="7"/>
      <c r="EJ310" s="4"/>
      <c r="EK310" s="4"/>
      <c r="EU310" s="2"/>
      <c r="EV310" s="2"/>
    </row>
    <row r="311" spans="1:152">
      <c r="A311" s="287">
        <v>75</v>
      </c>
      <c r="B311" s="288" t="s">
        <v>314</v>
      </c>
      <c r="C311" s="288" t="s">
        <v>116</v>
      </c>
      <c r="D311" s="288" t="s">
        <v>153</v>
      </c>
      <c r="E311" s="288" t="s">
        <v>315</v>
      </c>
      <c r="F311" s="288" t="s">
        <v>40</v>
      </c>
      <c r="G311" s="288" t="s">
        <v>118</v>
      </c>
      <c r="H311" s="288"/>
      <c r="I311" s="288" t="s">
        <v>118</v>
      </c>
      <c r="J311" s="288"/>
      <c r="K311" s="289">
        <v>43236</v>
      </c>
      <c r="L311" s="290"/>
      <c r="M311" s="290">
        <v>3</v>
      </c>
      <c r="N311" s="288"/>
      <c r="O311" s="288" t="s">
        <v>119</v>
      </c>
      <c r="P311" s="291"/>
      <c r="Q311" s="291"/>
      <c r="R311" s="288" t="s">
        <v>24</v>
      </c>
      <c r="S311" s="288"/>
      <c r="T311" s="292" t="s">
        <v>120</v>
      </c>
      <c r="U311" s="288" t="s">
        <v>301</v>
      </c>
      <c r="V311" s="292" t="s">
        <v>120</v>
      </c>
      <c r="W311" s="288"/>
      <c r="X311" s="292" t="s">
        <v>120</v>
      </c>
      <c r="Y311" s="288" t="s">
        <v>316</v>
      </c>
      <c r="Z311" s="293" t="s">
        <v>120</v>
      </c>
      <c r="AA311" s="294"/>
      <c r="AB311" s="294"/>
      <c r="AC311" s="295"/>
      <c r="AD311" s="288" t="s">
        <v>120</v>
      </c>
      <c r="AE311" s="292" t="s">
        <v>120</v>
      </c>
      <c r="AF311" s="289" t="s">
        <v>207</v>
      </c>
      <c r="AG311" s="296"/>
      <c r="AH311" s="296">
        <v>3.5</v>
      </c>
      <c r="AI311" s="288" t="s">
        <v>208</v>
      </c>
      <c r="AJ311" s="292" t="s">
        <v>120</v>
      </c>
      <c r="AK311" s="288" t="s">
        <v>123</v>
      </c>
      <c r="AL311" s="288"/>
      <c r="AM311" s="292"/>
      <c r="AN311" s="288"/>
      <c r="AO311" s="288"/>
      <c r="AP311" s="297"/>
      <c r="AQ311" s="288"/>
      <c r="AR311" s="292"/>
      <c r="AS311" s="288"/>
      <c r="AT311" s="289"/>
      <c r="AU311" s="289">
        <v>43453.378976273103</v>
      </c>
      <c r="AV311" s="289"/>
      <c r="AW311" s="289"/>
      <c r="AX311" s="289"/>
      <c r="AY311" s="289"/>
      <c r="AZ311" s="298">
        <v>43236</v>
      </c>
      <c r="BA31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1" s="300">
        <f>COUNTIFS(_05preva_view43[Site ID],_05preva_view43[[#This Row],[Site ID]],_05preva_view43[Prevalidation Status],"Under Prevalidation")</f>
        <v>0</v>
      </c>
      <c r="BC31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1" s="302" t="str">
        <f>CONCATENATE(_05preva_view43[[#This Row],[Site ID]]," (",_05preva_view43[[#This Row],[tenant id]],") Application",IF(_05preva_view43[[#This Row],[Colo Rev]]&gt;0," Rev "&amp;_05preva_view43[[#This Row],[Colo Rev]],""),".xlsx")</f>
        <v>AYYN_0244 (YAW7770) Application.xlsx</v>
      </c>
      <c r="BE311" s="64">
        <f t="shared" ca="1" si="6"/>
        <v>50</v>
      </c>
      <c r="BF311" s="104" t="str">
        <f ca="1">LEFT(CELL("filename",A296),_05preva_view43[[#This Row],[Find Process &amp; Database]]-1)</f>
        <v>D:\OneDrive - apollo-towers.com\Apollo Towers\00-</v>
      </c>
      <c r="BG311" s="104" t="str">
        <f ca="1">_05preva_view43[Folder Path1]&amp;"Process &amp; Database\Documentation\Colo Applications"</f>
        <v>D:\OneDrive - apollo-towers.com\Apollo Towers\00-Process &amp; Database\Documentation\Colo Applications</v>
      </c>
      <c r="BH31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1" s="63" t="str">
        <f ca="1">_05preva_view43[[#This Row],[Folder Path3]]&amp;_05preva_view43[[#This Row],[File Name]]</f>
        <v>D:\OneDrive - apollo-towers.com\Apollo Towers\00-Process &amp; Database\Documentation\Colo Applications\Colo App OML\AYYN_0244 (YAW7770) Application.xlsx</v>
      </c>
      <c r="BJ311" s="104"/>
      <c r="BK311" s="3"/>
      <c r="BL311" s="3"/>
      <c r="CJ311" s="5"/>
      <c r="CK311" s="5"/>
      <c r="CL311" s="3"/>
      <c r="CN311" s="5"/>
      <c r="CR311" s="3"/>
      <c r="CS311" s="3"/>
      <c r="CT311" s="5"/>
      <c r="CV311" s="3"/>
      <c r="DR311" s="5"/>
      <c r="DT311" s="3"/>
      <c r="EF311" s="7"/>
      <c r="EG311" s="7"/>
      <c r="EJ311" s="4"/>
      <c r="EK311" s="4"/>
      <c r="EU311" s="2"/>
      <c r="EV311" s="2"/>
    </row>
    <row r="312" spans="1:152">
      <c r="A312" s="287">
        <v>79</v>
      </c>
      <c r="B312" s="288" t="s">
        <v>322</v>
      </c>
      <c r="C312" s="288" t="s">
        <v>116</v>
      </c>
      <c r="D312" s="288" t="s">
        <v>117</v>
      </c>
      <c r="E312" s="288" t="s">
        <v>323</v>
      </c>
      <c r="F312" s="288" t="s">
        <v>40</v>
      </c>
      <c r="G312" s="288" t="s">
        <v>1289</v>
      </c>
      <c r="H312" s="288" t="s">
        <v>1285</v>
      </c>
      <c r="I312" s="288" t="s">
        <v>118</v>
      </c>
      <c r="J312" s="288"/>
      <c r="K312" s="289">
        <v>43236</v>
      </c>
      <c r="L312" s="290"/>
      <c r="M312" s="290">
        <v>3</v>
      </c>
      <c r="N312" s="288"/>
      <c r="O312" s="288" t="s">
        <v>119</v>
      </c>
      <c r="P312" s="291"/>
      <c r="Q312" s="291"/>
      <c r="R312" s="288" t="s">
        <v>24</v>
      </c>
      <c r="S312" s="288"/>
      <c r="T312" s="292" t="s">
        <v>120</v>
      </c>
      <c r="U312" s="288" t="s">
        <v>301</v>
      </c>
      <c r="V312" s="292" t="s">
        <v>120</v>
      </c>
      <c r="W312" s="288"/>
      <c r="X312" s="292" t="s">
        <v>120</v>
      </c>
      <c r="Y312" s="288" t="s">
        <v>324</v>
      </c>
      <c r="Z312" s="293" t="s">
        <v>120</v>
      </c>
      <c r="AA312" s="294"/>
      <c r="AB312" s="294"/>
      <c r="AC312" s="295"/>
      <c r="AD312" s="288" t="s">
        <v>325</v>
      </c>
      <c r="AE312" s="292" t="s">
        <v>120</v>
      </c>
      <c r="AF312" s="289" t="s">
        <v>207</v>
      </c>
      <c r="AG312" s="296"/>
      <c r="AH312" s="296">
        <v>3.5</v>
      </c>
      <c r="AI312" s="288" t="s">
        <v>308</v>
      </c>
      <c r="AJ312" s="292" t="s">
        <v>120</v>
      </c>
      <c r="AK312" s="288" t="s">
        <v>123</v>
      </c>
      <c r="AL312" s="288"/>
      <c r="AM312" s="292"/>
      <c r="AN312" s="288"/>
      <c r="AO312" s="288"/>
      <c r="AP312" s="297"/>
      <c r="AQ312" s="288"/>
      <c r="AR312" s="292"/>
      <c r="AS312" s="288"/>
      <c r="AT312" s="289"/>
      <c r="AU312" s="289">
        <v>43453.378977662003</v>
      </c>
      <c r="AV312" s="289"/>
      <c r="AW312" s="289"/>
      <c r="AX312" s="289"/>
      <c r="AY312" s="289"/>
      <c r="AZ312" s="298">
        <v>43236</v>
      </c>
      <c r="BA31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2" s="300">
        <f>COUNTIFS(_05preva_view43[Site ID],_05preva_view43[[#This Row],[Site ID]],_05preva_view43[Prevalidation Status],"Under Prevalidation")</f>
        <v>0</v>
      </c>
      <c r="BC31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2" s="302" t="str">
        <f>CONCATENATE(_05preva_view43[[#This Row],[Site ID]]," (",_05preva_view43[[#This Row],[tenant id]],") Application",IF(_05preva_view43[[#This Row],[Colo Rev]]&gt;0," Rev "&amp;_05preva_view43[[#This Row],[Colo Rev]],""),".xlsx")</f>
        <v>ACBA_0094 (BAW5558) Application.xlsx</v>
      </c>
      <c r="BE312" s="64">
        <f t="shared" ca="1" si="6"/>
        <v>50</v>
      </c>
      <c r="BF312" s="104" t="str">
        <f ca="1">LEFT(CELL("filename",A297),_05preva_view43[[#This Row],[Find Process &amp; Database]]-1)</f>
        <v>D:\OneDrive - apollo-towers.com\Apollo Towers\00-</v>
      </c>
      <c r="BG312" s="104" t="str">
        <f ca="1">_05preva_view43[Folder Path1]&amp;"Process &amp; Database\Documentation\Colo Applications"</f>
        <v>D:\OneDrive - apollo-towers.com\Apollo Towers\00-Process &amp; Database\Documentation\Colo Applications</v>
      </c>
      <c r="BH31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2" s="63" t="str">
        <f ca="1">_05preva_view43[[#This Row],[Folder Path3]]&amp;_05preva_view43[[#This Row],[File Name]]</f>
        <v>D:\OneDrive - apollo-towers.com\Apollo Towers\00-Process &amp; Database\Documentation\Colo Applications\Colo App OML\ACBA_0094 (BAW5558) Application.xlsx</v>
      </c>
      <c r="BJ312" s="104"/>
      <c r="BK312" s="3"/>
      <c r="BL312" s="3"/>
      <c r="CJ312" s="5"/>
      <c r="CK312" s="5"/>
      <c r="CL312" s="3"/>
      <c r="CN312" s="5"/>
      <c r="CR312" s="3"/>
      <c r="CS312" s="3"/>
      <c r="CT312" s="5"/>
      <c r="CV312" s="3"/>
      <c r="DR312" s="5"/>
      <c r="DT312" s="3"/>
      <c r="EF312" s="7"/>
      <c r="EG312" s="7"/>
      <c r="EJ312" s="4"/>
      <c r="EK312" s="4"/>
      <c r="EU312" s="2"/>
      <c r="EV312" s="2"/>
    </row>
    <row r="313" spans="1:152">
      <c r="A313" s="287">
        <v>83</v>
      </c>
      <c r="B313" s="288" t="s">
        <v>326</v>
      </c>
      <c r="C313" s="288" t="s">
        <v>116</v>
      </c>
      <c r="D313" s="288" t="s">
        <v>153</v>
      </c>
      <c r="E313" s="288" t="s">
        <v>327</v>
      </c>
      <c r="F313" s="288" t="s">
        <v>40</v>
      </c>
      <c r="G313" s="288" t="s">
        <v>118</v>
      </c>
      <c r="H313" s="288"/>
      <c r="I313" s="288" t="s">
        <v>118</v>
      </c>
      <c r="J313" s="288"/>
      <c r="K313" s="289">
        <v>43236</v>
      </c>
      <c r="L313" s="290"/>
      <c r="M313" s="290">
        <v>3</v>
      </c>
      <c r="N313" s="288"/>
      <c r="O313" s="288" t="s">
        <v>119</v>
      </c>
      <c r="P313" s="291"/>
      <c r="Q313" s="291"/>
      <c r="R313" s="288" t="s">
        <v>24</v>
      </c>
      <c r="S313" s="288"/>
      <c r="T313" s="292" t="s">
        <v>120</v>
      </c>
      <c r="U313" s="288" t="s">
        <v>301</v>
      </c>
      <c r="V313" s="292" t="s">
        <v>120</v>
      </c>
      <c r="W313" s="288"/>
      <c r="X313" s="292" t="s">
        <v>120</v>
      </c>
      <c r="Y313" s="288" t="s">
        <v>120</v>
      </c>
      <c r="Z313" s="293" t="s">
        <v>120</v>
      </c>
      <c r="AA313" s="294"/>
      <c r="AB313" s="294"/>
      <c r="AC313" s="295"/>
      <c r="AD313" s="288" t="s">
        <v>120</v>
      </c>
      <c r="AE313" s="292" t="s">
        <v>120</v>
      </c>
      <c r="AF313" s="289" t="s">
        <v>207</v>
      </c>
      <c r="AG313" s="296"/>
      <c r="AH313" s="296">
        <v>3.5</v>
      </c>
      <c r="AI313" s="288" t="s">
        <v>308</v>
      </c>
      <c r="AJ313" s="292" t="s">
        <v>120</v>
      </c>
      <c r="AK313" s="288" t="s">
        <v>123</v>
      </c>
      <c r="AL313" s="288"/>
      <c r="AM313" s="292"/>
      <c r="AN313" s="288"/>
      <c r="AO313" s="288"/>
      <c r="AP313" s="297"/>
      <c r="AQ313" s="288"/>
      <c r="AR313" s="292"/>
      <c r="AS313" s="288"/>
      <c r="AT313" s="289"/>
      <c r="AU313" s="289">
        <v>43453.378979745401</v>
      </c>
      <c r="AV313" s="289"/>
      <c r="AW313" s="289"/>
      <c r="AX313" s="289"/>
      <c r="AY313" s="289"/>
      <c r="AZ313" s="298">
        <v>43236</v>
      </c>
      <c r="BA31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3" s="300">
        <f>COUNTIFS(_05preva_view43[Site ID],_05preva_view43[[#This Row],[Site ID]],_05preva_view43[Prevalidation Status],"Under Prevalidation")</f>
        <v>0</v>
      </c>
      <c r="BC31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3" s="302" t="str">
        <f>CONCATENATE(_05preva_view43[[#This Row],[Site ID]]," (",_05preva_view43[[#This Row],[tenant id]],") Application",IF(_05preva_view43[[#This Row],[Colo Rev]]&gt;0," Rev "&amp;_05preva_view43[[#This Row],[Colo Rev]],""),".xlsx")</f>
        <v>ACBA_0056 (BAW5560) Application.xlsx</v>
      </c>
      <c r="BE313" s="64">
        <f t="shared" ca="1" si="6"/>
        <v>50</v>
      </c>
      <c r="BF313" s="104" t="str">
        <f ca="1">LEFT(CELL("filename",A298),_05preva_view43[[#This Row],[Find Process &amp; Database]]-1)</f>
        <v>D:\OneDrive - apollo-towers.com\Apollo Towers\00-</v>
      </c>
      <c r="BG313" s="104" t="str">
        <f ca="1">_05preva_view43[Folder Path1]&amp;"Process &amp; Database\Documentation\Colo Applications"</f>
        <v>D:\OneDrive - apollo-towers.com\Apollo Towers\00-Process &amp; Database\Documentation\Colo Applications</v>
      </c>
      <c r="BH31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3" s="63" t="str">
        <f ca="1">_05preva_view43[[#This Row],[Folder Path3]]&amp;_05preva_view43[[#This Row],[File Name]]</f>
        <v>D:\OneDrive - apollo-towers.com\Apollo Towers\00-Process &amp; Database\Documentation\Colo Applications\Colo App OML\ACBA_0056 (BAW5560) Application.xlsx</v>
      </c>
      <c r="BJ313" s="104"/>
      <c r="BK313" s="3"/>
      <c r="BL313" s="3"/>
      <c r="CJ313" s="5"/>
      <c r="CK313" s="5"/>
      <c r="CL313" s="3"/>
      <c r="CN313" s="5"/>
      <c r="CR313" s="3"/>
      <c r="CS313" s="3"/>
      <c r="CT313" s="5"/>
      <c r="CV313" s="3"/>
      <c r="DR313" s="5"/>
      <c r="DT313" s="3"/>
      <c r="EF313" s="7"/>
      <c r="EG313" s="7"/>
      <c r="EJ313" s="4"/>
      <c r="EK313" s="4"/>
      <c r="EU313" s="2"/>
      <c r="EV313" s="2"/>
    </row>
    <row r="314" spans="1:152">
      <c r="A314" s="287">
        <v>85</v>
      </c>
      <c r="B314" s="288" t="s">
        <v>328</v>
      </c>
      <c r="C314" s="288" t="s">
        <v>116</v>
      </c>
      <c r="D314" s="288" t="s">
        <v>153</v>
      </c>
      <c r="E314" s="288" t="s">
        <v>329</v>
      </c>
      <c r="F314" s="288" t="s">
        <v>40</v>
      </c>
      <c r="G314" s="288" t="s">
        <v>1289</v>
      </c>
      <c r="H314" s="288" t="s">
        <v>1285</v>
      </c>
      <c r="I314" s="288" t="s">
        <v>118</v>
      </c>
      <c r="J314" s="288"/>
      <c r="K314" s="289">
        <v>43236</v>
      </c>
      <c r="L314" s="290"/>
      <c r="M314" s="290">
        <v>3</v>
      </c>
      <c r="N314" s="288"/>
      <c r="O314" s="288" t="s">
        <v>119</v>
      </c>
      <c r="P314" s="291"/>
      <c r="Q314" s="291"/>
      <c r="R314" s="288" t="s">
        <v>24</v>
      </c>
      <c r="S314" s="288"/>
      <c r="T314" s="292" t="s">
        <v>120</v>
      </c>
      <c r="U314" s="288" t="s">
        <v>301</v>
      </c>
      <c r="V314" s="292" t="s">
        <v>120</v>
      </c>
      <c r="W314" s="288"/>
      <c r="X314" s="292" t="s">
        <v>120</v>
      </c>
      <c r="Y314" s="288" t="s">
        <v>120</v>
      </c>
      <c r="Z314" s="293" t="s">
        <v>120</v>
      </c>
      <c r="AA314" s="294"/>
      <c r="AB314" s="294"/>
      <c r="AC314" s="295"/>
      <c r="AD314" s="288" t="s">
        <v>120</v>
      </c>
      <c r="AE314" s="292" t="s">
        <v>125</v>
      </c>
      <c r="AF314" s="289"/>
      <c r="AG314" s="296"/>
      <c r="AH314" s="296"/>
      <c r="AI314" s="288" t="s">
        <v>330</v>
      </c>
      <c r="AJ314" s="292" t="s">
        <v>120</v>
      </c>
      <c r="AK314" s="288" t="s">
        <v>123</v>
      </c>
      <c r="AL314" s="288"/>
      <c r="AM314" s="292"/>
      <c r="AN314" s="288"/>
      <c r="AO314" s="288"/>
      <c r="AP314" s="297"/>
      <c r="AQ314" s="288"/>
      <c r="AR314" s="292"/>
      <c r="AS314" s="288"/>
      <c r="AT314" s="289"/>
      <c r="AU314" s="289"/>
      <c r="AV314" s="289"/>
      <c r="AW314" s="289"/>
      <c r="AX314" s="289"/>
      <c r="AY314" s="289"/>
      <c r="AZ314" s="298"/>
      <c r="BA31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4" s="300">
        <f>COUNTIFS(_05preva_view43[Site ID],_05preva_view43[[#This Row],[Site ID]],_05preva_view43[Prevalidation Status],"Under Prevalidation")</f>
        <v>0</v>
      </c>
      <c r="BC31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4" s="302" t="str">
        <f>CONCATENATE(_05preva_view43[[#This Row],[Site ID]]," (",_05preva_view43[[#This Row],[tenant id]],") Application",IF(_05preva_view43[[#This Row],[Colo Rev]]&gt;0," Rev "&amp;_05preva_view43[[#This Row],[Colo Rev]],""),".xlsx")</f>
        <v>ASMO_0267 (MOW6300) Application.xlsx</v>
      </c>
      <c r="BE314" s="64">
        <f t="shared" ca="1" si="6"/>
        <v>50</v>
      </c>
      <c r="BF314" s="104" t="str">
        <f ca="1">LEFT(CELL("filename",A299),_05preva_view43[[#This Row],[Find Process &amp; Database]]-1)</f>
        <v>D:\OneDrive - apollo-towers.com\Apollo Towers\00-</v>
      </c>
      <c r="BG314" s="104" t="str">
        <f ca="1">_05preva_view43[Folder Path1]&amp;"Process &amp; Database\Documentation\Colo Applications"</f>
        <v>D:\OneDrive - apollo-towers.com\Apollo Towers\00-Process &amp; Database\Documentation\Colo Applications</v>
      </c>
      <c r="BH31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4" s="63" t="str">
        <f ca="1">_05preva_view43[[#This Row],[Folder Path3]]&amp;_05preva_view43[[#This Row],[File Name]]</f>
        <v>D:\OneDrive - apollo-towers.com\Apollo Towers\00-Process &amp; Database\Documentation\Colo Applications\Colo App OML\ASMO_0267 (MOW6300) Application.xlsx</v>
      </c>
      <c r="BJ314" s="104"/>
      <c r="BK314" s="3"/>
      <c r="BL314" s="3"/>
      <c r="CJ314" s="5"/>
      <c r="CK314" s="5"/>
      <c r="CL314" s="3"/>
      <c r="CN314" s="5"/>
      <c r="CR314" s="3"/>
      <c r="CS314" s="3"/>
      <c r="CT314" s="5"/>
      <c r="CV314" s="3"/>
      <c r="DR314" s="5"/>
      <c r="DT314" s="3"/>
      <c r="EF314" s="7"/>
      <c r="EG314" s="7"/>
      <c r="EJ314" s="4"/>
      <c r="EK314" s="4"/>
      <c r="EU314" s="2"/>
      <c r="EV314" s="2"/>
    </row>
    <row r="315" spans="1:152">
      <c r="A315" s="287">
        <v>90</v>
      </c>
      <c r="B315" s="288" t="s">
        <v>335</v>
      </c>
      <c r="C315" s="288" t="s">
        <v>116</v>
      </c>
      <c r="D315" s="288" t="s">
        <v>153</v>
      </c>
      <c r="E315" s="288" t="s">
        <v>336</v>
      </c>
      <c r="F315" s="288" t="s">
        <v>40</v>
      </c>
      <c r="G315" s="288" t="s">
        <v>1289</v>
      </c>
      <c r="H315" s="288" t="s">
        <v>1285</v>
      </c>
      <c r="I315" s="288" t="s">
        <v>118</v>
      </c>
      <c r="J315" s="288"/>
      <c r="K315" s="289">
        <v>43236</v>
      </c>
      <c r="L315" s="290"/>
      <c r="M315" s="290">
        <v>3</v>
      </c>
      <c r="N315" s="288"/>
      <c r="O315" s="288" t="s">
        <v>119</v>
      </c>
      <c r="P315" s="291"/>
      <c r="Q315" s="291"/>
      <c r="R315" s="288" t="s">
        <v>24</v>
      </c>
      <c r="S315" s="288"/>
      <c r="T315" s="292" t="s">
        <v>120</v>
      </c>
      <c r="U315" s="288" t="s">
        <v>301</v>
      </c>
      <c r="V315" s="292" t="s">
        <v>120</v>
      </c>
      <c r="W315" s="288"/>
      <c r="X315" s="292" t="s">
        <v>120</v>
      </c>
      <c r="Y315" s="288" t="s">
        <v>120</v>
      </c>
      <c r="Z315" s="293" t="s">
        <v>120</v>
      </c>
      <c r="AA315" s="294"/>
      <c r="AB315" s="294"/>
      <c r="AC315" s="295"/>
      <c r="AD315" s="288" t="s">
        <v>120</v>
      </c>
      <c r="AE315" s="292" t="s">
        <v>120</v>
      </c>
      <c r="AF315" s="289" t="s">
        <v>207</v>
      </c>
      <c r="AG315" s="296"/>
      <c r="AH315" s="296">
        <v>3.5</v>
      </c>
      <c r="AI315" s="288" t="s">
        <v>208</v>
      </c>
      <c r="AJ315" s="292" t="s">
        <v>120</v>
      </c>
      <c r="AK315" s="288" t="s">
        <v>123</v>
      </c>
      <c r="AL315" s="288"/>
      <c r="AM315" s="292"/>
      <c r="AN315" s="288"/>
      <c r="AO315" s="288"/>
      <c r="AP315" s="297"/>
      <c r="AQ315" s="288"/>
      <c r="AR315" s="292"/>
      <c r="AS315" s="288"/>
      <c r="AT315" s="289"/>
      <c r="AU315" s="289">
        <v>43453.378984143499</v>
      </c>
      <c r="AV315" s="289"/>
      <c r="AW315" s="289"/>
      <c r="AX315" s="289"/>
      <c r="AY315" s="289"/>
      <c r="AZ315" s="298">
        <v>43236</v>
      </c>
      <c r="BA31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5" s="300">
        <f>COUNTIFS(_05preva_view43[Site ID],_05preva_view43[[#This Row],[Site ID]],_05preva_view43[Prevalidation Status],"Under Prevalidation")</f>
        <v>0</v>
      </c>
      <c r="BC31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5" s="302" t="str">
        <f>CONCATENATE(_05preva_view43[[#This Row],[Site ID]]," (",_05preva_view43[[#This Row],[tenant id]],") Application",IF(_05preva_view43[[#This Row],[Colo Rev]]&gt;0," Rev "&amp;_05preva_view43[[#This Row],[Colo Rev]],""),".xlsx")</f>
        <v>ASMO_0263 (MOW6303) Application.xlsx</v>
      </c>
      <c r="BE315" s="64">
        <f t="shared" ca="1" si="6"/>
        <v>50</v>
      </c>
      <c r="BF315" s="104" t="str">
        <f ca="1">LEFT(CELL("filename",A300),_05preva_view43[[#This Row],[Find Process &amp; Database]]-1)</f>
        <v>D:\OneDrive - apollo-towers.com\Apollo Towers\00-</v>
      </c>
      <c r="BG315" s="104" t="str">
        <f ca="1">_05preva_view43[Folder Path1]&amp;"Process &amp; Database\Documentation\Colo Applications"</f>
        <v>D:\OneDrive - apollo-towers.com\Apollo Towers\00-Process &amp; Database\Documentation\Colo Applications</v>
      </c>
      <c r="BH31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5" s="63" t="str">
        <f ca="1">_05preva_view43[[#This Row],[Folder Path3]]&amp;_05preva_view43[[#This Row],[File Name]]</f>
        <v>D:\OneDrive - apollo-towers.com\Apollo Towers\00-Process &amp; Database\Documentation\Colo Applications\Colo App OML\ASMO_0263 (MOW6303) Application.xlsx</v>
      </c>
      <c r="BJ315" s="104"/>
      <c r="BK315" s="3"/>
      <c r="BL315" s="3"/>
      <c r="CJ315" s="5"/>
      <c r="CK315" s="5"/>
      <c r="CL315" s="3"/>
      <c r="CN315" s="5"/>
      <c r="CR315" s="3"/>
      <c r="CS315" s="3"/>
      <c r="CT315" s="5"/>
      <c r="CV315" s="3"/>
      <c r="DR315" s="5"/>
      <c r="DT315" s="3"/>
      <c r="EF315" s="7"/>
      <c r="EG315" s="7"/>
      <c r="EJ315" s="4"/>
      <c r="EK315" s="4"/>
      <c r="EU315" s="2"/>
      <c r="EV315" s="2"/>
    </row>
    <row r="316" spans="1:152">
      <c r="A316" s="287">
        <v>93</v>
      </c>
      <c r="B316" s="288" t="s">
        <v>340</v>
      </c>
      <c r="C316" s="288" t="s">
        <v>116</v>
      </c>
      <c r="D316" s="288" t="s">
        <v>153</v>
      </c>
      <c r="E316" s="288" t="s">
        <v>341</v>
      </c>
      <c r="F316" s="288" t="s">
        <v>40</v>
      </c>
      <c r="G316" s="288" t="s">
        <v>118</v>
      </c>
      <c r="H316" s="288"/>
      <c r="I316" s="288" t="s">
        <v>118</v>
      </c>
      <c r="J316" s="288"/>
      <c r="K316" s="289">
        <v>43236</v>
      </c>
      <c r="L316" s="290"/>
      <c r="M316" s="290">
        <v>3</v>
      </c>
      <c r="N316" s="288"/>
      <c r="O316" s="288" t="s">
        <v>119</v>
      </c>
      <c r="P316" s="291"/>
      <c r="Q316" s="291"/>
      <c r="R316" s="288" t="s">
        <v>24</v>
      </c>
      <c r="S316" s="288"/>
      <c r="T316" s="292" t="s">
        <v>120</v>
      </c>
      <c r="U316" s="288" t="s">
        <v>338</v>
      </c>
      <c r="V316" s="292" t="s">
        <v>120</v>
      </c>
      <c r="W316" s="288"/>
      <c r="X316" s="292" t="s">
        <v>120</v>
      </c>
      <c r="Y316" s="288" t="s">
        <v>320</v>
      </c>
      <c r="Z316" s="293" t="s">
        <v>125</v>
      </c>
      <c r="AA316" s="294"/>
      <c r="AB316" s="294"/>
      <c r="AC316" s="295" t="s">
        <v>123</v>
      </c>
      <c r="AD316" s="288" t="s">
        <v>339</v>
      </c>
      <c r="AE316" s="292" t="s">
        <v>125</v>
      </c>
      <c r="AF316" s="289"/>
      <c r="AG316" s="296"/>
      <c r="AH316" s="296"/>
      <c r="AI316" s="288" t="s">
        <v>308</v>
      </c>
      <c r="AJ316" s="292" t="s">
        <v>120</v>
      </c>
      <c r="AK316" s="288" t="s">
        <v>206</v>
      </c>
      <c r="AL316" s="288"/>
      <c r="AM316" s="292"/>
      <c r="AN316" s="288"/>
      <c r="AO316" s="288"/>
      <c r="AP316" s="297"/>
      <c r="AQ316" s="288"/>
      <c r="AR316" s="292"/>
      <c r="AS316" s="288"/>
      <c r="AT316" s="289"/>
      <c r="AU316" s="289"/>
      <c r="AV316" s="289"/>
      <c r="AW316" s="289"/>
      <c r="AX316" s="289"/>
      <c r="AY316" s="289"/>
      <c r="AZ316" s="298"/>
      <c r="BA31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6" s="300">
        <f>COUNTIFS(_05preva_view43[Site ID],_05preva_view43[[#This Row],[Site ID]],_05preva_view43[Prevalidation Status],"Under Prevalidation")</f>
        <v>0</v>
      </c>
      <c r="BC31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6" s="302" t="str">
        <f>CONCATENATE(_05preva_view43[[#This Row],[Site ID]]," (",_05preva_view43[[#This Row],[tenant id]],") Application",IF(_05preva_view43[[#This Row],[Colo Rev]]&gt;0," Rev "&amp;_05preva_view43[[#This Row],[Colo Rev]],""),".xlsx")</f>
        <v>AYYN_0534 (YAW7825) Application.xlsx</v>
      </c>
      <c r="BE316" s="64">
        <f t="shared" ca="1" si="6"/>
        <v>50</v>
      </c>
      <c r="BF316" s="104" t="str">
        <f ca="1">LEFT(CELL("filename",A301),_05preva_view43[[#This Row],[Find Process &amp; Database]]-1)</f>
        <v>D:\OneDrive - apollo-towers.com\Apollo Towers\00-</v>
      </c>
      <c r="BG316" s="104" t="str">
        <f ca="1">_05preva_view43[Folder Path1]&amp;"Process &amp; Database\Documentation\Colo Applications"</f>
        <v>D:\OneDrive - apollo-towers.com\Apollo Towers\00-Process &amp; Database\Documentation\Colo Applications</v>
      </c>
      <c r="BH31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6" s="63" t="str">
        <f ca="1">_05preva_view43[[#This Row],[Folder Path3]]&amp;_05preva_view43[[#This Row],[File Name]]</f>
        <v>D:\OneDrive - apollo-towers.com\Apollo Towers\00-Process &amp; Database\Documentation\Colo Applications\Colo App OML\AYYN_0534 (YAW7825) Application.xlsx</v>
      </c>
      <c r="BJ316" s="104"/>
      <c r="BK316" s="3"/>
      <c r="BL316" s="3"/>
      <c r="CJ316" s="5"/>
      <c r="CK316" s="5"/>
      <c r="CL316" s="3"/>
      <c r="CN316" s="5"/>
      <c r="CR316" s="3"/>
      <c r="CS316" s="3"/>
      <c r="CT316" s="5"/>
      <c r="CV316" s="3"/>
      <c r="DR316" s="5"/>
      <c r="DT316" s="3"/>
      <c r="EF316" s="7"/>
      <c r="EG316" s="7"/>
      <c r="EJ316" s="4"/>
      <c r="EK316" s="4"/>
      <c r="EU316" s="2"/>
      <c r="EV316" s="2"/>
    </row>
    <row r="317" spans="1:152">
      <c r="A317" s="287">
        <v>96</v>
      </c>
      <c r="B317" s="288" t="s">
        <v>342</v>
      </c>
      <c r="C317" s="288" t="s">
        <v>116</v>
      </c>
      <c r="D317" s="288" t="s">
        <v>153</v>
      </c>
      <c r="E317" s="288" t="s">
        <v>343</v>
      </c>
      <c r="F317" s="288" t="s">
        <v>40</v>
      </c>
      <c r="G317" s="288" t="s">
        <v>1289</v>
      </c>
      <c r="H317" s="288" t="s">
        <v>1290</v>
      </c>
      <c r="I317" s="288" t="s">
        <v>118</v>
      </c>
      <c r="J317" s="288"/>
      <c r="K317" s="289">
        <v>43236</v>
      </c>
      <c r="L317" s="290"/>
      <c r="M317" s="290">
        <v>3</v>
      </c>
      <c r="N317" s="288"/>
      <c r="O317" s="288" t="s">
        <v>119</v>
      </c>
      <c r="P317" s="291"/>
      <c r="Q317" s="291"/>
      <c r="R317" s="288" t="s">
        <v>24</v>
      </c>
      <c r="S317" s="288"/>
      <c r="T317" s="292" t="s">
        <v>120</v>
      </c>
      <c r="U317" s="288" t="s">
        <v>301</v>
      </c>
      <c r="V317" s="292" t="s">
        <v>120</v>
      </c>
      <c r="W317" s="288"/>
      <c r="X317" s="292" t="s">
        <v>120</v>
      </c>
      <c r="Y317" s="288" t="s">
        <v>120</v>
      </c>
      <c r="Z317" s="293" t="s">
        <v>125</v>
      </c>
      <c r="AA317" s="294"/>
      <c r="AB317" s="294"/>
      <c r="AC317" s="295"/>
      <c r="AD317" s="288" t="s">
        <v>344</v>
      </c>
      <c r="AE317" s="292" t="s">
        <v>125</v>
      </c>
      <c r="AF317" s="289"/>
      <c r="AG317" s="296"/>
      <c r="AH317" s="296"/>
      <c r="AI317" s="288" t="s">
        <v>345</v>
      </c>
      <c r="AJ317" s="292" t="s">
        <v>120</v>
      </c>
      <c r="AK317" s="288" t="s">
        <v>123</v>
      </c>
      <c r="AL317" s="288"/>
      <c r="AM317" s="292"/>
      <c r="AN317" s="288"/>
      <c r="AO317" s="288"/>
      <c r="AP317" s="297"/>
      <c r="AQ317" s="288"/>
      <c r="AR317" s="292"/>
      <c r="AS317" s="288"/>
      <c r="AT317" s="289"/>
      <c r="AU317" s="289"/>
      <c r="AV317" s="289"/>
      <c r="AW317" s="289"/>
      <c r="AX317" s="289"/>
      <c r="AY317" s="289"/>
      <c r="AZ317" s="298"/>
      <c r="BA31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7" s="300">
        <f>COUNTIFS(_05preva_view43[Site ID],_05preva_view43[[#This Row],[Site ID]],_05preva_view43[Prevalidation Status],"Under Prevalidation")</f>
        <v>0</v>
      </c>
      <c r="BC31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7" s="302" t="str">
        <f>CONCATENATE(_05preva_view43[[#This Row],[Site ID]]," (",_05preva_view43[[#This Row],[tenant id]],") Application",IF(_05preva_view43[[#This Row],[Colo Rev]]&gt;0," Rev "&amp;_05preva_view43[[#This Row],[Colo Rev]],""),".xlsx")</f>
        <v>AYYN_0128 (YAW7818) Application.xlsx</v>
      </c>
      <c r="BE317" s="64">
        <f t="shared" ca="1" si="6"/>
        <v>50</v>
      </c>
      <c r="BF317" s="104" t="str">
        <f ca="1">LEFT(CELL("filename",A302),_05preva_view43[[#This Row],[Find Process &amp; Database]]-1)</f>
        <v>D:\OneDrive - apollo-towers.com\Apollo Towers\00-</v>
      </c>
      <c r="BG317" s="104" t="str">
        <f ca="1">_05preva_view43[Folder Path1]&amp;"Process &amp; Database\Documentation\Colo Applications"</f>
        <v>D:\OneDrive - apollo-towers.com\Apollo Towers\00-Process &amp; Database\Documentation\Colo Applications</v>
      </c>
      <c r="BH31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7" s="63" t="str">
        <f ca="1">_05preva_view43[[#This Row],[Folder Path3]]&amp;_05preva_view43[[#This Row],[File Name]]</f>
        <v>D:\OneDrive - apollo-towers.com\Apollo Towers\00-Process &amp; Database\Documentation\Colo Applications\Colo App OML\AYYN_0128 (YAW7818) Application.xlsx</v>
      </c>
      <c r="BJ317" s="104"/>
      <c r="BK317" s="3"/>
      <c r="BL317" s="3"/>
      <c r="CJ317" s="5"/>
      <c r="CK317" s="5"/>
      <c r="CL317" s="3"/>
      <c r="CN317" s="5"/>
      <c r="CR317" s="3"/>
      <c r="CS317" s="3"/>
      <c r="CT317" s="5"/>
      <c r="CV317" s="3"/>
      <c r="DR317" s="5"/>
      <c r="DT317" s="3"/>
      <c r="EF317" s="7"/>
      <c r="EG317" s="7"/>
      <c r="EJ317" s="4"/>
      <c r="EK317" s="4"/>
      <c r="EU317" s="2"/>
      <c r="EV317" s="2"/>
    </row>
    <row r="318" spans="1:152">
      <c r="A318" s="287">
        <v>98</v>
      </c>
      <c r="B318" s="288" t="s">
        <v>346</v>
      </c>
      <c r="C318" s="288" t="s">
        <v>116</v>
      </c>
      <c r="D318" s="288" t="s">
        <v>153</v>
      </c>
      <c r="E318" s="288" t="s">
        <v>347</v>
      </c>
      <c r="F318" s="288" t="s">
        <v>40</v>
      </c>
      <c r="G318" s="288" t="s">
        <v>1289</v>
      </c>
      <c r="H318" s="288" t="s">
        <v>1290</v>
      </c>
      <c r="I318" s="288" t="s">
        <v>118</v>
      </c>
      <c r="J318" s="288"/>
      <c r="K318" s="289">
        <v>43236</v>
      </c>
      <c r="L318" s="290"/>
      <c r="M318" s="290">
        <v>3</v>
      </c>
      <c r="N318" s="288"/>
      <c r="O318" s="288" t="s">
        <v>119</v>
      </c>
      <c r="P318" s="291"/>
      <c r="Q318" s="291"/>
      <c r="R318" s="288" t="s">
        <v>24</v>
      </c>
      <c r="S318" s="288"/>
      <c r="T318" s="292" t="s">
        <v>120</v>
      </c>
      <c r="U318" s="288" t="s">
        <v>301</v>
      </c>
      <c r="V318" s="292" t="s">
        <v>120</v>
      </c>
      <c r="W318" s="288"/>
      <c r="X318" s="292" t="s">
        <v>120</v>
      </c>
      <c r="Y318" s="288" t="s">
        <v>120</v>
      </c>
      <c r="Z318" s="293" t="s">
        <v>120</v>
      </c>
      <c r="AA318" s="294"/>
      <c r="AB318" s="294"/>
      <c r="AC318" s="295"/>
      <c r="AD318" s="288" t="s">
        <v>331</v>
      </c>
      <c r="AE318" s="292" t="s">
        <v>120</v>
      </c>
      <c r="AF318" s="289" t="s">
        <v>207</v>
      </c>
      <c r="AG318" s="296"/>
      <c r="AH318" s="296">
        <v>3.5</v>
      </c>
      <c r="AI318" s="288" t="s">
        <v>308</v>
      </c>
      <c r="AJ318" s="292" t="s">
        <v>120</v>
      </c>
      <c r="AK318" s="288" t="s">
        <v>123</v>
      </c>
      <c r="AL318" s="288"/>
      <c r="AM318" s="292"/>
      <c r="AN318" s="288"/>
      <c r="AO318" s="288"/>
      <c r="AP318" s="297"/>
      <c r="AQ318" s="288"/>
      <c r="AR318" s="292"/>
      <c r="AS318" s="288"/>
      <c r="AT318" s="289"/>
      <c r="AU318" s="289">
        <v>43453.378986458301</v>
      </c>
      <c r="AV318" s="289"/>
      <c r="AW318" s="289"/>
      <c r="AX318" s="289"/>
      <c r="AY318" s="289"/>
      <c r="AZ318" s="298">
        <v>43236</v>
      </c>
      <c r="BA31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8" s="300">
        <f>COUNTIFS(_05preva_view43[Site ID],_05preva_view43[[#This Row],[Site ID]],_05preva_view43[Prevalidation Status],"Under Prevalidation")</f>
        <v>0</v>
      </c>
      <c r="BC31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8" s="302" t="str">
        <f>CONCATENATE(_05preva_view43[[#This Row],[Site ID]]," (",_05preva_view43[[#This Row],[tenant id]],") Application",IF(_05preva_view43[[#This Row],[Colo Rev]]&gt;0," Rev "&amp;_05preva_view43[[#This Row],[Colo Rev]],""),".xlsx")</f>
        <v>AYYN_0104 (YAW7816) Application.xlsx</v>
      </c>
      <c r="BE318" s="64">
        <f t="shared" ca="1" si="6"/>
        <v>50</v>
      </c>
      <c r="BF318" s="104" t="str">
        <f ca="1">LEFT(CELL("filename",A303),_05preva_view43[[#This Row],[Find Process &amp; Database]]-1)</f>
        <v>D:\OneDrive - apollo-towers.com\Apollo Towers\00-</v>
      </c>
      <c r="BG318" s="104" t="str">
        <f ca="1">_05preva_view43[Folder Path1]&amp;"Process &amp; Database\Documentation\Colo Applications"</f>
        <v>D:\OneDrive - apollo-towers.com\Apollo Towers\00-Process &amp; Database\Documentation\Colo Applications</v>
      </c>
      <c r="BH31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8" s="63" t="str">
        <f ca="1">_05preva_view43[[#This Row],[Folder Path3]]&amp;_05preva_view43[[#This Row],[File Name]]</f>
        <v>D:\OneDrive - apollo-towers.com\Apollo Towers\00-Process &amp; Database\Documentation\Colo Applications\Colo App OML\AYYN_0104 (YAW7816) Application.xlsx</v>
      </c>
      <c r="BJ318" s="104"/>
      <c r="BK318" s="3"/>
      <c r="BL318" s="3"/>
      <c r="CJ318" s="5"/>
      <c r="CK318" s="5"/>
      <c r="CL318" s="3"/>
      <c r="CN318" s="5"/>
      <c r="CR318" s="3"/>
      <c r="CS318" s="3"/>
      <c r="CT318" s="5"/>
      <c r="CV318" s="3"/>
      <c r="DR318" s="5"/>
      <c r="DT318" s="3"/>
      <c r="EF318" s="7"/>
      <c r="EG318" s="7"/>
      <c r="EJ318" s="4"/>
      <c r="EK318" s="4"/>
      <c r="EU318" s="2"/>
      <c r="EV318" s="2"/>
    </row>
    <row r="319" spans="1:152">
      <c r="A319" s="287">
        <v>99</v>
      </c>
      <c r="B319" s="288" t="s">
        <v>348</v>
      </c>
      <c r="C319" s="288" t="s">
        <v>116</v>
      </c>
      <c r="D319" s="288" t="s">
        <v>153</v>
      </c>
      <c r="E319" s="288" t="s">
        <v>349</v>
      </c>
      <c r="F319" s="288" t="s">
        <v>40</v>
      </c>
      <c r="G319" s="288" t="s">
        <v>118</v>
      </c>
      <c r="H319" s="288"/>
      <c r="I319" s="288" t="s">
        <v>118</v>
      </c>
      <c r="J319" s="288"/>
      <c r="K319" s="289">
        <v>43236</v>
      </c>
      <c r="L319" s="290"/>
      <c r="M319" s="290">
        <v>3</v>
      </c>
      <c r="N319" s="288"/>
      <c r="O319" s="288" t="s">
        <v>119</v>
      </c>
      <c r="P319" s="291"/>
      <c r="Q319" s="291"/>
      <c r="R319" s="288" t="s">
        <v>24</v>
      </c>
      <c r="S319" s="288"/>
      <c r="T319" s="292" t="s">
        <v>120</v>
      </c>
      <c r="U319" s="288" t="s">
        <v>301</v>
      </c>
      <c r="V319" s="292" t="s">
        <v>120</v>
      </c>
      <c r="W319" s="288"/>
      <c r="X319" s="292" t="s">
        <v>120</v>
      </c>
      <c r="Y319" s="288" t="s">
        <v>120</v>
      </c>
      <c r="Z319" s="293" t="s">
        <v>120</v>
      </c>
      <c r="AA319" s="294"/>
      <c r="AB319" s="294"/>
      <c r="AC319" s="295"/>
      <c r="AD319" s="288" t="s">
        <v>331</v>
      </c>
      <c r="AE319" s="292" t="s">
        <v>120</v>
      </c>
      <c r="AF319" s="289" t="s">
        <v>120</v>
      </c>
      <c r="AG319" s="296"/>
      <c r="AH319" s="296">
        <v>2</v>
      </c>
      <c r="AI319" s="288" t="s">
        <v>120</v>
      </c>
      <c r="AJ319" s="292" t="s">
        <v>120</v>
      </c>
      <c r="AK319" s="288" t="s">
        <v>123</v>
      </c>
      <c r="AL319" s="288"/>
      <c r="AM319" s="292"/>
      <c r="AN319" s="288"/>
      <c r="AO319" s="288"/>
      <c r="AP319" s="297"/>
      <c r="AQ319" s="288"/>
      <c r="AR319" s="292"/>
      <c r="AS319" s="288"/>
      <c r="AT319" s="289"/>
      <c r="AU319" s="289">
        <v>43453.378988194403</v>
      </c>
      <c r="AV319" s="289"/>
      <c r="AW319" s="289"/>
      <c r="AX319" s="289"/>
      <c r="AY319" s="289"/>
      <c r="AZ319" s="298">
        <v>43236</v>
      </c>
      <c r="BA31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19" s="300">
        <f>COUNTIFS(_05preva_view43[Site ID],_05preva_view43[[#This Row],[Site ID]],_05preva_view43[Prevalidation Status],"Under Prevalidation")</f>
        <v>0</v>
      </c>
      <c r="BC31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19" s="302" t="str">
        <f>CONCATENATE(_05preva_view43[[#This Row],[Site ID]]," (",_05preva_view43[[#This Row],[tenant id]],") Application",IF(_05preva_view43[[#This Row],[Colo Rev]]&gt;0," Rev "&amp;_05preva_view43[[#This Row],[Colo Rev]],""),".xlsx")</f>
        <v>AYYN_0580 (YAW7405) Application.xlsx</v>
      </c>
      <c r="BE319" s="64">
        <f t="shared" ca="1" si="6"/>
        <v>50</v>
      </c>
      <c r="BF319" s="104" t="str">
        <f ca="1">LEFT(CELL("filename",A304),_05preva_view43[[#This Row],[Find Process &amp; Database]]-1)</f>
        <v>D:\OneDrive - apollo-towers.com\Apollo Towers\00-</v>
      </c>
      <c r="BG319" s="104" t="str">
        <f ca="1">_05preva_view43[Folder Path1]&amp;"Process &amp; Database\Documentation\Colo Applications"</f>
        <v>D:\OneDrive - apollo-towers.com\Apollo Towers\00-Process &amp; Database\Documentation\Colo Applications</v>
      </c>
      <c r="BH31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19" s="63" t="str">
        <f ca="1">_05preva_view43[[#This Row],[Folder Path3]]&amp;_05preva_view43[[#This Row],[File Name]]</f>
        <v>D:\OneDrive - apollo-towers.com\Apollo Towers\00-Process &amp; Database\Documentation\Colo Applications\Colo App OML\AYYN_0580 (YAW7405) Application.xlsx</v>
      </c>
      <c r="BJ319" s="104"/>
      <c r="BK319" s="3"/>
      <c r="BL319" s="3"/>
      <c r="CJ319" s="5"/>
      <c r="CK319" s="5"/>
      <c r="CL319" s="3"/>
      <c r="CN319" s="5"/>
      <c r="CR319" s="3"/>
      <c r="CS319" s="3"/>
      <c r="CT319" s="5"/>
      <c r="CV319" s="3"/>
      <c r="DR319" s="5"/>
      <c r="DT319" s="3"/>
      <c r="EF319" s="7"/>
      <c r="EG319" s="7"/>
      <c r="EJ319" s="4"/>
      <c r="EK319" s="4"/>
      <c r="EU319" s="2"/>
      <c r="EV319" s="2"/>
    </row>
    <row r="320" spans="1:152">
      <c r="A320" s="287">
        <v>103</v>
      </c>
      <c r="B320" s="288" t="s">
        <v>351</v>
      </c>
      <c r="C320" s="288" t="s">
        <v>116</v>
      </c>
      <c r="D320" s="288" t="s">
        <v>153</v>
      </c>
      <c r="E320" s="288" t="s">
        <v>352</v>
      </c>
      <c r="F320" s="288" t="s">
        <v>40</v>
      </c>
      <c r="G320" s="288" t="s">
        <v>1289</v>
      </c>
      <c r="H320" s="288" t="s">
        <v>1290</v>
      </c>
      <c r="I320" s="288" t="s">
        <v>118</v>
      </c>
      <c r="J320" s="288"/>
      <c r="K320" s="289">
        <v>43236</v>
      </c>
      <c r="L320" s="290"/>
      <c r="M320" s="290">
        <v>3</v>
      </c>
      <c r="N320" s="288"/>
      <c r="O320" s="288" t="s">
        <v>119</v>
      </c>
      <c r="P320" s="291"/>
      <c r="Q320" s="291"/>
      <c r="R320" s="288" t="s">
        <v>24</v>
      </c>
      <c r="S320" s="288"/>
      <c r="T320" s="292" t="s">
        <v>120</v>
      </c>
      <c r="U320" s="288" t="s">
        <v>319</v>
      </c>
      <c r="V320" s="292" t="s">
        <v>120</v>
      </c>
      <c r="W320" s="288"/>
      <c r="X320" s="292" t="s">
        <v>120</v>
      </c>
      <c r="Y320" s="288" t="s">
        <v>320</v>
      </c>
      <c r="Z320" s="293" t="s">
        <v>125</v>
      </c>
      <c r="AA320" s="294"/>
      <c r="AB320" s="294"/>
      <c r="AC320" s="295" t="s">
        <v>123</v>
      </c>
      <c r="AD320" s="288" t="s">
        <v>339</v>
      </c>
      <c r="AE320" s="292" t="s">
        <v>125</v>
      </c>
      <c r="AF320" s="289"/>
      <c r="AG320" s="296"/>
      <c r="AH320" s="296"/>
      <c r="AI320" s="288" t="s">
        <v>208</v>
      </c>
      <c r="AJ320" s="292" t="s">
        <v>120</v>
      </c>
      <c r="AK320" s="288" t="s">
        <v>206</v>
      </c>
      <c r="AL320" s="288"/>
      <c r="AM320" s="292"/>
      <c r="AN320" s="288"/>
      <c r="AO320" s="288"/>
      <c r="AP320" s="297"/>
      <c r="AQ320" s="288"/>
      <c r="AR320" s="292"/>
      <c r="AS320" s="288"/>
      <c r="AT320" s="289"/>
      <c r="AU320" s="289"/>
      <c r="AV320" s="289"/>
      <c r="AW320" s="289"/>
      <c r="AX320" s="289"/>
      <c r="AY320" s="289"/>
      <c r="AZ320" s="298"/>
      <c r="BA32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0" s="300">
        <f>COUNTIFS(_05preva_view43[Site ID],_05preva_view43[[#This Row],[Site ID]],_05preva_view43[Prevalidation Status],"Under Prevalidation")</f>
        <v>0</v>
      </c>
      <c r="BC32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0" s="302" t="str">
        <f>CONCATENATE(_05preva_view43[[#This Row],[Site ID]]," (",_05preva_view43[[#This Row],[tenant id]],") Application",IF(_05preva_view43[[#This Row],[Colo Rev]]&gt;0," Rev "&amp;_05preva_view43[[#This Row],[Colo Rev]],""),".xlsx")</f>
        <v>AYYN_0576 (YAW7812) Application.xlsx</v>
      </c>
      <c r="BE320" s="64">
        <f t="shared" ca="1" si="6"/>
        <v>50</v>
      </c>
      <c r="BF320" s="104" t="str">
        <f ca="1">LEFT(CELL("filename",A305),_05preva_view43[[#This Row],[Find Process &amp; Database]]-1)</f>
        <v>D:\OneDrive - apollo-towers.com\Apollo Towers\00-</v>
      </c>
      <c r="BG320" s="104" t="str">
        <f ca="1">_05preva_view43[Folder Path1]&amp;"Process &amp; Database\Documentation\Colo Applications"</f>
        <v>D:\OneDrive - apollo-towers.com\Apollo Towers\00-Process &amp; Database\Documentation\Colo Applications</v>
      </c>
      <c r="BH32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0" s="63" t="str">
        <f ca="1">_05preva_view43[[#This Row],[Folder Path3]]&amp;_05preva_view43[[#This Row],[File Name]]</f>
        <v>D:\OneDrive - apollo-towers.com\Apollo Towers\00-Process &amp; Database\Documentation\Colo Applications\Colo App OML\AYYN_0576 (YAW7812) Application.xlsx</v>
      </c>
      <c r="BJ320" s="104"/>
      <c r="BK320" s="3"/>
      <c r="BL320" s="3"/>
      <c r="CJ320" s="5"/>
      <c r="CK320" s="5"/>
      <c r="CL320" s="3"/>
      <c r="CN320" s="5"/>
      <c r="CR320" s="3"/>
      <c r="CS320" s="3"/>
      <c r="CT320" s="5"/>
      <c r="CV320" s="3"/>
      <c r="DR320" s="5"/>
      <c r="DT320" s="3"/>
      <c r="EF320" s="7"/>
      <c r="EG320" s="7"/>
      <c r="EJ320" s="4"/>
      <c r="EK320" s="4"/>
      <c r="EU320" s="2"/>
      <c r="EV320" s="2"/>
    </row>
    <row r="321" spans="1:152">
      <c r="A321" s="287">
        <v>105</v>
      </c>
      <c r="B321" s="288" t="s">
        <v>354</v>
      </c>
      <c r="C321" s="288" t="s">
        <v>116</v>
      </c>
      <c r="D321" s="288" t="s">
        <v>153</v>
      </c>
      <c r="E321" s="288" t="s">
        <v>355</v>
      </c>
      <c r="F321" s="288" t="s">
        <v>40</v>
      </c>
      <c r="G321" s="288" t="s">
        <v>1289</v>
      </c>
      <c r="H321" s="288" t="s">
        <v>1290</v>
      </c>
      <c r="I321" s="288" t="s">
        <v>118</v>
      </c>
      <c r="J321" s="288"/>
      <c r="K321" s="289">
        <v>43236</v>
      </c>
      <c r="L321" s="290"/>
      <c r="M321" s="290">
        <v>3</v>
      </c>
      <c r="N321" s="288"/>
      <c r="O321" s="288" t="s">
        <v>119</v>
      </c>
      <c r="P321" s="291"/>
      <c r="Q321" s="291"/>
      <c r="R321" s="288" t="s">
        <v>24</v>
      </c>
      <c r="S321" s="288"/>
      <c r="T321" s="292" t="s">
        <v>120</v>
      </c>
      <c r="U321" s="288" t="s">
        <v>301</v>
      </c>
      <c r="V321" s="292" t="s">
        <v>120</v>
      </c>
      <c r="W321" s="288"/>
      <c r="X321" s="292" t="s">
        <v>120</v>
      </c>
      <c r="Y321" s="288" t="s">
        <v>120</v>
      </c>
      <c r="Z321" s="293" t="s">
        <v>120</v>
      </c>
      <c r="AA321" s="294"/>
      <c r="AB321" s="294"/>
      <c r="AC321" s="295"/>
      <c r="AD321" s="288" t="s">
        <v>331</v>
      </c>
      <c r="AE321" s="292" t="s">
        <v>120</v>
      </c>
      <c r="AF321" s="289" t="s">
        <v>207</v>
      </c>
      <c r="AG321" s="296"/>
      <c r="AH321" s="296">
        <v>3.5</v>
      </c>
      <c r="AI321" s="288" t="s">
        <v>308</v>
      </c>
      <c r="AJ321" s="292" t="s">
        <v>120</v>
      </c>
      <c r="AK321" s="288" t="s">
        <v>123</v>
      </c>
      <c r="AL321" s="288"/>
      <c r="AM321" s="292"/>
      <c r="AN321" s="288"/>
      <c r="AO321" s="288"/>
      <c r="AP321" s="297"/>
      <c r="AQ321" s="288"/>
      <c r="AR321" s="292"/>
      <c r="AS321" s="288"/>
      <c r="AT321" s="289"/>
      <c r="AU321" s="289">
        <v>43453.378991435202</v>
      </c>
      <c r="AV321" s="289"/>
      <c r="AW321" s="289"/>
      <c r="AX321" s="289"/>
      <c r="AY321" s="289"/>
      <c r="AZ321" s="298">
        <v>43236</v>
      </c>
      <c r="BA32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1" s="300">
        <f>COUNTIFS(_05preva_view43[Site ID],_05preva_view43[[#This Row],[Site ID]],_05preva_view43[Prevalidation Status],"Under Prevalidation")</f>
        <v>0</v>
      </c>
      <c r="BC32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1" s="302" t="str">
        <f>CONCATENATE(_05preva_view43[[#This Row],[Site ID]]," (",_05preva_view43[[#This Row],[tenant id]],") Application",IF(_05preva_view43[[#This Row],[Colo Rev]]&gt;0," Rev "&amp;_05preva_view43[[#This Row],[Colo Rev]],""),".xlsx")</f>
        <v>AYYN_0331 (YAW7807) Application.xlsx</v>
      </c>
      <c r="BE321" s="64">
        <f t="shared" ca="1" si="6"/>
        <v>50</v>
      </c>
      <c r="BF321" s="104" t="str">
        <f ca="1">LEFT(CELL("filename",A306),_05preva_view43[[#This Row],[Find Process &amp; Database]]-1)</f>
        <v>D:\OneDrive - apollo-towers.com\Apollo Towers\00-</v>
      </c>
      <c r="BG321" s="104" t="str">
        <f ca="1">_05preva_view43[Folder Path1]&amp;"Process &amp; Database\Documentation\Colo Applications"</f>
        <v>D:\OneDrive - apollo-towers.com\Apollo Towers\00-Process &amp; Database\Documentation\Colo Applications</v>
      </c>
      <c r="BH32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1" s="63" t="str">
        <f ca="1">_05preva_view43[[#This Row],[Folder Path3]]&amp;_05preva_view43[[#This Row],[File Name]]</f>
        <v>D:\OneDrive - apollo-towers.com\Apollo Towers\00-Process &amp; Database\Documentation\Colo Applications\Colo App OML\AYYN_0331 (YAW7807) Application.xlsx</v>
      </c>
      <c r="BJ321" s="104"/>
      <c r="BK321" s="3"/>
      <c r="BL321" s="3"/>
      <c r="CJ321" s="5"/>
      <c r="CK321" s="5"/>
      <c r="CL321" s="3"/>
      <c r="CN321" s="5"/>
      <c r="CR321" s="3"/>
      <c r="CS321" s="3"/>
      <c r="CT321" s="5"/>
      <c r="CV321" s="3"/>
      <c r="DR321" s="5"/>
      <c r="DT321" s="3"/>
      <c r="EF321" s="7"/>
      <c r="EG321" s="7"/>
      <c r="EJ321" s="4"/>
      <c r="EK321" s="4"/>
      <c r="EU321" s="2"/>
      <c r="EV321" s="2"/>
    </row>
    <row r="322" spans="1:152">
      <c r="A322" s="287">
        <v>107</v>
      </c>
      <c r="B322" s="288" t="s">
        <v>356</v>
      </c>
      <c r="C322" s="288" t="s">
        <v>116</v>
      </c>
      <c r="D322" s="288" t="s">
        <v>117</v>
      </c>
      <c r="E322" s="288" t="s">
        <v>357</v>
      </c>
      <c r="F322" s="288" t="s">
        <v>40</v>
      </c>
      <c r="G322" s="288" t="s">
        <v>1289</v>
      </c>
      <c r="H322" s="288" t="s">
        <v>1285</v>
      </c>
      <c r="I322" s="288" t="s">
        <v>118</v>
      </c>
      <c r="J322" s="288"/>
      <c r="K322" s="289">
        <v>43236</v>
      </c>
      <c r="L322" s="290"/>
      <c r="M322" s="290">
        <v>3</v>
      </c>
      <c r="N322" s="288"/>
      <c r="O322" s="288" t="s">
        <v>119</v>
      </c>
      <c r="P322" s="291"/>
      <c r="Q322" s="291"/>
      <c r="R322" s="288" t="s">
        <v>24</v>
      </c>
      <c r="S322" s="288"/>
      <c r="T322" s="292" t="s">
        <v>120</v>
      </c>
      <c r="U322" s="288" t="s">
        <v>301</v>
      </c>
      <c r="V322" s="292" t="s">
        <v>120</v>
      </c>
      <c r="W322" s="288"/>
      <c r="X322" s="292" t="s">
        <v>120</v>
      </c>
      <c r="Y322" s="288" t="s">
        <v>120</v>
      </c>
      <c r="Z322" s="293" t="s">
        <v>120</v>
      </c>
      <c r="AA322" s="294"/>
      <c r="AB322" s="294"/>
      <c r="AC322" s="295"/>
      <c r="AD322" s="288" t="s">
        <v>120</v>
      </c>
      <c r="AE322" s="292" t="s">
        <v>120</v>
      </c>
      <c r="AF322" s="289" t="s">
        <v>358</v>
      </c>
      <c r="AG322" s="296"/>
      <c r="AH322" s="296">
        <v>3.5</v>
      </c>
      <c r="AI322" s="288" t="s">
        <v>211</v>
      </c>
      <c r="AJ322" s="292" t="s">
        <v>120</v>
      </c>
      <c r="AK322" s="288" t="s">
        <v>123</v>
      </c>
      <c r="AL322" s="288"/>
      <c r="AM322" s="292"/>
      <c r="AN322" s="288"/>
      <c r="AO322" s="288"/>
      <c r="AP322" s="297"/>
      <c r="AQ322" s="288"/>
      <c r="AR322" s="292"/>
      <c r="AS322" s="288"/>
      <c r="AT322" s="289"/>
      <c r="AU322" s="289">
        <v>43453.378993518498</v>
      </c>
      <c r="AV322" s="289"/>
      <c r="AW322" s="289"/>
      <c r="AX322" s="289"/>
      <c r="AY322" s="289"/>
      <c r="AZ322" s="298">
        <v>43236</v>
      </c>
      <c r="BA32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2" s="300">
        <f>COUNTIFS(_05preva_view43[Site ID],_05preva_view43[[#This Row],[Site ID]],_05preva_view43[Prevalidation Status],"Under Prevalidation")</f>
        <v>0</v>
      </c>
      <c r="BC32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2" s="302" t="str">
        <f>CONCATENATE(_05preva_view43[[#This Row],[Site ID]]," (",_05preva_view43[[#This Row],[tenant id]],") Application",IF(_05preva_view43[[#This Row],[Colo Rev]]&gt;0," Rev "&amp;_05preva_view43[[#This Row],[Colo Rev]],""),".xlsx")</f>
        <v>ACBA_0108 (BAW5569) Application.xlsx</v>
      </c>
      <c r="BE322" s="64">
        <f t="shared" ca="1" si="6"/>
        <v>50</v>
      </c>
      <c r="BF322" s="104" t="str">
        <f ca="1">LEFT(CELL("filename",A307),_05preva_view43[[#This Row],[Find Process &amp; Database]]-1)</f>
        <v>D:\OneDrive - apollo-towers.com\Apollo Towers\00-</v>
      </c>
      <c r="BG322" s="104" t="str">
        <f ca="1">_05preva_view43[Folder Path1]&amp;"Process &amp; Database\Documentation\Colo Applications"</f>
        <v>D:\OneDrive - apollo-towers.com\Apollo Towers\00-Process &amp; Database\Documentation\Colo Applications</v>
      </c>
      <c r="BH32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2" s="63" t="str">
        <f ca="1">_05preva_view43[[#This Row],[Folder Path3]]&amp;_05preva_view43[[#This Row],[File Name]]</f>
        <v>D:\OneDrive - apollo-towers.com\Apollo Towers\00-Process &amp; Database\Documentation\Colo Applications\Colo App OML\ACBA_0108 (BAW5569) Application.xlsx</v>
      </c>
      <c r="BJ322" s="104"/>
      <c r="BK322" s="3"/>
      <c r="BL322" s="3"/>
      <c r="CJ322" s="5"/>
      <c r="CK322" s="5"/>
      <c r="CL322" s="3"/>
      <c r="CN322" s="5"/>
      <c r="CR322" s="3"/>
      <c r="CS322" s="3"/>
      <c r="CT322" s="5"/>
      <c r="CV322" s="3"/>
      <c r="DR322" s="5"/>
      <c r="DT322" s="3"/>
      <c r="EF322" s="7"/>
      <c r="EG322" s="7"/>
      <c r="EJ322" s="4"/>
      <c r="EK322" s="4"/>
      <c r="EU322" s="2"/>
      <c r="EV322" s="2"/>
    </row>
    <row r="323" spans="1:152">
      <c r="A323" s="287">
        <v>108</v>
      </c>
      <c r="B323" s="288" t="s">
        <v>359</v>
      </c>
      <c r="C323" s="288" t="s">
        <v>116</v>
      </c>
      <c r="D323" s="288" t="s">
        <v>153</v>
      </c>
      <c r="E323" s="288" t="s">
        <v>360</v>
      </c>
      <c r="F323" s="288" t="s">
        <v>40</v>
      </c>
      <c r="G323" s="288" t="s">
        <v>1289</v>
      </c>
      <c r="H323" s="288" t="s">
        <v>1285</v>
      </c>
      <c r="I323" s="288" t="s">
        <v>118</v>
      </c>
      <c r="J323" s="288"/>
      <c r="K323" s="289">
        <v>43236</v>
      </c>
      <c r="L323" s="290"/>
      <c r="M323" s="290">
        <v>3</v>
      </c>
      <c r="N323" s="288"/>
      <c r="O323" s="288" t="s">
        <v>119</v>
      </c>
      <c r="P323" s="291"/>
      <c r="Q323" s="291"/>
      <c r="R323" s="288" t="s">
        <v>24</v>
      </c>
      <c r="S323" s="288"/>
      <c r="T323" s="292" t="s">
        <v>120</v>
      </c>
      <c r="U323" s="288" t="s">
        <v>301</v>
      </c>
      <c r="V323" s="292" t="s">
        <v>120</v>
      </c>
      <c r="W323" s="288"/>
      <c r="X323" s="292" t="s">
        <v>120</v>
      </c>
      <c r="Y323" s="288" t="s">
        <v>120</v>
      </c>
      <c r="Z323" s="293" t="s">
        <v>120</v>
      </c>
      <c r="AA323" s="294"/>
      <c r="AB323" s="294"/>
      <c r="AC323" s="295"/>
      <c r="AD323" s="288" t="s">
        <v>120</v>
      </c>
      <c r="AE323" s="292" t="s">
        <v>120</v>
      </c>
      <c r="AF323" s="289" t="s">
        <v>207</v>
      </c>
      <c r="AG323" s="296"/>
      <c r="AH323" s="296">
        <v>3.5</v>
      </c>
      <c r="AI323" s="288" t="s">
        <v>208</v>
      </c>
      <c r="AJ323" s="292" t="s">
        <v>120</v>
      </c>
      <c r="AK323" s="288" t="s">
        <v>123</v>
      </c>
      <c r="AL323" s="288" t="s">
        <v>361</v>
      </c>
      <c r="AM323" s="292"/>
      <c r="AN323" s="288"/>
      <c r="AO323" s="288"/>
      <c r="AP323" s="297"/>
      <c r="AQ323" s="288"/>
      <c r="AR323" s="292"/>
      <c r="AS323" s="288"/>
      <c r="AT323" s="289"/>
      <c r="AU323" s="289">
        <v>43453.378994328697</v>
      </c>
      <c r="AV323" s="289"/>
      <c r="AW323" s="289"/>
      <c r="AX323" s="289"/>
      <c r="AY323" s="289"/>
      <c r="AZ323" s="298">
        <v>43236</v>
      </c>
      <c r="BA32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3" s="300">
        <f>COUNTIFS(_05preva_view43[Site ID],_05preva_view43[[#This Row],[Site ID]],_05preva_view43[Prevalidation Status],"Under Prevalidation")</f>
        <v>0</v>
      </c>
      <c r="BC32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3" s="302" t="str">
        <f>CONCATENATE(_05preva_view43[[#This Row],[Site ID]]," (",_05preva_view43[[#This Row],[tenant id]],") Application",IF(_05preva_view43[[#This Row],[Colo Rev]]&gt;0," Rev "&amp;_05preva_view43[[#This Row],[Colo Rev]],""),".xlsx")</f>
        <v>ASMO_0305 (MOW6308) Application.xlsx</v>
      </c>
      <c r="BE323" s="64">
        <f t="shared" ca="1" si="6"/>
        <v>50</v>
      </c>
      <c r="BF323" s="104" t="str">
        <f ca="1">LEFT(CELL("filename",A308),_05preva_view43[[#This Row],[Find Process &amp; Database]]-1)</f>
        <v>D:\OneDrive - apollo-towers.com\Apollo Towers\00-</v>
      </c>
      <c r="BG323" s="104" t="str">
        <f ca="1">_05preva_view43[Folder Path1]&amp;"Process &amp; Database\Documentation\Colo Applications"</f>
        <v>D:\OneDrive - apollo-towers.com\Apollo Towers\00-Process &amp; Database\Documentation\Colo Applications</v>
      </c>
      <c r="BH32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3" s="63" t="str">
        <f ca="1">_05preva_view43[[#This Row],[Folder Path3]]&amp;_05preva_view43[[#This Row],[File Name]]</f>
        <v>D:\OneDrive - apollo-towers.com\Apollo Towers\00-Process &amp; Database\Documentation\Colo Applications\Colo App OML\ASMO_0305 (MOW6308) Application.xlsx</v>
      </c>
      <c r="BJ323" s="104"/>
      <c r="BK323" s="3"/>
      <c r="BL323" s="3"/>
      <c r="CJ323" s="5"/>
      <c r="CK323" s="5"/>
      <c r="CL323" s="3"/>
      <c r="CN323" s="5"/>
      <c r="CR323" s="3"/>
      <c r="CS323" s="3"/>
      <c r="CT323" s="5"/>
      <c r="CV323" s="3"/>
      <c r="DR323" s="5"/>
      <c r="DT323" s="3"/>
      <c r="EF323" s="7"/>
      <c r="EG323" s="7"/>
      <c r="EJ323" s="4"/>
      <c r="EK323" s="4"/>
      <c r="EU323" s="2"/>
      <c r="EV323" s="2"/>
    </row>
    <row r="324" spans="1:152">
      <c r="A324" s="287">
        <v>113</v>
      </c>
      <c r="B324" s="288" t="s">
        <v>362</v>
      </c>
      <c r="C324" s="288" t="s">
        <v>116</v>
      </c>
      <c r="D324" s="288" t="s">
        <v>153</v>
      </c>
      <c r="E324" s="288" t="s">
        <v>363</v>
      </c>
      <c r="F324" s="288" t="s">
        <v>40</v>
      </c>
      <c r="G324" s="288" t="s">
        <v>118</v>
      </c>
      <c r="H324" s="288"/>
      <c r="I324" s="288" t="s">
        <v>118</v>
      </c>
      <c r="J324" s="288"/>
      <c r="K324" s="289">
        <v>43236</v>
      </c>
      <c r="L324" s="290"/>
      <c r="M324" s="290">
        <v>3</v>
      </c>
      <c r="N324" s="288"/>
      <c r="O324" s="288" t="s">
        <v>119</v>
      </c>
      <c r="P324" s="291"/>
      <c r="Q324" s="291"/>
      <c r="R324" s="288" t="s">
        <v>24</v>
      </c>
      <c r="S324" s="288"/>
      <c r="T324" s="292" t="s">
        <v>120</v>
      </c>
      <c r="U324" s="288" t="s">
        <v>319</v>
      </c>
      <c r="V324" s="292" t="s">
        <v>120</v>
      </c>
      <c r="W324" s="288"/>
      <c r="X324" s="292" t="s">
        <v>120</v>
      </c>
      <c r="Y324" s="288" t="s">
        <v>320</v>
      </c>
      <c r="Z324" s="293" t="s">
        <v>120</v>
      </c>
      <c r="AA324" s="294"/>
      <c r="AB324" s="294"/>
      <c r="AC324" s="295" t="s">
        <v>123</v>
      </c>
      <c r="AD324" s="288" t="s">
        <v>331</v>
      </c>
      <c r="AE324" s="292" t="s">
        <v>120</v>
      </c>
      <c r="AF324" s="289" t="s">
        <v>364</v>
      </c>
      <c r="AG324" s="296"/>
      <c r="AH324" s="296">
        <v>2</v>
      </c>
      <c r="AI324" s="288" t="s">
        <v>365</v>
      </c>
      <c r="AJ324" s="292" t="s">
        <v>120</v>
      </c>
      <c r="AK324" s="288" t="s">
        <v>206</v>
      </c>
      <c r="AL324" s="288"/>
      <c r="AM324" s="292"/>
      <c r="AN324" s="288"/>
      <c r="AO324" s="288"/>
      <c r="AP324" s="297"/>
      <c r="AQ324" s="288"/>
      <c r="AR324" s="292"/>
      <c r="AS324" s="288"/>
      <c r="AT324" s="289"/>
      <c r="AU324" s="289">
        <v>43453.378997800901</v>
      </c>
      <c r="AV324" s="289"/>
      <c r="AW324" s="289"/>
      <c r="AX324" s="289"/>
      <c r="AY324" s="289"/>
      <c r="AZ324" s="298">
        <v>43236</v>
      </c>
      <c r="BA32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4" s="300">
        <f>COUNTIFS(_05preva_view43[Site ID],_05preva_view43[[#This Row],[Site ID]],_05preva_view43[Prevalidation Status],"Under Prevalidation")</f>
        <v>0</v>
      </c>
      <c r="BC32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4" s="302" t="str">
        <f>CONCATENATE(_05preva_view43[[#This Row],[Site ID]]," (",_05preva_view43[[#This Row],[tenant id]],") Application",IF(_05preva_view43[[#This Row],[Colo Rev]]&gt;0," Rev "&amp;_05preva_view43[[#This Row],[Colo Rev]],""),".xlsx")</f>
        <v>ASMO_0180 (MOW6311) Application.xlsx</v>
      </c>
      <c r="BE324" s="64">
        <f t="shared" ca="1" si="6"/>
        <v>50</v>
      </c>
      <c r="BF324" s="104" t="str">
        <f ca="1">LEFT(CELL("filename",A309),_05preva_view43[[#This Row],[Find Process &amp; Database]]-1)</f>
        <v>D:\OneDrive - apollo-towers.com\Apollo Towers\00-</v>
      </c>
      <c r="BG324" s="104" t="str">
        <f ca="1">_05preva_view43[Folder Path1]&amp;"Process &amp; Database\Documentation\Colo Applications"</f>
        <v>D:\OneDrive - apollo-towers.com\Apollo Towers\00-Process &amp; Database\Documentation\Colo Applications</v>
      </c>
      <c r="BH32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4" s="63" t="str">
        <f ca="1">_05preva_view43[[#This Row],[Folder Path3]]&amp;_05preva_view43[[#This Row],[File Name]]</f>
        <v>D:\OneDrive - apollo-towers.com\Apollo Towers\00-Process &amp; Database\Documentation\Colo Applications\Colo App OML\ASMO_0180 (MOW6311) Application.xlsx</v>
      </c>
      <c r="BJ324" s="104"/>
      <c r="BK324" s="3"/>
      <c r="BL324" s="3"/>
      <c r="CJ324" s="5"/>
      <c r="CK324" s="5"/>
      <c r="CL324" s="3"/>
      <c r="CN324" s="5"/>
      <c r="CR324" s="3"/>
      <c r="CS324" s="3"/>
      <c r="CT324" s="5"/>
      <c r="CV324" s="3"/>
      <c r="DR324" s="5"/>
      <c r="DT324" s="3"/>
      <c r="EF324" s="7"/>
      <c r="EG324" s="7"/>
      <c r="EJ324" s="4"/>
      <c r="EK324" s="4"/>
      <c r="EU324" s="2"/>
      <c r="EV324" s="2"/>
    </row>
    <row r="325" spans="1:152">
      <c r="A325" s="287">
        <v>114</v>
      </c>
      <c r="B325" s="288" t="s">
        <v>366</v>
      </c>
      <c r="C325" s="288" t="s">
        <v>116</v>
      </c>
      <c r="D325" s="288" t="s">
        <v>153</v>
      </c>
      <c r="E325" s="288" t="s">
        <v>367</v>
      </c>
      <c r="F325" s="288" t="s">
        <v>40</v>
      </c>
      <c r="G325" s="288" t="s">
        <v>118</v>
      </c>
      <c r="H325" s="288"/>
      <c r="I325" s="288" t="s">
        <v>118</v>
      </c>
      <c r="J325" s="288"/>
      <c r="K325" s="289">
        <v>43236</v>
      </c>
      <c r="L325" s="290"/>
      <c r="M325" s="290">
        <v>3</v>
      </c>
      <c r="N325" s="288"/>
      <c r="O325" s="288" t="s">
        <v>119</v>
      </c>
      <c r="P325" s="291"/>
      <c r="Q325" s="291"/>
      <c r="R325" s="288" t="s">
        <v>24</v>
      </c>
      <c r="S325" s="288"/>
      <c r="T325" s="292" t="s">
        <v>120</v>
      </c>
      <c r="U325" s="288" t="s">
        <v>319</v>
      </c>
      <c r="V325" s="292" t="s">
        <v>120</v>
      </c>
      <c r="W325" s="288"/>
      <c r="X325" s="292" t="s">
        <v>120</v>
      </c>
      <c r="Y325" s="288" t="s">
        <v>320</v>
      </c>
      <c r="Z325" s="293" t="s">
        <v>125</v>
      </c>
      <c r="AA325" s="294"/>
      <c r="AB325" s="294"/>
      <c r="AC325" s="295" t="s">
        <v>123</v>
      </c>
      <c r="AD325" s="288" t="s">
        <v>321</v>
      </c>
      <c r="AE325" s="292" t="s">
        <v>125</v>
      </c>
      <c r="AF325" s="289"/>
      <c r="AG325" s="296"/>
      <c r="AH325" s="296"/>
      <c r="AI325" s="288" t="s">
        <v>295</v>
      </c>
      <c r="AJ325" s="292" t="s">
        <v>120</v>
      </c>
      <c r="AK325" s="288" t="s">
        <v>206</v>
      </c>
      <c r="AL325" s="288"/>
      <c r="AM325" s="292"/>
      <c r="AN325" s="288"/>
      <c r="AO325" s="288"/>
      <c r="AP325" s="297"/>
      <c r="AQ325" s="288"/>
      <c r="AR325" s="292"/>
      <c r="AS325" s="288"/>
      <c r="AT325" s="289"/>
      <c r="AU325" s="289"/>
      <c r="AV325" s="289"/>
      <c r="AW325" s="289"/>
      <c r="AX325" s="289"/>
      <c r="AY325" s="289"/>
      <c r="AZ325" s="298">
        <v>43236</v>
      </c>
      <c r="BA32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5" s="300">
        <f>COUNTIFS(_05preva_view43[Site ID],_05preva_view43[[#This Row],[Site ID]],_05preva_view43[Prevalidation Status],"Under Prevalidation")</f>
        <v>0</v>
      </c>
      <c r="BC32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5" s="302" t="str">
        <f>CONCATENATE(_05preva_view43[[#This Row],[Site ID]]," (",_05preva_view43[[#This Row],[tenant id]],") Application",IF(_05preva_view43[[#This Row],[Colo Rev]]&gt;0," Rev "&amp;_05preva_view43[[#This Row],[Colo Rev]],""),".xlsx")</f>
        <v>AYYN_0536 (YAW7758) Application.xlsx</v>
      </c>
      <c r="BE325" s="64">
        <f t="shared" ca="1" si="6"/>
        <v>50</v>
      </c>
      <c r="BF325" s="104" t="str">
        <f ca="1">LEFT(CELL("filename",A310),_05preva_view43[[#This Row],[Find Process &amp; Database]]-1)</f>
        <v>D:\OneDrive - apollo-towers.com\Apollo Towers\00-</v>
      </c>
      <c r="BG325" s="104" t="str">
        <f ca="1">_05preva_view43[Folder Path1]&amp;"Process &amp; Database\Documentation\Colo Applications"</f>
        <v>D:\OneDrive - apollo-towers.com\Apollo Towers\00-Process &amp; Database\Documentation\Colo Applications</v>
      </c>
      <c r="BH32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5" s="63" t="str">
        <f ca="1">_05preva_view43[[#This Row],[Folder Path3]]&amp;_05preva_view43[[#This Row],[File Name]]</f>
        <v>D:\OneDrive - apollo-towers.com\Apollo Towers\00-Process &amp; Database\Documentation\Colo Applications\Colo App OML\AYYN_0536 (YAW7758) Application.xlsx</v>
      </c>
      <c r="BJ325" s="104"/>
      <c r="BK325" s="3"/>
      <c r="BL325" s="3"/>
      <c r="CJ325" s="5"/>
      <c r="CK325" s="5"/>
      <c r="CL325" s="3"/>
      <c r="CN325" s="5"/>
      <c r="CR325" s="3"/>
      <c r="CS325" s="3"/>
      <c r="CT325" s="5"/>
      <c r="CV325" s="3"/>
      <c r="DR325" s="5"/>
      <c r="DT325" s="3"/>
      <c r="EF325" s="7"/>
      <c r="EG325" s="7"/>
      <c r="EJ325" s="4"/>
      <c r="EK325" s="4"/>
      <c r="EU325" s="2"/>
      <c r="EV325" s="2"/>
    </row>
    <row r="326" spans="1:152">
      <c r="A326" s="287">
        <v>120</v>
      </c>
      <c r="B326" s="288" t="s">
        <v>369</v>
      </c>
      <c r="C326" s="288" t="s">
        <v>116</v>
      </c>
      <c r="D326" s="288" t="s">
        <v>153</v>
      </c>
      <c r="E326" s="288" t="s">
        <v>370</v>
      </c>
      <c r="F326" s="288" t="s">
        <v>40</v>
      </c>
      <c r="G326" s="288" t="s">
        <v>1289</v>
      </c>
      <c r="H326" s="288" t="s">
        <v>1290</v>
      </c>
      <c r="I326" s="288" t="s">
        <v>118</v>
      </c>
      <c r="J326" s="288"/>
      <c r="K326" s="289">
        <v>43236</v>
      </c>
      <c r="L326" s="290"/>
      <c r="M326" s="290">
        <v>3</v>
      </c>
      <c r="N326" s="288"/>
      <c r="O326" s="288" t="s">
        <v>119</v>
      </c>
      <c r="P326" s="291"/>
      <c r="Q326" s="291"/>
      <c r="R326" s="288" t="s">
        <v>24</v>
      </c>
      <c r="S326" s="288"/>
      <c r="T326" s="292" t="s">
        <v>120</v>
      </c>
      <c r="U326" s="288" t="s">
        <v>301</v>
      </c>
      <c r="V326" s="292" t="s">
        <v>120</v>
      </c>
      <c r="W326" s="288"/>
      <c r="X326" s="292" t="s">
        <v>120</v>
      </c>
      <c r="Y326" s="288" t="s">
        <v>371</v>
      </c>
      <c r="Z326" s="293" t="s">
        <v>120</v>
      </c>
      <c r="AA326" s="294"/>
      <c r="AB326" s="294"/>
      <c r="AC326" s="295"/>
      <c r="AD326" s="288" t="s">
        <v>120</v>
      </c>
      <c r="AE326" s="292" t="s">
        <v>120</v>
      </c>
      <c r="AF326" s="289" t="s">
        <v>358</v>
      </c>
      <c r="AG326" s="296"/>
      <c r="AH326" s="296">
        <v>3.5</v>
      </c>
      <c r="AI326" s="288" t="s">
        <v>345</v>
      </c>
      <c r="AJ326" s="292" t="s">
        <v>120</v>
      </c>
      <c r="AK326" s="288" t="s">
        <v>123</v>
      </c>
      <c r="AL326" s="288"/>
      <c r="AM326" s="292"/>
      <c r="AN326" s="288"/>
      <c r="AO326" s="288"/>
      <c r="AP326" s="297"/>
      <c r="AQ326" s="288"/>
      <c r="AR326" s="292"/>
      <c r="AS326" s="288"/>
      <c r="AT326" s="289"/>
      <c r="AU326" s="289">
        <v>43453.379002314803</v>
      </c>
      <c r="AV326" s="289"/>
      <c r="AW326" s="289"/>
      <c r="AX326" s="289"/>
      <c r="AY326" s="289"/>
      <c r="AZ326" s="298">
        <v>43236</v>
      </c>
      <c r="BA32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6" s="300">
        <f>COUNTIFS(_05preva_view43[Site ID],_05preva_view43[[#This Row],[Site ID]],_05preva_view43[Prevalidation Status],"Under Prevalidation")</f>
        <v>0</v>
      </c>
      <c r="BC32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6" s="302" t="str">
        <f>CONCATENATE(_05preva_view43[[#This Row],[Site ID]]," (",_05preva_view43[[#This Row],[tenant id]],") Application",IF(_05preva_view43[[#This Row],[Colo Rev]]&gt;0," Rev "&amp;_05preva_view43[[#This Row],[Colo Rev]],""),".xlsx")</f>
        <v>ACBA_0051 (BAW5574) Application.xlsx</v>
      </c>
      <c r="BE326" s="64">
        <f t="shared" ca="1" si="6"/>
        <v>50</v>
      </c>
      <c r="BF326" s="104" t="str">
        <f ca="1">LEFT(CELL("filename",A311),_05preva_view43[[#This Row],[Find Process &amp; Database]]-1)</f>
        <v>D:\OneDrive - apollo-towers.com\Apollo Towers\00-</v>
      </c>
      <c r="BG326" s="104" t="str">
        <f ca="1">_05preva_view43[Folder Path1]&amp;"Process &amp; Database\Documentation\Colo Applications"</f>
        <v>D:\OneDrive - apollo-towers.com\Apollo Towers\00-Process &amp; Database\Documentation\Colo Applications</v>
      </c>
      <c r="BH32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6" s="63" t="str">
        <f ca="1">_05preva_view43[[#This Row],[Folder Path3]]&amp;_05preva_view43[[#This Row],[File Name]]</f>
        <v>D:\OneDrive - apollo-towers.com\Apollo Towers\00-Process &amp; Database\Documentation\Colo Applications\Colo App OML\ACBA_0051 (BAW5574) Application.xlsx</v>
      </c>
      <c r="BJ326" s="104"/>
      <c r="BK326" s="3"/>
      <c r="BL326" s="3"/>
      <c r="CJ326" s="5"/>
      <c r="CK326" s="5"/>
      <c r="CL326" s="3"/>
      <c r="CN326" s="5"/>
      <c r="CR326" s="3"/>
      <c r="CS326" s="3"/>
      <c r="CT326" s="5"/>
      <c r="CV326" s="3"/>
      <c r="DR326" s="5"/>
      <c r="DT326" s="3"/>
      <c r="EF326" s="7"/>
      <c r="EG326" s="7"/>
      <c r="EJ326" s="4"/>
      <c r="EK326" s="4"/>
      <c r="EU326" s="2"/>
      <c r="EV326" s="2"/>
    </row>
    <row r="327" spans="1:152">
      <c r="A327" s="287">
        <v>124</v>
      </c>
      <c r="B327" s="288" t="s">
        <v>372</v>
      </c>
      <c r="C327" s="288" t="s">
        <v>116</v>
      </c>
      <c r="D327" s="288" t="s">
        <v>153</v>
      </c>
      <c r="E327" s="288" t="s">
        <v>373</v>
      </c>
      <c r="F327" s="288" t="s">
        <v>40</v>
      </c>
      <c r="G327" s="288" t="s">
        <v>118</v>
      </c>
      <c r="H327" s="288"/>
      <c r="I327" s="288" t="s">
        <v>118</v>
      </c>
      <c r="J327" s="288"/>
      <c r="K327" s="289">
        <v>43236</v>
      </c>
      <c r="L327" s="290"/>
      <c r="M327" s="290">
        <v>3</v>
      </c>
      <c r="N327" s="288"/>
      <c r="O327" s="288" t="s">
        <v>119</v>
      </c>
      <c r="P327" s="291"/>
      <c r="Q327" s="291"/>
      <c r="R327" s="288" t="s">
        <v>24</v>
      </c>
      <c r="S327" s="288"/>
      <c r="T327" s="292" t="s">
        <v>120</v>
      </c>
      <c r="U327" s="288" t="s">
        <v>334</v>
      </c>
      <c r="V327" s="292" t="s">
        <v>120</v>
      </c>
      <c r="W327" s="288"/>
      <c r="X327" s="292" t="s">
        <v>120</v>
      </c>
      <c r="Y327" s="288" t="s">
        <v>320</v>
      </c>
      <c r="Z327" s="293" t="s">
        <v>125</v>
      </c>
      <c r="AA327" s="294"/>
      <c r="AB327" s="294"/>
      <c r="AC327" s="295" t="s">
        <v>123</v>
      </c>
      <c r="AD327" s="288" t="s">
        <v>321</v>
      </c>
      <c r="AE327" s="292" t="s">
        <v>125</v>
      </c>
      <c r="AF327" s="289"/>
      <c r="AG327" s="296"/>
      <c r="AH327" s="296"/>
      <c r="AI327" s="288" t="s">
        <v>295</v>
      </c>
      <c r="AJ327" s="292" t="s">
        <v>120</v>
      </c>
      <c r="AK327" s="288" t="s">
        <v>206</v>
      </c>
      <c r="AL327" s="288"/>
      <c r="AM327" s="292"/>
      <c r="AN327" s="288"/>
      <c r="AO327" s="288"/>
      <c r="AP327" s="297"/>
      <c r="AQ327" s="288"/>
      <c r="AR327" s="292"/>
      <c r="AS327" s="288"/>
      <c r="AT327" s="289"/>
      <c r="AU327" s="289"/>
      <c r="AV327" s="289"/>
      <c r="AW327" s="289"/>
      <c r="AX327" s="289"/>
      <c r="AY327" s="289"/>
      <c r="AZ327" s="298"/>
      <c r="BA32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7" s="300">
        <f>COUNTIFS(_05preva_view43[Site ID],_05preva_view43[[#This Row],[Site ID]],_05preva_view43[Prevalidation Status],"Under Prevalidation")</f>
        <v>0</v>
      </c>
      <c r="BC32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7" s="302" t="str">
        <f>CONCATENATE(_05preva_view43[[#This Row],[Site ID]]," (",_05preva_view43[[#This Row],[tenant id]],") Application",IF(_05preva_view43[[#This Row],[Colo Rev]]&gt;0," Rev "&amp;_05preva_view43[[#This Row],[Colo Rev]],""),".xlsx")</f>
        <v>AYYN_0309 (YAW7787) Application.xlsx</v>
      </c>
      <c r="BE327" s="64">
        <f t="shared" ca="1" si="6"/>
        <v>50</v>
      </c>
      <c r="BF327" s="104" t="str">
        <f ca="1">LEFT(CELL("filename",A312),_05preva_view43[[#This Row],[Find Process &amp; Database]]-1)</f>
        <v>D:\OneDrive - apollo-towers.com\Apollo Towers\00-</v>
      </c>
      <c r="BG327" s="104" t="str">
        <f ca="1">_05preva_view43[Folder Path1]&amp;"Process &amp; Database\Documentation\Colo Applications"</f>
        <v>D:\OneDrive - apollo-towers.com\Apollo Towers\00-Process &amp; Database\Documentation\Colo Applications</v>
      </c>
      <c r="BH32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7" s="63" t="str">
        <f ca="1">_05preva_view43[[#This Row],[Folder Path3]]&amp;_05preva_view43[[#This Row],[File Name]]</f>
        <v>D:\OneDrive - apollo-towers.com\Apollo Towers\00-Process &amp; Database\Documentation\Colo Applications\Colo App OML\AYYN_0309 (YAW7787) Application.xlsx</v>
      </c>
      <c r="BJ327" s="104"/>
      <c r="BK327" s="3"/>
      <c r="BL327" s="3"/>
      <c r="CJ327" s="5"/>
      <c r="CK327" s="5"/>
      <c r="CL327" s="3"/>
      <c r="CN327" s="5"/>
      <c r="CR327" s="3"/>
      <c r="CS327" s="3"/>
      <c r="CT327" s="5"/>
      <c r="CV327" s="3"/>
      <c r="DR327" s="5"/>
      <c r="DT327" s="3"/>
      <c r="EF327" s="7"/>
      <c r="EG327" s="7"/>
      <c r="EJ327" s="4"/>
      <c r="EK327" s="4"/>
      <c r="EU327" s="2"/>
      <c r="EV327" s="2"/>
    </row>
    <row r="328" spans="1:152">
      <c r="A328" s="287">
        <v>125</v>
      </c>
      <c r="B328" s="288" t="s">
        <v>374</v>
      </c>
      <c r="C328" s="288" t="s">
        <v>116</v>
      </c>
      <c r="D328" s="288" t="s">
        <v>153</v>
      </c>
      <c r="E328" s="288" t="s">
        <v>375</v>
      </c>
      <c r="F328" s="288" t="s">
        <v>40</v>
      </c>
      <c r="G328" s="288" t="s">
        <v>118</v>
      </c>
      <c r="H328" s="288"/>
      <c r="I328" s="288" t="s">
        <v>118</v>
      </c>
      <c r="J328" s="288"/>
      <c r="K328" s="289">
        <v>43236</v>
      </c>
      <c r="L328" s="290"/>
      <c r="M328" s="290">
        <v>3</v>
      </c>
      <c r="N328" s="288"/>
      <c r="O328" s="288" t="s">
        <v>119</v>
      </c>
      <c r="P328" s="291"/>
      <c r="Q328" s="291"/>
      <c r="R328" s="288" t="s">
        <v>24</v>
      </c>
      <c r="S328" s="288"/>
      <c r="T328" s="292" t="s">
        <v>120</v>
      </c>
      <c r="U328" s="288" t="s">
        <v>301</v>
      </c>
      <c r="V328" s="292" t="s">
        <v>120</v>
      </c>
      <c r="W328" s="288"/>
      <c r="X328" s="292" t="s">
        <v>120</v>
      </c>
      <c r="Y328" s="288" t="s">
        <v>120</v>
      </c>
      <c r="Z328" s="293" t="s">
        <v>120</v>
      </c>
      <c r="AA328" s="294"/>
      <c r="AB328" s="294"/>
      <c r="AC328" s="295"/>
      <c r="AD328" s="288" t="s">
        <v>120</v>
      </c>
      <c r="AE328" s="292" t="s">
        <v>120</v>
      </c>
      <c r="AF328" s="289" t="s">
        <v>207</v>
      </c>
      <c r="AG328" s="296"/>
      <c r="AH328" s="296">
        <v>3.5</v>
      </c>
      <c r="AI328" s="288" t="s">
        <v>368</v>
      </c>
      <c r="AJ328" s="292" t="s">
        <v>120</v>
      </c>
      <c r="AK328" s="288" t="s">
        <v>123</v>
      </c>
      <c r="AL328" s="288"/>
      <c r="AM328" s="292"/>
      <c r="AN328" s="288"/>
      <c r="AO328" s="288"/>
      <c r="AP328" s="297"/>
      <c r="AQ328" s="288"/>
      <c r="AR328" s="292"/>
      <c r="AS328" s="288"/>
      <c r="AT328" s="289"/>
      <c r="AU328" s="289">
        <v>43453.379004629598</v>
      </c>
      <c r="AV328" s="289"/>
      <c r="AW328" s="289"/>
      <c r="AX328" s="289"/>
      <c r="AY328" s="289"/>
      <c r="AZ328" s="298">
        <v>43236</v>
      </c>
      <c r="BA32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8" s="300">
        <f>COUNTIFS(_05preva_view43[Site ID],_05preva_view43[[#This Row],[Site ID]],_05preva_view43[Prevalidation Status],"Under Prevalidation")</f>
        <v>0</v>
      </c>
      <c r="BC32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8" s="302" t="str">
        <f>CONCATENATE(_05preva_view43[[#This Row],[Site ID]]," (",_05preva_view43[[#This Row],[tenant id]],") Application",IF(_05preva_view43[[#This Row],[Colo Rev]]&gt;0," Rev "&amp;_05preva_view43[[#This Row],[Colo Rev]],""),".xlsx")</f>
        <v>ACAY_0142 (AYW5565) Application.xlsx</v>
      </c>
      <c r="BE328" s="64">
        <f t="shared" ca="1" si="6"/>
        <v>50</v>
      </c>
      <c r="BF328" s="104" t="str">
        <f ca="1">LEFT(CELL("filename",A313),_05preva_view43[[#This Row],[Find Process &amp; Database]]-1)</f>
        <v>D:\OneDrive - apollo-towers.com\Apollo Towers\00-</v>
      </c>
      <c r="BG328" s="104" t="str">
        <f ca="1">_05preva_view43[Folder Path1]&amp;"Process &amp; Database\Documentation\Colo Applications"</f>
        <v>D:\OneDrive - apollo-towers.com\Apollo Towers\00-Process &amp; Database\Documentation\Colo Applications</v>
      </c>
      <c r="BH32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8" s="63" t="str">
        <f ca="1">_05preva_view43[[#This Row],[Folder Path3]]&amp;_05preva_view43[[#This Row],[File Name]]</f>
        <v>D:\OneDrive - apollo-towers.com\Apollo Towers\00-Process &amp; Database\Documentation\Colo Applications\Colo App OML\ACAY_0142 (AYW5565) Application.xlsx</v>
      </c>
      <c r="BJ328" s="104"/>
      <c r="BK328" s="3"/>
      <c r="BL328" s="3"/>
      <c r="CJ328" s="5"/>
      <c r="CK328" s="5"/>
      <c r="CL328" s="3"/>
      <c r="CN328" s="5"/>
      <c r="CR328" s="3"/>
      <c r="CS328" s="3"/>
      <c r="CT328" s="5"/>
      <c r="CV328" s="3"/>
      <c r="DR328" s="5"/>
      <c r="DT328" s="3"/>
      <c r="EF328" s="7"/>
      <c r="EG328" s="7"/>
      <c r="EJ328" s="4"/>
      <c r="EK328" s="4"/>
      <c r="EU328" s="2"/>
      <c r="EV328" s="2"/>
    </row>
    <row r="329" spans="1:152">
      <c r="A329" s="287">
        <v>126</v>
      </c>
      <c r="B329" s="288" t="s">
        <v>376</v>
      </c>
      <c r="C329" s="288" t="s">
        <v>116</v>
      </c>
      <c r="D329" s="288" t="s">
        <v>117</v>
      </c>
      <c r="E329" s="288" t="s">
        <v>377</v>
      </c>
      <c r="F329" s="288" t="s">
        <v>40</v>
      </c>
      <c r="G329" s="288" t="s">
        <v>1289</v>
      </c>
      <c r="H329" s="288" t="s">
        <v>1285</v>
      </c>
      <c r="I329" s="288" t="s">
        <v>118</v>
      </c>
      <c r="J329" s="288"/>
      <c r="K329" s="289">
        <v>43236</v>
      </c>
      <c r="L329" s="290"/>
      <c r="M329" s="290">
        <v>3</v>
      </c>
      <c r="N329" s="288"/>
      <c r="O329" s="288" t="s">
        <v>119</v>
      </c>
      <c r="P329" s="291"/>
      <c r="Q329" s="291"/>
      <c r="R329" s="288" t="s">
        <v>24</v>
      </c>
      <c r="S329" s="288"/>
      <c r="T329" s="292" t="s">
        <v>120</v>
      </c>
      <c r="U329" s="288" t="s">
        <v>301</v>
      </c>
      <c r="V329" s="292" t="s">
        <v>120</v>
      </c>
      <c r="W329" s="288"/>
      <c r="X329" s="292" t="s">
        <v>120</v>
      </c>
      <c r="Y329" s="288" t="s">
        <v>120</v>
      </c>
      <c r="Z329" s="293" t="s">
        <v>120</v>
      </c>
      <c r="AA329" s="294"/>
      <c r="AB329" s="294"/>
      <c r="AC329" s="295"/>
      <c r="AD329" s="288" t="s">
        <v>120</v>
      </c>
      <c r="AE329" s="292" t="s">
        <v>120</v>
      </c>
      <c r="AF329" s="289" t="s">
        <v>207</v>
      </c>
      <c r="AG329" s="296"/>
      <c r="AH329" s="296">
        <v>3.5</v>
      </c>
      <c r="AI329" s="288" t="s">
        <v>308</v>
      </c>
      <c r="AJ329" s="292" t="s">
        <v>120</v>
      </c>
      <c r="AK329" s="288" t="s">
        <v>123</v>
      </c>
      <c r="AL329" s="288"/>
      <c r="AM329" s="292"/>
      <c r="AN329" s="288"/>
      <c r="AO329" s="288"/>
      <c r="AP329" s="297"/>
      <c r="AQ329" s="288"/>
      <c r="AR329" s="292"/>
      <c r="AS329" s="288"/>
      <c r="AT329" s="289"/>
      <c r="AU329" s="289">
        <v>43453.379005439798</v>
      </c>
      <c r="AV329" s="289"/>
      <c r="AW329" s="289"/>
      <c r="AX329" s="289"/>
      <c r="AY329" s="289"/>
      <c r="AZ329" s="298">
        <v>43236</v>
      </c>
      <c r="BA32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29" s="300">
        <f>COUNTIFS(_05preva_view43[Site ID],_05preva_view43[[#This Row],[Site ID]],_05preva_view43[Prevalidation Status],"Under Prevalidation")</f>
        <v>0</v>
      </c>
      <c r="BC32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29" s="302" t="str">
        <f>CONCATENATE(_05preva_view43[[#This Row],[Site ID]]," (",_05preva_view43[[#This Row],[tenant id]],") Application",IF(_05preva_view43[[#This Row],[Colo Rev]]&gt;0," Rev "&amp;_05preva_view43[[#This Row],[Colo Rev]],""),".xlsx")</f>
        <v>ACBA_0089 (BAW5581) Application.xlsx</v>
      </c>
      <c r="BE329" s="64">
        <f t="shared" ca="1" si="6"/>
        <v>50</v>
      </c>
      <c r="BF329" s="104" t="str">
        <f ca="1">LEFT(CELL("filename",A314),_05preva_view43[[#This Row],[Find Process &amp; Database]]-1)</f>
        <v>D:\OneDrive - apollo-towers.com\Apollo Towers\00-</v>
      </c>
      <c r="BG329" s="104" t="str">
        <f ca="1">_05preva_view43[Folder Path1]&amp;"Process &amp; Database\Documentation\Colo Applications"</f>
        <v>D:\OneDrive - apollo-towers.com\Apollo Towers\00-Process &amp; Database\Documentation\Colo Applications</v>
      </c>
      <c r="BH32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29" s="63" t="str">
        <f ca="1">_05preva_view43[[#This Row],[Folder Path3]]&amp;_05preva_view43[[#This Row],[File Name]]</f>
        <v>D:\OneDrive - apollo-towers.com\Apollo Towers\00-Process &amp; Database\Documentation\Colo Applications\Colo App OML\ACBA_0089 (BAW5581) Application.xlsx</v>
      </c>
      <c r="BJ329" s="104"/>
      <c r="BK329" s="3"/>
      <c r="BL329" s="3"/>
      <c r="CJ329" s="5"/>
      <c r="CK329" s="5"/>
      <c r="CL329" s="3"/>
      <c r="CN329" s="5"/>
      <c r="CR329" s="3"/>
      <c r="CS329" s="3"/>
      <c r="CT329" s="5"/>
      <c r="CV329" s="3"/>
      <c r="DR329" s="5"/>
      <c r="DT329" s="3"/>
      <c r="EF329" s="7"/>
      <c r="EG329" s="7"/>
      <c r="EJ329" s="4"/>
      <c r="EK329" s="4"/>
      <c r="EU329" s="2"/>
      <c r="EV329" s="2"/>
    </row>
    <row r="330" spans="1:152">
      <c r="A330" s="287">
        <v>127</v>
      </c>
      <c r="B330" s="288" t="s">
        <v>378</v>
      </c>
      <c r="C330" s="288" t="s">
        <v>116</v>
      </c>
      <c r="D330" s="288" t="s">
        <v>153</v>
      </c>
      <c r="E330" s="288" t="s">
        <v>379</v>
      </c>
      <c r="F330" s="288" t="s">
        <v>40</v>
      </c>
      <c r="G330" s="288" t="s">
        <v>118</v>
      </c>
      <c r="H330" s="288"/>
      <c r="I330" s="288" t="s">
        <v>118</v>
      </c>
      <c r="J330" s="288"/>
      <c r="K330" s="289">
        <v>43236</v>
      </c>
      <c r="L330" s="290"/>
      <c r="M330" s="290">
        <v>3</v>
      </c>
      <c r="N330" s="288"/>
      <c r="O330" s="288" t="s">
        <v>119</v>
      </c>
      <c r="P330" s="291"/>
      <c r="Q330" s="291"/>
      <c r="R330" s="288" t="s">
        <v>24</v>
      </c>
      <c r="S330" s="288"/>
      <c r="T330" s="292" t="s">
        <v>120</v>
      </c>
      <c r="U330" s="288" t="s">
        <v>319</v>
      </c>
      <c r="V330" s="292" t="s">
        <v>120</v>
      </c>
      <c r="W330" s="288"/>
      <c r="X330" s="292" t="s">
        <v>120</v>
      </c>
      <c r="Y330" s="288" t="s">
        <v>320</v>
      </c>
      <c r="Z330" s="293" t="s">
        <v>120</v>
      </c>
      <c r="AA330" s="294"/>
      <c r="AB330" s="294"/>
      <c r="AC330" s="295" t="s">
        <v>123</v>
      </c>
      <c r="AD330" s="288" t="s">
        <v>331</v>
      </c>
      <c r="AE330" s="292" t="s">
        <v>120</v>
      </c>
      <c r="AF330" s="289" t="s">
        <v>380</v>
      </c>
      <c r="AG330" s="296"/>
      <c r="AH330" s="296">
        <v>2</v>
      </c>
      <c r="AI330" s="288" t="s">
        <v>381</v>
      </c>
      <c r="AJ330" s="292" t="s">
        <v>120</v>
      </c>
      <c r="AK330" s="288" t="s">
        <v>123</v>
      </c>
      <c r="AL330" s="288"/>
      <c r="AM330" s="292"/>
      <c r="AN330" s="288"/>
      <c r="AO330" s="288"/>
      <c r="AP330" s="297"/>
      <c r="AQ330" s="288"/>
      <c r="AR330" s="292"/>
      <c r="AS330" s="288"/>
      <c r="AT330" s="289"/>
      <c r="AU330" s="289">
        <v>43453.379006249997</v>
      </c>
      <c r="AV330" s="289"/>
      <c r="AW330" s="289"/>
      <c r="AX330" s="289"/>
      <c r="AY330" s="289"/>
      <c r="AZ330" s="298">
        <v>43236</v>
      </c>
      <c r="BA33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0" s="300">
        <f>COUNTIFS(_05preva_view43[Site ID],_05preva_view43[[#This Row],[Site ID]],_05preva_view43[Prevalidation Status],"Under Prevalidation")</f>
        <v>0</v>
      </c>
      <c r="BC33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0" s="302" t="str">
        <f>CONCATENATE(_05preva_view43[[#This Row],[Site ID]]," (",_05preva_view43[[#This Row],[tenant id]],") Application",IF(_05preva_view43[[#This Row],[Colo Rev]]&gt;0," Rev "&amp;_05preva_view43[[#This Row],[Colo Rev]],""),".xlsx")</f>
        <v>AYYN_0088 (YAW4651) Application.xlsx</v>
      </c>
      <c r="BE330" s="64">
        <f t="shared" ca="1" si="6"/>
        <v>50</v>
      </c>
      <c r="BF330" s="104" t="str">
        <f ca="1">LEFT(CELL("filename",A315),_05preva_view43[[#This Row],[Find Process &amp; Database]]-1)</f>
        <v>D:\OneDrive - apollo-towers.com\Apollo Towers\00-</v>
      </c>
      <c r="BG330" s="104" t="str">
        <f ca="1">_05preva_view43[Folder Path1]&amp;"Process &amp; Database\Documentation\Colo Applications"</f>
        <v>D:\OneDrive - apollo-towers.com\Apollo Towers\00-Process &amp; Database\Documentation\Colo Applications</v>
      </c>
      <c r="BH33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0" s="63" t="str">
        <f ca="1">_05preva_view43[[#This Row],[Folder Path3]]&amp;_05preva_view43[[#This Row],[File Name]]</f>
        <v>D:\OneDrive - apollo-towers.com\Apollo Towers\00-Process &amp; Database\Documentation\Colo Applications\Colo App OML\AYYN_0088 (YAW4651) Application.xlsx</v>
      </c>
      <c r="BJ330" s="104"/>
      <c r="BK330" s="3"/>
      <c r="BL330" s="3"/>
      <c r="CJ330" s="5"/>
      <c r="CK330" s="5"/>
      <c r="CL330" s="3"/>
      <c r="CN330" s="5"/>
      <c r="CR330" s="3"/>
      <c r="CS330" s="3"/>
      <c r="CT330" s="5"/>
      <c r="CV330" s="3"/>
      <c r="DR330" s="5"/>
      <c r="DT330" s="3"/>
      <c r="EF330" s="7"/>
      <c r="EG330" s="7"/>
      <c r="EJ330" s="4"/>
      <c r="EK330" s="4"/>
      <c r="EU330" s="2"/>
      <c r="EV330" s="2"/>
    </row>
    <row r="331" spans="1:152">
      <c r="A331" s="287">
        <v>128</v>
      </c>
      <c r="B331" s="288" t="s">
        <v>382</v>
      </c>
      <c r="C331" s="288" t="s">
        <v>116</v>
      </c>
      <c r="D331" s="288" t="s">
        <v>153</v>
      </c>
      <c r="E331" s="288" t="s">
        <v>383</v>
      </c>
      <c r="F331" s="288" t="s">
        <v>40</v>
      </c>
      <c r="G331" s="288" t="s">
        <v>1289</v>
      </c>
      <c r="H331" s="288" t="s">
        <v>1285</v>
      </c>
      <c r="I331" s="288" t="s">
        <v>118</v>
      </c>
      <c r="J331" s="288"/>
      <c r="K331" s="289">
        <v>43236</v>
      </c>
      <c r="L331" s="290"/>
      <c r="M331" s="290">
        <v>3</v>
      </c>
      <c r="N331" s="288"/>
      <c r="O331" s="288" t="s">
        <v>119</v>
      </c>
      <c r="P331" s="291"/>
      <c r="Q331" s="291"/>
      <c r="R331" s="288" t="s">
        <v>24</v>
      </c>
      <c r="S331" s="288"/>
      <c r="T331" s="292" t="s">
        <v>120</v>
      </c>
      <c r="U331" s="288" t="s">
        <v>301</v>
      </c>
      <c r="V331" s="292" t="s">
        <v>120</v>
      </c>
      <c r="W331" s="288"/>
      <c r="X331" s="292" t="s">
        <v>120</v>
      </c>
      <c r="Y331" s="288" t="s">
        <v>120</v>
      </c>
      <c r="Z331" s="293" t="s">
        <v>120</v>
      </c>
      <c r="AA331" s="294"/>
      <c r="AB331" s="294"/>
      <c r="AC331" s="295"/>
      <c r="AD331" s="288" t="s">
        <v>120</v>
      </c>
      <c r="AE331" s="292" t="s">
        <v>120</v>
      </c>
      <c r="AF331" s="289" t="s">
        <v>207</v>
      </c>
      <c r="AG331" s="296"/>
      <c r="AH331" s="296">
        <v>3.5</v>
      </c>
      <c r="AI331" s="288" t="s">
        <v>208</v>
      </c>
      <c r="AJ331" s="292" t="s">
        <v>120</v>
      </c>
      <c r="AK331" s="288" t="s">
        <v>123</v>
      </c>
      <c r="AL331" s="288"/>
      <c r="AM331" s="292"/>
      <c r="AN331" s="288"/>
      <c r="AO331" s="288"/>
      <c r="AP331" s="297"/>
      <c r="AQ331" s="288"/>
      <c r="AR331" s="292"/>
      <c r="AS331" s="288"/>
      <c r="AT331" s="289"/>
      <c r="AU331" s="289">
        <v>43453.379008449097</v>
      </c>
      <c r="AV331" s="289"/>
      <c r="AW331" s="289"/>
      <c r="AX331" s="289"/>
      <c r="AY331" s="289"/>
      <c r="AZ331" s="298">
        <v>43236</v>
      </c>
      <c r="BA33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1" s="300">
        <f>COUNTIFS(_05preva_view43[Site ID],_05preva_view43[[#This Row],[Site ID]],_05preva_view43[Prevalidation Status],"Under Prevalidation")</f>
        <v>0</v>
      </c>
      <c r="BC33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1" s="302" t="str">
        <f>CONCATENATE(_05preva_view43[[#This Row],[Site ID]]," (",_05preva_view43[[#This Row],[tenant id]],") Application",IF(_05preva_view43[[#This Row],[Colo Rev]]&gt;0," Rev "&amp;_05preva_view43[[#This Row],[Colo Rev]],""),".xlsx")</f>
        <v>ACAY_0123 (AYW5569) Application.xlsx</v>
      </c>
      <c r="BE331" s="64">
        <f t="shared" ca="1" si="6"/>
        <v>50</v>
      </c>
      <c r="BF331" s="104" t="str">
        <f ca="1">LEFT(CELL("filename",A316),_05preva_view43[[#This Row],[Find Process &amp; Database]]-1)</f>
        <v>D:\OneDrive - apollo-towers.com\Apollo Towers\00-</v>
      </c>
      <c r="BG331" s="104" t="str">
        <f ca="1">_05preva_view43[Folder Path1]&amp;"Process &amp; Database\Documentation\Colo Applications"</f>
        <v>D:\OneDrive - apollo-towers.com\Apollo Towers\00-Process &amp; Database\Documentation\Colo Applications</v>
      </c>
      <c r="BH33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1" s="63" t="str">
        <f ca="1">_05preva_view43[[#This Row],[Folder Path3]]&amp;_05preva_view43[[#This Row],[File Name]]</f>
        <v>D:\OneDrive - apollo-towers.com\Apollo Towers\00-Process &amp; Database\Documentation\Colo Applications\Colo App OML\ACAY_0123 (AYW5569) Application.xlsx</v>
      </c>
      <c r="BJ331" s="104"/>
      <c r="BK331" s="3"/>
      <c r="BL331" s="3"/>
      <c r="CJ331" s="5"/>
      <c r="CK331" s="5"/>
      <c r="CL331" s="3"/>
      <c r="CN331" s="5"/>
      <c r="CR331" s="3"/>
      <c r="CS331" s="3"/>
      <c r="CT331" s="5"/>
      <c r="CV331" s="3"/>
      <c r="DR331" s="5"/>
      <c r="DT331" s="3"/>
      <c r="EF331" s="7"/>
      <c r="EG331" s="7"/>
      <c r="EJ331" s="4"/>
      <c r="EK331" s="4"/>
      <c r="EU331" s="2"/>
      <c r="EV331" s="2"/>
    </row>
    <row r="332" spans="1:152">
      <c r="A332" s="287">
        <v>129</v>
      </c>
      <c r="B332" s="288" t="s">
        <v>384</v>
      </c>
      <c r="C332" s="288" t="s">
        <v>116</v>
      </c>
      <c r="D332" s="288" t="s">
        <v>153</v>
      </c>
      <c r="E332" s="288" t="s">
        <v>385</v>
      </c>
      <c r="F332" s="288" t="s">
        <v>40</v>
      </c>
      <c r="G332" s="288" t="s">
        <v>118</v>
      </c>
      <c r="H332" s="288"/>
      <c r="I332" s="288" t="s">
        <v>118</v>
      </c>
      <c r="J332" s="288"/>
      <c r="K332" s="289">
        <v>43236</v>
      </c>
      <c r="L332" s="290"/>
      <c r="M332" s="290">
        <v>3</v>
      </c>
      <c r="N332" s="288"/>
      <c r="O332" s="288" t="s">
        <v>119</v>
      </c>
      <c r="P332" s="291"/>
      <c r="Q332" s="291"/>
      <c r="R332" s="288" t="s">
        <v>24</v>
      </c>
      <c r="S332" s="288"/>
      <c r="T332" s="292" t="s">
        <v>120</v>
      </c>
      <c r="U332" s="288" t="s">
        <v>301</v>
      </c>
      <c r="V332" s="292" t="s">
        <v>120</v>
      </c>
      <c r="W332" s="288"/>
      <c r="X332" s="292" t="s">
        <v>120</v>
      </c>
      <c r="Y332" s="288" t="s">
        <v>120</v>
      </c>
      <c r="Z332" s="293" t="s">
        <v>120</v>
      </c>
      <c r="AA332" s="294"/>
      <c r="AB332" s="294"/>
      <c r="AC332" s="295"/>
      <c r="AD332" s="288" t="s">
        <v>120</v>
      </c>
      <c r="AE332" s="292" t="s">
        <v>120</v>
      </c>
      <c r="AF332" s="289" t="s">
        <v>120</v>
      </c>
      <c r="AG332" s="296"/>
      <c r="AH332" s="296">
        <v>2</v>
      </c>
      <c r="AI332" s="288" t="s">
        <v>386</v>
      </c>
      <c r="AJ332" s="292" t="s">
        <v>120</v>
      </c>
      <c r="AK332" s="288" t="s">
        <v>123</v>
      </c>
      <c r="AL332" s="288"/>
      <c r="AM332" s="292"/>
      <c r="AN332" s="288"/>
      <c r="AO332" s="288"/>
      <c r="AP332" s="297"/>
      <c r="AQ332" s="288"/>
      <c r="AR332" s="292"/>
      <c r="AS332" s="288"/>
      <c r="AT332" s="289"/>
      <c r="AU332" s="289">
        <v>43453.379009259297</v>
      </c>
      <c r="AV332" s="289"/>
      <c r="AW332" s="289"/>
      <c r="AX332" s="289"/>
      <c r="AY332" s="289"/>
      <c r="AZ332" s="298">
        <v>43236</v>
      </c>
      <c r="BA33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2" s="300">
        <f>COUNTIFS(_05preva_view43[Site ID],_05preva_view43[[#This Row],[Site ID]],_05preva_view43[Prevalidation Status],"Under Prevalidation")</f>
        <v>0</v>
      </c>
      <c r="BC33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2" s="302" t="str">
        <f>CONCATENATE(_05preva_view43[[#This Row],[Site ID]]," (",_05preva_view43[[#This Row],[tenant id]],") Application",IF(_05preva_view43[[#This Row],[Colo Rev]]&gt;0," Rev "&amp;_05preva_view43[[#This Row],[Colo Rev]],""),".xlsx")</f>
        <v>ACBA_0032 (BAW5234) Application.xlsx</v>
      </c>
      <c r="BE332" s="64">
        <f t="shared" ca="1" si="6"/>
        <v>50</v>
      </c>
      <c r="BF332" s="104" t="str">
        <f ca="1">LEFT(CELL("filename",A317),_05preva_view43[[#This Row],[Find Process &amp; Database]]-1)</f>
        <v>D:\OneDrive - apollo-towers.com\Apollo Towers\00-</v>
      </c>
      <c r="BG332" s="104" t="str">
        <f ca="1">_05preva_view43[Folder Path1]&amp;"Process &amp; Database\Documentation\Colo Applications"</f>
        <v>D:\OneDrive - apollo-towers.com\Apollo Towers\00-Process &amp; Database\Documentation\Colo Applications</v>
      </c>
      <c r="BH33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2" s="63" t="str">
        <f ca="1">_05preva_view43[[#This Row],[Folder Path3]]&amp;_05preva_view43[[#This Row],[File Name]]</f>
        <v>D:\OneDrive - apollo-towers.com\Apollo Towers\00-Process &amp; Database\Documentation\Colo Applications\Colo App OML\ACBA_0032 (BAW5234) Application.xlsx</v>
      </c>
      <c r="BJ332" s="104"/>
      <c r="BK332" s="3"/>
      <c r="BL332" s="3"/>
      <c r="CJ332" s="5"/>
      <c r="CK332" s="5"/>
      <c r="CL332" s="3"/>
      <c r="CN332" s="5"/>
      <c r="CR332" s="3"/>
      <c r="CS332" s="3"/>
      <c r="CT332" s="5"/>
      <c r="CV332" s="3"/>
      <c r="DR332" s="5"/>
      <c r="DT332" s="3"/>
      <c r="EF332" s="7"/>
      <c r="EG332" s="7"/>
      <c r="EJ332" s="4"/>
      <c r="EK332" s="4"/>
      <c r="EU332" s="2"/>
      <c r="EV332" s="2"/>
    </row>
    <row r="333" spans="1:152">
      <c r="A333" s="287">
        <v>130</v>
      </c>
      <c r="B333" s="288" t="s">
        <v>387</v>
      </c>
      <c r="C333" s="288" t="s">
        <v>116</v>
      </c>
      <c r="D333" s="288" t="s">
        <v>153</v>
      </c>
      <c r="E333" s="288" t="s">
        <v>388</v>
      </c>
      <c r="F333" s="288" t="s">
        <v>40</v>
      </c>
      <c r="G333" s="288" t="s">
        <v>1289</v>
      </c>
      <c r="H333" s="288" t="s">
        <v>1285</v>
      </c>
      <c r="I333" s="288" t="s">
        <v>118</v>
      </c>
      <c r="J333" s="288"/>
      <c r="K333" s="289">
        <v>43236</v>
      </c>
      <c r="L333" s="290"/>
      <c r="M333" s="290">
        <v>3</v>
      </c>
      <c r="N333" s="288"/>
      <c r="O333" s="288" t="s">
        <v>119</v>
      </c>
      <c r="P333" s="291"/>
      <c r="Q333" s="291"/>
      <c r="R333" s="288" t="s">
        <v>24</v>
      </c>
      <c r="S333" s="288"/>
      <c r="T333" s="292" t="s">
        <v>120</v>
      </c>
      <c r="U333" s="288" t="s">
        <v>301</v>
      </c>
      <c r="V333" s="292" t="s">
        <v>120</v>
      </c>
      <c r="W333" s="288"/>
      <c r="X333" s="292" t="s">
        <v>120</v>
      </c>
      <c r="Y333" s="288" t="s">
        <v>120</v>
      </c>
      <c r="Z333" s="293" t="s">
        <v>120</v>
      </c>
      <c r="AA333" s="294"/>
      <c r="AB333" s="294"/>
      <c r="AC333" s="295"/>
      <c r="AD333" s="288" t="s">
        <v>331</v>
      </c>
      <c r="AE333" s="292" t="s">
        <v>120</v>
      </c>
      <c r="AF333" s="289" t="s">
        <v>207</v>
      </c>
      <c r="AG333" s="296"/>
      <c r="AH333" s="296">
        <v>3.5</v>
      </c>
      <c r="AI333" s="288" t="s">
        <v>208</v>
      </c>
      <c r="AJ333" s="292" t="s">
        <v>120</v>
      </c>
      <c r="AK333" s="288" t="s">
        <v>123</v>
      </c>
      <c r="AL333" s="288"/>
      <c r="AM333" s="292"/>
      <c r="AN333" s="288"/>
      <c r="AO333" s="288"/>
      <c r="AP333" s="297"/>
      <c r="AQ333" s="288"/>
      <c r="AR333" s="292"/>
      <c r="AS333" s="288"/>
      <c r="AT333" s="289"/>
      <c r="AU333" s="289">
        <v>43453.379010185199</v>
      </c>
      <c r="AV333" s="289"/>
      <c r="AW333" s="289"/>
      <c r="AX333" s="289"/>
      <c r="AY333" s="289"/>
      <c r="AZ333" s="298">
        <v>43236</v>
      </c>
      <c r="BA33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3" s="300">
        <f>COUNTIFS(_05preva_view43[Site ID],_05preva_view43[[#This Row],[Site ID]],_05preva_view43[Prevalidation Status],"Under Prevalidation")</f>
        <v>0</v>
      </c>
      <c r="BC33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3" s="302" t="str">
        <f>CONCATENATE(_05preva_view43[[#This Row],[Site ID]]," (",_05preva_view43[[#This Row],[tenant id]],") Application",IF(_05preva_view43[[#This Row],[Colo Rev]]&gt;0," Rev "&amp;_05preva_view43[[#This Row],[Colo Rev]],""),".xlsx")</f>
        <v>ASMO_0162 (MOW6294) Application.xlsx</v>
      </c>
      <c r="BE333" s="64">
        <f t="shared" ca="1" si="6"/>
        <v>50</v>
      </c>
      <c r="BF333" s="104" t="str">
        <f ca="1">LEFT(CELL("filename",A318),_05preva_view43[[#This Row],[Find Process &amp; Database]]-1)</f>
        <v>D:\OneDrive - apollo-towers.com\Apollo Towers\00-</v>
      </c>
      <c r="BG333" s="104" t="str">
        <f ca="1">_05preva_view43[Folder Path1]&amp;"Process &amp; Database\Documentation\Colo Applications"</f>
        <v>D:\OneDrive - apollo-towers.com\Apollo Towers\00-Process &amp; Database\Documentation\Colo Applications</v>
      </c>
      <c r="BH33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3" s="63" t="str">
        <f ca="1">_05preva_view43[[#This Row],[Folder Path3]]&amp;_05preva_view43[[#This Row],[File Name]]</f>
        <v>D:\OneDrive - apollo-towers.com\Apollo Towers\00-Process &amp; Database\Documentation\Colo Applications\Colo App OML\ASMO_0162 (MOW6294) Application.xlsx</v>
      </c>
      <c r="BJ333" s="104"/>
      <c r="BK333" s="3"/>
      <c r="BL333" s="3"/>
      <c r="CJ333" s="5"/>
      <c r="CK333" s="5"/>
      <c r="CL333" s="3"/>
      <c r="CN333" s="5"/>
      <c r="CR333" s="3"/>
      <c r="CS333" s="3"/>
      <c r="CT333" s="5"/>
      <c r="CV333" s="3"/>
      <c r="DR333" s="5"/>
      <c r="DT333" s="3"/>
      <c r="EF333" s="7"/>
      <c r="EG333" s="7"/>
      <c r="EJ333" s="4"/>
      <c r="EK333" s="4"/>
      <c r="EU333" s="2"/>
      <c r="EV333" s="2"/>
    </row>
    <row r="334" spans="1:152">
      <c r="A334" s="287">
        <v>132</v>
      </c>
      <c r="B334" s="288" t="s">
        <v>389</v>
      </c>
      <c r="C334" s="288" t="s">
        <v>116</v>
      </c>
      <c r="D334" s="288" t="s">
        <v>153</v>
      </c>
      <c r="E334" s="288" t="s">
        <v>390</v>
      </c>
      <c r="F334" s="288" t="s">
        <v>40</v>
      </c>
      <c r="G334" s="288" t="s">
        <v>118</v>
      </c>
      <c r="H334" s="288"/>
      <c r="I334" s="288" t="s">
        <v>118</v>
      </c>
      <c r="J334" s="288"/>
      <c r="K334" s="289">
        <v>43236</v>
      </c>
      <c r="L334" s="290"/>
      <c r="M334" s="290">
        <v>3</v>
      </c>
      <c r="N334" s="288"/>
      <c r="O334" s="288" t="s">
        <v>119</v>
      </c>
      <c r="P334" s="291"/>
      <c r="Q334" s="291"/>
      <c r="R334" s="288" t="s">
        <v>24</v>
      </c>
      <c r="S334" s="288"/>
      <c r="T334" s="292" t="s">
        <v>120</v>
      </c>
      <c r="U334" s="288" t="s">
        <v>301</v>
      </c>
      <c r="V334" s="292" t="s">
        <v>120</v>
      </c>
      <c r="W334" s="288"/>
      <c r="X334" s="292" t="s">
        <v>120</v>
      </c>
      <c r="Y334" s="288" t="s">
        <v>120</v>
      </c>
      <c r="Z334" s="293" t="s">
        <v>120</v>
      </c>
      <c r="AA334" s="294"/>
      <c r="AB334" s="294"/>
      <c r="AC334" s="295"/>
      <c r="AD334" s="288" t="s">
        <v>120</v>
      </c>
      <c r="AE334" s="292" t="s">
        <v>120</v>
      </c>
      <c r="AF334" s="289" t="s">
        <v>120</v>
      </c>
      <c r="AG334" s="296"/>
      <c r="AH334" s="296">
        <v>2</v>
      </c>
      <c r="AI334" s="288" t="s">
        <v>277</v>
      </c>
      <c r="AJ334" s="292" t="s">
        <v>120</v>
      </c>
      <c r="AK334" s="288" t="s">
        <v>123</v>
      </c>
      <c r="AL334" s="288"/>
      <c r="AM334" s="292"/>
      <c r="AN334" s="288"/>
      <c r="AO334" s="288"/>
      <c r="AP334" s="297"/>
      <c r="AQ334" s="288"/>
      <c r="AR334" s="292"/>
      <c r="AS334" s="288"/>
      <c r="AT334" s="289"/>
      <c r="AU334" s="289">
        <v>43453.379013078702</v>
      </c>
      <c r="AV334" s="289"/>
      <c r="AW334" s="289"/>
      <c r="AX334" s="289"/>
      <c r="AY334" s="289"/>
      <c r="AZ334" s="298">
        <v>43236</v>
      </c>
      <c r="BA33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4" s="300">
        <f>COUNTIFS(_05preva_view43[Site ID],_05preva_view43[[#This Row],[Site ID]],_05preva_view43[Prevalidation Status],"Under Prevalidation")</f>
        <v>0</v>
      </c>
      <c r="BC33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4" s="302" t="str">
        <f>CONCATENATE(_05preva_view43[[#This Row],[Site ID]]," (",_05preva_view43[[#This Row],[tenant id]],") Application",IF(_05preva_view43[[#This Row],[Colo Rev]]&gt;0," Rev "&amp;_05preva_view43[[#This Row],[Colo Rev]],""),".xlsx")</f>
        <v>ASMO_0166 (MOW6237) Application.xlsx</v>
      </c>
      <c r="BE334" s="64">
        <f t="shared" ca="1" si="6"/>
        <v>50</v>
      </c>
      <c r="BF334" s="104" t="str">
        <f ca="1">LEFT(CELL("filename",A319),_05preva_view43[[#This Row],[Find Process &amp; Database]]-1)</f>
        <v>D:\OneDrive - apollo-towers.com\Apollo Towers\00-</v>
      </c>
      <c r="BG334" s="104" t="str">
        <f ca="1">_05preva_view43[Folder Path1]&amp;"Process &amp; Database\Documentation\Colo Applications"</f>
        <v>D:\OneDrive - apollo-towers.com\Apollo Towers\00-Process &amp; Database\Documentation\Colo Applications</v>
      </c>
      <c r="BH33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4" s="63" t="str">
        <f ca="1">_05preva_view43[[#This Row],[Folder Path3]]&amp;_05preva_view43[[#This Row],[File Name]]</f>
        <v>D:\OneDrive - apollo-towers.com\Apollo Towers\00-Process &amp; Database\Documentation\Colo Applications\Colo App OML\ASMO_0166 (MOW6237) Application.xlsx</v>
      </c>
      <c r="BJ334" s="104"/>
      <c r="BK334" s="3"/>
      <c r="BL334" s="3"/>
      <c r="CJ334" s="5"/>
      <c r="CK334" s="5"/>
      <c r="CL334" s="3"/>
      <c r="CN334" s="5"/>
      <c r="CR334" s="3"/>
      <c r="CS334" s="3"/>
      <c r="CT334" s="5"/>
      <c r="CV334" s="3"/>
      <c r="DR334" s="5"/>
      <c r="DT334" s="3"/>
      <c r="EF334" s="7"/>
      <c r="EG334" s="7"/>
      <c r="EJ334" s="4"/>
      <c r="EK334" s="4"/>
      <c r="EU334" s="2"/>
      <c r="EV334" s="2"/>
    </row>
    <row r="335" spans="1:152">
      <c r="A335" s="287">
        <v>133</v>
      </c>
      <c r="B335" s="288" t="s">
        <v>391</v>
      </c>
      <c r="C335" s="288" t="s">
        <v>116</v>
      </c>
      <c r="D335" s="288" t="s">
        <v>153</v>
      </c>
      <c r="E335" s="288" t="s">
        <v>392</v>
      </c>
      <c r="F335" s="288" t="s">
        <v>40</v>
      </c>
      <c r="G335" s="288" t="s">
        <v>118</v>
      </c>
      <c r="H335" s="288"/>
      <c r="I335" s="288" t="s">
        <v>118</v>
      </c>
      <c r="J335" s="288"/>
      <c r="K335" s="289">
        <v>43236</v>
      </c>
      <c r="L335" s="290"/>
      <c r="M335" s="290">
        <v>3</v>
      </c>
      <c r="N335" s="288"/>
      <c r="O335" s="288" t="s">
        <v>119</v>
      </c>
      <c r="P335" s="291"/>
      <c r="Q335" s="291"/>
      <c r="R335" s="288" t="s">
        <v>24</v>
      </c>
      <c r="S335" s="288"/>
      <c r="T335" s="292" t="s">
        <v>120</v>
      </c>
      <c r="U335" s="288" t="s">
        <v>301</v>
      </c>
      <c r="V335" s="292" t="s">
        <v>120</v>
      </c>
      <c r="W335" s="288"/>
      <c r="X335" s="292" t="s">
        <v>120</v>
      </c>
      <c r="Y335" s="288" t="s">
        <v>120</v>
      </c>
      <c r="Z335" s="293" t="s">
        <v>120</v>
      </c>
      <c r="AA335" s="294"/>
      <c r="AB335" s="294"/>
      <c r="AC335" s="295" t="s">
        <v>350</v>
      </c>
      <c r="AD335" s="288" t="s">
        <v>393</v>
      </c>
      <c r="AE335" s="292" t="s">
        <v>125</v>
      </c>
      <c r="AF335" s="289"/>
      <c r="AG335" s="296"/>
      <c r="AH335" s="296"/>
      <c r="AI335" s="288" t="s">
        <v>394</v>
      </c>
      <c r="AJ335" s="292" t="s">
        <v>120</v>
      </c>
      <c r="AK335" s="288" t="s">
        <v>123</v>
      </c>
      <c r="AL335" s="288"/>
      <c r="AM335" s="292"/>
      <c r="AN335" s="288"/>
      <c r="AO335" s="288"/>
      <c r="AP335" s="297"/>
      <c r="AQ335" s="288"/>
      <c r="AR335" s="292"/>
      <c r="AS335" s="288"/>
      <c r="AT335" s="289"/>
      <c r="AU335" s="289"/>
      <c r="AV335" s="289"/>
      <c r="AW335" s="289"/>
      <c r="AX335" s="289"/>
      <c r="AY335" s="289"/>
      <c r="AZ335" s="298">
        <v>43236</v>
      </c>
      <c r="BA33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5" s="300">
        <f>COUNTIFS(_05preva_view43[Site ID],_05preva_view43[[#This Row],[Site ID]],_05preva_view43[Prevalidation Status],"Under Prevalidation")</f>
        <v>0</v>
      </c>
      <c r="BC33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5" s="302" t="str">
        <f>CONCATENATE(_05preva_view43[[#This Row],[Site ID]]," (",_05preva_view43[[#This Row],[tenant id]],") Application",IF(_05preva_view43[[#This Row],[Colo Rev]]&gt;0," Rev "&amp;_05preva_view43[[#This Row],[Colo Rev]],""),".xlsx")</f>
        <v>ASMO_0165 (MOW6176) Application.xlsx</v>
      </c>
      <c r="BE335" s="64">
        <f t="shared" ca="1" si="6"/>
        <v>50</v>
      </c>
      <c r="BF335" s="104" t="str">
        <f ca="1">LEFT(CELL("filename",A320),_05preva_view43[[#This Row],[Find Process &amp; Database]]-1)</f>
        <v>D:\OneDrive - apollo-towers.com\Apollo Towers\00-</v>
      </c>
      <c r="BG335" s="104" t="str">
        <f ca="1">_05preva_view43[Folder Path1]&amp;"Process &amp; Database\Documentation\Colo Applications"</f>
        <v>D:\OneDrive - apollo-towers.com\Apollo Towers\00-Process &amp; Database\Documentation\Colo Applications</v>
      </c>
      <c r="BH33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5" s="63" t="str">
        <f ca="1">_05preva_view43[[#This Row],[Folder Path3]]&amp;_05preva_view43[[#This Row],[File Name]]</f>
        <v>D:\OneDrive - apollo-towers.com\Apollo Towers\00-Process &amp; Database\Documentation\Colo Applications\Colo App OML\ASMO_0165 (MOW6176) Application.xlsx</v>
      </c>
      <c r="BJ335" s="104"/>
      <c r="BK335" s="3"/>
      <c r="BL335" s="3"/>
      <c r="CJ335" s="5"/>
      <c r="CK335" s="5"/>
      <c r="CL335" s="3"/>
      <c r="CN335" s="5"/>
      <c r="CR335" s="3"/>
      <c r="CS335" s="3"/>
      <c r="CT335" s="5"/>
      <c r="CV335" s="3"/>
      <c r="DR335" s="5"/>
      <c r="DT335" s="3"/>
      <c r="EF335" s="7"/>
      <c r="EG335" s="7"/>
      <c r="EJ335" s="4"/>
      <c r="EK335" s="4"/>
      <c r="EU335" s="2"/>
      <c r="EV335" s="2"/>
    </row>
    <row r="336" spans="1:152">
      <c r="A336" s="287">
        <v>134</v>
      </c>
      <c r="B336" s="288" t="s">
        <v>395</v>
      </c>
      <c r="C336" s="288" t="s">
        <v>116</v>
      </c>
      <c r="D336" s="288" t="s">
        <v>153</v>
      </c>
      <c r="E336" s="288" t="s">
        <v>396</v>
      </c>
      <c r="F336" s="288" t="s">
        <v>40</v>
      </c>
      <c r="G336" s="288" t="s">
        <v>118</v>
      </c>
      <c r="H336" s="288"/>
      <c r="I336" s="288" t="s">
        <v>118</v>
      </c>
      <c r="J336" s="288"/>
      <c r="K336" s="289">
        <v>43236</v>
      </c>
      <c r="L336" s="290"/>
      <c r="M336" s="290">
        <v>3</v>
      </c>
      <c r="N336" s="288"/>
      <c r="O336" s="288" t="s">
        <v>119</v>
      </c>
      <c r="P336" s="291"/>
      <c r="Q336" s="291"/>
      <c r="R336" s="288" t="s">
        <v>24</v>
      </c>
      <c r="S336" s="288"/>
      <c r="T336" s="292" t="s">
        <v>120</v>
      </c>
      <c r="U336" s="288" t="s">
        <v>397</v>
      </c>
      <c r="V336" s="292" t="s">
        <v>125</v>
      </c>
      <c r="W336" s="288"/>
      <c r="X336" s="292" t="s">
        <v>120</v>
      </c>
      <c r="Y336" s="288" t="s">
        <v>320</v>
      </c>
      <c r="Z336" s="293" t="s">
        <v>125</v>
      </c>
      <c r="AA336" s="294"/>
      <c r="AB336" s="294"/>
      <c r="AC336" s="295" t="s">
        <v>123</v>
      </c>
      <c r="AD336" s="288" t="s">
        <v>344</v>
      </c>
      <c r="AE336" s="292" t="s">
        <v>125</v>
      </c>
      <c r="AF336" s="289"/>
      <c r="AG336" s="296"/>
      <c r="AH336" s="296"/>
      <c r="AI336" s="288" t="s">
        <v>399</v>
      </c>
      <c r="AJ336" s="292" t="s">
        <v>120</v>
      </c>
      <c r="AK336" s="288" t="s">
        <v>123</v>
      </c>
      <c r="AL336" s="288" t="s">
        <v>398</v>
      </c>
      <c r="AM336" s="292"/>
      <c r="AN336" s="288"/>
      <c r="AO336" s="288"/>
      <c r="AP336" s="297"/>
      <c r="AQ336" s="288"/>
      <c r="AR336" s="292"/>
      <c r="AS336" s="288"/>
      <c r="AT336" s="289"/>
      <c r="AU336" s="289"/>
      <c r="AV336" s="289"/>
      <c r="AW336" s="289"/>
      <c r="AX336" s="289"/>
      <c r="AY336" s="289"/>
      <c r="AZ336" s="298"/>
      <c r="BA33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6" s="300">
        <f>COUNTIFS(_05preva_view43[Site ID],_05preva_view43[[#This Row],[Site ID]],_05preva_view43[Prevalidation Status],"Under Prevalidation")</f>
        <v>0</v>
      </c>
      <c r="BC33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6" s="302" t="str">
        <f>CONCATENATE(_05preva_view43[[#This Row],[Site ID]]," (",_05preva_view43[[#This Row],[tenant id]],") Application",IF(_05preva_view43[[#This Row],[Colo Rev]]&gt;0," Rev "&amp;_05preva_view43[[#This Row],[Colo Rev]],""),".xlsx")</f>
        <v>ASMO_0171 (MOW6290) Application.xlsx</v>
      </c>
      <c r="BE336" s="64">
        <f t="shared" ref="BE336:BE399" ca="1" si="7">FIND("Process &amp; Database\",CELL("filename",$A$1))</f>
        <v>50</v>
      </c>
      <c r="BF336" s="104" t="str">
        <f ca="1">LEFT(CELL("filename",A321),_05preva_view43[[#This Row],[Find Process &amp; Database]]-1)</f>
        <v>D:\OneDrive - apollo-towers.com\Apollo Towers\00-</v>
      </c>
      <c r="BG336" s="104" t="str">
        <f ca="1">_05preva_view43[Folder Path1]&amp;"Process &amp; Database\Documentation\Colo Applications"</f>
        <v>D:\OneDrive - apollo-towers.com\Apollo Towers\00-Process &amp; Database\Documentation\Colo Applications</v>
      </c>
      <c r="BH33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6" s="63" t="str">
        <f ca="1">_05preva_view43[[#This Row],[Folder Path3]]&amp;_05preva_view43[[#This Row],[File Name]]</f>
        <v>D:\OneDrive - apollo-towers.com\Apollo Towers\00-Process &amp; Database\Documentation\Colo Applications\Colo App OML\ASMO_0171 (MOW6290) Application.xlsx</v>
      </c>
      <c r="BJ336" s="104"/>
      <c r="BK336" s="3"/>
      <c r="BL336" s="3"/>
      <c r="CJ336" s="5"/>
      <c r="CK336" s="5"/>
      <c r="CL336" s="3"/>
      <c r="CN336" s="5"/>
      <c r="CR336" s="3"/>
      <c r="CS336" s="3"/>
      <c r="CT336" s="5"/>
      <c r="CV336" s="3"/>
      <c r="DR336" s="5"/>
      <c r="DT336" s="3"/>
      <c r="EF336" s="7"/>
      <c r="EG336" s="7"/>
      <c r="EJ336" s="4"/>
      <c r="EK336" s="4"/>
      <c r="EU336" s="2"/>
      <c r="EV336" s="2"/>
    </row>
    <row r="337" spans="1:152">
      <c r="A337" s="287">
        <v>137</v>
      </c>
      <c r="B337" s="288" t="s">
        <v>401</v>
      </c>
      <c r="C337" s="288" t="s">
        <v>116</v>
      </c>
      <c r="D337" s="288" t="s">
        <v>153</v>
      </c>
      <c r="E337" s="288" t="s">
        <v>402</v>
      </c>
      <c r="F337" s="288" t="s">
        <v>40</v>
      </c>
      <c r="G337" s="288" t="s">
        <v>118</v>
      </c>
      <c r="H337" s="288"/>
      <c r="I337" s="288" t="s">
        <v>118</v>
      </c>
      <c r="J337" s="288"/>
      <c r="K337" s="289">
        <v>43236</v>
      </c>
      <c r="L337" s="290"/>
      <c r="M337" s="290">
        <v>3</v>
      </c>
      <c r="N337" s="288"/>
      <c r="O337" s="288" t="s">
        <v>119</v>
      </c>
      <c r="P337" s="291"/>
      <c r="Q337" s="291"/>
      <c r="R337" s="288" t="s">
        <v>24</v>
      </c>
      <c r="S337" s="288"/>
      <c r="T337" s="292" t="s">
        <v>120</v>
      </c>
      <c r="U337" s="288" t="s">
        <v>301</v>
      </c>
      <c r="V337" s="292" t="s">
        <v>120</v>
      </c>
      <c r="W337" s="288"/>
      <c r="X337" s="292" t="s">
        <v>120</v>
      </c>
      <c r="Y337" s="288" t="s">
        <v>120</v>
      </c>
      <c r="Z337" s="293" t="s">
        <v>120</v>
      </c>
      <c r="AA337" s="294"/>
      <c r="AB337" s="294"/>
      <c r="AC337" s="295" t="s">
        <v>350</v>
      </c>
      <c r="AD337" s="288"/>
      <c r="AE337" s="292" t="s">
        <v>229</v>
      </c>
      <c r="AF337" s="289"/>
      <c r="AG337" s="296"/>
      <c r="AH337" s="296"/>
      <c r="AI337" s="288" t="s">
        <v>277</v>
      </c>
      <c r="AJ337" s="292" t="s">
        <v>120</v>
      </c>
      <c r="AK337" s="288" t="s">
        <v>123</v>
      </c>
      <c r="AL337" s="288"/>
      <c r="AM337" s="292"/>
      <c r="AN337" s="288"/>
      <c r="AO337" s="288"/>
      <c r="AP337" s="297"/>
      <c r="AQ337" s="288"/>
      <c r="AR337" s="292"/>
      <c r="AS337" s="288"/>
      <c r="AT337" s="289"/>
      <c r="AU337" s="289">
        <v>43453.379015509301</v>
      </c>
      <c r="AV337" s="289"/>
      <c r="AW337" s="289"/>
      <c r="AX337" s="289"/>
      <c r="AY337" s="289"/>
      <c r="AZ337" s="298">
        <v>43236</v>
      </c>
      <c r="BA33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7" s="300">
        <f>COUNTIFS(_05preva_view43[Site ID],_05preva_view43[[#This Row],[Site ID]],_05preva_view43[Prevalidation Status],"Under Prevalidation")</f>
        <v>0</v>
      </c>
      <c r="BC33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7" s="302" t="str">
        <f>CONCATENATE(_05preva_view43[[#This Row],[Site ID]]," (",_05preva_view43[[#This Row],[tenant id]],") Application",IF(_05preva_view43[[#This Row],[Colo Rev]]&gt;0," Rev "&amp;_05preva_view43[[#This Row],[Colo Rev]],""),".xlsx")</f>
        <v>ACBA_0196 (BAW5585) Application.xlsx</v>
      </c>
      <c r="BE337" s="64">
        <f t="shared" ca="1" si="7"/>
        <v>50</v>
      </c>
      <c r="BF337" s="104" t="str">
        <f ca="1">LEFT(CELL("filename",A322),_05preva_view43[[#This Row],[Find Process &amp; Database]]-1)</f>
        <v>D:\OneDrive - apollo-towers.com\Apollo Towers\00-</v>
      </c>
      <c r="BG337" s="104" t="str">
        <f ca="1">_05preva_view43[Folder Path1]&amp;"Process &amp; Database\Documentation\Colo Applications"</f>
        <v>D:\OneDrive - apollo-towers.com\Apollo Towers\00-Process &amp; Database\Documentation\Colo Applications</v>
      </c>
      <c r="BH33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7" s="63" t="str">
        <f ca="1">_05preva_view43[[#This Row],[Folder Path3]]&amp;_05preva_view43[[#This Row],[File Name]]</f>
        <v>D:\OneDrive - apollo-towers.com\Apollo Towers\00-Process &amp; Database\Documentation\Colo Applications\Colo App OML\ACBA_0196 (BAW5585) Application.xlsx</v>
      </c>
      <c r="BJ337" s="104"/>
      <c r="BK337" s="3"/>
      <c r="BL337" s="3"/>
      <c r="CJ337" s="5"/>
      <c r="CK337" s="5"/>
      <c r="CL337" s="3"/>
      <c r="CN337" s="5"/>
      <c r="CR337" s="3"/>
      <c r="CS337" s="3"/>
      <c r="CT337" s="5"/>
      <c r="CV337" s="3"/>
      <c r="DR337" s="5"/>
      <c r="DT337" s="3"/>
      <c r="EF337" s="7"/>
      <c r="EG337" s="7"/>
      <c r="EJ337" s="4"/>
      <c r="EK337" s="4"/>
      <c r="EU337" s="2"/>
      <c r="EV337" s="2"/>
    </row>
    <row r="338" spans="1:152">
      <c r="A338" s="287">
        <v>138</v>
      </c>
      <c r="B338" s="288" t="s">
        <v>403</v>
      </c>
      <c r="C338" s="288" t="s">
        <v>116</v>
      </c>
      <c r="D338" s="288" t="s">
        <v>153</v>
      </c>
      <c r="E338" s="288" t="s">
        <v>404</v>
      </c>
      <c r="F338" s="288" t="s">
        <v>40</v>
      </c>
      <c r="G338" s="288" t="s">
        <v>118</v>
      </c>
      <c r="H338" s="288"/>
      <c r="I338" s="288" t="s">
        <v>118</v>
      </c>
      <c r="J338" s="288"/>
      <c r="K338" s="289">
        <v>43236</v>
      </c>
      <c r="L338" s="290"/>
      <c r="M338" s="290">
        <v>3</v>
      </c>
      <c r="N338" s="288"/>
      <c r="O338" s="288" t="s">
        <v>119</v>
      </c>
      <c r="P338" s="291"/>
      <c r="Q338" s="291"/>
      <c r="R338" s="288" t="s">
        <v>24</v>
      </c>
      <c r="S338" s="288"/>
      <c r="T338" s="292" t="s">
        <v>120</v>
      </c>
      <c r="U338" s="288" t="s">
        <v>319</v>
      </c>
      <c r="V338" s="292" t="s">
        <v>120</v>
      </c>
      <c r="W338" s="288"/>
      <c r="X338" s="292" t="s">
        <v>120</v>
      </c>
      <c r="Y338" s="288" t="s">
        <v>320</v>
      </c>
      <c r="Z338" s="293" t="s">
        <v>120</v>
      </c>
      <c r="AA338" s="294"/>
      <c r="AB338" s="294"/>
      <c r="AC338" s="295" t="s">
        <v>123</v>
      </c>
      <c r="AD338" s="288" t="s">
        <v>325</v>
      </c>
      <c r="AE338" s="292" t="s">
        <v>120</v>
      </c>
      <c r="AF338" s="289" t="s">
        <v>364</v>
      </c>
      <c r="AG338" s="296"/>
      <c r="AH338" s="296">
        <v>2</v>
      </c>
      <c r="AI338" s="288" t="s">
        <v>381</v>
      </c>
      <c r="AJ338" s="292" t="s">
        <v>120</v>
      </c>
      <c r="AK338" s="288" t="s">
        <v>206</v>
      </c>
      <c r="AL338" s="288"/>
      <c r="AM338" s="292"/>
      <c r="AN338" s="288"/>
      <c r="AO338" s="288"/>
      <c r="AP338" s="297"/>
      <c r="AQ338" s="288"/>
      <c r="AR338" s="292"/>
      <c r="AS338" s="288"/>
      <c r="AT338" s="289"/>
      <c r="AU338" s="289">
        <v>43453.379016319399</v>
      </c>
      <c r="AV338" s="289"/>
      <c r="AW338" s="289"/>
      <c r="AX338" s="289"/>
      <c r="AY338" s="289"/>
      <c r="AZ338" s="298">
        <v>43236</v>
      </c>
      <c r="BA33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8" s="300">
        <f>COUNTIFS(_05preva_view43[Site ID],_05preva_view43[[#This Row],[Site ID]],_05preva_view43[Prevalidation Status],"Under Prevalidation")</f>
        <v>0</v>
      </c>
      <c r="BC33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8" s="302" t="str">
        <f>CONCATENATE(_05preva_view43[[#This Row],[Site ID]]," (",_05preva_view43[[#This Row],[tenant id]],") Application",IF(_05preva_view43[[#This Row],[Colo Rev]]&gt;0," Rev "&amp;_05preva_view43[[#This Row],[Colo Rev]],""),".xlsx")</f>
        <v>ACBA_0038 (BAW5548) Application.xlsx</v>
      </c>
      <c r="BE338" s="64">
        <f t="shared" ca="1" si="7"/>
        <v>50</v>
      </c>
      <c r="BF338" s="104" t="str">
        <f ca="1">LEFT(CELL("filename",A323),_05preva_view43[[#This Row],[Find Process &amp; Database]]-1)</f>
        <v>D:\OneDrive - apollo-towers.com\Apollo Towers\00-</v>
      </c>
      <c r="BG338" s="104" t="str">
        <f ca="1">_05preva_view43[Folder Path1]&amp;"Process &amp; Database\Documentation\Colo Applications"</f>
        <v>D:\OneDrive - apollo-towers.com\Apollo Towers\00-Process &amp; Database\Documentation\Colo Applications</v>
      </c>
      <c r="BH33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8" s="63" t="str">
        <f ca="1">_05preva_view43[[#This Row],[Folder Path3]]&amp;_05preva_view43[[#This Row],[File Name]]</f>
        <v>D:\OneDrive - apollo-towers.com\Apollo Towers\00-Process &amp; Database\Documentation\Colo Applications\Colo App OML\ACBA_0038 (BAW5548) Application.xlsx</v>
      </c>
      <c r="BJ338" s="104"/>
      <c r="BK338" s="3"/>
      <c r="BL338" s="3"/>
      <c r="CJ338" s="5"/>
      <c r="CK338" s="5"/>
      <c r="CL338" s="3"/>
      <c r="CN338" s="5"/>
      <c r="CR338" s="3"/>
      <c r="CS338" s="3"/>
      <c r="CT338" s="5"/>
      <c r="CV338" s="3"/>
      <c r="DR338" s="5"/>
      <c r="DT338" s="3"/>
      <c r="EF338" s="7"/>
      <c r="EG338" s="7"/>
      <c r="EJ338" s="4"/>
      <c r="EK338" s="4"/>
      <c r="EU338" s="2"/>
      <c r="EV338" s="2"/>
    </row>
    <row r="339" spans="1:152">
      <c r="A339" s="287">
        <v>139</v>
      </c>
      <c r="B339" s="288" t="s">
        <v>405</v>
      </c>
      <c r="C339" s="288" t="s">
        <v>116</v>
      </c>
      <c r="D339" s="288" t="s">
        <v>153</v>
      </c>
      <c r="E339" s="288" t="s">
        <v>406</v>
      </c>
      <c r="F339" s="288" t="s">
        <v>40</v>
      </c>
      <c r="G339" s="288" t="s">
        <v>118</v>
      </c>
      <c r="H339" s="288"/>
      <c r="I339" s="288" t="s">
        <v>118</v>
      </c>
      <c r="J339" s="288"/>
      <c r="K339" s="289">
        <v>43236</v>
      </c>
      <c r="L339" s="290"/>
      <c r="M339" s="290">
        <v>3</v>
      </c>
      <c r="N339" s="288"/>
      <c r="O339" s="288" t="s">
        <v>119</v>
      </c>
      <c r="P339" s="291"/>
      <c r="Q339" s="291"/>
      <c r="R339" s="288" t="s">
        <v>24</v>
      </c>
      <c r="S339" s="288"/>
      <c r="T339" s="292" t="s">
        <v>120</v>
      </c>
      <c r="U339" s="288" t="s">
        <v>301</v>
      </c>
      <c r="V339" s="292" t="s">
        <v>120</v>
      </c>
      <c r="W339" s="288"/>
      <c r="X339" s="292" t="s">
        <v>120</v>
      </c>
      <c r="Y339" s="288" t="s">
        <v>407</v>
      </c>
      <c r="Z339" s="293" t="s">
        <v>120</v>
      </c>
      <c r="AA339" s="294"/>
      <c r="AB339" s="294"/>
      <c r="AC339" s="295"/>
      <c r="AD339" s="288" t="s">
        <v>120</v>
      </c>
      <c r="AE339" s="292" t="s">
        <v>120</v>
      </c>
      <c r="AF339" s="289" t="s">
        <v>120</v>
      </c>
      <c r="AG339" s="296"/>
      <c r="AH339" s="296">
        <v>2</v>
      </c>
      <c r="AI339" s="288" t="s">
        <v>408</v>
      </c>
      <c r="AJ339" s="292" t="s">
        <v>120</v>
      </c>
      <c r="AK339" s="288" t="s">
        <v>123</v>
      </c>
      <c r="AL339" s="288"/>
      <c r="AM339" s="292"/>
      <c r="AN339" s="288"/>
      <c r="AO339" s="288"/>
      <c r="AP339" s="297"/>
      <c r="AQ339" s="288"/>
      <c r="AR339" s="292"/>
      <c r="AS339" s="288"/>
      <c r="AT339" s="289"/>
      <c r="AU339" s="289">
        <v>43453.379017245403</v>
      </c>
      <c r="AV339" s="289"/>
      <c r="AW339" s="289"/>
      <c r="AX339" s="289"/>
      <c r="AY339" s="289"/>
      <c r="AZ339" s="298">
        <v>43236</v>
      </c>
      <c r="BA33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39" s="300">
        <f>COUNTIFS(_05preva_view43[Site ID],_05preva_view43[[#This Row],[Site ID]],_05preva_view43[Prevalidation Status],"Under Prevalidation")</f>
        <v>0</v>
      </c>
      <c r="BC33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39" s="302" t="str">
        <f>CONCATENATE(_05preva_view43[[#This Row],[Site ID]]," (",_05preva_view43[[#This Row],[tenant id]],") Application",IF(_05preva_view43[[#This Row],[Colo Rev]]&gt;0," Rev "&amp;_05preva_view43[[#This Row],[Colo Rev]],""),".xlsx")</f>
        <v>ACBA_0030 (BAW5260) Application.xlsx</v>
      </c>
      <c r="BE339" s="64">
        <f t="shared" ca="1" si="7"/>
        <v>50</v>
      </c>
      <c r="BF339" s="104" t="str">
        <f ca="1">LEFT(CELL("filename",A324),_05preva_view43[[#This Row],[Find Process &amp; Database]]-1)</f>
        <v>D:\OneDrive - apollo-towers.com\Apollo Towers\00-</v>
      </c>
      <c r="BG339" s="104" t="str">
        <f ca="1">_05preva_view43[Folder Path1]&amp;"Process &amp; Database\Documentation\Colo Applications"</f>
        <v>D:\OneDrive - apollo-towers.com\Apollo Towers\00-Process &amp; Database\Documentation\Colo Applications</v>
      </c>
      <c r="BH33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39" s="63" t="str">
        <f ca="1">_05preva_view43[[#This Row],[Folder Path3]]&amp;_05preva_view43[[#This Row],[File Name]]</f>
        <v>D:\OneDrive - apollo-towers.com\Apollo Towers\00-Process &amp; Database\Documentation\Colo Applications\Colo App OML\ACBA_0030 (BAW5260) Application.xlsx</v>
      </c>
      <c r="BJ339" s="104"/>
      <c r="BK339" s="3"/>
      <c r="BL339" s="3"/>
      <c r="CJ339" s="5"/>
      <c r="CK339" s="5"/>
      <c r="CL339" s="3"/>
      <c r="CN339" s="5"/>
      <c r="CR339" s="3"/>
      <c r="CS339" s="3"/>
      <c r="CT339" s="5"/>
      <c r="CV339" s="3"/>
      <c r="DR339" s="5"/>
      <c r="DT339" s="3"/>
      <c r="EF339" s="7"/>
      <c r="EG339" s="7"/>
      <c r="EJ339" s="4"/>
      <c r="EK339" s="4"/>
      <c r="EU339" s="2"/>
      <c r="EV339" s="2"/>
    </row>
    <row r="340" spans="1:152">
      <c r="A340" s="287">
        <v>141</v>
      </c>
      <c r="B340" s="288" t="s">
        <v>409</v>
      </c>
      <c r="C340" s="288" t="s">
        <v>116</v>
      </c>
      <c r="D340" s="288" t="s">
        <v>153</v>
      </c>
      <c r="E340" s="288" t="s">
        <v>410</v>
      </c>
      <c r="F340" s="288" t="s">
        <v>40</v>
      </c>
      <c r="G340" s="288" t="s">
        <v>118</v>
      </c>
      <c r="H340" s="288"/>
      <c r="I340" s="288" t="s">
        <v>118</v>
      </c>
      <c r="J340" s="288"/>
      <c r="K340" s="289">
        <v>43236</v>
      </c>
      <c r="L340" s="290"/>
      <c r="M340" s="290">
        <v>3</v>
      </c>
      <c r="N340" s="288"/>
      <c r="O340" s="288" t="s">
        <v>119</v>
      </c>
      <c r="P340" s="291"/>
      <c r="Q340" s="291"/>
      <c r="R340" s="288" t="s">
        <v>24</v>
      </c>
      <c r="S340" s="288"/>
      <c r="T340" s="292" t="s">
        <v>120</v>
      </c>
      <c r="U340" s="288" t="s">
        <v>301</v>
      </c>
      <c r="V340" s="292" t="s">
        <v>120</v>
      </c>
      <c r="W340" s="288"/>
      <c r="X340" s="292" t="s">
        <v>120</v>
      </c>
      <c r="Y340" s="288" t="s">
        <v>400</v>
      </c>
      <c r="Z340" s="293" t="s">
        <v>120</v>
      </c>
      <c r="AA340" s="294"/>
      <c r="AB340" s="294"/>
      <c r="AC340" s="295"/>
      <c r="AD340" s="288" t="s">
        <v>120</v>
      </c>
      <c r="AE340" s="292" t="s">
        <v>120</v>
      </c>
      <c r="AF340" s="289" t="s">
        <v>300</v>
      </c>
      <c r="AG340" s="296"/>
      <c r="AH340" s="296">
        <v>2</v>
      </c>
      <c r="AI340" s="288" t="s">
        <v>305</v>
      </c>
      <c r="AJ340" s="292" t="s">
        <v>120</v>
      </c>
      <c r="AK340" s="288" t="s">
        <v>123</v>
      </c>
      <c r="AL340" s="288"/>
      <c r="AM340" s="292"/>
      <c r="AN340" s="288"/>
      <c r="AO340" s="288"/>
      <c r="AP340" s="297"/>
      <c r="AQ340" s="288"/>
      <c r="AR340" s="292"/>
      <c r="AS340" s="288"/>
      <c r="AT340" s="289"/>
      <c r="AU340" s="289">
        <v>43453.379020254601</v>
      </c>
      <c r="AV340" s="289"/>
      <c r="AW340" s="289"/>
      <c r="AX340" s="289"/>
      <c r="AY340" s="289"/>
      <c r="AZ340" s="298">
        <v>43236</v>
      </c>
      <c r="BA34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0" s="300">
        <f>COUNTIFS(_05preva_view43[Site ID],_05preva_view43[[#This Row],[Site ID]],_05preva_view43[Prevalidation Status],"Under Prevalidation")</f>
        <v>0</v>
      </c>
      <c r="BC34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0" s="302" t="str">
        <f>CONCATENATE(_05preva_view43[[#This Row],[Site ID]]," (",_05preva_view43[[#This Row],[tenant id]],") Application",IF(_05preva_view43[[#This Row],[Colo Rev]]&gt;0," Rev "&amp;_05preva_view43[[#This Row],[Colo Rev]],""),".xlsx")</f>
        <v>ACBA_0028 (BAW5251) Application.xlsx</v>
      </c>
      <c r="BE340" s="64">
        <f t="shared" ca="1" si="7"/>
        <v>50</v>
      </c>
      <c r="BF340" s="104" t="str">
        <f ca="1">LEFT(CELL("filename",A325),_05preva_view43[[#This Row],[Find Process &amp; Database]]-1)</f>
        <v>D:\OneDrive - apollo-towers.com\Apollo Towers\00-</v>
      </c>
      <c r="BG340" s="104" t="str">
        <f ca="1">_05preva_view43[Folder Path1]&amp;"Process &amp; Database\Documentation\Colo Applications"</f>
        <v>D:\OneDrive - apollo-towers.com\Apollo Towers\00-Process &amp; Database\Documentation\Colo Applications</v>
      </c>
      <c r="BH34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0" s="63" t="str">
        <f ca="1">_05preva_view43[[#This Row],[Folder Path3]]&amp;_05preva_view43[[#This Row],[File Name]]</f>
        <v>D:\OneDrive - apollo-towers.com\Apollo Towers\00-Process &amp; Database\Documentation\Colo Applications\Colo App OML\ACBA_0028 (BAW5251) Application.xlsx</v>
      </c>
      <c r="BJ340" s="104"/>
      <c r="BK340" s="3"/>
      <c r="BL340" s="3"/>
      <c r="CJ340" s="5"/>
      <c r="CK340" s="5"/>
      <c r="CL340" s="3"/>
      <c r="CN340" s="5"/>
      <c r="CR340" s="3"/>
      <c r="CS340" s="3"/>
      <c r="CT340" s="5"/>
      <c r="CV340" s="3"/>
      <c r="DR340" s="5"/>
      <c r="DT340" s="3"/>
      <c r="EF340" s="7"/>
      <c r="EG340" s="7"/>
      <c r="EJ340" s="4"/>
      <c r="EK340" s="4"/>
      <c r="EU340" s="2"/>
      <c r="EV340" s="2"/>
    </row>
    <row r="341" spans="1:152">
      <c r="A341" s="287">
        <v>143</v>
      </c>
      <c r="B341" s="288" t="s">
        <v>411</v>
      </c>
      <c r="C341" s="288" t="s">
        <v>116</v>
      </c>
      <c r="D341" s="288" t="s">
        <v>153</v>
      </c>
      <c r="E341" s="288" t="s">
        <v>412</v>
      </c>
      <c r="F341" s="288" t="s">
        <v>40</v>
      </c>
      <c r="G341" s="288" t="s">
        <v>118</v>
      </c>
      <c r="H341" s="288"/>
      <c r="I341" s="288" t="s">
        <v>118</v>
      </c>
      <c r="J341" s="288"/>
      <c r="K341" s="289">
        <v>43236</v>
      </c>
      <c r="L341" s="290"/>
      <c r="M341" s="290">
        <v>3</v>
      </c>
      <c r="N341" s="288"/>
      <c r="O341" s="288" t="s">
        <v>119</v>
      </c>
      <c r="P341" s="291"/>
      <c r="Q341" s="291"/>
      <c r="R341" s="288" t="s">
        <v>24</v>
      </c>
      <c r="S341" s="288"/>
      <c r="T341" s="292" t="s">
        <v>120</v>
      </c>
      <c r="U341" s="288" t="s">
        <v>301</v>
      </c>
      <c r="V341" s="292" t="s">
        <v>120</v>
      </c>
      <c r="W341" s="288"/>
      <c r="X341" s="292" t="s">
        <v>120</v>
      </c>
      <c r="Y341" s="288" t="s">
        <v>120</v>
      </c>
      <c r="Z341" s="293" t="s">
        <v>120</v>
      </c>
      <c r="AA341" s="294"/>
      <c r="AB341" s="294"/>
      <c r="AC341" s="295"/>
      <c r="AD341" s="288" t="s">
        <v>120</v>
      </c>
      <c r="AE341" s="292" t="s">
        <v>120</v>
      </c>
      <c r="AF341" s="289" t="s">
        <v>120</v>
      </c>
      <c r="AG341" s="296"/>
      <c r="AH341" s="296">
        <v>2</v>
      </c>
      <c r="AI341" s="288" t="s">
        <v>413</v>
      </c>
      <c r="AJ341" s="292" t="s">
        <v>120</v>
      </c>
      <c r="AK341" s="288" t="s">
        <v>123</v>
      </c>
      <c r="AL341" s="288"/>
      <c r="AM341" s="292"/>
      <c r="AN341" s="288"/>
      <c r="AO341" s="288"/>
      <c r="AP341" s="297"/>
      <c r="AQ341" s="288"/>
      <c r="AR341" s="292"/>
      <c r="AS341" s="288"/>
      <c r="AT341" s="289"/>
      <c r="AU341" s="289">
        <v>43453.379021759298</v>
      </c>
      <c r="AV341" s="289"/>
      <c r="AW341" s="289"/>
      <c r="AX341" s="289"/>
      <c r="AY341" s="289"/>
      <c r="AZ341" s="298">
        <v>43236</v>
      </c>
      <c r="BA34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1" s="300">
        <f>COUNTIFS(_05preva_view43[Site ID],_05preva_view43[[#This Row],[Site ID]],_05preva_view43[Prevalidation Status],"Under Prevalidation")</f>
        <v>0</v>
      </c>
      <c r="BC34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1" s="302" t="str">
        <f>CONCATENATE(_05preva_view43[[#This Row],[Site ID]]," (",_05preva_view43[[#This Row],[tenant id]],") Application",IF(_05preva_view43[[#This Row],[Colo Rev]]&gt;0," Rev "&amp;_05preva_view43[[#This Row],[Colo Rev]],""),".xlsx")</f>
        <v>ACBA_0033 (BAW5224) Application.xlsx</v>
      </c>
      <c r="BE341" s="64">
        <f t="shared" ca="1" si="7"/>
        <v>50</v>
      </c>
      <c r="BF341" s="104" t="str">
        <f ca="1">LEFT(CELL("filename",A326),_05preva_view43[[#This Row],[Find Process &amp; Database]]-1)</f>
        <v>D:\OneDrive - apollo-towers.com\Apollo Towers\00-</v>
      </c>
      <c r="BG341" s="104" t="str">
        <f ca="1">_05preva_view43[Folder Path1]&amp;"Process &amp; Database\Documentation\Colo Applications"</f>
        <v>D:\OneDrive - apollo-towers.com\Apollo Towers\00-Process &amp; Database\Documentation\Colo Applications</v>
      </c>
      <c r="BH34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1" s="63" t="str">
        <f ca="1">_05preva_view43[[#This Row],[Folder Path3]]&amp;_05preva_view43[[#This Row],[File Name]]</f>
        <v>D:\OneDrive - apollo-towers.com\Apollo Towers\00-Process &amp; Database\Documentation\Colo Applications\Colo App OML\ACBA_0033 (BAW5224) Application.xlsx</v>
      </c>
      <c r="BJ341" s="104"/>
      <c r="BK341" s="3"/>
      <c r="BL341" s="3"/>
      <c r="CJ341" s="5"/>
      <c r="CK341" s="5"/>
      <c r="CL341" s="3"/>
      <c r="CN341" s="5"/>
      <c r="CR341" s="3"/>
      <c r="CS341" s="3"/>
      <c r="CT341" s="5"/>
      <c r="CV341" s="3"/>
      <c r="DR341" s="5"/>
      <c r="DT341" s="3"/>
      <c r="EF341" s="7"/>
      <c r="EG341" s="7"/>
      <c r="EJ341" s="4"/>
      <c r="EK341" s="4"/>
      <c r="EU341" s="2"/>
      <c r="EV341" s="2"/>
    </row>
    <row r="342" spans="1:152">
      <c r="A342" s="287">
        <v>144</v>
      </c>
      <c r="B342" s="288" t="s">
        <v>414</v>
      </c>
      <c r="C342" s="288" t="s">
        <v>116</v>
      </c>
      <c r="D342" s="288" t="s">
        <v>117</v>
      </c>
      <c r="E342" s="288" t="s">
        <v>415</v>
      </c>
      <c r="F342" s="288" t="s">
        <v>40</v>
      </c>
      <c r="G342" s="288" t="s">
        <v>118</v>
      </c>
      <c r="H342" s="288"/>
      <c r="I342" s="288" t="s">
        <v>118</v>
      </c>
      <c r="J342" s="288"/>
      <c r="K342" s="289">
        <v>43236</v>
      </c>
      <c r="L342" s="290"/>
      <c r="M342" s="290">
        <v>3</v>
      </c>
      <c r="N342" s="288"/>
      <c r="O342" s="288" t="s">
        <v>119</v>
      </c>
      <c r="P342" s="291"/>
      <c r="Q342" s="291"/>
      <c r="R342" s="288" t="s">
        <v>24</v>
      </c>
      <c r="S342" s="288"/>
      <c r="T342" s="292" t="s">
        <v>120</v>
      </c>
      <c r="U342" s="288" t="s">
        <v>301</v>
      </c>
      <c r="V342" s="292" t="s">
        <v>120</v>
      </c>
      <c r="W342" s="288"/>
      <c r="X342" s="292" t="s">
        <v>120</v>
      </c>
      <c r="Y342" s="288" t="s">
        <v>120</v>
      </c>
      <c r="Z342" s="293" t="s">
        <v>120</v>
      </c>
      <c r="AA342" s="294"/>
      <c r="AB342" s="294"/>
      <c r="AC342" s="295"/>
      <c r="AD342" s="288" t="s">
        <v>120</v>
      </c>
      <c r="AE342" s="292" t="s">
        <v>120</v>
      </c>
      <c r="AF342" s="289" t="s">
        <v>207</v>
      </c>
      <c r="AG342" s="296"/>
      <c r="AH342" s="296">
        <v>3.5</v>
      </c>
      <c r="AI342" s="288" t="s">
        <v>208</v>
      </c>
      <c r="AJ342" s="292" t="s">
        <v>120</v>
      </c>
      <c r="AK342" s="288" t="s">
        <v>123</v>
      </c>
      <c r="AL342" s="288"/>
      <c r="AM342" s="292"/>
      <c r="AN342" s="288"/>
      <c r="AO342" s="288"/>
      <c r="AP342" s="297"/>
      <c r="AQ342" s="288"/>
      <c r="AR342" s="292"/>
      <c r="AS342" s="288"/>
      <c r="AT342" s="289"/>
      <c r="AU342" s="289">
        <v>43453.379022453701</v>
      </c>
      <c r="AV342" s="289"/>
      <c r="AW342" s="289"/>
      <c r="AX342" s="289"/>
      <c r="AY342" s="289"/>
      <c r="AZ342" s="298">
        <v>43236</v>
      </c>
      <c r="BA34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2" s="300">
        <f>COUNTIFS(_05preva_view43[Site ID],_05preva_view43[[#This Row],[Site ID]],_05preva_view43[Prevalidation Status],"Under Prevalidation")</f>
        <v>0</v>
      </c>
      <c r="BC34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2" s="302" t="str">
        <f>CONCATENATE(_05preva_view43[[#This Row],[Site ID]]," (",_05preva_view43[[#This Row],[tenant id]],") Application",IF(_05preva_view43[[#This Row],[Colo Rev]]&gt;0," Rev "&amp;_05preva_view43[[#This Row],[Colo Rev]],""),".xlsx")</f>
        <v>ACBA_0185 (BAW5590) Application.xlsx</v>
      </c>
      <c r="BE342" s="64">
        <f t="shared" ca="1" si="7"/>
        <v>50</v>
      </c>
      <c r="BF342" s="104" t="str">
        <f ca="1">LEFT(CELL("filename",A327),_05preva_view43[[#This Row],[Find Process &amp; Database]]-1)</f>
        <v>D:\OneDrive - apollo-towers.com\Apollo Towers\00-</v>
      </c>
      <c r="BG342" s="104" t="str">
        <f ca="1">_05preva_view43[Folder Path1]&amp;"Process &amp; Database\Documentation\Colo Applications"</f>
        <v>D:\OneDrive - apollo-towers.com\Apollo Towers\00-Process &amp; Database\Documentation\Colo Applications</v>
      </c>
      <c r="BH34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2" s="63" t="str">
        <f ca="1">_05preva_view43[[#This Row],[Folder Path3]]&amp;_05preva_view43[[#This Row],[File Name]]</f>
        <v>D:\OneDrive - apollo-towers.com\Apollo Towers\00-Process &amp; Database\Documentation\Colo Applications\Colo App OML\ACBA_0185 (BAW5590) Application.xlsx</v>
      </c>
      <c r="BJ342" s="104"/>
      <c r="BK342" s="3"/>
      <c r="BL342" s="3"/>
      <c r="CJ342" s="5"/>
      <c r="CK342" s="5"/>
      <c r="CL342" s="3"/>
      <c r="CN342" s="5"/>
      <c r="CR342" s="3"/>
      <c r="CS342" s="3"/>
      <c r="CT342" s="5"/>
      <c r="CV342" s="3"/>
      <c r="DR342" s="5"/>
      <c r="DT342" s="3"/>
      <c r="EF342" s="7"/>
      <c r="EG342" s="7"/>
      <c r="EJ342" s="4"/>
      <c r="EK342" s="4"/>
      <c r="EU342" s="2"/>
      <c r="EV342" s="2"/>
    </row>
    <row r="343" spans="1:152">
      <c r="A343" s="287">
        <v>145</v>
      </c>
      <c r="B343" s="288" t="s">
        <v>416</v>
      </c>
      <c r="C343" s="288" t="s">
        <v>116</v>
      </c>
      <c r="D343" s="288" t="s">
        <v>153</v>
      </c>
      <c r="E343" s="288" t="s">
        <v>417</v>
      </c>
      <c r="F343" s="288" t="s">
        <v>40</v>
      </c>
      <c r="G343" s="288" t="s">
        <v>118</v>
      </c>
      <c r="H343" s="288"/>
      <c r="I343" s="288" t="s">
        <v>118</v>
      </c>
      <c r="J343" s="288"/>
      <c r="K343" s="289">
        <v>43236</v>
      </c>
      <c r="L343" s="290"/>
      <c r="M343" s="290">
        <v>3</v>
      </c>
      <c r="N343" s="288"/>
      <c r="O343" s="288" t="s">
        <v>119</v>
      </c>
      <c r="P343" s="291"/>
      <c r="Q343" s="291"/>
      <c r="R343" s="288" t="s">
        <v>24</v>
      </c>
      <c r="S343" s="288"/>
      <c r="T343" s="292" t="s">
        <v>120</v>
      </c>
      <c r="U343" s="288" t="s">
        <v>319</v>
      </c>
      <c r="V343" s="292" t="s">
        <v>120</v>
      </c>
      <c r="W343" s="288"/>
      <c r="X343" s="292" t="s">
        <v>120</v>
      </c>
      <c r="Y343" s="288" t="s">
        <v>320</v>
      </c>
      <c r="Z343" s="293" t="s">
        <v>120</v>
      </c>
      <c r="AA343" s="294"/>
      <c r="AB343" s="294"/>
      <c r="AC343" s="295" t="s">
        <v>123</v>
      </c>
      <c r="AD343" s="288" t="s">
        <v>331</v>
      </c>
      <c r="AE343" s="292" t="s">
        <v>120</v>
      </c>
      <c r="AF343" s="289" t="s">
        <v>353</v>
      </c>
      <c r="AG343" s="296"/>
      <c r="AH343" s="296">
        <v>2</v>
      </c>
      <c r="AI343" s="288" t="s">
        <v>381</v>
      </c>
      <c r="AJ343" s="292" t="s">
        <v>120</v>
      </c>
      <c r="AK343" s="288" t="s">
        <v>123</v>
      </c>
      <c r="AL343" s="288"/>
      <c r="AM343" s="292"/>
      <c r="AN343" s="288"/>
      <c r="AO343" s="288"/>
      <c r="AP343" s="297"/>
      <c r="AQ343" s="288"/>
      <c r="AR343" s="292"/>
      <c r="AS343" s="288"/>
      <c r="AT343" s="289"/>
      <c r="AU343" s="289">
        <v>43453.379025115697</v>
      </c>
      <c r="AV343" s="289"/>
      <c r="AW343" s="289"/>
      <c r="AX343" s="289"/>
      <c r="AY343" s="289"/>
      <c r="AZ343" s="298">
        <v>43236</v>
      </c>
      <c r="BA34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3" s="300">
        <f>COUNTIFS(_05preva_view43[Site ID],_05preva_view43[[#This Row],[Site ID]],_05preva_view43[Prevalidation Status],"Under Prevalidation")</f>
        <v>0</v>
      </c>
      <c r="BC34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3" s="302" t="str">
        <f>CONCATENATE(_05preva_view43[[#This Row],[Site ID]]," (",_05preva_view43[[#This Row],[tenant id]],") Application",IF(_05preva_view43[[#This Row],[Colo Rev]]&gt;0," Rev "&amp;_05preva_view43[[#This Row],[Colo Rev]],""),".xlsx")</f>
        <v>ACAY_0022 (AYW5540) Application.xlsx</v>
      </c>
      <c r="BE343" s="64">
        <f t="shared" ca="1" si="7"/>
        <v>50</v>
      </c>
      <c r="BF343" s="104" t="str">
        <f ca="1">LEFT(CELL("filename",A328),_05preva_view43[[#This Row],[Find Process &amp; Database]]-1)</f>
        <v>D:\OneDrive - apollo-towers.com\Apollo Towers\00-</v>
      </c>
      <c r="BG343" s="104" t="str">
        <f ca="1">_05preva_view43[Folder Path1]&amp;"Process &amp; Database\Documentation\Colo Applications"</f>
        <v>D:\OneDrive - apollo-towers.com\Apollo Towers\00-Process &amp; Database\Documentation\Colo Applications</v>
      </c>
      <c r="BH34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3" s="63" t="str">
        <f ca="1">_05preva_view43[[#This Row],[Folder Path3]]&amp;_05preva_view43[[#This Row],[File Name]]</f>
        <v>D:\OneDrive - apollo-towers.com\Apollo Towers\00-Process &amp; Database\Documentation\Colo Applications\Colo App OML\ACAY_0022 (AYW5540) Application.xlsx</v>
      </c>
      <c r="BJ343" s="104"/>
      <c r="BK343" s="3"/>
      <c r="BL343" s="3"/>
      <c r="CJ343" s="5"/>
      <c r="CK343" s="5"/>
      <c r="CL343" s="3"/>
      <c r="CN343" s="5"/>
      <c r="CR343" s="3"/>
      <c r="CS343" s="3"/>
      <c r="CT343" s="5"/>
      <c r="CV343" s="3"/>
      <c r="DR343" s="5"/>
      <c r="DT343" s="3"/>
      <c r="EF343" s="7"/>
      <c r="EG343" s="7"/>
      <c r="EJ343" s="4"/>
      <c r="EK343" s="4"/>
      <c r="EU343" s="2"/>
      <c r="EV343" s="2"/>
    </row>
    <row r="344" spans="1:152">
      <c r="A344" s="287">
        <v>147</v>
      </c>
      <c r="B344" s="288" t="s">
        <v>418</v>
      </c>
      <c r="C344" s="288" t="s">
        <v>116</v>
      </c>
      <c r="D344" s="288" t="s">
        <v>153</v>
      </c>
      <c r="E344" s="288" t="s">
        <v>419</v>
      </c>
      <c r="F344" s="288" t="s">
        <v>40</v>
      </c>
      <c r="G344" s="288" t="s">
        <v>118</v>
      </c>
      <c r="H344" s="288"/>
      <c r="I344" s="288" t="s">
        <v>118</v>
      </c>
      <c r="J344" s="288"/>
      <c r="K344" s="289">
        <v>43236</v>
      </c>
      <c r="L344" s="290"/>
      <c r="M344" s="290">
        <v>3</v>
      </c>
      <c r="N344" s="288"/>
      <c r="O344" s="288" t="s">
        <v>119</v>
      </c>
      <c r="P344" s="291"/>
      <c r="Q344" s="291"/>
      <c r="R344" s="288" t="s">
        <v>24</v>
      </c>
      <c r="S344" s="288"/>
      <c r="T344" s="292" t="s">
        <v>120</v>
      </c>
      <c r="U344" s="288" t="s">
        <v>301</v>
      </c>
      <c r="V344" s="292" t="s">
        <v>120</v>
      </c>
      <c r="W344" s="288"/>
      <c r="X344" s="292" t="s">
        <v>120</v>
      </c>
      <c r="Y344" s="288" t="s">
        <v>120</v>
      </c>
      <c r="Z344" s="293" t="s">
        <v>120</v>
      </c>
      <c r="AA344" s="294"/>
      <c r="AB344" s="294"/>
      <c r="AC344" s="295"/>
      <c r="AD344" s="288" t="s">
        <v>120</v>
      </c>
      <c r="AE344" s="292" t="s">
        <v>120</v>
      </c>
      <c r="AF344" s="289" t="s">
        <v>120</v>
      </c>
      <c r="AG344" s="296"/>
      <c r="AH344" s="296">
        <v>2</v>
      </c>
      <c r="AI344" s="288" t="s">
        <v>420</v>
      </c>
      <c r="AJ344" s="292" t="s">
        <v>120</v>
      </c>
      <c r="AK344" s="288" t="s">
        <v>123</v>
      </c>
      <c r="AL344" s="288"/>
      <c r="AM344" s="292"/>
      <c r="AN344" s="288"/>
      <c r="AO344" s="288"/>
      <c r="AP344" s="297"/>
      <c r="AQ344" s="288"/>
      <c r="AR344" s="292"/>
      <c r="AS344" s="288"/>
      <c r="AT344" s="289"/>
      <c r="AU344" s="289">
        <v>43453.379026967603</v>
      </c>
      <c r="AV344" s="289"/>
      <c r="AW344" s="289"/>
      <c r="AX344" s="289"/>
      <c r="AY344" s="289"/>
      <c r="AZ344" s="298">
        <v>43236</v>
      </c>
      <c r="BA34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4" s="300">
        <f>COUNTIFS(_05preva_view43[Site ID],_05preva_view43[[#This Row],[Site ID]],_05preva_view43[Prevalidation Status],"Under Prevalidation")</f>
        <v>0</v>
      </c>
      <c r="BC34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4" s="302" t="str">
        <f>CONCATENATE(_05preva_view43[[#This Row],[Site ID]]," (",_05preva_view43[[#This Row],[tenant id]],") Application",IF(_05preva_view43[[#This Row],[Colo Rev]]&gt;0," Rev "&amp;_05preva_view43[[#This Row],[Colo Rev]],""),".xlsx")</f>
        <v>ACAY_0017 (AYW5537) Application.xlsx</v>
      </c>
      <c r="BE344" s="64">
        <f t="shared" ca="1" si="7"/>
        <v>50</v>
      </c>
      <c r="BF344" s="104" t="str">
        <f ca="1">LEFT(CELL("filename",A329),_05preva_view43[[#This Row],[Find Process &amp; Database]]-1)</f>
        <v>D:\OneDrive - apollo-towers.com\Apollo Towers\00-</v>
      </c>
      <c r="BG344" s="104" t="str">
        <f ca="1">_05preva_view43[Folder Path1]&amp;"Process &amp; Database\Documentation\Colo Applications"</f>
        <v>D:\OneDrive - apollo-towers.com\Apollo Towers\00-Process &amp; Database\Documentation\Colo Applications</v>
      </c>
      <c r="BH34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4" s="63" t="str">
        <f ca="1">_05preva_view43[[#This Row],[Folder Path3]]&amp;_05preva_view43[[#This Row],[File Name]]</f>
        <v>D:\OneDrive - apollo-towers.com\Apollo Towers\00-Process &amp; Database\Documentation\Colo Applications\Colo App OML\ACAY_0017 (AYW5537) Application.xlsx</v>
      </c>
      <c r="BJ344" s="104"/>
      <c r="BK344" s="3"/>
      <c r="BL344" s="3"/>
      <c r="CJ344" s="5"/>
      <c r="CK344" s="5"/>
      <c r="CL344" s="3"/>
      <c r="CN344" s="5"/>
      <c r="CR344" s="3"/>
      <c r="CS344" s="3"/>
      <c r="CT344" s="5"/>
      <c r="CV344" s="3"/>
      <c r="DR344" s="5"/>
      <c r="DT344" s="3"/>
      <c r="EF344" s="7"/>
      <c r="EG344" s="7"/>
      <c r="EJ344" s="4"/>
      <c r="EK344" s="4"/>
      <c r="EU344" s="2"/>
      <c r="EV344" s="2"/>
    </row>
    <row r="345" spans="1:152">
      <c r="A345" s="287">
        <v>151</v>
      </c>
      <c r="B345" s="288" t="s">
        <v>422</v>
      </c>
      <c r="C345" s="288" t="s">
        <v>116</v>
      </c>
      <c r="D345" s="288" t="s">
        <v>127</v>
      </c>
      <c r="E345" s="288" t="s">
        <v>423</v>
      </c>
      <c r="F345" s="288" t="s">
        <v>40</v>
      </c>
      <c r="G345" s="288" t="s">
        <v>118</v>
      </c>
      <c r="H345" s="288"/>
      <c r="I345" s="288" t="s">
        <v>118</v>
      </c>
      <c r="J345" s="288"/>
      <c r="K345" s="289">
        <v>43236</v>
      </c>
      <c r="L345" s="290"/>
      <c r="M345" s="290">
        <v>3</v>
      </c>
      <c r="N345" s="288"/>
      <c r="O345" s="288" t="s">
        <v>119</v>
      </c>
      <c r="P345" s="291"/>
      <c r="Q345" s="291"/>
      <c r="R345" s="288" t="s">
        <v>24</v>
      </c>
      <c r="S345" s="288"/>
      <c r="T345" s="292" t="s">
        <v>120</v>
      </c>
      <c r="U345" s="288" t="s">
        <v>301</v>
      </c>
      <c r="V345" s="292" t="s">
        <v>120</v>
      </c>
      <c r="W345" s="288"/>
      <c r="X345" s="292" t="s">
        <v>120</v>
      </c>
      <c r="Y345" s="288" t="s">
        <v>302</v>
      </c>
      <c r="Z345" s="293" t="s">
        <v>120</v>
      </c>
      <c r="AA345" s="294"/>
      <c r="AB345" s="294"/>
      <c r="AC345" s="295"/>
      <c r="AD345" s="288" t="s">
        <v>120</v>
      </c>
      <c r="AE345" s="292" t="s">
        <v>120</v>
      </c>
      <c r="AF345" s="289" t="s">
        <v>300</v>
      </c>
      <c r="AG345" s="296"/>
      <c r="AH345" s="296">
        <v>2</v>
      </c>
      <c r="AI345" s="288" t="s">
        <v>305</v>
      </c>
      <c r="AJ345" s="292" t="s">
        <v>120</v>
      </c>
      <c r="AK345" s="288" t="s">
        <v>123</v>
      </c>
      <c r="AL345" s="288"/>
      <c r="AM345" s="292"/>
      <c r="AN345" s="288"/>
      <c r="AO345" s="288"/>
      <c r="AP345" s="297"/>
      <c r="AQ345" s="288"/>
      <c r="AR345" s="292"/>
      <c r="AS345" s="288"/>
      <c r="AT345" s="289"/>
      <c r="AU345" s="289">
        <v>43453.379029513897</v>
      </c>
      <c r="AV345" s="289"/>
      <c r="AW345" s="289"/>
      <c r="AX345" s="289"/>
      <c r="AY345" s="289"/>
      <c r="AZ345" s="298">
        <v>43236</v>
      </c>
      <c r="BA34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5" s="300">
        <f>COUNTIFS(_05preva_view43[Site ID],_05preva_view43[[#This Row],[Site ID]],_05preva_view43[Prevalidation Status],"Under Prevalidation")</f>
        <v>0</v>
      </c>
      <c r="BC34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5" s="302" t="str">
        <f>CONCATENATE(_05preva_view43[[#This Row],[Site ID]]," (",_05preva_view43[[#This Row],[tenant id]],") Application",IF(_05preva_view43[[#This Row],[Colo Rev]]&gt;0," Rev "&amp;_05preva_view43[[#This Row],[Colo Rev]],""),".xlsx")</f>
        <v>ANSG_0351 (SAW0721) Application.xlsx</v>
      </c>
      <c r="BE345" s="64">
        <f t="shared" ca="1" si="7"/>
        <v>50</v>
      </c>
      <c r="BF345" s="104" t="str">
        <f ca="1">LEFT(CELL("filename",A330),_05preva_view43[[#This Row],[Find Process &amp; Database]]-1)</f>
        <v>D:\OneDrive - apollo-towers.com\Apollo Towers\00-</v>
      </c>
      <c r="BG345" s="104" t="str">
        <f ca="1">_05preva_view43[Folder Path1]&amp;"Process &amp; Database\Documentation\Colo Applications"</f>
        <v>D:\OneDrive - apollo-towers.com\Apollo Towers\00-Process &amp; Database\Documentation\Colo Applications</v>
      </c>
      <c r="BH34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5" s="63" t="str">
        <f ca="1">_05preva_view43[[#This Row],[Folder Path3]]&amp;_05preva_view43[[#This Row],[File Name]]</f>
        <v>D:\OneDrive - apollo-towers.com\Apollo Towers\00-Process &amp; Database\Documentation\Colo Applications\Colo App OML\ANSG_0351 (SAW0721) Application.xlsx</v>
      </c>
      <c r="BJ345" s="104"/>
      <c r="BK345" s="3"/>
      <c r="BL345" s="3"/>
      <c r="CJ345" s="5"/>
      <c r="CK345" s="5"/>
      <c r="CL345" s="3"/>
      <c r="CN345" s="5"/>
      <c r="CR345" s="3"/>
      <c r="CS345" s="3"/>
      <c r="CT345" s="5"/>
      <c r="CV345" s="3"/>
      <c r="DR345" s="5"/>
      <c r="DT345" s="3"/>
      <c r="EF345" s="7"/>
      <c r="EG345" s="7"/>
      <c r="EJ345" s="4"/>
      <c r="EK345" s="4"/>
      <c r="EU345" s="2"/>
      <c r="EV345" s="2"/>
    </row>
    <row r="346" spans="1:152">
      <c r="A346" s="287">
        <v>152</v>
      </c>
      <c r="B346" s="288" t="s">
        <v>424</v>
      </c>
      <c r="C346" s="288" t="s">
        <v>116</v>
      </c>
      <c r="D346" s="288" t="s">
        <v>127</v>
      </c>
      <c r="E346" s="288" t="s">
        <v>425</v>
      </c>
      <c r="F346" s="288" t="s">
        <v>40</v>
      </c>
      <c r="G346" s="288" t="s">
        <v>118</v>
      </c>
      <c r="H346" s="288"/>
      <c r="I346" s="288" t="s">
        <v>118</v>
      </c>
      <c r="J346" s="288"/>
      <c r="K346" s="289">
        <v>43236</v>
      </c>
      <c r="L346" s="290"/>
      <c r="M346" s="290">
        <v>3</v>
      </c>
      <c r="N346" s="288"/>
      <c r="O346" s="288" t="s">
        <v>119</v>
      </c>
      <c r="P346" s="291"/>
      <c r="Q346" s="291"/>
      <c r="R346" s="288" t="s">
        <v>24</v>
      </c>
      <c r="S346" s="288"/>
      <c r="T346" s="292" t="s">
        <v>120</v>
      </c>
      <c r="U346" s="288" t="s">
        <v>301</v>
      </c>
      <c r="V346" s="292" t="s">
        <v>120</v>
      </c>
      <c r="W346" s="288"/>
      <c r="X346" s="292" t="s">
        <v>120</v>
      </c>
      <c r="Y346" s="288" t="s">
        <v>120</v>
      </c>
      <c r="Z346" s="293" t="s">
        <v>120</v>
      </c>
      <c r="AA346" s="294"/>
      <c r="AB346" s="294"/>
      <c r="AC346" s="295"/>
      <c r="AD346" s="288" t="s">
        <v>120</v>
      </c>
      <c r="AE346" s="292" t="s">
        <v>120</v>
      </c>
      <c r="AF346" s="289" t="s">
        <v>300</v>
      </c>
      <c r="AG346" s="296"/>
      <c r="AH346" s="296">
        <v>2</v>
      </c>
      <c r="AI346" s="288" t="s">
        <v>305</v>
      </c>
      <c r="AJ346" s="292" t="s">
        <v>120</v>
      </c>
      <c r="AK346" s="288" t="s">
        <v>123</v>
      </c>
      <c r="AL346" s="288"/>
      <c r="AM346" s="292"/>
      <c r="AN346" s="288"/>
      <c r="AO346" s="288"/>
      <c r="AP346" s="297"/>
      <c r="AQ346" s="288"/>
      <c r="AR346" s="292"/>
      <c r="AS346" s="288"/>
      <c r="AT346" s="289"/>
      <c r="AU346" s="289">
        <v>43453.379030324097</v>
      </c>
      <c r="AV346" s="289"/>
      <c r="AW346" s="289"/>
      <c r="AX346" s="289"/>
      <c r="AY346" s="289"/>
      <c r="AZ346" s="298">
        <v>43236</v>
      </c>
      <c r="BA34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6" s="300">
        <f>COUNTIFS(_05preva_view43[Site ID],_05preva_view43[[#This Row],[Site ID]],_05preva_view43[Prevalidation Status],"Under Prevalidation")</f>
        <v>0</v>
      </c>
      <c r="BC34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6" s="302" t="str">
        <f>CONCATENATE(_05preva_view43[[#This Row],[Site ID]]," (",_05preva_view43[[#This Row],[tenant id]],") Application",IF(_05preva_view43[[#This Row],[Colo Rev]]&gt;0," Rev "&amp;_05preva_view43[[#This Row],[Colo Rev]],""),".xlsx")</f>
        <v>ANSG_0358 (SAW0716) Application.xlsx</v>
      </c>
      <c r="BE346" s="64">
        <f t="shared" ca="1" si="7"/>
        <v>50</v>
      </c>
      <c r="BF346" s="104" t="str">
        <f ca="1">LEFT(CELL("filename",A331),_05preva_view43[[#This Row],[Find Process &amp; Database]]-1)</f>
        <v>D:\OneDrive - apollo-towers.com\Apollo Towers\00-</v>
      </c>
      <c r="BG346" s="104" t="str">
        <f ca="1">_05preva_view43[Folder Path1]&amp;"Process &amp; Database\Documentation\Colo Applications"</f>
        <v>D:\OneDrive - apollo-towers.com\Apollo Towers\00-Process &amp; Database\Documentation\Colo Applications</v>
      </c>
      <c r="BH34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6" s="63" t="str">
        <f ca="1">_05preva_view43[[#This Row],[Folder Path3]]&amp;_05preva_view43[[#This Row],[File Name]]</f>
        <v>D:\OneDrive - apollo-towers.com\Apollo Towers\00-Process &amp; Database\Documentation\Colo Applications\Colo App OML\ANSG_0358 (SAW0716) Application.xlsx</v>
      </c>
      <c r="BJ346" s="104"/>
      <c r="BK346" s="3"/>
      <c r="BL346" s="3"/>
      <c r="CJ346" s="5"/>
      <c r="CK346" s="5"/>
      <c r="CL346" s="3"/>
      <c r="CN346" s="5"/>
      <c r="CR346" s="3"/>
      <c r="CS346" s="3"/>
      <c r="CT346" s="5"/>
      <c r="CV346" s="3"/>
      <c r="DR346" s="5"/>
      <c r="DT346" s="3"/>
      <c r="EF346" s="7"/>
      <c r="EG346" s="7"/>
      <c r="EJ346" s="4"/>
      <c r="EK346" s="4"/>
      <c r="EU346" s="2"/>
      <c r="EV346" s="2"/>
    </row>
    <row r="347" spans="1:152">
      <c r="A347" s="287">
        <v>155</v>
      </c>
      <c r="B347" s="288" t="s">
        <v>426</v>
      </c>
      <c r="C347" s="288" t="s">
        <v>116</v>
      </c>
      <c r="D347" s="288" t="s">
        <v>127</v>
      </c>
      <c r="E347" s="288" t="s">
        <v>427</v>
      </c>
      <c r="F347" s="288" t="s">
        <v>40</v>
      </c>
      <c r="G347" s="288" t="s">
        <v>118</v>
      </c>
      <c r="H347" s="288"/>
      <c r="I347" s="288" t="s">
        <v>118</v>
      </c>
      <c r="J347" s="288"/>
      <c r="K347" s="289">
        <v>43236</v>
      </c>
      <c r="L347" s="290"/>
      <c r="M347" s="290">
        <v>3</v>
      </c>
      <c r="N347" s="288"/>
      <c r="O347" s="288" t="s">
        <v>119</v>
      </c>
      <c r="P347" s="291"/>
      <c r="Q347" s="291"/>
      <c r="R347" s="288" t="s">
        <v>24</v>
      </c>
      <c r="S347" s="288"/>
      <c r="T347" s="292" t="s">
        <v>120</v>
      </c>
      <c r="U347" s="288" t="s">
        <v>301</v>
      </c>
      <c r="V347" s="292" t="s">
        <v>120</v>
      </c>
      <c r="W347" s="288"/>
      <c r="X347" s="292" t="s">
        <v>120</v>
      </c>
      <c r="Y347" s="288" t="s">
        <v>120</v>
      </c>
      <c r="Z347" s="293" t="s">
        <v>120</v>
      </c>
      <c r="AA347" s="294"/>
      <c r="AB347" s="294"/>
      <c r="AC347" s="295"/>
      <c r="AD347" s="288" t="s">
        <v>331</v>
      </c>
      <c r="AE347" s="292" t="s">
        <v>120</v>
      </c>
      <c r="AF347" s="289" t="s">
        <v>300</v>
      </c>
      <c r="AG347" s="296"/>
      <c r="AH347" s="296">
        <v>2</v>
      </c>
      <c r="AI347" s="288" t="s">
        <v>305</v>
      </c>
      <c r="AJ347" s="292" t="s">
        <v>120</v>
      </c>
      <c r="AK347" s="288" t="s">
        <v>123</v>
      </c>
      <c r="AL347" s="288"/>
      <c r="AM347" s="292"/>
      <c r="AN347" s="288"/>
      <c r="AO347" s="288"/>
      <c r="AP347" s="297"/>
      <c r="AQ347" s="288"/>
      <c r="AR347" s="292"/>
      <c r="AS347" s="288"/>
      <c r="AT347" s="289"/>
      <c r="AU347" s="289">
        <v>43453.379031712997</v>
      </c>
      <c r="AV347" s="289"/>
      <c r="AW347" s="289"/>
      <c r="AX347" s="289"/>
      <c r="AY347" s="289"/>
      <c r="AZ347" s="298">
        <v>43236</v>
      </c>
      <c r="BA34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7" s="300">
        <f>COUNTIFS(_05preva_view43[Site ID],_05preva_view43[[#This Row],[Site ID]],_05preva_view43[Prevalidation Status],"Under Prevalidation")</f>
        <v>0</v>
      </c>
      <c r="BC34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7" s="302" t="str">
        <f>CONCATENATE(_05preva_view43[[#This Row],[Site ID]]," (",_05preva_view43[[#This Row],[tenant id]],") Application",IF(_05preva_view43[[#This Row],[Colo Rev]]&gt;0," Rev "&amp;_05preva_view43[[#This Row],[Colo Rev]],""),".xlsx")</f>
        <v>ANSG_0349 (SAW0714) Application.xlsx</v>
      </c>
      <c r="BE347" s="64">
        <f t="shared" ca="1" si="7"/>
        <v>50</v>
      </c>
      <c r="BF347" s="104" t="str">
        <f ca="1">LEFT(CELL("filename",A332),_05preva_view43[[#This Row],[Find Process &amp; Database]]-1)</f>
        <v>D:\OneDrive - apollo-towers.com\Apollo Towers\00-</v>
      </c>
      <c r="BG347" s="104" t="str">
        <f ca="1">_05preva_view43[Folder Path1]&amp;"Process &amp; Database\Documentation\Colo Applications"</f>
        <v>D:\OneDrive - apollo-towers.com\Apollo Towers\00-Process &amp; Database\Documentation\Colo Applications</v>
      </c>
      <c r="BH34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7" s="63" t="str">
        <f ca="1">_05preva_view43[[#This Row],[Folder Path3]]&amp;_05preva_view43[[#This Row],[File Name]]</f>
        <v>D:\OneDrive - apollo-towers.com\Apollo Towers\00-Process &amp; Database\Documentation\Colo Applications\Colo App OML\ANSG_0349 (SAW0714) Application.xlsx</v>
      </c>
      <c r="BJ347" s="104"/>
      <c r="BK347" s="3"/>
      <c r="BL347" s="3"/>
      <c r="CJ347" s="5"/>
      <c r="CK347" s="5"/>
      <c r="CL347" s="3"/>
      <c r="CN347" s="5"/>
      <c r="CR347" s="3"/>
      <c r="CS347" s="3"/>
      <c r="CT347" s="5"/>
      <c r="CV347" s="3"/>
      <c r="DR347" s="5"/>
      <c r="DT347" s="3"/>
      <c r="EF347" s="7"/>
      <c r="EG347" s="7"/>
      <c r="EJ347" s="4"/>
      <c r="EK347" s="4"/>
      <c r="EU347" s="2"/>
      <c r="EV347" s="2"/>
    </row>
    <row r="348" spans="1:152">
      <c r="A348" s="287">
        <v>156</v>
      </c>
      <c r="B348" s="288" t="s">
        <v>428</v>
      </c>
      <c r="C348" s="288" t="s">
        <v>116</v>
      </c>
      <c r="D348" s="288" t="s">
        <v>127</v>
      </c>
      <c r="E348" s="288" t="s">
        <v>429</v>
      </c>
      <c r="F348" s="288" t="s">
        <v>40</v>
      </c>
      <c r="G348" s="288" t="s">
        <v>118</v>
      </c>
      <c r="H348" s="288"/>
      <c r="I348" s="288" t="s">
        <v>118</v>
      </c>
      <c r="J348" s="288"/>
      <c r="K348" s="289">
        <v>43236</v>
      </c>
      <c r="L348" s="290"/>
      <c r="M348" s="290">
        <v>3</v>
      </c>
      <c r="N348" s="288"/>
      <c r="O348" s="288" t="s">
        <v>119</v>
      </c>
      <c r="P348" s="291"/>
      <c r="Q348" s="291"/>
      <c r="R348" s="288" t="s">
        <v>24</v>
      </c>
      <c r="S348" s="288" t="s">
        <v>430</v>
      </c>
      <c r="T348" s="292" t="s">
        <v>120</v>
      </c>
      <c r="U348" s="288" t="s">
        <v>319</v>
      </c>
      <c r="V348" s="292" t="s">
        <v>120</v>
      </c>
      <c r="W348" s="288"/>
      <c r="X348" s="292" t="s">
        <v>120</v>
      </c>
      <c r="Y348" s="288" t="s">
        <v>320</v>
      </c>
      <c r="Z348" s="293" t="s">
        <v>125</v>
      </c>
      <c r="AA348" s="294"/>
      <c r="AB348" s="294"/>
      <c r="AC348" s="295" t="s">
        <v>123</v>
      </c>
      <c r="AD348" s="288" t="s">
        <v>321</v>
      </c>
      <c r="AE348" s="292" t="s">
        <v>120</v>
      </c>
      <c r="AF348" s="289" t="s">
        <v>380</v>
      </c>
      <c r="AG348" s="296"/>
      <c r="AH348" s="296">
        <v>2</v>
      </c>
      <c r="AI348" s="288" t="s">
        <v>381</v>
      </c>
      <c r="AJ348" s="292" t="s">
        <v>120</v>
      </c>
      <c r="AK348" s="288" t="s">
        <v>206</v>
      </c>
      <c r="AL348" s="288" t="s">
        <v>431</v>
      </c>
      <c r="AM348" s="292"/>
      <c r="AN348" s="288"/>
      <c r="AO348" s="288"/>
      <c r="AP348" s="297"/>
      <c r="AQ348" s="288"/>
      <c r="AR348" s="292"/>
      <c r="AS348" s="288"/>
      <c r="AT348" s="289"/>
      <c r="AU348" s="289">
        <v>43453.3790324074</v>
      </c>
      <c r="AV348" s="289"/>
      <c r="AW348" s="289"/>
      <c r="AX348" s="289"/>
      <c r="AY348" s="289"/>
      <c r="AZ348" s="298">
        <v>43236</v>
      </c>
      <c r="BA34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8" s="300">
        <f>COUNTIFS(_05preva_view43[Site ID],_05preva_view43[[#This Row],[Site ID]],_05preva_view43[Prevalidation Status],"Under Prevalidation")</f>
        <v>0</v>
      </c>
      <c r="BC34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8" s="302" t="str">
        <f>CONCATENATE(_05preva_view43[[#This Row],[Site ID]]," (",_05preva_view43[[#This Row],[tenant id]],") Application",IF(_05preva_view43[[#This Row],[Colo Rev]]&gt;0," Rev "&amp;_05preva_view43[[#This Row],[Colo Rev]],""),".xlsx")</f>
        <v>ANMD_0163 (MAW2983) Application.xlsx</v>
      </c>
      <c r="BE348" s="64">
        <f t="shared" ca="1" si="7"/>
        <v>50</v>
      </c>
      <c r="BF348" s="104" t="str">
        <f ca="1">LEFT(CELL("filename",A333),_05preva_view43[[#This Row],[Find Process &amp; Database]]-1)</f>
        <v>D:\OneDrive - apollo-towers.com\Apollo Towers\00-</v>
      </c>
      <c r="BG348" s="104" t="str">
        <f ca="1">_05preva_view43[Folder Path1]&amp;"Process &amp; Database\Documentation\Colo Applications"</f>
        <v>D:\OneDrive - apollo-towers.com\Apollo Towers\00-Process &amp; Database\Documentation\Colo Applications</v>
      </c>
      <c r="BH34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8" s="63" t="str">
        <f ca="1">_05preva_view43[[#This Row],[Folder Path3]]&amp;_05preva_view43[[#This Row],[File Name]]</f>
        <v>D:\OneDrive - apollo-towers.com\Apollo Towers\00-Process &amp; Database\Documentation\Colo Applications\Colo App OML\ANMD_0163 (MAW2983) Application.xlsx</v>
      </c>
      <c r="BJ348" s="104"/>
      <c r="BK348" s="3"/>
      <c r="BL348" s="3"/>
      <c r="CJ348" s="5"/>
      <c r="CK348" s="5"/>
      <c r="CL348" s="3"/>
      <c r="CN348" s="5"/>
      <c r="CR348" s="3"/>
      <c r="CS348" s="3"/>
      <c r="CT348" s="5"/>
      <c r="CV348" s="3"/>
      <c r="DR348" s="5"/>
      <c r="DT348" s="3"/>
      <c r="EF348" s="7"/>
      <c r="EG348" s="7"/>
      <c r="EJ348" s="4"/>
      <c r="EK348" s="4"/>
      <c r="EU348" s="2"/>
      <c r="EV348" s="2"/>
    </row>
    <row r="349" spans="1:152">
      <c r="A349" s="287">
        <v>165</v>
      </c>
      <c r="B349" s="288" t="s">
        <v>432</v>
      </c>
      <c r="C349" s="288" t="s">
        <v>116</v>
      </c>
      <c r="D349" s="288" t="s">
        <v>127</v>
      </c>
      <c r="E349" s="288" t="s">
        <v>433</v>
      </c>
      <c r="F349" s="288" t="s">
        <v>40</v>
      </c>
      <c r="G349" s="288" t="s">
        <v>118</v>
      </c>
      <c r="H349" s="288"/>
      <c r="I349" s="288" t="s">
        <v>118</v>
      </c>
      <c r="J349" s="288"/>
      <c r="K349" s="289">
        <v>43236</v>
      </c>
      <c r="L349" s="290"/>
      <c r="M349" s="290">
        <v>3</v>
      </c>
      <c r="N349" s="288"/>
      <c r="O349" s="288" t="s">
        <v>119</v>
      </c>
      <c r="P349" s="291"/>
      <c r="Q349" s="291"/>
      <c r="R349" s="288" t="s">
        <v>24</v>
      </c>
      <c r="S349" s="288"/>
      <c r="T349" s="292" t="s">
        <v>120</v>
      </c>
      <c r="U349" s="288" t="s">
        <v>301</v>
      </c>
      <c r="V349" s="292" t="s">
        <v>120</v>
      </c>
      <c r="W349" s="288"/>
      <c r="X349" s="292" t="s">
        <v>120</v>
      </c>
      <c r="Y349" s="288" t="s">
        <v>120</v>
      </c>
      <c r="Z349" s="293" t="s">
        <v>120</v>
      </c>
      <c r="AA349" s="294"/>
      <c r="AB349" s="294"/>
      <c r="AC349" s="295"/>
      <c r="AD349" s="288" t="s">
        <v>120</v>
      </c>
      <c r="AE349" s="292" t="s">
        <v>120</v>
      </c>
      <c r="AF349" s="289" t="s">
        <v>120</v>
      </c>
      <c r="AG349" s="296"/>
      <c r="AH349" s="296">
        <v>2</v>
      </c>
      <c r="AI349" s="288" t="s">
        <v>305</v>
      </c>
      <c r="AJ349" s="292" t="s">
        <v>120</v>
      </c>
      <c r="AK349" s="288" t="s">
        <v>123</v>
      </c>
      <c r="AL349" s="288"/>
      <c r="AM349" s="292"/>
      <c r="AN349" s="288"/>
      <c r="AO349" s="288"/>
      <c r="AP349" s="297"/>
      <c r="AQ349" s="288"/>
      <c r="AR349" s="292"/>
      <c r="AS349" s="288"/>
      <c r="AT349" s="289"/>
      <c r="AU349" s="289">
        <v>43453.379036458296</v>
      </c>
      <c r="AV349" s="289"/>
      <c r="AW349" s="289"/>
      <c r="AX349" s="289"/>
      <c r="AY349" s="289"/>
      <c r="AZ349" s="298">
        <v>43236</v>
      </c>
      <c r="BA34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49" s="300">
        <f>COUNTIFS(_05preva_view43[Site ID],_05preva_view43[[#This Row],[Site ID]],_05preva_view43[Prevalidation Status],"Under Prevalidation")</f>
        <v>0</v>
      </c>
      <c r="BC34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49" s="302" t="str">
        <f>CONCATENATE(_05preva_view43[[#This Row],[Site ID]]," (",_05preva_view43[[#This Row],[tenant id]],") Application",IF(_05preva_view43[[#This Row],[Colo Rev]]&gt;0," Rev "&amp;_05preva_view43[[#This Row],[Colo Rev]],""),".xlsx")</f>
        <v>ANMD_0171 (MAW2992) Application.xlsx</v>
      </c>
      <c r="BE349" s="64">
        <f t="shared" ca="1" si="7"/>
        <v>50</v>
      </c>
      <c r="BF349" s="104" t="str">
        <f ca="1">LEFT(CELL("filename",A334),_05preva_view43[[#This Row],[Find Process &amp; Database]]-1)</f>
        <v>D:\OneDrive - apollo-towers.com\Apollo Towers\00-</v>
      </c>
      <c r="BG349" s="104" t="str">
        <f ca="1">_05preva_view43[Folder Path1]&amp;"Process &amp; Database\Documentation\Colo Applications"</f>
        <v>D:\OneDrive - apollo-towers.com\Apollo Towers\00-Process &amp; Database\Documentation\Colo Applications</v>
      </c>
      <c r="BH34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49" s="63" t="str">
        <f ca="1">_05preva_view43[[#This Row],[Folder Path3]]&amp;_05preva_view43[[#This Row],[File Name]]</f>
        <v>D:\OneDrive - apollo-towers.com\Apollo Towers\00-Process &amp; Database\Documentation\Colo Applications\Colo App OML\ANMD_0171 (MAW2992) Application.xlsx</v>
      </c>
      <c r="BJ349" s="104"/>
      <c r="BK349" s="3"/>
      <c r="BL349" s="3"/>
      <c r="CJ349" s="5"/>
      <c r="CK349" s="5"/>
      <c r="CL349" s="3"/>
      <c r="CN349" s="5"/>
      <c r="CR349" s="3"/>
      <c r="CS349" s="3"/>
      <c r="CT349" s="5"/>
      <c r="CV349" s="3"/>
      <c r="DR349" s="5"/>
      <c r="DT349" s="3"/>
      <c r="EF349" s="7"/>
      <c r="EG349" s="7"/>
      <c r="EJ349" s="4"/>
      <c r="EK349" s="4"/>
      <c r="EU349" s="2"/>
      <c r="EV349" s="2"/>
    </row>
    <row r="350" spans="1:152">
      <c r="A350" s="287">
        <v>168</v>
      </c>
      <c r="B350" s="288" t="s">
        <v>434</v>
      </c>
      <c r="C350" s="288" t="s">
        <v>116</v>
      </c>
      <c r="D350" s="288" t="s">
        <v>117</v>
      </c>
      <c r="E350" s="288" t="s">
        <v>435</v>
      </c>
      <c r="F350" s="288" t="s">
        <v>40</v>
      </c>
      <c r="G350" s="288" t="s">
        <v>118</v>
      </c>
      <c r="H350" s="288"/>
      <c r="I350" s="288" t="s">
        <v>118</v>
      </c>
      <c r="J350" s="288"/>
      <c r="K350" s="289">
        <v>43236</v>
      </c>
      <c r="L350" s="290"/>
      <c r="M350" s="290">
        <v>3</v>
      </c>
      <c r="N350" s="288"/>
      <c r="O350" s="288" t="s">
        <v>119</v>
      </c>
      <c r="P350" s="291"/>
      <c r="Q350" s="291"/>
      <c r="R350" s="288" t="s">
        <v>24</v>
      </c>
      <c r="S350" s="288"/>
      <c r="T350" s="292" t="s">
        <v>120</v>
      </c>
      <c r="U350" s="288" t="s">
        <v>301</v>
      </c>
      <c r="V350" s="292" t="s">
        <v>120</v>
      </c>
      <c r="W350" s="288"/>
      <c r="X350" s="292" t="s">
        <v>120</v>
      </c>
      <c r="Y350" s="288" t="s">
        <v>316</v>
      </c>
      <c r="Z350" s="293" t="s">
        <v>120</v>
      </c>
      <c r="AA350" s="294"/>
      <c r="AB350" s="294"/>
      <c r="AC350" s="295"/>
      <c r="AD350" s="288" t="s">
        <v>120</v>
      </c>
      <c r="AE350" s="292" t="s">
        <v>120</v>
      </c>
      <c r="AF350" s="289" t="s">
        <v>207</v>
      </c>
      <c r="AG350" s="296"/>
      <c r="AH350" s="296">
        <v>3.5</v>
      </c>
      <c r="AI350" s="288" t="s">
        <v>308</v>
      </c>
      <c r="AJ350" s="292" t="s">
        <v>120</v>
      </c>
      <c r="AK350" s="288" t="s">
        <v>123</v>
      </c>
      <c r="AL350" s="288"/>
      <c r="AM350" s="292"/>
      <c r="AN350" s="288"/>
      <c r="AO350" s="288"/>
      <c r="AP350" s="297"/>
      <c r="AQ350" s="288"/>
      <c r="AR350" s="292"/>
      <c r="AS350" s="288"/>
      <c r="AT350" s="289"/>
      <c r="AU350" s="289">
        <v>43453.379037963001</v>
      </c>
      <c r="AV350" s="289"/>
      <c r="AW350" s="289"/>
      <c r="AX350" s="289"/>
      <c r="AY350" s="289"/>
      <c r="AZ350" s="298">
        <v>43236</v>
      </c>
      <c r="BA35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0" s="300">
        <f>COUNTIFS(_05preva_view43[Site ID],_05preva_view43[[#This Row],[Site ID]],_05preva_view43[Prevalidation Status],"Under Prevalidation")</f>
        <v>0</v>
      </c>
      <c r="BC35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0" s="302" t="str">
        <f>CONCATENATE(_05preva_view43[[#This Row],[Site ID]]," (",_05preva_view43[[#This Row],[tenant id]],") Application",IF(_05preva_view43[[#This Row],[Colo Rev]]&gt;0," Rev "&amp;_05preva_view43[[#This Row],[Colo Rev]],""),".xlsx")</f>
        <v>ANMG_0052 (MWW3498) Application.xlsx</v>
      </c>
      <c r="BE350" s="64">
        <f t="shared" ca="1" si="7"/>
        <v>50</v>
      </c>
      <c r="BF350" s="104" t="str">
        <f ca="1">LEFT(CELL("filename",A335),_05preva_view43[[#This Row],[Find Process &amp; Database]]-1)</f>
        <v>D:\OneDrive - apollo-towers.com\Apollo Towers\00-</v>
      </c>
      <c r="BG350" s="104" t="str">
        <f ca="1">_05preva_view43[Folder Path1]&amp;"Process &amp; Database\Documentation\Colo Applications"</f>
        <v>D:\OneDrive - apollo-towers.com\Apollo Towers\00-Process &amp; Database\Documentation\Colo Applications</v>
      </c>
      <c r="BH35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0" s="63" t="str">
        <f ca="1">_05preva_view43[[#This Row],[Folder Path3]]&amp;_05preva_view43[[#This Row],[File Name]]</f>
        <v>D:\OneDrive - apollo-towers.com\Apollo Towers\00-Process &amp; Database\Documentation\Colo Applications\Colo App OML\ANMG_0052 (MWW3498) Application.xlsx</v>
      </c>
      <c r="BJ350" s="104"/>
      <c r="BK350" s="3"/>
      <c r="BL350" s="3"/>
      <c r="CJ350" s="5"/>
      <c r="CK350" s="5"/>
      <c r="CL350" s="3"/>
      <c r="CN350" s="5"/>
      <c r="CR350" s="3"/>
      <c r="CS350" s="3"/>
      <c r="CT350" s="5"/>
      <c r="CV350" s="3"/>
      <c r="DR350" s="5"/>
      <c r="DT350" s="3"/>
      <c r="EF350" s="7"/>
      <c r="EG350" s="7"/>
      <c r="EJ350" s="4"/>
      <c r="EK350" s="4"/>
      <c r="EU350" s="2"/>
      <c r="EV350" s="2"/>
    </row>
    <row r="351" spans="1:152">
      <c r="A351" s="287">
        <v>169</v>
      </c>
      <c r="B351" s="288" t="s">
        <v>436</v>
      </c>
      <c r="C351" s="288" t="s">
        <v>116</v>
      </c>
      <c r="D351" s="288" t="s">
        <v>117</v>
      </c>
      <c r="E351" s="288" t="s">
        <v>437</v>
      </c>
      <c r="F351" s="288" t="s">
        <v>40</v>
      </c>
      <c r="G351" s="288" t="s">
        <v>118</v>
      </c>
      <c r="H351" s="288"/>
      <c r="I351" s="288" t="s">
        <v>118</v>
      </c>
      <c r="J351" s="288"/>
      <c r="K351" s="289">
        <v>43236</v>
      </c>
      <c r="L351" s="290"/>
      <c r="M351" s="290">
        <v>3</v>
      </c>
      <c r="N351" s="288"/>
      <c r="O351" s="288" t="s">
        <v>119</v>
      </c>
      <c r="P351" s="291"/>
      <c r="Q351" s="291"/>
      <c r="R351" s="288" t="s">
        <v>24</v>
      </c>
      <c r="S351" s="288"/>
      <c r="T351" s="292" t="s">
        <v>120</v>
      </c>
      <c r="U351" s="288" t="s">
        <v>301</v>
      </c>
      <c r="V351" s="292" t="s">
        <v>120</v>
      </c>
      <c r="W351" s="288"/>
      <c r="X351" s="292" t="s">
        <v>120</v>
      </c>
      <c r="Y351" s="288" t="s">
        <v>120</v>
      </c>
      <c r="Z351" s="293" t="s">
        <v>120</v>
      </c>
      <c r="AA351" s="294"/>
      <c r="AB351" s="294"/>
      <c r="AC351" s="295"/>
      <c r="AD351" s="288" t="s">
        <v>120</v>
      </c>
      <c r="AE351" s="292" t="s">
        <v>120</v>
      </c>
      <c r="AF351" s="289" t="s">
        <v>207</v>
      </c>
      <c r="AG351" s="296"/>
      <c r="AH351" s="296">
        <v>3.5</v>
      </c>
      <c r="AI351" s="288" t="s">
        <v>308</v>
      </c>
      <c r="AJ351" s="292" t="s">
        <v>120</v>
      </c>
      <c r="AK351" s="288" t="s">
        <v>123</v>
      </c>
      <c r="AL351" s="288"/>
      <c r="AM351" s="292"/>
      <c r="AN351" s="288"/>
      <c r="AO351" s="288"/>
      <c r="AP351" s="297"/>
      <c r="AQ351" s="288"/>
      <c r="AR351" s="292"/>
      <c r="AS351" s="288"/>
      <c r="AT351" s="289"/>
      <c r="AU351" s="289">
        <v>43453.379038657396</v>
      </c>
      <c r="AV351" s="289"/>
      <c r="AW351" s="289"/>
      <c r="AX351" s="289"/>
      <c r="AY351" s="289"/>
      <c r="AZ351" s="298">
        <v>43236</v>
      </c>
      <c r="BA35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1" s="300">
        <f>COUNTIFS(_05preva_view43[Site ID],_05preva_view43[[#This Row],[Site ID]],_05preva_view43[Prevalidation Status],"Under Prevalidation")</f>
        <v>0</v>
      </c>
      <c r="BC35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1" s="302" t="str">
        <f>CONCATENATE(_05preva_view43[[#This Row],[Site ID]]," (",_05preva_view43[[#This Row],[tenant id]],") Application",IF(_05preva_view43[[#This Row],[Colo Rev]]&gt;0," Rev "&amp;_05preva_view43[[#This Row],[Colo Rev]],""),".xlsx")</f>
        <v>ANMG_0006 (MWW3499) Application.xlsx</v>
      </c>
      <c r="BE351" s="64">
        <f t="shared" ca="1" si="7"/>
        <v>50</v>
      </c>
      <c r="BF351" s="104" t="str">
        <f ca="1">LEFT(CELL("filename",A336),_05preva_view43[[#This Row],[Find Process &amp; Database]]-1)</f>
        <v>D:\OneDrive - apollo-towers.com\Apollo Towers\00-</v>
      </c>
      <c r="BG351" s="104" t="str">
        <f ca="1">_05preva_view43[Folder Path1]&amp;"Process &amp; Database\Documentation\Colo Applications"</f>
        <v>D:\OneDrive - apollo-towers.com\Apollo Towers\00-Process &amp; Database\Documentation\Colo Applications</v>
      </c>
      <c r="BH35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1" s="63" t="str">
        <f ca="1">_05preva_view43[[#This Row],[Folder Path3]]&amp;_05preva_view43[[#This Row],[File Name]]</f>
        <v>D:\OneDrive - apollo-towers.com\Apollo Towers\00-Process &amp; Database\Documentation\Colo Applications\Colo App OML\ANMG_0006 (MWW3499) Application.xlsx</v>
      </c>
      <c r="BJ351" s="104"/>
      <c r="BK351" s="3"/>
      <c r="BL351" s="3"/>
      <c r="CJ351" s="5"/>
      <c r="CK351" s="5"/>
      <c r="CL351" s="3"/>
      <c r="CN351" s="5"/>
      <c r="CR351" s="3"/>
      <c r="CS351" s="3"/>
      <c r="CT351" s="5"/>
      <c r="CV351" s="3"/>
      <c r="DR351" s="5"/>
      <c r="DT351" s="3"/>
      <c r="EF351" s="7"/>
      <c r="EG351" s="7"/>
      <c r="EJ351" s="4"/>
      <c r="EK351" s="4"/>
      <c r="EU351" s="2"/>
      <c r="EV351" s="2"/>
    </row>
    <row r="352" spans="1:152">
      <c r="A352" s="287">
        <v>170</v>
      </c>
      <c r="B352" s="288" t="s">
        <v>438</v>
      </c>
      <c r="C352" s="288" t="s">
        <v>116</v>
      </c>
      <c r="D352" s="288" t="s">
        <v>117</v>
      </c>
      <c r="E352" s="288" t="s">
        <v>439</v>
      </c>
      <c r="F352" s="288" t="s">
        <v>40</v>
      </c>
      <c r="G352" s="288" t="s">
        <v>118</v>
      </c>
      <c r="H352" s="288"/>
      <c r="I352" s="288" t="s">
        <v>118</v>
      </c>
      <c r="J352" s="288"/>
      <c r="K352" s="289">
        <v>43236</v>
      </c>
      <c r="L352" s="290"/>
      <c r="M352" s="290">
        <v>3</v>
      </c>
      <c r="N352" s="288"/>
      <c r="O352" s="288" t="s">
        <v>119</v>
      </c>
      <c r="P352" s="291"/>
      <c r="Q352" s="291"/>
      <c r="R352" s="288" t="s">
        <v>24</v>
      </c>
      <c r="S352" s="288"/>
      <c r="T352" s="292" t="s">
        <v>120</v>
      </c>
      <c r="U352" s="288" t="s">
        <v>301</v>
      </c>
      <c r="V352" s="292" t="s">
        <v>120</v>
      </c>
      <c r="W352" s="288"/>
      <c r="X352" s="292" t="s">
        <v>120</v>
      </c>
      <c r="Y352" s="288" t="s">
        <v>120</v>
      </c>
      <c r="Z352" s="293" t="s">
        <v>120</v>
      </c>
      <c r="AA352" s="294"/>
      <c r="AB352" s="294"/>
      <c r="AC352" s="295"/>
      <c r="AD352" s="288" t="s">
        <v>120</v>
      </c>
      <c r="AE352" s="292" t="s">
        <v>120</v>
      </c>
      <c r="AF352" s="289" t="s">
        <v>358</v>
      </c>
      <c r="AG352" s="296"/>
      <c r="AH352" s="296">
        <v>3.5</v>
      </c>
      <c r="AI352" s="288" t="s">
        <v>345</v>
      </c>
      <c r="AJ352" s="292" t="s">
        <v>120</v>
      </c>
      <c r="AK352" s="288" t="s">
        <v>123</v>
      </c>
      <c r="AL352" s="288"/>
      <c r="AM352" s="292"/>
      <c r="AN352" s="288"/>
      <c r="AO352" s="288"/>
      <c r="AP352" s="297"/>
      <c r="AQ352" s="288"/>
      <c r="AR352" s="292"/>
      <c r="AS352" s="288"/>
      <c r="AT352" s="289"/>
      <c r="AU352" s="289">
        <v>43453.379039351901</v>
      </c>
      <c r="AV352" s="289"/>
      <c r="AW352" s="289"/>
      <c r="AX352" s="289"/>
      <c r="AY352" s="289"/>
      <c r="AZ352" s="298">
        <v>43236</v>
      </c>
      <c r="BA35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2" s="300">
        <f>COUNTIFS(_05preva_view43[Site ID],_05preva_view43[[#This Row],[Site ID]],_05preva_view43[Prevalidation Status],"Under Prevalidation")</f>
        <v>0</v>
      </c>
      <c r="BC35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2" s="302" t="str">
        <f>CONCATENATE(_05preva_view43[[#This Row],[Site ID]]," (",_05preva_view43[[#This Row],[tenant id]],") Application",IF(_05preva_view43[[#This Row],[Colo Rev]]&gt;0," Rev "&amp;_05preva_view43[[#This Row],[Colo Rev]],""),".xlsx")</f>
        <v>ANMG_0026 (MWW3500) Application.xlsx</v>
      </c>
      <c r="BE352" s="64">
        <f t="shared" ca="1" si="7"/>
        <v>50</v>
      </c>
      <c r="BF352" s="104" t="str">
        <f ca="1">LEFT(CELL("filename",A337),_05preva_view43[[#This Row],[Find Process &amp; Database]]-1)</f>
        <v>D:\OneDrive - apollo-towers.com\Apollo Towers\00-</v>
      </c>
      <c r="BG352" s="104" t="str">
        <f ca="1">_05preva_view43[Folder Path1]&amp;"Process &amp; Database\Documentation\Colo Applications"</f>
        <v>D:\OneDrive - apollo-towers.com\Apollo Towers\00-Process &amp; Database\Documentation\Colo Applications</v>
      </c>
      <c r="BH35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2" s="63" t="str">
        <f ca="1">_05preva_view43[[#This Row],[Folder Path3]]&amp;_05preva_view43[[#This Row],[File Name]]</f>
        <v>D:\OneDrive - apollo-towers.com\Apollo Towers\00-Process &amp; Database\Documentation\Colo Applications\Colo App OML\ANMG_0026 (MWW3500) Application.xlsx</v>
      </c>
      <c r="BJ352" s="104"/>
      <c r="BK352" s="3"/>
      <c r="BL352" s="3"/>
      <c r="CJ352" s="5"/>
      <c r="CK352" s="5"/>
      <c r="CL352" s="3"/>
      <c r="CN352" s="5"/>
      <c r="CR352" s="3"/>
      <c r="CS352" s="3"/>
      <c r="CT352" s="5"/>
      <c r="CV352" s="3"/>
      <c r="DR352" s="5"/>
      <c r="DT352" s="3"/>
      <c r="EF352" s="7"/>
      <c r="EG352" s="7"/>
      <c r="EJ352" s="4"/>
      <c r="EK352" s="4"/>
      <c r="EU352" s="2"/>
      <c r="EV352" s="2"/>
    </row>
    <row r="353" spans="1:152">
      <c r="A353" s="287">
        <v>171</v>
      </c>
      <c r="B353" s="288" t="s">
        <v>440</v>
      </c>
      <c r="C353" s="288" t="s">
        <v>116</v>
      </c>
      <c r="D353" s="288" t="s">
        <v>127</v>
      </c>
      <c r="E353" s="288" t="s">
        <v>441</v>
      </c>
      <c r="F353" s="288" t="s">
        <v>40</v>
      </c>
      <c r="G353" s="288" t="s">
        <v>118</v>
      </c>
      <c r="H353" s="288"/>
      <c r="I353" s="288" t="s">
        <v>118</v>
      </c>
      <c r="J353" s="288"/>
      <c r="K353" s="289">
        <v>43236</v>
      </c>
      <c r="L353" s="290"/>
      <c r="M353" s="290">
        <v>3</v>
      </c>
      <c r="N353" s="288"/>
      <c r="O353" s="288" t="s">
        <v>119</v>
      </c>
      <c r="P353" s="291"/>
      <c r="Q353" s="291"/>
      <c r="R353" s="288" t="s">
        <v>24</v>
      </c>
      <c r="S353" s="288"/>
      <c r="T353" s="292" t="s">
        <v>120</v>
      </c>
      <c r="U353" s="288" t="s">
        <v>301</v>
      </c>
      <c r="V353" s="292" t="s">
        <v>120</v>
      </c>
      <c r="W353" s="288"/>
      <c r="X353" s="292" t="s">
        <v>120</v>
      </c>
      <c r="Y353" s="288" t="s">
        <v>120</v>
      </c>
      <c r="Z353" s="293" t="s">
        <v>120</v>
      </c>
      <c r="AA353" s="294"/>
      <c r="AB353" s="294"/>
      <c r="AC353" s="295"/>
      <c r="AD353" s="288" t="s">
        <v>120</v>
      </c>
      <c r="AE353" s="292" t="s">
        <v>120</v>
      </c>
      <c r="AF353" s="289" t="s">
        <v>120</v>
      </c>
      <c r="AG353" s="296"/>
      <c r="AH353" s="296">
        <v>2</v>
      </c>
      <c r="AI353" s="288" t="s">
        <v>305</v>
      </c>
      <c r="AJ353" s="292" t="s">
        <v>120</v>
      </c>
      <c r="AK353" s="288" t="s">
        <v>123</v>
      </c>
      <c r="AL353" s="288"/>
      <c r="AM353" s="292"/>
      <c r="AN353" s="288"/>
      <c r="AO353" s="288"/>
      <c r="AP353" s="297"/>
      <c r="AQ353" s="288"/>
      <c r="AR353" s="292"/>
      <c r="AS353" s="288"/>
      <c r="AT353" s="289"/>
      <c r="AU353" s="289">
        <v>43453.379041203698</v>
      </c>
      <c r="AV353" s="289"/>
      <c r="AW353" s="289"/>
      <c r="AX353" s="289"/>
      <c r="AY353" s="289"/>
      <c r="AZ353" s="298">
        <v>43236</v>
      </c>
      <c r="BA35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3" s="300">
        <f>COUNTIFS(_05preva_view43[Site ID],_05preva_view43[[#This Row],[Site ID]],_05preva_view43[Prevalidation Status],"Under Prevalidation")</f>
        <v>0</v>
      </c>
      <c r="BC35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3" s="302" t="str">
        <f>CONCATENATE(_05preva_view43[[#This Row],[Site ID]]," (",_05preva_view43[[#This Row],[tenant id]],") Application",IF(_05preva_view43[[#This Row],[Colo Rev]]&gt;0," Rev "&amp;_05preva_view43[[#This Row],[Colo Rev]],""),".xlsx")</f>
        <v>ANSG_0381 (SAW0731) Application.xlsx</v>
      </c>
      <c r="BE353" s="64">
        <f t="shared" ca="1" si="7"/>
        <v>50</v>
      </c>
      <c r="BF353" s="104" t="str">
        <f ca="1">LEFT(CELL("filename",A338),_05preva_view43[[#This Row],[Find Process &amp; Database]]-1)</f>
        <v>D:\OneDrive - apollo-towers.com\Apollo Towers\00-</v>
      </c>
      <c r="BG353" s="104" t="str">
        <f ca="1">_05preva_view43[Folder Path1]&amp;"Process &amp; Database\Documentation\Colo Applications"</f>
        <v>D:\OneDrive - apollo-towers.com\Apollo Towers\00-Process &amp; Database\Documentation\Colo Applications</v>
      </c>
      <c r="BH35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3" s="63" t="str">
        <f ca="1">_05preva_view43[[#This Row],[Folder Path3]]&amp;_05preva_view43[[#This Row],[File Name]]</f>
        <v>D:\OneDrive - apollo-towers.com\Apollo Towers\00-Process &amp; Database\Documentation\Colo Applications\Colo App OML\ANSG_0381 (SAW0731) Application.xlsx</v>
      </c>
      <c r="BJ353" s="104"/>
      <c r="BK353" s="3"/>
      <c r="BL353" s="3"/>
      <c r="CJ353" s="5"/>
      <c r="CK353" s="5"/>
      <c r="CL353" s="3"/>
      <c r="CN353" s="5"/>
      <c r="CR353" s="3"/>
      <c r="CS353" s="3"/>
      <c r="CT353" s="5"/>
      <c r="CV353" s="3"/>
      <c r="DR353" s="5"/>
      <c r="DT353" s="3"/>
      <c r="EF353" s="7"/>
      <c r="EG353" s="7"/>
      <c r="EJ353" s="4"/>
      <c r="EK353" s="4"/>
      <c r="EU353" s="2"/>
      <c r="EV353" s="2"/>
    </row>
    <row r="354" spans="1:152">
      <c r="A354" s="287">
        <v>172</v>
      </c>
      <c r="B354" s="288" t="s">
        <v>442</v>
      </c>
      <c r="C354" s="288" t="s">
        <v>116</v>
      </c>
      <c r="D354" s="288" t="s">
        <v>117</v>
      </c>
      <c r="E354" s="288" t="s">
        <v>443</v>
      </c>
      <c r="F354" s="288" t="s">
        <v>40</v>
      </c>
      <c r="G354" s="288" t="s">
        <v>118</v>
      </c>
      <c r="H354" s="288"/>
      <c r="I354" s="288" t="s">
        <v>118</v>
      </c>
      <c r="J354" s="288"/>
      <c r="K354" s="289">
        <v>43236</v>
      </c>
      <c r="L354" s="290"/>
      <c r="M354" s="290">
        <v>3</v>
      </c>
      <c r="N354" s="288"/>
      <c r="O354" s="288" t="s">
        <v>119</v>
      </c>
      <c r="P354" s="291"/>
      <c r="Q354" s="291"/>
      <c r="R354" s="288" t="s">
        <v>24</v>
      </c>
      <c r="S354" s="288"/>
      <c r="T354" s="292" t="s">
        <v>120</v>
      </c>
      <c r="U354" s="288" t="s">
        <v>301</v>
      </c>
      <c r="V354" s="292" t="s">
        <v>120</v>
      </c>
      <c r="W354" s="288"/>
      <c r="X354" s="292" t="s">
        <v>120</v>
      </c>
      <c r="Y354" s="288" t="s">
        <v>120</v>
      </c>
      <c r="Z354" s="293" t="s">
        <v>120</v>
      </c>
      <c r="AA354" s="294"/>
      <c r="AB354" s="294"/>
      <c r="AC354" s="295"/>
      <c r="AD354" s="288" t="s">
        <v>120</v>
      </c>
      <c r="AE354" s="292" t="s">
        <v>120</v>
      </c>
      <c r="AF354" s="289" t="s">
        <v>207</v>
      </c>
      <c r="AG354" s="296"/>
      <c r="AH354" s="296">
        <v>3.5</v>
      </c>
      <c r="AI354" s="288" t="s">
        <v>368</v>
      </c>
      <c r="AJ354" s="292" t="s">
        <v>120</v>
      </c>
      <c r="AK354" s="288" t="s">
        <v>123</v>
      </c>
      <c r="AL354" s="288"/>
      <c r="AM354" s="292"/>
      <c r="AN354" s="288"/>
      <c r="AO354" s="288"/>
      <c r="AP354" s="297"/>
      <c r="AQ354" s="288"/>
      <c r="AR354" s="292"/>
      <c r="AS354" s="288"/>
      <c r="AT354" s="289"/>
      <c r="AU354" s="289">
        <v>43453.379042013898</v>
      </c>
      <c r="AV354" s="289"/>
      <c r="AW354" s="289"/>
      <c r="AX354" s="289"/>
      <c r="AY354" s="289"/>
      <c r="AZ354" s="298">
        <v>43236</v>
      </c>
      <c r="BA35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4" s="300">
        <f>COUNTIFS(_05preva_view43[Site ID],_05preva_view43[[#This Row],[Site ID]],_05preva_view43[Prevalidation Status],"Under Prevalidation")</f>
        <v>0</v>
      </c>
      <c r="BC35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4" s="302" t="str">
        <f>CONCATENATE(_05preva_view43[[#This Row],[Site ID]]," (",_05preva_view43[[#This Row],[tenant id]],") Application",IF(_05preva_view43[[#This Row],[Colo Rev]]&gt;0," Rev "&amp;_05preva_view43[[#This Row],[Colo Rev]],""),".xlsx")</f>
        <v>ANMG_0167 (MWW3502) Application.xlsx</v>
      </c>
      <c r="BE354" s="64">
        <f t="shared" ca="1" si="7"/>
        <v>50</v>
      </c>
      <c r="BF354" s="104" t="str">
        <f ca="1">LEFT(CELL("filename",A339),_05preva_view43[[#This Row],[Find Process &amp; Database]]-1)</f>
        <v>D:\OneDrive - apollo-towers.com\Apollo Towers\00-</v>
      </c>
      <c r="BG354" s="104" t="str">
        <f ca="1">_05preva_view43[Folder Path1]&amp;"Process &amp; Database\Documentation\Colo Applications"</f>
        <v>D:\OneDrive - apollo-towers.com\Apollo Towers\00-Process &amp; Database\Documentation\Colo Applications</v>
      </c>
      <c r="BH35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4" s="63" t="str">
        <f ca="1">_05preva_view43[[#This Row],[Folder Path3]]&amp;_05preva_view43[[#This Row],[File Name]]</f>
        <v>D:\OneDrive - apollo-towers.com\Apollo Towers\00-Process &amp; Database\Documentation\Colo Applications\Colo App OML\ANMG_0167 (MWW3502) Application.xlsx</v>
      </c>
      <c r="BJ354" s="104"/>
      <c r="BK354" s="3"/>
      <c r="BL354" s="3"/>
      <c r="CJ354" s="5"/>
      <c r="CK354" s="5"/>
      <c r="CL354" s="3"/>
      <c r="CN354" s="5"/>
      <c r="CR354" s="3"/>
      <c r="CS354" s="3"/>
      <c r="CT354" s="5"/>
      <c r="CV354" s="3"/>
      <c r="DR354" s="5"/>
      <c r="DT354" s="3"/>
      <c r="EF354" s="7"/>
      <c r="EG354" s="7"/>
      <c r="EJ354" s="4"/>
      <c r="EK354" s="4"/>
      <c r="EU354" s="2"/>
      <c r="EV354" s="2"/>
    </row>
    <row r="355" spans="1:152">
      <c r="A355" s="287">
        <v>173</v>
      </c>
      <c r="B355" s="288" t="s">
        <v>444</v>
      </c>
      <c r="C355" s="288" t="s">
        <v>116</v>
      </c>
      <c r="D355" s="288" t="s">
        <v>127</v>
      </c>
      <c r="E355" s="288" t="s">
        <v>445</v>
      </c>
      <c r="F355" s="288" t="s">
        <v>40</v>
      </c>
      <c r="G355" s="288" t="s">
        <v>118</v>
      </c>
      <c r="H355" s="288"/>
      <c r="I355" s="288" t="s">
        <v>118</v>
      </c>
      <c r="J355" s="288"/>
      <c r="K355" s="289">
        <v>43236</v>
      </c>
      <c r="L355" s="290"/>
      <c r="M355" s="290">
        <v>3</v>
      </c>
      <c r="N355" s="288"/>
      <c r="O355" s="288" t="s">
        <v>119</v>
      </c>
      <c r="P355" s="291"/>
      <c r="Q355" s="291"/>
      <c r="R355" s="288" t="s">
        <v>24</v>
      </c>
      <c r="S355" s="288"/>
      <c r="T355" s="292" t="s">
        <v>120</v>
      </c>
      <c r="U355" s="288" t="s">
        <v>301</v>
      </c>
      <c r="V355" s="292" t="s">
        <v>120</v>
      </c>
      <c r="W355" s="288"/>
      <c r="X355" s="292" t="s">
        <v>120</v>
      </c>
      <c r="Y355" s="288" t="s">
        <v>316</v>
      </c>
      <c r="Z355" s="293" t="s">
        <v>120</v>
      </c>
      <c r="AA355" s="294"/>
      <c r="AB355" s="294"/>
      <c r="AC355" s="295"/>
      <c r="AD355" s="288" t="s">
        <v>120</v>
      </c>
      <c r="AE355" s="292" t="s">
        <v>120</v>
      </c>
      <c r="AF355" s="289" t="s">
        <v>120</v>
      </c>
      <c r="AG355" s="296"/>
      <c r="AH355" s="296">
        <v>2</v>
      </c>
      <c r="AI355" s="288" t="s">
        <v>305</v>
      </c>
      <c r="AJ355" s="292" t="s">
        <v>120</v>
      </c>
      <c r="AK355" s="288" t="s">
        <v>123</v>
      </c>
      <c r="AL355" s="288"/>
      <c r="AM355" s="292"/>
      <c r="AN355" s="288"/>
      <c r="AO355" s="288"/>
      <c r="AP355" s="297"/>
      <c r="AQ355" s="288"/>
      <c r="AR355" s="292"/>
      <c r="AS355" s="288"/>
      <c r="AT355" s="289"/>
      <c r="AU355" s="289">
        <v>43453.3790427083</v>
      </c>
      <c r="AV355" s="289"/>
      <c r="AW355" s="289"/>
      <c r="AX355" s="289"/>
      <c r="AY355" s="289"/>
      <c r="AZ355" s="298">
        <v>43236</v>
      </c>
      <c r="BA35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5" s="300">
        <f>COUNTIFS(_05preva_view43[Site ID],_05preva_view43[[#This Row],[Site ID]],_05preva_view43[Prevalidation Status],"Under Prevalidation")</f>
        <v>0</v>
      </c>
      <c r="BC35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5" s="302" t="str">
        <f>CONCATENATE(_05preva_view43[[#This Row],[Site ID]]," (",_05preva_view43[[#This Row],[tenant id]],") Application",IF(_05preva_view43[[#This Row],[Colo Rev]]&gt;0," Rev "&amp;_05preva_view43[[#This Row],[Colo Rev]],""),".xlsx")</f>
        <v>ANSG_0361 (SAW0719) Application.xlsx</v>
      </c>
      <c r="BE355" s="64">
        <f t="shared" ca="1" si="7"/>
        <v>50</v>
      </c>
      <c r="BF355" s="104" t="str">
        <f ca="1">LEFT(CELL("filename",A340),_05preva_view43[[#This Row],[Find Process &amp; Database]]-1)</f>
        <v>D:\OneDrive - apollo-towers.com\Apollo Towers\00-</v>
      </c>
      <c r="BG355" s="104" t="str">
        <f ca="1">_05preva_view43[Folder Path1]&amp;"Process &amp; Database\Documentation\Colo Applications"</f>
        <v>D:\OneDrive - apollo-towers.com\Apollo Towers\00-Process &amp; Database\Documentation\Colo Applications</v>
      </c>
      <c r="BH35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5" s="63" t="str">
        <f ca="1">_05preva_view43[[#This Row],[Folder Path3]]&amp;_05preva_view43[[#This Row],[File Name]]</f>
        <v>D:\OneDrive - apollo-towers.com\Apollo Towers\00-Process &amp; Database\Documentation\Colo Applications\Colo App OML\ANSG_0361 (SAW0719) Application.xlsx</v>
      </c>
      <c r="BJ355" s="104"/>
      <c r="BK355" s="3"/>
      <c r="BL355" s="3"/>
      <c r="CJ355" s="5"/>
      <c r="CK355" s="5"/>
      <c r="CL355" s="3"/>
      <c r="CN355" s="5"/>
      <c r="CR355" s="3"/>
      <c r="CS355" s="3"/>
      <c r="CT355" s="5"/>
      <c r="CV355" s="3"/>
      <c r="DR355" s="5"/>
      <c r="DT355" s="3"/>
      <c r="EF355" s="7"/>
      <c r="EG355" s="7"/>
      <c r="EJ355" s="4"/>
      <c r="EK355" s="4"/>
      <c r="EU355" s="2"/>
      <c r="EV355" s="2"/>
    </row>
    <row r="356" spans="1:152">
      <c r="A356" s="287">
        <v>174</v>
      </c>
      <c r="B356" s="288" t="s">
        <v>446</v>
      </c>
      <c r="C356" s="288" t="s">
        <v>116</v>
      </c>
      <c r="D356" s="288" t="s">
        <v>127</v>
      </c>
      <c r="E356" s="288" t="s">
        <v>447</v>
      </c>
      <c r="F356" s="288" t="s">
        <v>40</v>
      </c>
      <c r="G356" s="288" t="s">
        <v>118</v>
      </c>
      <c r="H356" s="288"/>
      <c r="I356" s="288" t="s">
        <v>118</v>
      </c>
      <c r="J356" s="288"/>
      <c r="K356" s="289">
        <v>43236</v>
      </c>
      <c r="L356" s="290"/>
      <c r="M356" s="290">
        <v>3</v>
      </c>
      <c r="N356" s="288"/>
      <c r="O356" s="288" t="s">
        <v>119</v>
      </c>
      <c r="P356" s="291"/>
      <c r="Q356" s="291"/>
      <c r="R356" s="288" t="s">
        <v>24</v>
      </c>
      <c r="S356" s="288"/>
      <c r="T356" s="292" t="s">
        <v>120</v>
      </c>
      <c r="U356" s="288" t="s">
        <v>319</v>
      </c>
      <c r="V356" s="292" t="s">
        <v>120</v>
      </c>
      <c r="W356" s="288"/>
      <c r="X356" s="292" t="s">
        <v>120</v>
      </c>
      <c r="Y356" s="288" t="s">
        <v>320</v>
      </c>
      <c r="Z356" s="293" t="s">
        <v>125</v>
      </c>
      <c r="AA356" s="294"/>
      <c r="AB356" s="294"/>
      <c r="AC356" s="295" t="s">
        <v>123</v>
      </c>
      <c r="AD356" s="288" t="s">
        <v>321</v>
      </c>
      <c r="AE356" s="292" t="s">
        <v>120</v>
      </c>
      <c r="AF356" s="289" t="s">
        <v>448</v>
      </c>
      <c r="AG356" s="296"/>
      <c r="AH356" s="296">
        <v>2</v>
      </c>
      <c r="AI356" s="288" t="s">
        <v>381</v>
      </c>
      <c r="AJ356" s="292" t="s">
        <v>120</v>
      </c>
      <c r="AK356" s="288" t="s">
        <v>206</v>
      </c>
      <c r="AL356" s="288" t="s">
        <v>431</v>
      </c>
      <c r="AM356" s="292"/>
      <c r="AN356" s="288"/>
      <c r="AO356" s="288"/>
      <c r="AP356" s="297"/>
      <c r="AQ356" s="288"/>
      <c r="AR356" s="292"/>
      <c r="AS356" s="288"/>
      <c r="AT356" s="289"/>
      <c r="AU356" s="289">
        <v>43453.379043287001</v>
      </c>
      <c r="AV356" s="289"/>
      <c r="AW356" s="289"/>
      <c r="AX356" s="289"/>
      <c r="AY356" s="289"/>
      <c r="AZ356" s="298">
        <v>43236</v>
      </c>
      <c r="BA35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6" s="300">
        <f>COUNTIFS(_05preva_view43[Site ID],_05preva_view43[[#This Row],[Site ID]],_05preva_view43[Prevalidation Status],"Under Prevalidation")</f>
        <v>0</v>
      </c>
      <c r="BC35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6" s="302" t="str">
        <f>CONCATENATE(_05preva_view43[[#This Row],[Site ID]]," (",_05preva_view43[[#This Row],[tenant id]],") Application",IF(_05preva_view43[[#This Row],[Colo Rev]]&gt;0," Rev "&amp;_05preva_view43[[#This Row],[Colo Rev]],""),".xlsx")</f>
        <v>ANMD_0118 (MAW2441) Application.xlsx</v>
      </c>
      <c r="BE356" s="64">
        <f t="shared" ca="1" si="7"/>
        <v>50</v>
      </c>
      <c r="BF356" s="104" t="str">
        <f ca="1">LEFT(CELL("filename",A341),_05preva_view43[[#This Row],[Find Process &amp; Database]]-1)</f>
        <v>D:\OneDrive - apollo-towers.com\Apollo Towers\00-</v>
      </c>
      <c r="BG356" s="104" t="str">
        <f ca="1">_05preva_view43[Folder Path1]&amp;"Process &amp; Database\Documentation\Colo Applications"</f>
        <v>D:\OneDrive - apollo-towers.com\Apollo Towers\00-Process &amp; Database\Documentation\Colo Applications</v>
      </c>
      <c r="BH35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6" s="63" t="str">
        <f ca="1">_05preva_view43[[#This Row],[Folder Path3]]&amp;_05preva_view43[[#This Row],[File Name]]</f>
        <v>D:\OneDrive - apollo-towers.com\Apollo Towers\00-Process &amp; Database\Documentation\Colo Applications\Colo App OML\ANMD_0118 (MAW2441) Application.xlsx</v>
      </c>
      <c r="BJ356" s="104"/>
      <c r="BK356" s="3"/>
      <c r="BL356" s="3"/>
      <c r="CJ356" s="5"/>
      <c r="CK356" s="5"/>
      <c r="CL356" s="3"/>
      <c r="CN356" s="5"/>
      <c r="CR356" s="3"/>
      <c r="CS356" s="3"/>
      <c r="CT356" s="5"/>
      <c r="CV356" s="3"/>
      <c r="DR356" s="5"/>
      <c r="DT356" s="3"/>
      <c r="EF356" s="7"/>
      <c r="EG356" s="7"/>
      <c r="EJ356" s="4"/>
      <c r="EK356" s="4"/>
      <c r="EU356" s="2"/>
      <c r="EV356" s="2"/>
    </row>
    <row r="357" spans="1:152">
      <c r="A357" s="287">
        <v>177</v>
      </c>
      <c r="B357" s="288" t="s">
        <v>449</v>
      </c>
      <c r="C357" s="288" t="s">
        <v>116</v>
      </c>
      <c r="D357" s="288" t="s">
        <v>127</v>
      </c>
      <c r="E357" s="288" t="s">
        <v>450</v>
      </c>
      <c r="F357" s="288" t="s">
        <v>40</v>
      </c>
      <c r="G357" s="288" t="s">
        <v>118</v>
      </c>
      <c r="H357" s="288"/>
      <c r="I357" s="288" t="s">
        <v>118</v>
      </c>
      <c r="J357" s="288"/>
      <c r="K357" s="289">
        <v>43236</v>
      </c>
      <c r="L357" s="290"/>
      <c r="M357" s="290">
        <v>3</v>
      </c>
      <c r="N357" s="288"/>
      <c r="O357" s="288" t="s">
        <v>119</v>
      </c>
      <c r="P357" s="291"/>
      <c r="Q357" s="291"/>
      <c r="R357" s="288" t="s">
        <v>24</v>
      </c>
      <c r="S357" s="288"/>
      <c r="T357" s="292" t="s">
        <v>120</v>
      </c>
      <c r="U357" s="288" t="s">
        <v>301</v>
      </c>
      <c r="V357" s="292" t="s">
        <v>120</v>
      </c>
      <c r="W357" s="288"/>
      <c r="X357" s="292" t="s">
        <v>120</v>
      </c>
      <c r="Y357" s="288" t="s">
        <v>120</v>
      </c>
      <c r="Z357" s="293" t="s">
        <v>120</v>
      </c>
      <c r="AA357" s="294"/>
      <c r="AB357" s="294"/>
      <c r="AC357" s="295"/>
      <c r="AD357" s="288" t="s">
        <v>120</v>
      </c>
      <c r="AE357" s="292" t="s">
        <v>120</v>
      </c>
      <c r="AF357" s="289" t="s">
        <v>120</v>
      </c>
      <c r="AG357" s="296"/>
      <c r="AH357" s="296">
        <v>2</v>
      </c>
      <c r="AI357" s="288" t="s">
        <v>305</v>
      </c>
      <c r="AJ357" s="292" t="s">
        <v>120</v>
      </c>
      <c r="AK357" s="288" t="s">
        <v>123</v>
      </c>
      <c r="AL357" s="288"/>
      <c r="AM357" s="292"/>
      <c r="AN357" s="288"/>
      <c r="AO357" s="288"/>
      <c r="AP357" s="297"/>
      <c r="AQ357" s="288"/>
      <c r="AR357" s="292"/>
      <c r="AS357" s="288"/>
      <c r="AT357" s="289"/>
      <c r="AU357" s="289">
        <v>43453.379044212998</v>
      </c>
      <c r="AV357" s="289"/>
      <c r="AW357" s="289"/>
      <c r="AX357" s="289"/>
      <c r="AY357" s="289"/>
      <c r="AZ357" s="298">
        <v>43236</v>
      </c>
      <c r="BA35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7" s="300">
        <f>COUNTIFS(_05preva_view43[Site ID],_05preva_view43[[#This Row],[Site ID]],_05preva_view43[Prevalidation Status],"Under Prevalidation")</f>
        <v>0</v>
      </c>
      <c r="BC35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7" s="302" t="str">
        <f>CONCATENATE(_05preva_view43[[#This Row],[Site ID]]," (",_05preva_view43[[#This Row],[tenant id]],") Application",IF(_05preva_view43[[#This Row],[Colo Rev]]&gt;0," Rev "&amp;_05preva_view43[[#This Row],[Colo Rev]],""),".xlsx")</f>
        <v>ANMD_0266 (MAW2985) Application.xlsx</v>
      </c>
      <c r="BE357" s="64">
        <f t="shared" ca="1" si="7"/>
        <v>50</v>
      </c>
      <c r="BF357" s="104" t="str">
        <f ca="1">LEFT(CELL("filename",A342),_05preva_view43[[#This Row],[Find Process &amp; Database]]-1)</f>
        <v>D:\OneDrive - apollo-towers.com\Apollo Towers\00-</v>
      </c>
      <c r="BG357" s="104" t="str">
        <f ca="1">_05preva_view43[Folder Path1]&amp;"Process &amp; Database\Documentation\Colo Applications"</f>
        <v>D:\OneDrive - apollo-towers.com\Apollo Towers\00-Process &amp; Database\Documentation\Colo Applications</v>
      </c>
      <c r="BH35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7" s="63" t="str">
        <f ca="1">_05preva_view43[[#This Row],[Folder Path3]]&amp;_05preva_view43[[#This Row],[File Name]]</f>
        <v>D:\OneDrive - apollo-towers.com\Apollo Towers\00-Process &amp; Database\Documentation\Colo Applications\Colo App OML\ANMD_0266 (MAW2985) Application.xlsx</v>
      </c>
      <c r="BJ357" s="104"/>
      <c r="BK357" s="3"/>
      <c r="BL357" s="3"/>
      <c r="CJ357" s="5"/>
      <c r="CK357" s="5"/>
      <c r="CL357" s="3"/>
      <c r="CN357" s="5"/>
      <c r="CR357" s="3"/>
      <c r="CS357" s="3"/>
      <c r="CT357" s="5"/>
      <c r="CV357" s="3"/>
      <c r="DR357" s="5"/>
      <c r="DT357" s="3"/>
      <c r="EF357" s="7"/>
      <c r="EG357" s="7"/>
      <c r="EJ357" s="4"/>
      <c r="EK357" s="4"/>
      <c r="EU357" s="2"/>
      <c r="EV357" s="2"/>
    </row>
    <row r="358" spans="1:152">
      <c r="A358" s="287">
        <v>178</v>
      </c>
      <c r="B358" s="288" t="s">
        <v>451</v>
      </c>
      <c r="C358" s="288" t="s">
        <v>116</v>
      </c>
      <c r="D358" s="288" t="s">
        <v>127</v>
      </c>
      <c r="E358" s="288" t="s">
        <v>452</v>
      </c>
      <c r="F358" s="288" t="s">
        <v>40</v>
      </c>
      <c r="G358" s="288" t="s">
        <v>118</v>
      </c>
      <c r="H358" s="288"/>
      <c r="I358" s="288" t="s">
        <v>118</v>
      </c>
      <c r="J358" s="288"/>
      <c r="K358" s="289">
        <v>43236</v>
      </c>
      <c r="L358" s="290"/>
      <c r="M358" s="290">
        <v>3</v>
      </c>
      <c r="N358" s="288"/>
      <c r="O358" s="288" t="s">
        <v>119</v>
      </c>
      <c r="P358" s="291"/>
      <c r="Q358" s="291"/>
      <c r="R358" s="288" t="s">
        <v>24</v>
      </c>
      <c r="S358" s="288"/>
      <c r="T358" s="292" t="s">
        <v>120</v>
      </c>
      <c r="U358" s="288" t="s">
        <v>301</v>
      </c>
      <c r="V358" s="292" t="s">
        <v>120</v>
      </c>
      <c r="W358" s="288"/>
      <c r="X358" s="292" t="s">
        <v>120</v>
      </c>
      <c r="Y358" s="288" t="s">
        <v>400</v>
      </c>
      <c r="Z358" s="293" t="s">
        <v>120</v>
      </c>
      <c r="AA358" s="294"/>
      <c r="AB358" s="294"/>
      <c r="AC358" s="295"/>
      <c r="AD358" s="288" t="s">
        <v>120</v>
      </c>
      <c r="AE358" s="292" t="s">
        <v>125</v>
      </c>
      <c r="AF358" s="289"/>
      <c r="AG358" s="296"/>
      <c r="AH358" s="296"/>
      <c r="AI358" s="288" t="s">
        <v>453</v>
      </c>
      <c r="AJ358" s="292" t="s">
        <v>120</v>
      </c>
      <c r="AK358" s="288" t="s">
        <v>123</v>
      </c>
      <c r="AL358" s="288"/>
      <c r="AM358" s="292"/>
      <c r="AN358" s="288"/>
      <c r="AO358" s="288"/>
      <c r="AP358" s="297"/>
      <c r="AQ358" s="288"/>
      <c r="AR358" s="292"/>
      <c r="AS358" s="288"/>
      <c r="AT358" s="289"/>
      <c r="AU358" s="289"/>
      <c r="AV358" s="289"/>
      <c r="AW358" s="289"/>
      <c r="AX358" s="289"/>
      <c r="AY358" s="289"/>
      <c r="AZ358" s="298">
        <v>43236</v>
      </c>
      <c r="BA35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8" s="300">
        <f>COUNTIFS(_05preva_view43[Site ID],_05preva_view43[[#This Row],[Site ID]],_05preva_view43[Prevalidation Status],"Under Prevalidation")</f>
        <v>0</v>
      </c>
      <c r="BC35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8" s="302" t="str">
        <f>CONCATENATE(_05preva_view43[[#This Row],[Site ID]]," (",_05preva_view43[[#This Row],[tenant id]],") Application",IF(_05preva_view43[[#This Row],[Colo Rev]]&gt;0," Rev "&amp;_05preva_view43[[#This Row],[Colo Rev]],""),".xlsx")</f>
        <v>ANMD_0167 (MAW2984) Application.xlsx</v>
      </c>
      <c r="BE358" s="64">
        <f t="shared" ca="1" si="7"/>
        <v>50</v>
      </c>
      <c r="BF358" s="104" t="str">
        <f ca="1">LEFT(CELL("filename",A343),_05preva_view43[[#This Row],[Find Process &amp; Database]]-1)</f>
        <v>D:\OneDrive - apollo-towers.com\Apollo Towers\00-</v>
      </c>
      <c r="BG358" s="104" t="str">
        <f ca="1">_05preva_view43[Folder Path1]&amp;"Process &amp; Database\Documentation\Colo Applications"</f>
        <v>D:\OneDrive - apollo-towers.com\Apollo Towers\00-Process &amp; Database\Documentation\Colo Applications</v>
      </c>
      <c r="BH35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8" s="63" t="str">
        <f ca="1">_05preva_view43[[#This Row],[Folder Path3]]&amp;_05preva_view43[[#This Row],[File Name]]</f>
        <v>D:\OneDrive - apollo-towers.com\Apollo Towers\00-Process &amp; Database\Documentation\Colo Applications\Colo App OML\ANMD_0167 (MAW2984) Application.xlsx</v>
      </c>
      <c r="BJ358" s="104"/>
      <c r="BK358" s="3"/>
      <c r="BL358" s="3"/>
      <c r="CJ358" s="5"/>
      <c r="CK358" s="5"/>
      <c r="CL358" s="3"/>
      <c r="CN358" s="5"/>
      <c r="CR358" s="3"/>
      <c r="CS358" s="3"/>
      <c r="CT358" s="5"/>
      <c r="CV358" s="3"/>
      <c r="DR358" s="5"/>
      <c r="DT358" s="3"/>
      <c r="EF358" s="7"/>
      <c r="EG358" s="7"/>
      <c r="EJ358" s="4"/>
      <c r="EK358" s="4"/>
      <c r="EU358" s="2"/>
      <c r="EV358" s="2"/>
    </row>
    <row r="359" spans="1:152">
      <c r="A359" s="287">
        <v>180</v>
      </c>
      <c r="B359" s="288" t="s">
        <v>454</v>
      </c>
      <c r="C359" s="288" t="s">
        <v>116</v>
      </c>
      <c r="D359" s="288" t="s">
        <v>117</v>
      </c>
      <c r="E359" s="288" t="s">
        <v>455</v>
      </c>
      <c r="F359" s="288" t="s">
        <v>40</v>
      </c>
      <c r="G359" s="288" t="s">
        <v>118</v>
      </c>
      <c r="H359" s="288"/>
      <c r="I359" s="288" t="s">
        <v>118</v>
      </c>
      <c r="J359" s="288"/>
      <c r="K359" s="289">
        <v>43236</v>
      </c>
      <c r="L359" s="290"/>
      <c r="M359" s="290">
        <v>3</v>
      </c>
      <c r="N359" s="288"/>
      <c r="O359" s="288" t="s">
        <v>119</v>
      </c>
      <c r="P359" s="291"/>
      <c r="Q359" s="291"/>
      <c r="R359" s="288" t="s">
        <v>24</v>
      </c>
      <c r="S359" s="288"/>
      <c r="T359" s="292" t="s">
        <v>120</v>
      </c>
      <c r="U359" s="288" t="s">
        <v>301</v>
      </c>
      <c r="V359" s="292" t="s">
        <v>120</v>
      </c>
      <c r="W359" s="288"/>
      <c r="X359" s="292" t="s">
        <v>120</v>
      </c>
      <c r="Y359" s="288" t="s">
        <v>120</v>
      </c>
      <c r="Z359" s="293" t="s">
        <v>120</v>
      </c>
      <c r="AA359" s="294"/>
      <c r="AB359" s="294"/>
      <c r="AC359" s="295"/>
      <c r="AD359" s="288" t="s">
        <v>120</v>
      </c>
      <c r="AE359" s="292" t="s">
        <v>120</v>
      </c>
      <c r="AF359" s="289" t="s">
        <v>358</v>
      </c>
      <c r="AG359" s="296"/>
      <c r="AH359" s="296">
        <v>3.5</v>
      </c>
      <c r="AI359" s="288" t="s">
        <v>211</v>
      </c>
      <c r="AJ359" s="292" t="s">
        <v>120</v>
      </c>
      <c r="AK359" s="288" t="s">
        <v>123</v>
      </c>
      <c r="AL359" s="288"/>
      <c r="AM359" s="292"/>
      <c r="AN359" s="288"/>
      <c r="AO359" s="288"/>
      <c r="AP359" s="297"/>
      <c r="AQ359" s="288"/>
      <c r="AR359" s="292"/>
      <c r="AS359" s="288"/>
      <c r="AT359" s="289"/>
      <c r="AU359" s="289">
        <v>43453.379046643502</v>
      </c>
      <c r="AV359" s="289"/>
      <c r="AW359" s="289"/>
      <c r="AX359" s="289"/>
      <c r="AY359" s="289"/>
      <c r="AZ359" s="298">
        <v>43236</v>
      </c>
      <c r="BA35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59" s="300">
        <f>COUNTIFS(_05preva_view43[Site ID],_05preva_view43[[#This Row],[Site ID]],_05preva_view43[Prevalidation Status],"Under Prevalidation")</f>
        <v>0</v>
      </c>
      <c r="BC35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59" s="302" t="str">
        <f>CONCATENATE(_05preva_view43[[#This Row],[Site ID]]," (",_05preva_view43[[#This Row],[tenant id]],") Application",IF(_05preva_view43[[#This Row],[Colo Rev]]&gt;0," Rev "&amp;_05preva_view43[[#This Row],[Colo Rev]],""),".xlsx")</f>
        <v>ANMG_0173 (MWW3508) Application.xlsx</v>
      </c>
      <c r="BE359" s="64">
        <f t="shared" ca="1" si="7"/>
        <v>50</v>
      </c>
      <c r="BF359" s="104" t="str">
        <f ca="1">LEFT(CELL("filename",A344),_05preva_view43[[#This Row],[Find Process &amp; Database]]-1)</f>
        <v>D:\OneDrive - apollo-towers.com\Apollo Towers\00-</v>
      </c>
      <c r="BG359" s="104" t="str">
        <f ca="1">_05preva_view43[Folder Path1]&amp;"Process &amp; Database\Documentation\Colo Applications"</f>
        <v>D:\OneDrive - apollo-towers.com\Apollo Towers\00-Process &amp; Database\Documentation\Colo Applications</v>
      </c>
      <c r="BH35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59" s="63" t="str">
        <f ca="1">_05preva_view43[[#This Row],[Folder Path3]]&amp;_05preva_view43[[#This Row],[File Name]]</f>
        <v>D:\OneDrive - apollo-towers.com\Apollo Towers\00-Process &amp; Database\Documentation\Colo Applications\Colo App OML\ANMG_0173 (MWW3508) Application.xlsx</v>
      </c>
      <c r="BJ359" s="104"/>
      <c r="BK359" s="3"/>
      <c r="BL359" s="3"/>
      <c r="CJ359" s="5"/>
      <c r="CK359" s="5"/>
      <c r="CL359" s="3"/>
      <c r="CN359" s="5"/>
      <c r="CR359" s="3"/>
      <c r="CS359" s="3"/>
      <c r="CT359" s="5"/>
      <c r="CV359" s="3"/>
      <c r="DR359" s="5"/>
      <c r="DT359" s="3"/>
      <c r="EF359" s="7"/>
      <c r="EG359" s="7"/>
      <c r="EJ359" s="4"/>
      <c r="EK359" s="4"/>
      <c r="EU359" s="2"/>
      <c r="EV359" s="2"/>
    </row>
    <row r="360" spans="1:152">
      <c r="A360" s="287">
        <v>181</v>
      </c>
      <c r="B360" s="288" t="s">
        <v>456</v>
      </c>
      <c r="C360" s="288" t="s">
        <v>116</v>
      </c>
      <c r="D360" s="288" t="s">
        <v>127</v>
      </c>
      <c r="E360" s="288" t="s">
        <v>457</v>
      </c>
      <c r="F360" s="288" t="s">
        <v>40</v>
      </c>
      <c r="G360" s="288" t="s">
        <v>118</v>
      </c>
      <c r="H360" s="288"/>
      <c r="I360" s="288" t="s">
        <v>118</v>
      </c>
      <c r="J360" s="288"/>
      <c r="K360" s="289">
        <v>43236</v>
      </c>
      <c r="L360" s="290"/>
      <c r="M360" s="290">
        <v>3</v>
      </c>
      <c r="N360" s="288"/>
      <c r="O360" s="288" t="s">
        <v>119</v>
      </c>
      <c r="P360" s="291"/>
      <c r="Q360" s="291"/>
      <c r="R360" s="288" t="s">
        <v>24</v>
      </c>
      <c r="S360" s="288"/>
      <c r="T360" s="292" t="s">
        <v>120</v>
      </c>
      <c r="U360" s="288" t="s">
        <v>301</v>
      </c>
      <c r="V360" s="292" t="s">
        <v>120</v>
      </c>
      <c r="W360" s="288"/>
      <c r="X360" s="292" t="s">
        <v>120</v>
      </c>
      <c r="Y360" s="288" t="s">
        <v>120</v>
      </c>
      <c r="Z360" s="293" t="s">
        <v>120</v>
      </c>
      <c r="AA360" s="294"/>
      <c r="AB360" s="294"/>
      <c r="AC360" s="295"/>
      <c r="AD360" s="288" t="s">
        <v>120</v>
      </c>
      <c r="AE360" s="292" t="s">
        <v>120</v>
      </c>
      <c r="AF360" s="289" t="s">
        <v>120</v>
      </c>
      <c r="AG360" s="296"/>
      <c r="AH360" s="296">
        <v>2</v>
      </c>
      <c r="AI360" s="288" t="s">
        <v>458</v>
      </c>
      <c r="AJ360" s="292" t="s">
        <v>120</v>
      </c>
      <c r="AK360" s="288" t="s">
        <v>123</v>
      </c>
      <c r="AL360" s="288"/>
      <c r="AM360" s="292"/>
      <c r="AN360" s="288"/>
      <c r="AO360" s="288"/>
      <c r="AP360" s="297"/>
      <c r="AQ360" s="288"/>
      <c r="AR360" s="292"/>
      <c r="AS360" s="288"/>
      <c r="AT360" s="289"/>
      <c r="AU360" s="289">
        <v>43453.379047338</v>
      </c>
      <c r="AV360" s="289"/>
      <c r="AW360" s="289"/>
      <c r="AX360" s="289"/>
      <c r="AY360" s="289"/>
      <c r="AZ360" s="298">
        <v>43236</v>
      </c>
      <c r="BA36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0" s="300">
        <f>COUNTIFS(_05preva_view43[Site ID],_05preva_view43[[#This Row],[Site ID]],_05preva_view43[Prevalidation Status],"Under Prevalidation")</f>
        <v>0</v>
      </c>
      <c r="BC36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0" s="302" t="str">
        <f>CONCATENATE(_05preva_view43[[#This Row],[Site ID]]," (",_05preva_view43[[#This Row],[tenant id]],") Application",IF(_05preva_view43[[#This Row],[Colo Rev]]&gt;0," Rev "&amp;_05preva_view43[[#This Row],[Colo Rev]],""),".xlsx")</f>
        <v>ANSH_0086 (SHW1908) Application.xlsx</v>
      </c>
      <c r="BE360" s="64">
        <f t="shared" ca="1" si="7"/>
        <v>50</v>
      </c>
      <c r="BF360" s="104" t="str">
        <f ca="1">LEFT(CELL("filename",A345),_05preva_view43[[#This Row],[Find Process &amp; Database]]-1)</f>
        <v>D:\OneDrive - apollo-towers.com\Apollo Towers\00-</v>
      </c>
      <c r="BG360" s="104" t="str">
        <f ca="1">_05preva_view43[Folder Path1]&amp;"Process &amp; Database\Documentation\Colo Applications"</f>
        <v>D:\OneDrive - apollo-towers.com\Apollo Towers\00-Process &amp; Database\Documentation\Colo Applications</v>
      </c>
      <c r="BH36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0" s="63" t="str">
        <f ca="1">_05preva_view43[[#This Row],[Folder Path3]]&amp;_05preva_view43[[#This Row],[File Name]]</f>
        <v>D:\OneDrive - apollo-towers.com\Apollo Towers\00-Process &amp; Database\Documentation\Colo Applications\Colo App OML\ANSH_0086 (SHW1908) Application.xlsx</v>
      </c>
      <c r="BJ360" s="104"/>
      <c r="BK360" s="3"/>
      <c r="BL360" s="3"/>
      <c r="CJ360" s="5"/>
      <c r="CK360" s="5"/>
      <c r="CL360" s="3"/>
      <c r="CN360" s="5"/>
      <c r="CR360" s="3"/>
      <c r="CS360" s="3"/>
      <c r="CT360" s="5"/>
      <c r="CV360" s="3"/>
      <c r="DR360" s="5"/>
      <c r="DT360" s="3"/>
      <c r="EF360" s="7"/>
      <c r="EG360" s="7"/>
      <c r="EJ360" s="4"/>
      <c r="EK360" s="4"/>
      <c r="EU360" s="2"/>
      <c r="EV360" s="2"/>
    </row>
    <row r="361" spans="1:152">
      <c r="A361" s="287">
        <v>182</v>
      </c>
      <c r="B361" s="288" t="s">
        <v>459</v>
      </c>
      <c r="C361" s="288" t="s">
        <v>116</v>
      </c>
      <c r="D361" s="288" t="s">
        <v>127</v>
      </c>
      <c r="E361" s="288" t="s">
        <v>460</v>
      </c>
      <c r="F361" s="288" t="s">
        <v>40</v>
      </c>
      <c r="G361" s="288" t="s">
        <v>118</v>
      </c>
      <c r="H361" s="288"/>
      <c r="I361" s="288" t="s">
        <v>118</v>
      </c>
      <c r="J361" s="288"/>
      <c r="K361" s="289">
        <v>43236</v>
      </c>
      <c r="L361" s="290"/>
      <c r="M361" s="290">
        <v>3</v>
      </c>
      <c r="N361" s="288"/>
      <c r="O361" s="288" t="s">
        <v>119</v>
      </c>
      <c r="P361" s="291"/>
      <c r="Q361" s="291"/>
      <c r="R361" s="288" t="s">
        <v>24</v>
      </c>
      <c r="S361" s="288"/>
      <c r="T361" s="292" t="s">
        <v>120</v>
      </c>
      <c r="U361" s="288" t="s">
        <v>301</v>
      </c>
      <c r="V361" s="292" t="s">
        <v>120</v>
      </c>
      <c r="W361" s="288"/>
      <c r="X361" s="292" t="s">
        <v>120</v>
      </c>
      <c r="Y361" s="288" t="s">
        <v>120</v>
      </c>
      <c r="Z361" s="293" t="s">
        <v>120</v>
      </c>
      <c r="AA361" s="294"/>
      <c r="AB361" s="294"/>
      <c r="AC361" s="295"/>
      <c r="AD361" s="288" t="s">
        <v>331</v>
      </c>
      <c r="AE361" s="292" t="s">
        <v>120</v>
      </c>
      <c r="AF361" s="289" t="s">
        <v>120</v>
      </c>
      <c r="AG361" s="296"/>
      <c r="AH361" s="296">
        <v>2</v>
      </c>
      <c r="AI361" s="288" t="s">
        <v>305</v>
      </c>
      <c r="AJ361" s="292" t="s">
        <v>120</v>
      </c>
      <c r="AK361" s="288" t="s">
        <v>123</v>
      </c>
      <c r="AL361" s="288"/>
      <c r="AM361" s="292"/>
      <c r="AN361" s="288"/>
      <c r="AO361" s="288"/>
      <c r="AP361" s="297"/>
      <c r="AQ361" s="288"/>
      <c r="AR361" s="292"/>
      <c r="AS361" s="288"/>
      <c r="AT361" s="289"/>
      <c r="AU361" s="289">
        <v>43453.379048148097</v>
      </c>
      <c r="AV361" s="289"/>
      <c r="AW361" s="289"/>
      <c r="AX361" s="289"/>
      <c r="AY361" s="289"/>
      <c r="AZ361" s="298">
        <v>43236</v>
      </c>
      <c r="BA36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1" s="300">
        <f>COUNTIFS(_05preva_view43[Site ID],_05preva_view43[[#This Row],[Site ID]],_05preva_view43[Prevalidation Status],"Under Prevalidation")</f>
        <v>0</v>
      </c>
      <c r="BC36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1" s="302" t="str">
        <f>CONCATENATE(_05preva_view43[[#This Row],[Site ID]]," (",_05preva_view43[[#This Row],[tenant id]],") Application",IF(_05preva_view43[[#This Row],[Colo Rev]]&gt;0," Rev "&amp;_05preva_view43[[#This Row],[Colo Rev]],""),".xlsx")</f>
        <v>ANSG_0379 (SAW0726) Application.xlsx</v>
      </c>
      <c r="BE361" s="64">
        <f t="shared" ca="1" si="7"/>
        <v>50</v>
      </c>
      <c r="BF361" s="104" t="str">
        <f ca="1">LEFT(CELL("filename",A346),_05preva_view43[[#This Row],[Find Process &amp; Database]]-1)</f>
        <v>D:\OneDrive - apollo-towers.com\Apollo Towers\00-</v>
      </c>
      <c r="BG361" s="104" t="str">
        <f ca="1">_05preva_view43[Folder Path1]&amp;"Process &amp; Database\Documentation\Colo Applications"</f>
        <v>D:\OneDrive - apollo-towers.com\Apollo Towers\00-Process &amp; Database\Documentation\Colo Applications</v>
      </c>
      <c r="BH36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1" s="63" t="str">
        <f ca="1">_05preva_view43[[#This Row],[Folder Path3]]&amp;_05preva_view43[[#This Row],[File Name]]</f>
        <v>D:\OneDrive - apollo-towers.com\Apollo Towers\00-Process &amp; Database\Documentation\Colo Applications\Colo App OML\ANSG_0379 (SAW0726) Application.xlsx</v>
      </c>
      <c r="BJ361" s="104"/>
      <c r="BK361" s="3"/>
      <c r="BL361" s="3"/>
      <c r="CJ361" s="5"/>
      <c r="CK361" s="5"/>
      <c r="CL361" s="3"/>
      <c r="CN361" s="5"/>
      <c r="CR361" s="3"/>
      <c r="CS361" s="3"/>
      <c r="CT361" s="5"/>
      <c r="CV361" s="3"/>
      <c r="DR361" s="5"/>
      <c r="DT361" s="3"/>
      <c r="EF361" s="7"/>
      <c r="EG361" s="7"/>
      <c r="EJ361" s="4"/>
      <c r="EK361" s="4"/>
      <c r="EU361" s="2"/>
      <c r="EV361" s="2"/>
    </row>
    <row r="362" spans="1:152">
      <c r="A362" s="287">
        <v>184</v>
      </c>
      <c r="B362" s="288" t="s">
        <v>461</v>
      </c>
      <c r="C362" s="288" t="s">
        <v>116</v>
      </c>
      <c r="D362" s="288" t="s">
        <v>127</v>
      </c>
      <c r="E362" s="288" t="s">
        <v>462</v>
      </c>
      <c r="F362" s="288" t="s">
        <v>40</v>
      </c>
      <c r="G362" s="288" t="s">
        <v>118</v>
      </c>
      <c r="H362" s="288"/>
      <c r="I362" s="288" t="s">
        <v>118</v>
      </c>
      <c r="J362" s="288"/>
      <c r="K362" s="289">
        <v>43236</v>
      </c>
      <c r="L362" s="290"/>
      <c r="M362" s="290">
        <v>3</v>
      </c>
      <c r="N362" s="288"/>
      <c r="O362" s="288" t="s">
        <v>119</v>
      </c>
      <c r="P362" s="291"/>
      <c r="Q362" s="291"/>
      <c r="R362" s="288" t="s">
        <v>24</v>
      </c>
      <c r="S362" s="288"/>
      <c r="T362" s="292" t="s">
        <v>120</v>
      </c>
      <c r="U362" s="288" t="s">
        <v>301</v>
      </c>
      <c r="V362" s="292" t="s">
        <v>120</v>
      </c>
      <c r="W362" s="288"/>
      <c r="X362" s="292" t="s">
        <v>120</v>
      </c>
      <c r="Y362" s="288" t="s">
        <v>400</v>
      </c>
      <c r="Z362" s="293" t="s">
        <v>120</v>
      </c>
      <c r="AA362" s="294"/>
      <c r="AB362" s="294"/>
      <c r="AC362" s="295"/>
      <c r="AD362" s="288" t="s">
        <v>120</v>
      </c>
      <c r="AE362" s="292" t="s">
        <v>120</v>
      </c>
      <c r="AF362" s="289" t="s">
        <v>120</v>
      </c>
      <c r="AG362" s="296"/>
      <c r="AH362" s="296">
        <v>2</v>
      </c>
      <c r="AI362" s="288" t="s">
        <v>305</v>
      </c>
      <c r="AJ362" s="292" t="s">
        <v>120</v>
      </c>
      <c r="AK362" s="288" t="s">
        <v>123</v>
      </c>
      <c r="AL362" s="288"/>
      <c r="AM362" s="292"/>
      <c r="AN362" s="288"/>
      <c r="AO362" s="288"/>
      <c r="AP362" s="297"/>
      <c r="AQ362" s="288"/>
      <c r="AR362" s="292"/>
      <c r="AS362" s="288"/>
      <c r="AT362" s="289"/>
      <c r="AU362" s="289">
        <v>43453.3790493056</v>
      </c>
      <c r="AV362" s="289"/>
      <c r="AW362" s="289"/>
      <c r="AX362" s="289"/>
      <c r="AY362" s="289"/>
      <c r="AZ362" s="298">
        <v>43236</v>
      </c>
      <c r="BA36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2" s="300">
        <f>COUNTIFS(_05preva_view43[Site ID],_05preva_view43[[#This Row],[Site ID]],_05preva_view43[Prevalidation Status],"Under Prevalidation")</f>
        <v>0</v>
      </c>
      <c r="BC36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2" s="302" t="str">
        <f>CONCATENATE(_05preva_view43[[#This Row],[Site ID]]," (",_05preva_view43[[#This Row],[tenant id]],") Application",IF(_05preva_view43[[#This Row],[Colo Rev]]&gt;0," Rev "&amp;_05preva_view43[[#This Row],[Colo Rev]],""),".xlsx")</f>
        <v>ANSG_0347 (SAW0717) Application.xlsx</v>
      </c>
      <c r="BE362" s="64">
        <f t="shared" ca="1" si="7"/>
        <v>50</v>
      </c>
      <c r="BF362" s="104" t="str">
        <f ca="1">LEFT(CELL("filename",A347),_05preva_view43[[#This Row],[Find Process &amp; Database]]-1)</f>
        <v>D:\OneDrive - apollo-towers.com\Apollo Towers\00-</v>
      </c>
      <c r="BG362" s="104" t="str">
        <f ca="1">_05preva_view43[Folder Path1]&amp;"Process &amp; Database\Documentation\Colo Applications"</f>
        <v>D:\OneDrive - apollo-towers.com\Apollo Towers\00-Process &amp; Database\Documentation\Colo Applications</v>
      </c>
      <c r="BH36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2" s="63" t="str">
        <f ca="1">_05preva_view43[[#This Row],[Folder Path3]]&amp;_05preva_view43[[#This Row],[File Name]]</f>
        <v>D:\OneDrive - apollo-towers.com\Apollo Towers\00-Process &amp; Database\Documentation\Colo Applications\Colo App OML\ANSG_0347 (SAW0717) Application.xlsx</v>
      </c>
      <c r="BJ362" s="104"/>
      <c r="BK362" s="3"/>
      <c r="BL362" s="3"/>
      <c r="CJ362" s="5"/>
      <c r="CK362" s="5"/>
      <c r="CL362" s="3"/>
      <c r="CN362" s="5"/>
      <c r="CR362" s="3"/>
      <c r="CS362" s="3"/>
      <c r="CT362" s="5"/>
      <c r="CV362" s="3"/>
      <c r="DR362" s="5"/>
      <c r="DT362" s="3"/>
      <c r="EF362" s="7"/>
      <c r="EG362" s="7"/>
      <c r="EJ362" s="4"/>
      <c r="EK362" s="4"/>
      <c r="EU362" s="2"/>
      <c r="EV362" s="2"/>
    </row>
    <row r="363" spans="1:152">
      <c r="A363" s="287">
        <v>191</v>
      </c>
      <c r="B363" s="288" t="s">
        <v>244</v>
      </c>
      <c r="C363" s="288" t="s">
        <v>116</v>
      </c>
      <c r="D363" s="288" t="s">
        <v>127</v>
      </c>
      <c r="E363" s="288" t="s">
        <v>464</v>
      </c>
      <c r="F363" s="288" t="s">
        <v>40</v>
      </c>
      <c r="G363" s="288" t="s">
        <v>118</v>
      </c>
      <c r="H363" s="288"/>
      <c r="I363" s="288" t="s">
        <v>118</v>
      </c>
      <c r="J363" s="288"/>
      <c r="K363" s="289">
        <v>43236</v>
      </c>
      <c r="L363" s="290"/>
      <c r="M363" s="290">
        <v>3</v>
      </c>
      <c r="N363" s="288"/>
      <c r="O363" s="288" t="s">
        <v>119</v>
      </c>
      <c r="P363" s="291"/>
      <c r="Q363" s="291"/>
      <c r="R363" s="288" t="s">
        <v>24</v>
      </c>
      <c r="S363" s="288"/>
      <c r="T363" s="292" t="s">
        <v>120</v>
      </c>
      <c r="U363" s="288" t="s">
        <v>301</v>
      </c>
      <c r="V363" s="292" t="s">
        <v>120</v>
      </c>
      <c r="W363" s="288"/>
      <c r="X363" s="292" t="s">
        <v>120</v>
      </c>
      <c r="Y363" s="288" t="s">
        <v>465</v>
      </c>
      <c r="Z363" s="293" t="s">
        <v>120</v>
      </c>
      <c r="AA363" s="294"/>
      <c r="AB363" s="294"/>
      <c r="AC363" s="295"/>
      <c r="AD363" s="288" t="s">
        <v>120</v>
      </c>
      <c r="AE363" s="292" t="s">
        <v>120</v>
      </c>
      <c r="AF363" s="289" t="s">
        <v>120</v>
      </c>
      <c r="AG363" s="296"/>
      <c r="AH363" s="296">
        <v>2</v>
      </c>
      <c r="AI363" s="288" t="s">
        <v>466</v>
      </c>
      <c r="AJ363" s="292" t="s">
        <v>120</v>
      </c>
      <c r="AK363" s="288" t="s">
        <v>123</v>
      </c>
      <c r="AL363" s="288"/>
      <c r="AM363" s="292"/>
      <c r="AN363" s="288"/>
      <c r="AO363" s="288"/>
      <c r="AP363" s="297"/>
      <c r="AQ363" s="288"/>
      <c r="AR363" s="292"/>
      <c r="AS363" s="288"/>
      <c r="AT363" s="289"/>
      <c r="AU363" s="289">
        <v>43453.379052777796</v>
      </c>
      <c r="AV363" s="289"/>
      <c r="AW363" s="289"/>
      <c r="AX363" s="289"/>
      <c r="AY363" s="289"/>
      <c r="AZ363" s="298">
        <v>43236</v>
      </c>
      <c r="BA36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3" s="300">
        <f>COUNTIFS(_05preva_view43[Site ID],_05preva_view43[[#This Row],[Site ID]],_05preva_view43[Prevalidation Status],"Under Prevalidation")</f>
        <v>0</v>
      </c>
      <c r="BC36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3" s="302" t="str">
        <f>CONCATENATE(_05preva_view43[[#This Row],[Site ID]]," (",_05preva_view43[[#This Row],[tenant id]],") Application",IF(_05preva_view43[[#This Row],[Colo Rev]]&gt;0," Rev "&amp;_05preva_view43[[#This Row],[Colo Rev]],""),".xlsx")</f>
        <v>ANMD_0073 (MAW2959) Application.xlsx</v>
      </c>
      <c r="BE363" s="64">
        <f t="shared" ca="1" si="7"/>
        <v>50</v>
      </c>
      <c r="BF363" s="104" t="str">
        <f ca="1">LEFT(CELL("filename",A348),_05preva_view43[[#This Row],[Find Process &amp; Database]]-1)</f>
        <v>D:\OneDrive - apollo-towers.com\Apollo Towers\00-</v>
      </c>
      <c r="BG363" s="104" t="str">
        <f ca="1">_05preva_view43[Folder Path1]&amp;"Process &amp; Database\Documentation\Colo Applications"</f>
        <v>D:\OneDrive - apollo-towers.com\Apollo Towers\00-Process &amp; Database\Documentation\Colo Applications</v>
      </c>
      <c r="BH36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3" s="63" t="str">
        <f ca="1">_05preva_view43[[#This Row],[Folder Path3]]&amp;_05preva_view43[[#This Row],[File Name]]</f>
        <v>D:\OneDrive - apollo-towers.com\Apollo Towers\00-Process &amp; Database\Documentation\Colo Applications\Colo App OML\ANMD_0073 (MAW2959) Application.xlsx</v>
      </c>
      <c r="BJ363" s="104"/>
      <c r="BK363" s="3"/>
      <c r="BL363" s="3"/>
      <c r="CJ363" s="5"/>
      <c r="CK363" s="5"/>
      <c r="CL363" s="3"/>
      <c r="CN363" s="5"/>
      <c r="CR363" s="3"/>
      <c r="CS363" s="3"/>
      <c r="CT363" s="5"/>
      <c r="CV363" s="3"/>
      <c r="DR363" s="5"/>
      <c r="DT363" s="3"/>
      <c r="EF363" s="7"/>
      <c r="EG363" s="7"/>
      <c r="EJ363" s="4"/>
      <c r="EK363" s="4"/>
      <c r="EU363" s="2"/>
      <c r="EV363" s="2"/>
    </row>
    <row r="364" spans="1:152">
      <c r="A364" s="287">
        <v>193</v>
      </c>
      <c r="B364" s="288" t="s">
        <v>467</v>
      </c>
      <c r="C364" s="288" t="s">
        <v>116</v>
      </c>
      <c r="D364" s="288" t="s">
        <v>117</v>
      </c>
      <c r="E364" s="288" t="s">
        <v>468</v>
      </c>
      <c r="F364" s="288" t="s">
        <v>40</v>
      </c>
      <c r="G364" s="288" t="s">
        <v>118</v>
      </c>
      <c r="H364" s="288"/>
      <c r="I364" s="288" t="s">
        <v>118</v>
      </c>
      <c r="J364" s="288"/>
      <c r="K364" s="289">
        <v>43236</v>
      </c>
      <c r="L364" s="290"/>
      <c r="M364" s="290">
        <v>3</v>
      </c>
      <c r="N364" s="288"/>
      <c r="O364" s="288" t="s">
        <v>119</v>
      </c>
      <c r="P364" s="291"/>
      <c r="Q364" s="291"/>
      <c r="R364" s="288" t="s">
        <v>24</v>
      </c>
      <c r="S364" s="288"/>
      <c r="T364" s="292" t="s">
        <v>120</v>
      </c>
      <c r="U364" s="288" t="s">
        <v>301</v>
      </c>
      <c r="V364" s="292" t="s">
        <v>120</v>
      </c>
      <c r="W364" s="288"/>
      <c r="X364" s="292" t="s">
        <v>120</v>
      </c>
      <c r="Y364" s="288" t="s">
        <v>120</v>
      </c>
      <c r="Z364" s="293" t="s">
        <v>120</v>
      </c>
      <c r="AA364" s="294"/>
      <c r="AB364" s="294"/>
      <c r="AC364" s="295"/>
      <c r="AD364" s="288" t="s">
        <v>120</v>
      </c>
      <c r="AE364" s="292" t="s">
        <v>120</v>
      </c>
      <c r="AF364" s="289" t="s">
        <v>207</v>
      </c>
      <c r="AG364" s="296"/>
      <c r="AH364" s="296">
        <v>3.5</v>
      </c>
      <c r="AI364" s="288" t="s">
        <v>308</v>
      </c>
      <c r="AJ364" s="292" t="s">
        <v>120</v>
      </c>
      <c r="AK364" s="288" t="s">
        <v>123</v>
      </c>
      <c r="AL364" s="288"/>
      <c r="AM364" s="292"/>
      <c r="AN364" s="288"/>
      <c r="AO364" s="288"/>
      <c r="AP364" s="297"/>
      <c r="AQ364" s="288"/>
      <c r="AR364" s="292"/>
      <c r="AS364" s="288"/>
      <c r="AT364" s="289"/>
      <c r="AU364" s="289">
        <v>43453.379053935198</v>
      </c>
      <c r="AV364" s="289"/>
      <c r="AW364" s="289"/>
      <c r="AX364" s="289"/>
      <c r="AY364" s="289"/>
      <c r="AZ364" s="298">
        <v>43236</v>
      </c>
      <c r="BA36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4" s="300">
        <f>COUNTIFS(_05preva_view43[Site ID],_05preva_view43[[#This Row],[Site ID]],_05preva_view43[Prevalidation Status],"Under Prevalidation")</f>
        <v>0</v>
      </c>
      <c r="BC36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4" s="302" t="str">
        <f>CONCATENATE(_05preva_view43[[#This Row],[Site ID]]," (",_05preva_view43[[#This Row],[tenant id]],") Application",IF(_05preva_view43[[#This Row],[Colo Rev]]&gt;0," Rev "&amp;_05preva_view43[[#This Row],[Colo Rev]],""),".xlsx")</f>
        <v>ANMG_0017 (MWW3484) Application.xlsx</v>
      </c>
      <c r="BE364" s="64">
        <f t="shared" ca="1" si="7"/>
        <v>50</v>
      </c>
      <c r="BF364" s="104" t="str">
        <f ca="1">LEFT(CELL("filename",A349),_05preva_view43[[#This Row],[Find Process &amp; Database]]-1)</f>
        <v>D:\OneDrive - apollo-towers.com\Apollo Towers\00-</v>
      </c>
      <c r="BG364" s="104" t="str">
        <f ca="1">_05preva_view43[Folder Path1]&amp;"Process &amp; Database\Documentation\Colo Applications"</f>
        <v>D:\OneDrive - apollo-towers.com\Apollo Towers\00-Process &amp; Database\Documentation\Colo Applications</v>
      </c>
      <c r="BH36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4" s="63" t="str">
        <f ca="1">_05preva_view43[[#This Row],[Folder Path3]]&amp;_05preva_view43[[#This Row],[File Name]]</f>
        <v>D:\OneDrive - apollo-towers.com\Apollo Towers\00-Process &amp; Database\Documentation\Colo Applications\Colo App OML\ANMG_0017 (MWW3484) Application.xlsx</v>
      </c>
      <c r="BJ364" s="104"/>
      <c r="BK364" s="3"/>
      <c r="BL364" s="3"/>
      <c r="CJ364" s="5"/>
      <c r="CK364" s="5"/>
      <c r="CL364" s="3"/>
      <c r="CN364" s="5"/>
      <c r="CR364" s="3"/>
      <c r="CS364" s="3"/>
      <c r="CT364" s="5"/>
      <c r="CV364" s="3"/>
      <c r="DR364" s="5"/>
      <c r="DT364" s="3"/>
      <c r="EF364" s="7"/>
      <c r="EG364" s="7"/>
      <c r="EJ364" s="4"/>
      <c r="EK364" s="4"/>
      <c r="EU364" s="2"/>
      <c r="EV364" s="2"/>
    </row>
    <row r="365" spans="1:152">
      <c r="A365" s="287">
        <v>194</v>
      </c>
      <c r="B365" s="288" t="s">
        <v>469</v>
      </c>
      <c r="C365" s="288" t="s">
        <v>116</v>
      </c>
      <c r="D365" s="288" t="s">
        <v>117</v>
      </c>
      <c r="E365" s="288" t="s">
        <v>470</v>
      </c>
      <c r="F365" s="288" t="s">
        <v>40</v>
      </c>
      <c r="G365" s="288" t="s">
        <v>118</v>
      </c>
      <c r="H365" s="288"/>
      <c r="I365" s="288" t="s">
        <v>118</v>
      </c>
      <c r="J365" s="288"/>
      <c r="K365" s="289">
        <v>43236</v>
      </c>
      <c r="L365" s="290"/>
      <c r="M365" s="290">
        <v>3</v>
      </c>
      <c r="N365" s="288"/>
      <c r="O365" s="288" t="s">
        <v>119</v>
      </c>
      <c r="P365" s="291"/>
      <c r="Q365" s="291"/>
      <c r="R365" s="288" t="s">
        <v>24</v>
      </c>
      <c r="S365" s="288"/>
      <c r="T365" s="292" t="s">
        <v>120</v>
      </c>
      <c r="U365" s="288" t="s">
        <v>301</v>
      </c>
      <c r="V365" s="292" t="s">
        <v>120</v>
      </c>
      <c r="W365" s="288"/>
      <c r="X365" s="292" t="s">
        <v>120</v>
      </c>
      <c r="Y365" s="288" t="s">
        <v>120</v>
      </c>
      <c r="Z365" s="293" t="s">
        <v>120</v>
      </c>
      <c r="AA365" s="294"/>
      <c r="AB365" s="294"/>
      <c r="AC365" s="295" t="s">
        <v>350</v>
      </c>
      <c r="AD365" s="288" t="s">
        <v>471</v>
      </c>
      <c r="AE365" s="292" t="s">
        <v>125</v>
      </c>
      <c r="AF365" s="289"/>
      <c r="AG365" s="296"/>
      <c r="AH365" s="296"/>
      <c r="AI365" s="288" t="s">
        <v>305</v>
      </c>
      <c r="AJ365" s="292" t="s">
        <v>120</v>
      </c>
      <c r="AK365" s="288" t="s">
        <v>123</v>
      </c>
      <c r="AL365" s="288"/>
      <c r="AM365" s="292"/>
      <c r="AN365" s="288"/>
      <c r="AO365" s="288"/>
      <c r="AP365" s="297"/>
      <c r="AQ365" s="288"/>
      <c r="AR365" s="292"/>
      <c r="AS365" s="288"/>
      <c r="AT365" s="289"/>
      <c r="AU365" s="289"/>
      <c r="AV365" s="289"/>
      <c r="AW365" s="289"/>
      <c r="AX365" s="289"/>
      <c r="AY365" s="289"/>
      <c r="AZ365" s="298">
        <v>43236</v>
      </c>
      <c r="BA36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5" s="300">
        <f>COUNTIFS(_05preva_view43[Site ID],_05preva_view43[[#This Row],[Site ID]],_05preva_view43[Prevalidation Status],"Under Prevalidation")</f>
        <v>0</v>
      </c>
      <c r="BC36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5" s="302" t="str">
        <f>CONCATENATE(_05preva_view43[[#This Row],[Site ID]]," (",_05preva_view43[[#This Row],[tenant id]],") Application",IF(_05preva_view43[[#This Row],[Colo Rev]]&gt;0," Rev "&amp;_05preva_view43[[#This Row],[Colo Rev]],""),".xlsx")</f>
        <v>ANNP_0276 (Replacement_43) Application.xlsx</v>
      </c>
      <c r="BE365" s="64">
        <f t="shared" ca="1" si="7"/>
        <v>50</v>
      </c>
      <c r="BF365" s="104" t="str">
        <f ca="1">LEFT(CELL("filename",A350),_05preva_view43[[#This Row],[Find Process &amp; Database]]-1)</f>
        <v>D:\OneDrive - apollo-towers.com\Apollo Towers\00-</v>
      </c>
      <c r="BG365" s="104" t="str">
        <f ca="1">_05preva_view43[Folder Path1]&amp;"Process &amp; Database\Documentation\Colo Applications"</f>
        <v>D:\OneDrive - apollo-towers.com\Apollo Towers\00-Process &amp; Database\Documentation\Colo Applications</v>
      </c>
      <c r="BH36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5" s="63" t="str">
        <f ca="1">_05preva_view43[[#This Row],[Folder Path3]]&amp;_05preva_view43[[#This Row],[File Name]]</f>
        <v>D:\OneDrive - apollo-towers.com\Apollo Towers\00-Process &amp; Database\Documentation\Colo Applications\Colo App OML\ANNP_0276 (Replacement_43) Application.xlsx</v>
      </c>
      <c r="BJ365" s="104"/>
      <c r="BK365" s="3"/>
      <c r="BL365" s="3"/>
      <c r="CJ365" s="5"/>
      <c r="CK365" s="5"/>
      <c r="CL365" s="3"/>
      <c r="CN365" s="5"/>
      <c r="CR365" s="3"/>
      <c r="CS365" s="3"/>
      <c r="CT365" s="5"/>
      <c r="CV365" s="3"/>
      <c r="DR365" s="5"/>
      <c r="DT365" s="3"/>
      <c r="EF365" s="7"/>
      <c r="EG365" s="7"/>
      <c r="EJ365" s="4"/>
      <c r="EK365" s="4"/>
      <c r="EU365" s="2"/>
      <c r="EV365" s="2"/>
    </row>
    <row r="366" spans="1:152">
      <c r="A366" s="287">
        <v>195</v>
      </c>
      <c r="B366" s="288" t="s">
        <v>472</v>
      </c>
      <c r="C366" s="288" t="s">
        <v>116</v>
      </c>
      <c r="D366" s="288" t="s">
        <v>117</v>
      </c>
      <c r="E366" s="288" t="s">
        <v>473</v>
      </c>
      <c r="F366" s="288" t="s">
        <v>40</v>
      </c>
      <c r="G366" s="288" t="s">
        <v>118</v>
      </c>
      <c r="H366" s="288"/>
      <c r="I366" s="288" t="s">
        <v>118</v>
      </c>
      <c r="J366" s="288"/>
      <c r="K366" s="289">
        <v>43236</v>
      </c>
      <c r="L366" s="290"/>
      <c r="M366" s="290">
        <v>3</v>
      </c>
      <c r="N366" s="288"/>
      <c r="O366" s="288" t="s">
        <v>119</v>
      </c>
      <c r="P366" s="291"/>
      <c r="Q366" s="291"/>
      <c r="R366" s="288" t="s">
        <v>24</v>
      </c>
      <c r="S366" s="288"/>
      <c r="T366" s="292" t="s">
        <v>120</v>
      </c>
      <c r="U366" s="288" t="s">
        <v>301</v>
      </c>
      <c r="V366" s="292" t="s">
        <v>120</v>
      </c>
      <c r="W366" s="288"/>
      <c r="X366" s="292" t="s">
        <v>120</v>
      </c>
      <c r="Y366" s="288" t="s">
        <v>120</v>
      </c>
      <c r="Z366" s="293" t="s">
        <v>120</v>
      </c>
      <c r="AA366" s="294"/>
      <c r="AB366" s="294"/>
      <c r="AC366" s="295" t="s">
        <v>350</v>
      </c>
      <c r="AD366" s="288" t="s">
        <v>421</v>
      </c>
      <c r="AE366" s="292" t="s">
        <v>125</v>
      </c>
      <c r="AF366" s="289"/>
      <c r="AG366" s="296"/>
      <c r="AH366" s="296"/>
      <c r="AI366" s="288" t="s">
        <v>474</v>
      </c>
      <c r="AJ366" s="292" t="s">
        <v>120</v>
      </c>
      <c r="AK366" s="288" t="s">
        <v>206</v>
      </c>
      <c r="AL366" s="288" t="s">
        <v>361</v>
      </c>
      <c r="AM366" s="292"/>
      <c r="AN366" s="288"/>
      <c r="AO366" s="288"/>
      <c r="AP366" s="297"/>
      <c r="AQ366" s="288"/>
      <c r="AR366" s="292"/>
      <c r="AS366" s="288"/>
      <c r="AT366" s="289"/>
      <c r="AU366" s="289"/>
      <c r="AV366" s="289"/>
      <c r="AW366" s="289"/>
      <c r="AX366" s="289"/>
      <c r="AY366" s="289"/>
      <c r="AZ366" s="298">
        <v>43236</v>
      </c>
      <c r="BA36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6" s="300">
        <f>COUNTIFS(_05preva_view43[Site ID],_05preva_view43[[#This Row],[Site ID]],_05preva_view43[Prevalidation Status],"Under Prevalidation")</f>
        <v>0</v>
      </c>
      <c r="BC36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6" s="302" t="str">
        <f>CONCATENATE(_05preva_view43[[#This Row],[Site ID]]," (",_05preva_view43[[#This Row],[tenant id]],") Application",IF(_05preva_view43[[#This Row],[Colo Rev]]&gt;0," Rev "&amp;_05preva_view43[[#This Row],[Colo Rev]],""),".xlsx")</f>
        <v>ANNP_0203 (Replacement_45) Application.xlsx</v>
      </c>
      <c r="BE366" s="64">
        <f t="shared" ca="1" si="7"/>
        <v>50</v>
      </c>
      <c r="BF366" s="104" t="str">
        <f ca="1">LEFT(CELL("filename",A351),_05preva_view43[[#This Row],[Find Process &amp; Database]]-1)</f>
        <v>D:\OneDrive - apollo-towers.com\Apollo Towers\00-</v>
      </c>
      <c r="BG366" s="104" t="str">
        <f ca="1">_05preva_view43[Folder Path1]&amp;"Process &amp; Database\Documentation\Colo Applications"</f>
        <v>D:\OneDrive - apollo-towers.com\Apollo Towers\00-Process &amp; Database\Documentation\Colo Applications</v>
      </c>
      <c r="BH36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6" s="63" t="str">
        <f ca="1">_05preva_view43[[#This Row],[Folder Path3]]&amp;_05preva_view43[[#This Row],[File Name]]</f>
        <v>D:\OneDrive - apollo-towers.com\Apollo Towers\00-Process &amp; Database\Documentation\Colo Applications\Colo App OML\ANNP_0203 (Replacement_45) Application.xlsx</v>
      </c>
      <c r="BJ366" s="104"/>
      <c r="BK366" s="3"/>
      <c r="BL366" s="3"/>
      <c r="CJ366" s="5"/>
      <c r="CK366" s="5"/>
      <c r="CL366" s="3"/>
      <c r="CN366" s="5"/>
      <c r="CR366" s="3"/>
      <c r="CS366" s="3"/>
      <c r="CT366" s="5"/>
      <c r="CV366" s="3"/>
      <c r="DR366" s="5"/>
      <c r="DT366" s="3"/>
      <c r="EF366" s="7"/>
      <c r="EG366" s="7"/>
      <c r="EJ366" s="4"/>
      <c r="EK366" s="4"/>
      <c r="EU366" s="2"/>
      <c r="EV366" s="2"/>
    </row>
    <row r="367" spans="1:152">
      <c r="A367" s="287">
        <v>197</v>
      </c>
      <c r="B367" s="288" t="s">
        <v>475</v>
      </c>
      <c r="C367" s="288" t="s">
        <v>116</v>
      </c>
      <c r="D367" s="288" t="s">
        <v>117</v>
      </c>
      <c r="E367" s="288" t="s">
        <v>476</v>
      </c>
      <c r="F367" s="288" t="s">
        <v>40</v>
      </c>
      <c r="G367" s="288" t="s">
        <v>118</v>
      </c>
      <c r="H367" s="288"/>
      <c r="I367" s="288" t="s">
        <v>118</v>
      </c>
      <c r="J367" s="288"/>
      <c r="K367" s="289">
        <v>43236</v>
      </c>
      <c r="L367" s="290"/>
      <c r="M367" s="290">
        <v>3</v>
      </c>
      <c r="N367" s="288"/>
      <c r="O367" s="288" t="s">
        <v>119</v>
      </c>
      <c r="P367" s="291"/>
      <c r="Q367" s="291"/>
      <c r="R367" s="288" t="s">
        <v>24</v>
      </c>
      <c r="S367" s="288"/>
      <c r="T367" s="292" t="s">
        <v>120</v>
      </c>
      <c r="U367" s="288" t="s">
        <v>301</v>
      </c>
      <c r="V367" s="292" t="s">
        <v>120</v>
      </c>
      <c r="W367" s="288"/>
      <c r="X367" s="292" t="s">
        <v>120</v>
      </c>
      <c r="Y367" s="288" t="s">
        <v>477</v>
      </c>
      <c r="Z367" s="293" t="s">
        <v>120</v>
      </c>
      <c r="AA367" s="294"/>
      <c r="AB367" s="294"/>
      <c r="AC367" s="295"/>
      <c r="AD367" s="288" t="s">
        <v>120</v>
      </c>
      <c r="AE367" s="292" t="s">
        <v>120</v>
      </c>
      <c r="AF367" s="289" t="s">
        <v>207</v>
      </c>
      <c r="AG367" s="296"/>
      <c r="AH367" s="296">
        <v>3.5</v>
      </c>
      <c r="AI367" s="288" t="s">
        <v>308</v>
      </c>
      <c r="AJ367" s="292" t="s">
        <v>120</v>
      </c>
      <c r="AK367" s="288" t="s">
        <v>123</v>
      </c>
      <c r="AL367" s="288"/>
      <c r="AM367" s="292"/>
      <c r="AN367" s="288"/>
      <c r="AO367" s="288"/>
      <c r="AP367" s="297"/>
      <c r="AQ367" s="288"/>
      <c r="AR367" s="292"/>
      <c r="AS367" s="288"/>
      <c r="AT367" s="289"/>
      <c r="AU367" s="289">
        <v>43453.37905625</v>
      </c>
      <c r="AV367" s="289"/>
      <c r="AW367" s="289"/>
      <c r="AX367" s="289"/>
      <c r="AY367" s="289"/>
      <c r="AZ367" s="298">
        <v>43236</v>
      </c>
      <c r="BA36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7" s="300">
        <f>COUNTIFS(_05preva_view43[Site ID],_05preva_view43[[#This Row],[Site ID]],_05preva_view43[Prevalidation Status],"Under Prevalidation")</f>
        <v>0</v>
      </c>
      <c r="BC36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7" s="302" t="str">
        <f>CONCATENATE(_05preva_view43[[#This Row],[Site ID]]," (",_05preva_view43[[#This Row],[tenant id]],") Application",IF(_05preva_view43[[#This Row],[Colo Rev]]&gt;0," Rev "&amp;_05preva_view43[[#This Row],[Colo Rev]],""),".xlsx")</f>
        <v>ASKH_0019 (KYW6082) Application.xlsx</v>
      </c>
      <c r="BE367" s="64">
        <f t="shared" ca="1" si="7"/>
        <v>50</v>
      </c>
      <c r="BF367" s="104" t="str">
        <f ca="1">LEFT(CELL("filename",A352),_05preva_view43[[#This Row],[Find Process &amp; Database]]-1)</f>
        <v>D:\OneDrive - apollo-towers.com\Apollo Towers\00-</v>
      </c>
      <c r="BG367" s="104" t="str">
        <f ca="1">_05preva_view43[Folder Path1]&amp;"Process &amp; Database\Documentation\Colo Applications"</f>
        <v>D:\OneDrive - apollo-towers.com\Apollo Towers\00-Process &amp; Database\Documentation\Colo Applications</v>
      </c>
      <c r="BH36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7" s="63" t="str">
        <f ca="1">_05preva_view43[[#This Row],[Folder Path3]]&amp;_05preva_view43[[#This Row],[File Name]]</f>
        <v>D:\OneDrive - apollo-towers.com\Apollo Towers\00-Process &amp; Database\Documentation\Colo Applications\Colo App OML\ASKH_0019 (KYW6082) Application.xlsx</v>
      </c>
      <c r="BJ367" s="104"/>
      <c r="BK367" s="3"/>
      <c r="BL367" s="3"/>
      <c r="CJ367" s="5"/>
      <c r="CK367" s="5"/>
      <c r="CL367" s="3"/>
      <c r="CN367" s="5"/>
      <c r="CR367" s="3"/>
      <c r="CS367" s="3"/>
      <c r="CT367" s="5"/>
      <c r="CV367" s="3"/>
      <c r="DR367" s="5"/>
      <c r="DT367" s="3"/>
      <c r="EF367" s="7"/>
      <c r="EG367" s="7"/>
      <c r="EJ367" s="4"/>
      <c r="EK367" s="4"/>
      <c r="EU367" s="2"/>
      <c r="EV367" s="2"/>
    </row>
    <row r="368" spans="1:152">
      <c r="A368" s="287">
        <v>198</v>
      </c>
      <c r="B368" s="288" t="s">
        <v>478</v>
      </c>
      <c r="C368" s="288" t="s">
        <v>116</v>
      </c>
      <c r="D368" s="288" t="s">
        <v>153</v>
      </c>
      <c r="E368" s="288" t="s">
        <v>479</v>
      </c>
      <c r="F368" s="288" t="s">
        <v>40</v>
      </c>
      <c r="G368" s="288" t="s">
        <v>1289</v>
      </c>
      <c r="H368" s="288" t="s">
        <v>1290</v>
      </c>
      <c r="I368" s="288" t="s">
        <v>118</v>
      </c>
      <c r="J368" s="288"/>
      <c r="K368" s="289">
        <v>43236</v>
      </c>
      <c r="L368" s="290"/>
      <c r="M368" s="290">
        <v>3</v>
      </c>
      <c r="N368" s="288"/>
      <c r="O368" s="288" t="s">
        <v>119</v>
      </c>
      <c r="P368" s="291"/>
      <c r="Q368" s="291"/>
      <c r="R368" s="288" t="s">
        <v>24</v>
      </c>
      <c r="S368" s="288"/>
      <c r="T368" s="292" t="s">
        <v>120</v>
      </c>
      <c r="U368" s="288" t="s">
        <v>301</v>
      </c>
      <c r="V368" s="292" t="s">
        <v>120</v>
      </c>
      <c r="W368" s="288"/>
      <c r="X368" s="292" t="s">
        <v>120</v>
      </c>
      <c r="Y368" s="288" t="s">
        <v>120</v>
      </c>
      <c r="Z368" s="293" t="s">
        <v>120</v>
      </c>
      <c r="AA368" s="294"/>
      <c r="AB368" s="294"/>
      <c r="AC368" s="295"/>
      <c r="AD368" s="288" t="s">
        <v>120</v>
      </c>
      <c r="AE368" s="292" t="s">
        <v>120</v>
      </c>
      <c r="AF368" s="289" t="s">
        <v>358</v>
      </c>
      <c r="AG368" s="296"/>
      <c r="AH368" s="296">
        <v>3.5</v>
      </c>
      <c r="AI368" s="288" t="s">
        <v>480</v>
      </c>
      <c r="AJ368" s="292" t="s">
        <v>120</v>
      </c>
      <c r="AK368" s="288" t="s">
        <v>123</v>
      </c>
      <c r="AL368" s="288"/>
      <c r="AM368" s="292"/>
      <c r="AN368" s="288"/>
      <c r="AO368" s="288"/>
      <c r="AP368" s="297"/>
      <c r="AQ368" s="288"/>
      <c r="AR368" s="292"/>
      <c r="AS368" s="288"/>
      <c r="AT368" s="289"/>
      <c r="AU368" s="289">
        <v>43453.3790570602</v>
      </c>
      <c r="AV368" s="289"/>
      <c r="AW368" s="289"/>
      <c r="AX368" s="289"/>
      <c r="AY368" s="289"/>
      <c r="AZ368" s="298">
        <v>43236</v>
      </c>
      <c r="BA36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68" s="300">
        <f>COUNTIFS(_05preva_view43[Site ID],_05preva_view43[[#This Row],[Site ID]],_05preva_view43[Prevalidation Status],"Under Prevalidation")</f>
        <v>0</v>
      </c>
      <c r="BC36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8" s="302" t="str">
        <f>CONCATENATE(_05preva_view43[[#This Row],[Site ID]]," (",_05preva_view43[[#This Row],[tenant id]],") Application",IF(_05preva_view43[[#This Row],[Colo Rev]]&gt;0," Rev "&amp;_05preva_view43[[#This Row],[Colo Rev]],""),".xlsx")</f>
        <v>ASTN_0045 (TAW6250) Application.xlsx</v>
      </c>
      <c r="BE368" s="64">
        <f t="shared" ca="1" si="7"/>
        <v>50</v>
      </c>
      <c r="BF368" s="104" t="str">
        <f ca="1">LEFT(CELL("filename",A353),_05preva_view43[[#This Row],[Find Process &amp; Database]]-1)</f>
        <v>D:\OneDrive - apollo-towers.com\Apollo Towers\00-</v>
      </c>
      <c r="BG368" s="104" t="str">
        <f ca="1">_05preva_view43[Folder Path1]&amp;"Process &amp; Database\Documentation\Colo Applications"</f>
        <v>D:\OneDrive - apollo-towers.com\Apollo Towers\00-Process &amp; Database\Documentation\Colo Applications</v>
      </c>
      <c r="BH36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8" s="63" t="str">
        <f ca="1">_05preva_view43[[#This Row],[Folder Path3]]&amp;_05preva_view43[[#This Row],[File Name]]</f>
        <v>D:\OneDrive - apollo-towers.com\Apollo Towers\00-Process &amp; Database\Documentation\Colo Applications\Colo App OML\ASTN_0045 (TAW6250) Application.xlsx</v>
      </c>
      <c r="BJ368" s="104"/>
      <c r="BK368" s="3"/>
      <c r="BL368" s="3"/>
      <c r="CJ368" s="5"/>
      <c r="CK368" s="5"/>
      <c r="CL368" s="3"/>
      <c r="CN368" s="5"/>
      <c r="CR368" s="3"/>
      <c r="CS368" s="3"/>
      <c r="CT368" s="5"/>
      <c r="CV368" s="3"/>
      <c r="DR368" s="5"/>
      <c r="DT368" s="3"/>
      <c r="EF368" s="7"/>
      <c r="EG368" s="7"/>
      <c r="EJ368" s="4"/>
      <c r="EK368" s="4"/>
      <c r="EU368" s="2"/>
      <c r="EV368" s="2"/>
    </row>
    <row r="369" spans="1:152">
      <c r="A369" s="287">
        <v>199</v>
      </c>
      <c r="B369" s="288" t="s">
        <v>481</v>
      </c>
      <c r="C369" s="288" t="s">
        <v>116</v>
      </c>
      <c r="D369" s="288" t="s">
        <v>153</v>
      </c>
      <c r="E369" s="288" t="s">
        <v>482</v>
      </c>
      <c r="F369" s="288" t="s">
        <v>40</v>
      </c>
      <c r="G369" s="288" t="s">
        <v>1289</v>
      </c>
      <c r="H369" s="288" t="s">
        <v>1290</v>
      </c>
      <c r="I369" s="288" t="s">
        <v>118</v>
      </c>
      <c r="J369" s="288"/>
      <c r="K369" s="289">
        <v>43236</v>
      </c>
      <c r="L369" s="290"/>
      <c r="M369" s="290">
        <v>3</v>
      </c>
      <c r="N369" s="288"/>
      <c r="O369" s="288" t="s">
        <v>119</v>
      </c>
      <c r="P369" s="291"/>
      <c r="Q369" s="291"/>
      <c r="R369" s="288" t="s">
        <v>24</v>
      </c>
      <c r="S369" s="288"/>
      <c r="T369" s="292" t="s">
        <v>120</v>
      </c>
      <c r="U369" s="288" t="s">
        <v>301</v>
      </c>
      <c r="V369" s="292" t="s">
        <v>120</v>
      </c>
      <c r="W369" s="288" t="s">
        <v>120</v>
      </c>
      <c r="X369" s="292" t="s">
        <v>120</v>
      </c>
      <c r="Y369" s="288" t="s">
        <v>120</v>
      </c>
      <c r="Z369" s="293" t="s">
        <v>120</v>
      </c>
      <c r="AA369" s="294"/>
      <c r="AB369" s="294"/>
      <c r="AC369" s="295"/>
      <c r="AD369" s="288" t="s">
        <v>120</v>
      </c>
      <c r="AE369" s="292" t="s">
        <v>125</v>
      </c>
      <c r="AF369" s="289"/>
      <c r="AG369" s="296"/>
      <c r="AH369" s="296"/>
      <c r="AI369" s="288" t="s">
        <v>368</v>
      </c>
      <c r="AJ369" s="292" t="s">
        <v>120</v>
      </c>
      <c r="AK369" s="288" t="s">
        <v>123</v>
      </c>
      <c r="AL369" s="288"/>
      <c r="AM369" s="292"/>
      <c r="AN369" s="288"/>
      <c r="AO369" s="288"/>
      <c r="AP369" s="297"/>
      <c r="AQ369" s="288"/>
      <c r="AR369" s="292" t="s">
        <v>120</v>
      </c>
      <c r="AS369" s="288"/>
      <c r="AT369" s="289">
        <v>43417.627321874999</v>
      </c>
      <c r="AU369" s="289"/>
      <c r="AV369" s="289">
        <v>43417.680085069398</v>
      </c>
      <c r="AW369" s="289">
        <v>43417.7112494213</v>
      </c>
      <c r="AX369" s="289">
        <v>43417.688151041701</v>
      </c>
      <c r="AY369" s="289">
        <v>43431.647528125002</v>
      </c>
      <c r="AZ369" s="298">
        <v>43431.647528125002</v>
      </c>
      <c r="BA369" s="299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195.64752812500228</v>
      </c>
      <c r="BB369" s="300">
        <f>COUNTIFS(_05preva_view43[Site ID],_05preva_view43[[#This Row],[Site ID]],_05preva_view43[Prevalidation Status],"Under Prevalidation")</f>
        <v>0</v>
      </c>
      <c r="BC36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69" s="302" t="str">
        <f>CONCATENATE(_05preva_view43[[#This Row],[Site ID]]," (",_05preva_view43[[#This Row],[tenant id]],") Application",IF(_05preva_view43[[#This Row],[Colo Rev]]&gt;0," Rev "&amp;_05preva_view43[[#This Row],[Colo Rev]],""),".xlsx")</f>
        <v>ASTN_0035 (TAW6249) Application.xlsx</v>
      </c>
      <c r="BE369" s="64">
        <f t="shared" ca="1" si="7"/>
        <v>50</v>
      </c>
      <c r="BF369" s="104" t="str">
        <f ca="1">LEFT(CELL("filename",A354),_05preva_view43[[#This Row],[Find Process &amp; Database]]-1)</f>
        <v>D:\OneDrive - apollo-towers.com\Apollo Towers\00-</v>
      </c>
      <c r="BG369" s="104" t="str">
        <f ca="1">_05preva_view43[Folder Path1]&amp;"Process &amp; Database\Documentation\Colo Applications"</f>
        <v>D:\OneDrive - apollo-towers.com\Apollo Towers\00-Process &amp; Database\Documentation\Colo Applications</v>
      </c>
      <c r="BH36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69" s="63" t="str">
        <f ca="1">_05preva_view43[[#This Row],[Folder Path3]]&amp;_05preva_view43[[#This Row],[File Name]]</f>
        <v>D:\OneDrive - apollo-towers.com\Apollo Towers\00-Process &amp; Database\Documentation\Colo Applications\Colo App OML\ASTN_0035 (TAW6249) Application.xlsx</v>
      </c>
      <c r="BJ369" s="104"/>
      <c r="BK369" s="3"/>
      <c r="BL369" s="3"/>
      <c r="CJ369" s="5"/>
      <c r="CK369" s="5"/>
      <c r="CL369" s="3"/>
      <c r="CN369" s="5"/>
      <c r="CR369" s="3"/>
      <c r="CS369" s="3"/>
      <c r="CT369" s="5"/>
      <c r="CV369" s="3"/>
      <c r="DR369" s="5"/>
      <c r="DT369" s="3"/>
      <c r="EF369" s="7"/>
      <c r="EG369" s="7"/>
      <c r="EJ369" s="4"/>
      <c r="EK369" s="4"/>
      <c r="EU369" s="2"/>
      <c r="EV369" s="2"/>
    </row>
    <row r="370" spans="1:152">
      <c r="A370" s="287">
        <v>200</v>
      </c>
      <c r="B370" s="288" t="s">
        <v>483</v>
      </c>
      <c r="C370" s="288" t="s">
        <v>116</v>
      </c>
      <c r="D370" s="288" t="s">
        <v>153</v>
      </c>
      <c r="E370" s="288" t="s">
        <v>484</v>
      </c>
      <c r="F370" s="288" t="s">
        <v>40</v>
      </c>
      <c r="G370" s="288" t="s">
        <v>118</v>
      </c>
      <c r="H370" s="288"/>
      <c r="I370" s="288" t="s">
        <v>118</v>
      </c>
      <c r="J370" s="288"/>
      <c r="K370" s="289">
        <v>43236</v>
      </c>
      <c r="L370" s="290"/>
      <c r="M370" s="290">
        <v>3</v>
      </c>
      <c r="N370" s="288"/>
      <c r="O370" s="288" t="s">
        <v>119</v>
      </c>
      <c r="P370" s="291"/>
      <c r="Q370" s="291"/>
      <c r="R370" s="288" t="s">
        <v>24</v>
      </c>
      <c r="S370" s="288"/>
      <c r="T370" s="292" t="s">
        <v>120</v>
      </c>
      <c r="U370" s="288" t="s">
        <v>319</v>
      </c>
      <c r="V370" s="292" t="s">
        <v>120</v>
      </c>
      <c r="W370" s="288"/>
      <c r="X370" s="292" t="s">
        <v>120</v>
      </c>
      <c r="Y370" s="288" t="s">
        <v>320</v>
      </c>
      <c r="Z370" s="293" t="s">
        <v>120</v>
      </c>
      <c r="AA370" s="294"/>
      <c r="AB370" s="294"/>
      <c r="AC370" s="295" t="s">
        <v>123</v>
      </c>
      <c r="AD370" s="288" t="s">
        <v>331</v>
      </c>
      <c r="AE370" s="292" t="s">
        <v>125</v>
      </c>
      <c r="AF370" s="289"/>
      <c r="AG370" s="296"/>
      <c r="AH370" s="296"/>
      <c r="AI370" s="288" t="s">
        <v>485</v>
      </c>
      <c r="AJ370" s="292" t="s">
        <v>120</v>
      </c>
      <c r="AK370" s="288" t="s">
        <v>123</v>
      </c>
      <c r="AL370" s="288"/>
      <c r="AM370" s="292"/>
      <c r="AN370" s="288"/>
      <c r="AO370" s="288"/>
      <c r="AP370" s="297"/>
      <c r="AQ370" s="288"/>
      <c r="AR370" s="292"/>
      <c r="AS370" s="288"/>
      <c r="AT370" s="289"/>
      <c r="AU370" s="289"/>
      <c r="AV370" s="289"/>
      <c r="AW370" s="289"/>
      <c r="AX370" s="289"/>
      <c r="AY370" s="289"/>
      <c r="AZ370" s="298"/>
      <c r="BA37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0" s="300">
        <f>COUNTIFS(_05preva_view43[Site ID],_05preva_view43[[#This Row],[Site ID]],_05preva_view43[Prevalidation Status],"Under Prevalidation")</f>
        <v>0</v>
      </c>
      <c r="BC37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0" s="302" t="str">
        <f>CONCATENATE(_05preva_view43[[#This Row],[Site ID]]," (",_05preva_view43[[#This Row],[tenant id]],") Application",IF(_05preva_view43[[#This Row],[Colo Rev]]&gt;0," Rev "&amp;_05preva_view43[[#This Row],[Colo Rev]],""),".xlsx")</f>
        <v>ASMO_0295 (MOW6295) Application.xlsx</v>
      </c>
      <c r="BE370" s="64">
        <f t="shared" ca="1" si="7"/>
        <v>50</v>
      </c>
      <c r="BF370" s="104" t="str">
        <f ca="1">LEFT(CELL("filename",A355),_05preva_view43[[#This Row],[Find Process &amp; Database]]-1)</f>
        <v>D:\OneDrive - apollo-towers.com\Apollo Towers\00-</v>
      </c>
      <c r="BG370" s="104" t="str">
        <f ca="1">_05preva_view43[Folder Path1]&amp;"Process &amp; Database\Documentation\Colo Applications"</f>
        <v>D:\OneDrive - apollo-towers.com\Apollo Towers\00-Process &amp; Database\Documentation\Colo Applications</v>
      </c>
      <c r="BH37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0" s="63" t="str">
        <f ca="1">_05preva_view43[[#This Row],[Folder Path3]]&amp;_05preva_view43[[#This Row],[File Name]]</f>
        <v>D:\OneDrive - apollo-towers.com\Apollo Towers\00-Process &amp; Database\Documentation\Colo Applications\Colo App OML\ASMO_0295 (MOW6295) Application.xlsx</v>
      </c>
      <c r="BJ370" s="104"/>
      <c r="BK370" s="3"/>
      <c r="BL370" s="3"/>
      <c r="CJ370" s="5"/>
      <c r="CK370" s="5"/>
      <c r="CL370" s="3"/>
      <c r="CN370" s="5"/>
      <c r="CR370" s="3"/>
      <c r="CS370" s="3"/>
      <c r="CT370" s="5"/>
      <c r="CV370" s="3"/>
      <c r="DR370" s="5"/>
      <c r="DT370" s="3"/>
      <c r="EF370" s="7"/>
      <c r="EG370" s="7"/>
      <c r="EJ370" s="4"/>
      <c r="EK370" s="4"/>
      <c r="EU370" s="2"/>
      <c r="EV370" s="2"/>
    </row>
    <row r="371" spans="1:152">
      <c r="A371" s="287">
        <v>202</v>
      </c>
      <c r="B371" s="288" t="s">
        <v>486</v>
      </c>
      <c r="C371" s="288" t="s">
        <v>116</v>
      </c>
      <c r="D371" s="288" t="s">
        <v>117</v>
      </c>
      <c r="E371" s="288" t="s">
        <v>487</v>
      </c>
      <c r="F371" s="288" t="s">
        <v>40</v>
      </c>
      <c r="G371" s="288" t="s">
        <v>1289</v>
      </c>
      <c r="H371" s="288" t="s">
        <v>1285</v>
      </c>
      <c r="I371" s="288" t="s">
        <v>118</v>
      </c>
      <c r="J371" s="288"/>
      <c r="K371" s="289">
        <v>43236</v>
      </c>
      <c r="L371" s="290"/>
      <c r="M371" s="290">
        <v>3</v>
      </c>
      <c r="N371" s="288"/>
      <c r="O371" s="288" t="s">
        <v>119</v>
      </c>
      <c r="P371" s="291"/>
      <c r="Q371" s="291"/>
      <c r="R371" s="288" t="s">
        <v>24</v>
      </c>
      <c r="S371" s="288"/>
      <c r="T371" s="292" t="s">
        <v>120</v>
      </c>
      <c r="U371" s="288" t="s">
        <v>301</v>
      </c>
      <c r="V371" s="292" t="s">
        <v>120</v>
      </c>
      <c r="W371" s="288"/>
      <c r="X371" s="292" t="s">
        <v>120</v>
      </c>
      <c r="Y371" s="288" t="s">
        <v>120</v>
      </c>
      <c r="Z371" s="293" t="s">
        <v>120</v>
      </c>
      <c r="AA371" s="294"/>
      <c r="AB371" s="294"/>
      <c r="AC371" s="295"/>
      <c r="AD371" s="288" t="s">
        <v>120</v>
      </c>
      <c r="AE371" s="292" t="s">
        <v>120</v>
      </c>
      <c r="AF371" s="289" t="s">
        <v>207</v>
      </c>
      <c r="AG371" s="296"/>
      <c r="AH371" s="296">
        <v>3.5</v>
      </c>
      <c r="AI371" s="288" t="s">
        <v>488</v>
      </c>
      <c r="AJ371" s="292" t="s">
        <v>120</v>
      </c>
      <c r="AK371" s="288" t="s">
        <v>123</v>
      </c>
      <c r="AL371" s="288"/>
      <c r="AM371" s="292"/>
      <c r="AN371" s="288"/>
      <c r="AO371" s="288"/>
      <c r="AP371" s="297"/>
      <c r="AQ371" s="288"/>
      <c r="AR371" s="292"/>
      <c r="AS371" s="288"/>
      <c r="AT371" s="289"/>
      <c r="AU371" s="289">
        <v>43453.379059953702</v>
      </c>
      <c r="AV371" s="289"/>
      <c r="AW371" s="289"/>
      <c r="AX371" s="289"/>
      <c r="AY371" s="289"/>
      <c r="AZ371" s="298">
        <v>43236</v>
      </c>
      <c r="BA37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1" s="300">
        <f>COUNTIFS(_05preva_view43[Site ID],_05preva_view43[[#This Row],[Site ID]],_05preva_view43[Prevalidation Status],"Under Prevalidation")</f>
        <v>0</v>
      </c>
      <c r="BC37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1" s="302" t="str">
        <f>CONCATENATE(_05preva_view43[[#This Row],[Site ID]]," (",_05preva_view43[[#This Row],[tenant id]],") Application",IF(_05preva_view43[[#This Row],[Colo Rev]]&gt;0," Rev "&amp;_05preva_view43[[#This Row],[Colo Rev]],""),".xlsx")</f>
        <v>ACBA_0245 (BAW5555) Application.xlsx</v>
      </c>
      <c r="BE371" s="64">
        <f t="shared" ca="1" si="7"/>
        <v>50</v>
      </c>
      <c r="BF371" s="104" t="str">
        <f ca="1">LEFT(CELL("filename",A356),_05preva_view43[[#This Row],[Find Process &amp; Database]]-1)</f>
        <v>D:\OneDrive - apollo-towers.com\Apollo Towers\00-</v>
      </c>
      <c r="BG371" s="104" t="str">
        <f ca="1">_05preva_view43[Folder Path1]&amp;"Process &amp; Database\Documentation\Colo Applications"</f>
        <v>D:\OneDrive - apollo-towers.com\Apollo Towers\00-Process &amp; Database\Documentation\Colo Applications</v>
      </c>
      <c r="BH371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1" s="63" t="str">
        <f ca="1">_05preva_view43[[#This Row],[Folder Path3]]&amp;_05preva_view43[[#This Row],[File Name]]</f>
        <v>D:\OneDrive - apollo-towers.com\Apollo Towers\00-Process &amp; Database\Documentation\Colo Applications\Colo App OML\ACBA_0245 (BAW5555) Application.xlsx</v>
      </c>
      <c r="BJ371" s="104"/>
      <c r="BK371" s="3"/>
      <c r="BL371" s="3"/>
      <c r="CJ371" s="5"/>
      <c r="CK371" s="5"/>
      <c r="CL371" s="3"/>
      <c r="CN371" s="5"/>
      <c r="CR371" s="3"/>
      <c r="CS371" s="3"/>
      <c r="CT371" s="5"/>
      <c r="CV371" s="3"/>
      <c r="DR371" s="5"/>
      <c r="DT371" s="3"/>
      <c r="EF371" s="7"/>
      <c r="EG371" s="7"/>
      <c r="EJ371" s="4"/>
      <c r="EK371" s="4"/>
      <c r="EU371" s="2"/>
      <c r="EV371" s="2"/>
    </row>
    <row r="372" spans="1:152">
      <c r="A372" s="287">
        <v>204</v>
      </c>
      <c r="B372" s="288" t="s">
        <v>489</v>
      </c>
      <c r="C372" s="288" t="s">
        <v>116</v>
      </c>
      <c r="D372" s="288" t="s">
        <v>153</v>
      </c>
      <c r="E372" s="288" t="s">
        <v>490</v>
      </c>
      <c r="F372" s="288" t="s">
        <v>40</v>
      </c>
      <c r="G372" s="288" t="s">
        <v>118</v>
      </c>
      <c r="H372" s="288"/>
      <c r="I372" s="288" t="s">
        <v>118</v>
      </c>
      <c r="J372" s="288"/>
      <c r="K372" s="289">
        <v>43236</v>
      </c>
      <c r="L372" s="290"/>
      <c r="M372" s="290">
        <v>3</v>
      </c>
      <c r="N372" s="288"/>
      <c r="O372" s="288" t="s">
        <v>119</v>
      </c>
      <c r="P372" s="291"/>
      <c r="Q372" s="291"/>
      <c r="R372" s="288" t="s">
        <v>24</v>
      </c>
      <c r="S372" s="288"/>
      <c r="T372" s="292" t="s">
        <v>120</v>
      </c>
      <c r="U372" s="288" t="s">
        <v>301</v>
      </c>
      <c r="V372" s="292" t="s">
        <v>120</v>
      </c>
      <c r="W372" s="288"/>
      <c r="X372" s="292" t="s">
        <v>120</v>
      </c>
      <c r="Y372" s="288" t="s">
        <v>120</v>
      </c>
      <c r="Z372" s="293" t="s">
        <v>120</v>
      </c>
      <c r="AA372" s="294"/>
      <c r="AB372" s="294"/>
      <c r="AC372" s="295"/>
      <c r="AD372" s="288" t="s">
        <v>120</v>
      </c>
      <c r="AE372" s="292" t="s">
        <v>120</v>
      </c>
      <c r="AF372" s="289" t="s">
        <v>207</v>
      </c>
      <c r="AG372" s="296"/>
      <c r="AH372" s="296">
        <v>3.5</v>
      </c>
      <c r="AI372" s="288" t="s">
        <v>208</v>
      </c>
      <c r="AJ372" s="292" t="s">
        <v>120</v>
      </c>
      <c r="AK372" s="288" t="s">
        <v>123</v>
      </c>
      <c r="AL372" s="288"/>
      <c r="AM372" s="292"/>
      <c r="AN372" s="288"/>
      <c r="AO372" s="288"/>
      <c r="AP372" s="297"/>
      <c r="AQ372" s="288"/>
      <c r="AR372" s="292"/>
      <c r="AS372" s="288"/>
      <c r="AT372" s="289"/>
      <c r="AU372" s="289">
        <v>43453.379060879597</v>
      </c>
      <c r="AV372" s="289"/>
      <c r="AW372" s="289"/>
      <c r="AX372" s="289"/>
      <c r="AY372" s="289"/>
      <c r="AZ372" s="298">
        <v>43236</v>
      </c>
      <c r="BA37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2" s="300">
        <f>COUNTIFS(_05preva_view43[Site ID],_05preva_view43[[#This Row],[Site ID]],_05preva_view43[Prevalidation Status],"Under Prevalidation")</f>
        <v>0</v>
      </c>
      <c r="BC37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2" s="302" t="str">
        <f>CONCATENATE(_05preva_view43[[#This Row],[Site ID]]," (",_05preva_view43[[#This Row],[tenant id]],") Application",IF(_05preva_view43[[#This Row],[Colo Rev]]&gt;0," Rev "&amp;_05preva_view43[[#This Row],[Colo Rev]],""),".xlsx")</f>
        <v>ACAY_0171 (AYW5539) Application.xlsx</v>
      </c>
      <c r="BE372" s="64">
        <f t="shared" ca="1" si="7"/>
        <v>50</v>
      </c>
      <c r="BF372" s="104" t="str">
        <f ca="1">LEFT(CELL("filename",A357),_05preva_view43[[#This Row],[Find Process &amp; Database]]-1)</f>
        <v>D:\OneDrive - apollo-towers.com\Apollo Towers\00-</v>
      </c>
      <c r="BG372" s="104" t="str">
        <f ca="1">_05preva_view43[Folder Path1]&amp;"Process &amp; Database\Documentation\Colo Applications"</f>
        <v>D:\OneDrive - apollo-towers.com\Apollo Towers\00-Process &amp; Database\Documentation\Colo Applications</v>
      </c>
      <c r="BH37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2" s="63" t="str">
        <f ca="1">_05preva_view43[[#This Row],[Folder Path3]]&amp;_05preva_view43[[#This Row],[File Name]]</f>
        <v>D:\OneDrive - apollo-towers.com\Apollo Towers\00-Process &amp; Database\Documentation\Colo Applications\Colo App OML\ACAY_0171 (AYW5539) Application.xlsx</v>
      </c>
      <c r="BJ372" s="104"/>
      <c r="BK372" s="3"/>
      <c r="BL372" s="3"/>
      <c r="CJ372" s="5"/>
      <c r="CK372" s="5"/>
      <c r="CL372" s="3"/>
      <c r="CN372" s="5"/>
      <c r="CR372" s="3"/>
      <c r="CS372" s="3"/>
      <c r="CT372" s="5"/>
      <c r="CV372" s="3"/>
      <c r="DR372" s="5"/>
      <c r="DT372" s="3"/>
      <c r="EF372" s="7"/>
      <c r="EG372" s="7"/>
      <c r="EJ372" s="4"/>
      <c r="EK372" s="4"/>
      <c r="EU372" s="2"/>
      <c r="EV372" s="2"/>
    </row>
    <row r="373" spans="1:152">
      <c r="A373" s="287">
        <v>205</v>
      </c>
      <c r="B373" s="288" t="s">
        <v>491</v>
      </c>
      <c r="C373" s="288" t="s">
        <v>116</v>
      </c>
      <c r="D373" s="288" t="s">
        <v>117</v>
      </c>
      <c r="E373" s="288" t="s">
        <v>492</v>
      </c>
      <c r="F373" s="288" t="s">
        <v>40</v>
      </c>
      <c r="G373" s="288" t="s">
        <v>1289</v>
      </c>
      <c r="H373" s="288" t="s">
        <v>1290</v>
      </c>
      <c r="I373" s="288" t="s">
        <v>118</v>
      </c>
      <c r="J373" s="288"/>
      <c r="K373" s="289">
        <v>43236</v>
      </c>
      <c r="L373" s="290"/>
      <c r="M373" s="290">
        <v>3</v>
      </c>
      <c r="N373" s="288"/>
      <c r="O373" s="288" t="s">
        <v>119</v>
      </c>
      <c r="P373" s="291"/>
      <c r="Q373" s="291"/>
      <c r="R373" s="288" t="s">
        <v>24</v>
      </c>
      <c r="S373" s="288"/>
      <c r="T373" s="292" t="s">
        <v>120</v>
      </c>
      <c r="U373" s="288" t="s">
        <v>301</v>
      </c>
      <c r="V373" s="292" t="s">
        <v>120</v>
      </c>
      <c r="W373" s="288"/>
      <c r="X373" s="292" t="s">
        <v>120</v>
      </c>
      <c r="Y373" s="288" t="s">
        <v>120</v>
      </c>
      <c r="Z373" s="293" t="s">
        <v>120</v>
      </c>
      <c r="AA373" s="294"/>
      <c r="AB373" s="294"/>
      <c r="AC373" s="295"/>
      <c r="AD373" s="288" t="s">
        <v>120</v>
      </c>
      <c r="AE373" s="292" t="s">
        <v>120</v>
      </c>
      <c r="AF373" s="289" t="s">
        <v>207</v>
      </c>
      <c r="AG373" s="296"/>
      <c r="AH373" s="296">
        <v>3.5</v>
      </c>
      <c r="AI373" s="288" t="s">
        <v>308</v>
      </c>
      <c r="AJ373" s="292" t="s">
        <v>120</v>
      </c>
      <c r="AK373" s="288" t="s">
        <v>123</v>
      </c>
      <c r="AL373" s="288"/>
      <c r="AM373" s="292"/>
      <c r="AN373" s="288"/>
      <c r="AO373" s="288"/>
      <c r="AP373" s="297"/>
      <c r="AQ373" s="288"/>
      <c r="AR373" s="292"/>
      <c r="AS373" s="288"/>
      <c r="AT373" s="289"/>
      <c r="AU373" s="289">
        <v>43453.379061458298</v>
      </c>
      <c r="AV373" s="289"/>
      <c r="AW373" s="289"/>
      <c r="AX373" s="289"/>
      <c r="AY373" s="289"/>
      <c r="AZ373" s="298">
        <v>43236</v>
      </c>
      <c r="BA37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3" s="300">
        <f>COUNTIFS(_05preva_view43[Site ID],_05preva_view43[[#This Row],[Site ID]],_05preva_view43[Prevalidation Status],"Under Prevalidation")</f>
        <v>0</v>
      </c>
      <c r="BC37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3" s="302" t="str">
        <f>CONCATENATE(_05preva_view43[[#This Row],[Site ID]]," (",_05preva_view43[[#This Row],[tenant id]],") Application",IF(_05preva_view43[[#This Row],[Colo Rev]]&gt;0," Rev "&amp;_05preva_view43[[#This Row],[Colo Rev]],""),".xlsx")</f>
        <v>ANMG_0183 (MWW3494) Application.xlsx</v>
      </c>
      <c r="BE373" s="64">
        <f t="shared" ca="1" si="7"/>
        <v>50</v>
      </c>
      <c r="BF373" s="104" t="str">
        <f ca="1">LEFT(CELL("filename",A358),_05preva_view43[[#This Row],[Find Process &amp; Database]]-1)</f>
        <v>D:\OneDrive - apollo-towers.com\Apollo Towers\00-</v>
      </c>
      <c r="BG373" s="104" t="str">
        <f ca="1">_05preva_view43[Folder Path1]&amp;"Process &amp; Database\Documentation\Colo Applications"</f>
        <v>D:\OneDrive - apollo-towers.com\Apollo Towers\00-Process &amp; Database\Documentation\Colo Applications</v>
      </c>
      <c r="BH373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3" s="63" t="str">
        <f ca="1">_05preva_view43[[#This Row],[Folder Path3]]&amp;_05preva_view43[[#This Row],[File Name]]</f>
        <v>D:\OneDrive - apollo-towers.com\Apollo Towers\00-Process &amp; Database\Documentation\Colo Applications\Colo App OML\ANMG_0183 (MWW3494) Application.xlsx</v>
      </c>
      <c r="BJ373" s="104"/>
      <c r="BK373" s="3"/>
      <c r="BL373" s="3"/>
      <c r="CJ373" s="5"/>
      <c r="CK373" s="5"/>
      <c r="CL373" s="3"/>
      <c r="CN373" s="5"/>
      <c r="CR373" s="3"/>
      <c r="CS373" s="3"/>
      <c r="CT373" s="5"/>
      <c r="CV373" s="3"/>
      <c r="DR373" s="5"/>
      <c r="DT373" s="3"/>
      <c r="EF373" s="7"/>
      <c r="EG373" s="7"/>
      <c r="EJ373" s="4"/>
      <c r="EK373" s="4"/>
      <c r="EU373" s="2"/>
      <c r="EV373" s="2"/>
    </row>
    <row r="374" spans="1:152">
      <c r="A374" s="287">
        <v>207</v>
      </c>
      <c r="B374" s="288" t="s">
        <v>493</v>
      </c>
      <c r="C374" s="288" t="s">
        <v>116</v>
      </c>
      <c r="D374" s="288" t="s">
        <v>127</v>
      </c>
      <c r="E374" s="288" t="s">
        <v>494</v>
      </c>
      <c r="F374" s="288" t="s">
        <v>40</v>
      </c>
      <c r="G374" s="288" t="s">
        <v>1289</v>
      </c>
      <c r="H374" s="288" t="s">
        <v>1290</v>
      </c>
      <c r="I374" s="288" t="s">
        <v>118</v>
      </c>
      <c r="J374" s="288"/>
      <c r="K374" s="289">
        <v>43236</v>
      </c>
      <c r="L374" s="290"/>
      <c r="M374" s="290">
        <v>3</v>
      </c>
      <c r="N374" s="288"/>
      <c r="O374" s="288" t="s">
        <v>119</v>
      </c>
      <c r="P374" s="291"/>
      <c r="Q374" s="291"/>
      <c r="R374" s="288" t="s">
        <v>24</v>
      </c>
      <c r="S374" s="288"/>
      <c r="T374" s="292" t="s">
        <v>120</v>
      </c>
      <c r="U374" s="288" t="s">
        <v>301</v>
      </c>
      <c r="V374" s="292" t="s">
        <v>120</v>
      </c>
      <c r="W374" s="288"/>
      <c r="X374" s="292" t="s">
        <v>120</v>
      </c>
      <c r="Y374" s="288" t="s">
        <v>120</v>
      </c>
      <c r="Z374" s="293" t="s">
        <v>120</v>
      </c>
      <c r="AA374" s="294"/>
      <c r="AB374" s="294"/>
      <c r="AC374" s="295"/>
      <c r="AD374" s="288" t="s">
        <v>120</v>
      </c>
      <c r="AE374" s="292" t="s">
        <v>120</v>
      </c>
      <c r="AF374" s="289" t="s">
        <v>207</v>
      </c>
      <c r="AG374" s="296"/>
      <c r="AH374" s="296">
        <v>3.5</v>
      </c>
      <c r="AI374" s="288" t="s">
        <v>208</v>
      </c>
      <c r="AJ374" s="292" t="s">
        <v>120</v>
      </c>
      <c r="AK374" s="288" t="s">
        <v>123</v>
      </c>
      <c r="AL374" s="288"/>
      <c r="AM374" s="292"/>
      <c r="AN374" s="288"/>
      <c r="AO374" s="288"/>
      <c r="AP374" s="297"/>
      <c r="AQ374" s="288"/>
      <c r="AR374" s="292"/>
      <c r="AS374" s="288"/>
      <c r="AT374" s="289"/>
      <c r="AU374" s="289">
        <v>43453.379062268497</v>
      </c>
      <c r="AV374" s="289"/>
      <c r="AW374" s="289"/>
      <c r="AX374" s="289"/>
      <c r="AY374" s="289"/>
      <c r="AZ374" s="298">
        <v>43236</v>
      </c>
      <c r="BA37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4" s="300">
        <f>COUNTIFS(_05preva_view43[Site ID],_05preva_view43[[#This Row],[Site ID]],_05preva_view43[Prevalidation Status],"Under Prevalidation")</f>
        <v>0</v>
      </c>
      <c r="BC37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4" s="302" t="str">
        <f>CONCATENATE(_05preva_view43[[#This Row],[Site ID]]," (",_05preva_view43[[#This Row],[tenant id]],") Application",IF(_05preva_view43[[#This Row],[Colo Rev]]&gt;0," Rev "&amp;_05preva_view43[[#This Row],[Colo Rev]],""),".xlsx")</f>
        <v>ANSG_0464 (SAW0732) Application.xlsx</v>
      </c>
      <c r="BE374" s="64">
        <f t="shared" ca="1" si="7"/>
        <v>50</v>
      </c>
      <c r="BF374" s="104" t="str">
        <f ca="1">LEFT(CELL("filename",A359),_05preva_view43[[#This Row],[Find Process &amp; Database]]-1)</f>
        <v>D:\OneDrive - apollo-towers.com\Apollo Towers\00-</v>
      </c>
      <c r="BG374" s="104" t="str">
        <f ca="1">_05preva_view43[Folder Path1]&amp;"Process &amp; Database\Documentation\Colo Applications"</f>
        <v>D:\OneDrive - apollo-towers.com\Apollo Towers\00-Process &amp; Database\Documentation\Colo Applications</v>
      </c>
      <c r="BH374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4" s="63" t="str">
        <f ca="1">_05preva_view43[[#This Row],[Folder Path3]]&amp;_05preva_view43[[#This Row],[File Name]]</f>
        <v>D:\OneDrive - apollo-towers.com\Apollo Towers\00-Process &amp; Database\Documentation\Colo Applications\Colo App OML\ANSG_0464 (SAW0732) Application.xlsx</v>
      </c>
      <c r="BJ374" s="104"/>
      <c r="BK374" s="3"/>
      <c r="BL374" s="3"/>
      <c r="CJ374" s="5"/>
      <c r="CK374" s="5"/>
      <c r="CL374" s="3"/>
      <c r="CN374" s="5"/>
      <c r="CR374" s="3"/>
      <c r="CS374" s="3"/>
      <c r="CT374" s="5"/>
      <c r="CV374" s="3"/>
      <c r="DR374" s="5"/>
      <c r="DT374" s="3"/>
      <c r="EF374" s="7"/>
      <c r="EG374" s="7"/>
      <c r="EJ374" s="4"/>
      <c r="EK374" s="4"/>
      <c r="EU374" s="2"/>
      <c r="EV374" s="2"/>
    </row>
    <row r="375" spans="1:152">
      <c r="A375" s="287">
        <v>210</v>
      </c>
      <c r="B375" s="288" t="s">
        <v>495</v>
      </c>
      <c r="C375" s="288" t="s">
        <v>116</v>
      </c>
      <c r="D375" s="288" t="s">
        <v>153</v>
      </c>
      <c r="E375" s="288" t="s">
        <v>496</v>
      </c>
      <c r="F375" s="288" t="s">
        <v>40</v>
      </c>
      <c r="G375" s="288" t="s">
        <v>1289</v>
      </c>
      <c r="H375" s="288" t="s">
        <v>1285</v>
      </c>
      <c r="I375" s="288" t="s">
        <v>118</v>
      </c>
      <c r="J375" s="288"/>
      <c r="K375" s="289">
        <v>43236</v>
      </c>
      <c r="L375" s="290"/>
      <c r="M375" s="290">
        <v>3</v>
      </c>
      <c r="N375" s="288"/>
      <c r="O375" s="288" t="s">
        <v>119</v>
      </c>
      <c r="P375" s="291"/>
      <c r="Q375" s="291"/>
      <c r="R375" s="288" t="s">
        <v>24</v>
      </c>
      <c r="S375" s="288"/>
      <c r="T375" s="292" t="s">
        <v>120</v>
      </c>
      <c r="U375" s="288" t="s">
        <v>301</v>
      </c>
      <c r="V375" s="292" t="s">
        <v>120</v>
      </c>
      <c r="W375" s="288"/>
      <c r="X375" s="292" t="s">
        <v>120</v>
      </c>
      <c r="Y375" s="288" t="s">
        <v>120</v>
      </c>
      <c r="Z375" s="293" t="s">
        <v>120</v>
      </c>
      <c r="AA375" s="294"/>
      <c r="AB375" s="294"/>
      <c r="AC375" s="295"/>
      <c r="AD375" s="288" t="s">
        <v>120</v>
      </c>
      <c r="AE375" s="292" t="s">
        <v>120</v>
      </c>
      <c r="AF375" s="289" t="s">
        <v>207</v>
      </c>
      <c r="AG375" s="296"/>
      <c r="AH375" s="296">
        <v>3.5</v>
      </c>
      <c r="AI375" s="288" t="s">
        <v>399</v>
      </c>
      <c r="AJ375" s="292" t="s">
        <v>120</v>
      </c>
      <c r="AK375" s="288" t="s">
        <v>123</v>
      </c>
      <c r="AL375" s="288"/>
      <c r="AM375" s="292"/>
      <c r="AN375" s="288"/>
      <c r="AO375" s="288"/>
      <c r="AP375" s="297"/>
      <c r="AQ375" s="288"/>
      <c r="AR375" s="292"/>
      <c r="AS375" s="288"/>
      <c r="AT375" s="289"/>
      <c r="AU375" s="289">
        <v>43453.379063078697</v>
      </c>
      <c r="AV375" s="289"/>
      <c r="AW375" s="289"/>
      <c r="AX375" s="289"/>
      <c r="AY375" s="289"/>
      <c r="AZ375" s="298">
        <v>43236</v>
      </c>
      <c r="BA37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5" s="300">
        <f>COUNTIFS(_05preva_view43[Site ID],_05preva_view43[[#This Row],[Site ID]],_05preva_view43[Prevalidation Status],"Under Prevalidation")</f>
        <v>0</v>
      </c>
      <c r="BC37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5" s="302" t="str">
        <f>CONCATENATE(_05preva_view43[[#This Row],[Site ID]]," (",_05preva_view43[[#This Row],[tenant id]],") Application",IF(_05preva_view43[[#This Row],[Colo Rev]]&gt;0," Rev "&amp;_05preva_view43[[#This Row],[Colo Rev]],""),".xlsx")</f>
        <v>AYYN_0599 (YAW7859) Application.xlsx</v>
      </c>
      <c r="BE375" s="64">
        <f t="shared" ca="1" si="7"/>
        <v>50</v>
      </c>
      <c r="BF375" s="104" t="str">
        <f ca="1">LEFT(CELL("filename",A360),_05preva_view43[[#This Row],[Find Process &amp; Database]]-1)</f>
        <v>D:\OneDrive - apollo-towers.com\Apollo Towers\00-</v>
      </c>
      <c r="BG375" s="104" t="str">
        <f ca="1">_05preva_view43[Folder Path1]&amp;"Process &amp; Database\Documentation\Colo Applications"</f>
        <v>D:\OneDrive - apollo-towers.com\Apollo Towers\00-Process &amp; Database\Documentation\Colo Applications</v>
      </c>
      <c r="BH37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5" s="63" t="str">
        <f ca="1">_05preva_view43[[#This Row],[Folder Path3]]&amp;_05preva_view43[[#This Row],[File Name]]</f>
        <v>D:\OneDrive - apollo-towers.com\Apollo Towers\00-Process &amp; Database\Documentation\Colo Applications\Colo App OML\AYYN_0599 (YAW7859) Application.xlsx</v>
      </c>
      <c r="BJ375" s="104"/>
      <c r="BK375" s="3"/>
      <c r="BL375" s="3"/>
      <c r="CJ375" s="5"/>
      <c r="CK375" s="5"/>
      <c r="CL375" s="3"/>
      <c r="CN375" s="5"/>
      <c r="CR375" s="3"/>
      <c r="CS375" s="3"/>
      <c r="CT375" s="5"/>
      <c r="CV375" s="3"/>
      <c r="DR375" s="5"/>
      <c r="DT375" s="3"/>
      <c r="EF375" s="7"/>
      <c r="EG375" s="7"/>
      <c r="EJ375" s="4"/>
      <c r="EK375" s="4"/>
      <c r="EU375" s="2"/>
      <c r="EV375" s="2"/>
    </row>
    <row r="376" spans="1:152">
      <c r="A376" s="287">
        <v>212</v>
      </c>
      <c r="B376" s="288" t="s">
        <v>497</v>
      </c>
      <c r="C376" s="288" t="s">
        <v>116</v>
      </c>
      <c r="D376" s="288" t="s">
        <v>153</v>
      </c>
      <c r="E376" s="288" t="s">
        <v>498</v>
      </c>
      <c r="F376" s="288" t="s">
        <v>40</v>
      </c>
      <c r="G376" s="288" t="s">
        <v>118</v>
      </c>
      <c r="H376" s="288"/>
      <c r="I376" s="288" t="s">
        <v>118</v>
      </c>
      <c r="J376" s="288"/>
      <c r="K376" s="289">
        <v>43236</v>
      </c>
      <c r="L376" s="290"/>
      <c r="M376" s="290">
        <v>3</v>
      </c>
      <c r="N376" s="288"/>
      <c r="O376" s="288" t="s">
        <v>119</v>
      </c>
      <c r="P376" s="291"/>
      <c r="Q376" s="291"/>
      <c r="R376" s="288" t="s">
        <v>24</v>
      </c>
      <c r="S376" s="288"/>
      <c r="T376" s="292" t="s">
        <v>120</v>
      </c>
      <c r="U376" s="288" t="s">
        <v>301</v>
      </c>
      <c r="V376" s="292" t="s">
        <v>120</v>
      </c>
      <c r="W376" s="288"/>
      <c r="X376" s="292" t="s">
        <v>120</v>
      </c>
      <c r="Y376" s="288" t="s">
        <v>120</v>
      </c>
      <c r="Z376" s="293" t="s">
        <v>120</v>
      </c>
      <c r="AA376" s="294"/>
      <c r="AB376" s="294"/>
      <c r="AC376" s="295"/>
      <c r="AD376" s="288" t="s">
        <v>331</v>
      </c>
      <c r="AE376" s="292" t="s">
        <v>120</v>
      </c>
      <c r="AF376" s="289" t="s">
        <v>120</v>
      </c>
      <c r="AG376" s="296"/>
      <c r="AH376" s="296">
        <v>2</v>
      </c>
      <c r="AI376" s="288" t="s">
        <v>499</v>
      </c>
      <c r="AJ376" s="292" t="s">
        <v>120</v>
      </c>
      <c r="AK376" s="288" t="s">
        <v>123</v>
      </c>
      <c r="AL376" s="288"/>
      <c r="AM376" s="292"/>
      <c r="AN376" s="288"/>
      <c r="AO376" s="288"/>
      <c r="AP376" s="297"/>
      <c r="AQ376" s="288"/>
      <c r="AR376" s="292"/>
      <c r="AS376" s="288"/>
      <c r="AT376" s="289"/>
      <c r="AU376" s="289">
        <v>43453.379064930603</v>
      </c>
      <c r="AV376" s="289"/>
      <c r="AW376" s="289"/>
      <c r="AX376" s="289"/>
      <c r="AY376" s="289"/>
      <c r="AZ376" s="298">
        <v>43236</v>
      </c>
      <c r="BA37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6" s="300">
        <f>COUNTIFS(_05preva_view43[Site ID],_05preva_view43[[#This Row],[Site ID]],_05preva_view43[Prevalidation Status],"Under Prevalidation")</f>
        <v>0</v>
      </c>
      <c r="BC37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6" s="302" t="str">
        <f>CONCATENATE(_05preva_view43[[#This Row],[Site ID]]," (",_05preva_view43[[#This Row],[tenant id]],") Application",IF(_05preva_view43[[#This Row],[Colo Rev]]&gt;0," Rev "&amp;_05preva_view43[[#This Row],[Colo Rev]],""),".xlsx")</f>
        <v>AYYN_0223 (YAW7853) Application.xlsx</v>
      </c>
      <c r="BE376" s="64">
        <f t="shared" ca="1" si="7"/>
        <v>50</v>
      </c>
      <c r="BF376" s="104" t="str">
        <f ca="1">LEFT(CELL("filename",A361),_05preva_view43[[#This Row],[Find Process &amp; Database]]-1)</f>
        <v>D:\OneDrive - apollo-towers.com\Apollo Towers\00-</v>
      </c>
      <c r="BG376" s="104" t="str">
        <f ca="1">_05preva_view43[Folder Path1]&amp;"Process &amp; Database\Documentation\Colo Applications"</f>
        <v>D:\OneDrive - apollo-towers.com\Apollo Towers\00-Process &amp; Database\Documentation\Colo Applications</v>
      </c>
      <c r="BH37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6" s="63" t="str">
        <f ca="1">_05preva_view43[[#This Row],[Folder Path3]]&amp;_05preva_view43[[#This Row],[File Name]]</f>
        <v>D:\OneDrive - apollo-towers.com\Apollo Towers\00-Process &amp; Database\Documentation\Colo Applications\Colo App OML\AYYN_0223 (YAW7853) Application.xlsx</v>
      </c>
      <c r="BJ376" s="104"/>
      <c r="BK376" s="3"/>
      <c r="BL376" s="3"/>
      <c r="CJ376" s="5"/>
      <c r="CK376" s="5"/>
      <c r="CL376" s="3"/>
      <c r="CN376" s="5"/>
      <c r="CR376" s="3"/>
      <c r="CS376" s="3"/>
      <c r="CT376" s="5"/>
      <c r="CV376" s="3"/>
      <c r="DR376" s="5"/>
      <c r="DT376" s="3"/>
      <c r="EF376" s="7"/>
      <c r="EG376" s="7"/>
      <c r="EJ376" s="4"/>
      <c r="EK376" s="4"/>
      <c r="EU376" s="2"/>
      <c r="EV376" s="2"/>
    </row>
    <row r="377" spans="1:152">
      <c r="A377" s="287">
        <v>213</v>
      </c>
      <c r="B377" s="288" t="s">
        <v>500</v>
      </c>
      <c r="C377" s="288" t="s">
        <v>116</v>
      </c>
      <c r="D377" s="288" t="s">
        <v>153</v>
      </c>
      <c r="E377" s="288" t="s">
        <v>501</v>
      </c>
      <c r="F377" s="288" t="s">
        <v>40</v>
      </c>
      <c r="G377" s="288" t="s">
        <v>1289</v>
      </c>
      <c r="H377" s="288" t="s">
        <v>1285</v>
      </c>
      <c r="I377" s="288" t="s">
        <v>118</v>
      </c>
      <c r="J377" s="288"/>
      <c r="K377" s="289">
        <v>43236</v>
      </c>
      <c r="L377" s="290"/>
      <c r="M377" s="290">
        <v>3</v>
      </c>
      <c r="N377" s="288"/>
      <c r="O377" s="288" t="s">
        <v>119</v>
      </c>
      <c r="P377" s="291"/>
      <c r="Q377" s="291"/>
      <c r="R377" s="288" t="s">
        <v>24</v>
      </c>
      <c r="S377" s="288"/>
      <c r="T377" s="292" t="s">
        <v>120</v>
      </c>
      <c r="U377" s="288" t="s">
        <v>301</v>
      </c>
      <c r="V377" s="292" t="s">
        <v>120</v>
      </c>
      <c r="W377" s="288"/>
      <c r="X377" s="292" t="s">
        <v>120</v>
      </c>
      <c r="Y377" s="288" t="s">
        <v>120</v>
      </c>
      <c r="Z377" s="293" t="s">
        <v>120</v>
      </c>
      <c r="AA377" s="294"/>
      <c r="AB377" s="294"/>
      <c r="AC377" s="295"/>
      <c r="AD377" s="288" t="s">
        <v>120</v>
      </c>
      <c r="AE377" s="292" t="s">
        <v>120</v>
      </c>
      <c r="AF377" s="289" t="s">
        <v>207</v>
      </c>
      <c r="AG377" s="296"/>
      <c r="AH377" s="296">
        <v>3.5</v>
      </c>
      <c r="AI377" s="288" t="s">
        <v>308</v>
      </c>
      <c r="AJ377" s="292" t="s">
        <v>120</v>
      </c>
      <c r="AK377" s="288" t="s">
        <v>123</v>
      </c>
      <c r="AL377" s="288"/>
      <c r="AM377" s="292"/>
      <c r="AN377" s="288"/>
      <c r="AO377" s="288"/>
      <c r="AP377" s="297"/>
      <c r="AQ377" s="288"/>
      <c r="AR377" s="292"/>
      <c r="AS377" s="288"/>
      <c r="AT377" s="289"/>
      <c r="AU377" s="289">
        <v>43453.379065740701</v>
      </c>
      <c r="AV377" s="289"/>
      <c r="AW377" s="289"/>
      <c r="AX377" s="289"/>
      <c r="AY377" s="289"/>
      <c r="AZ377" s="298">
        <v>43236</v>
      </c>
      <c r="BA37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7" s="300">
        <f>COUNTIFS(_05preva_view43[Site ID],_05preva_view43[[#This Row],[Site ID]],_05preva_view43[Prevalidation Status],"Under Prevalidation")</f>
        <v>0</v>
      </c>
      <c r="BC37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7" s="302" t="str">
        <f>CONCATENATE(_05preva_view43[[#This Row],[Site ID]]," (",_05preva_view43[[#This Row],[tenant id]],") Application",IF(_05preva_view43[[#This Row],[Colo Rev]]&gt;0," Rev "&amp;_05preva_view43[[#This Row],[Colo Rev]],""),".xlsx")</f>
        <v>AYYN_0206 (YAW7848) Application.xlsx</v>
      </c>
      <c r="BE377" s="64">
        <f t="shared" ca="1" si="7"/>
        <v>50</v>
      </c>
      <c r="BF377" s="104" t="str">
        <f ca="1">LEFT(CELL("filename",A362),_05preva_view43[[#This Row],[Find Process &amp; Database]]-1)</f>
        <v>D:\OneDrive - apollo-towers.com\Apollo Towers\00-</v>
      </c>
      <c r="BG377" s="104" t="str">
        <f ca="1">_05preva_view43[Folder Path1]&amp;"Process &amp; Database\Documentation\Colo Applications"</f>
        <v>D:\OneDrive - apollo-towers.com\Apollo Towers\00-Process &amp; Database\Documentation\Colo Applications</v>
      </c>
      <c r="BH37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7" s="63" t="str">
        <f ca="1">_05preva_view43[[#This Row],[Folder Path3]]&amp;_05preva_view43[[#This Row],[File Name]]</f>
        <v>D:\OneDrive - apollo-towers.com\Apollo Towers\00-Process &amp; Database\Documentation\Colo Applications\Colo App OML\AYYN_0206 (YAW7848) Application.xlsx</v>
      </c>
      <c r="BJ377" s="104"/>
      <c r="BK377" s="3"/>
      <c r="BL377" s="3"/>
      <c r="CJ377" s="5"/>
      <c r="CK377" s="5"/>
      <c r="CL377" s="3"/>
      <c r="CN377" s="5"/>
      <c r="CR377" s="3"/>
      <c r="CS377" s="3"/>
      <c r="CT377" s="5"/>
      <c r="CV377" s="3"/>
      <c r="DR377" s="5"/>
      <c r="DT377" s="3"/>
      <c r="EF377" s="7"/>
      <c r="EG377" s="7"/>
      <c r="EJ377" s="4"/>
      <c r="EK377" s="4"/>
      <c r="EU377" s="2"/>
      <c r="EV377" s="2"/>
    </row>
    <row r="378" spans="1:152">
      <c r="A378" s="287">
        <v>215</v>
      </c>
      <c r="B378" s="288" t="s">
        <v>502</v>
      </c>
      <c r="C378" s="288" t="s">
        <v>116</v>
      </c>
      <c r="D378" s="288" t="s">
        <v>153</v>
      </c>
      <c r="E378" s="288" t="s">
        <v>503</v>
      </c>
      <c r="F378" s="288" t="s">
        <v>40</v>
      </c>
      <c r="G378" s="288" t="s">
        <v>1289</v>
      </c>
      <c r="H378" s="288" t="s">
        <v>1290</v>
      </c>
      <c r="I378" s="288" t="s">
        <v>118</v>
      </c>
      <c r="J378" s="288"/>
      <c r="K378" s="289">
        <v>43236</v>
      </c>
      <c r="L378" s="290"/>
      <c r="M378" s="290">
        <v>3</v>
      </c>
      <c r="N378" s="288"/>
      <c r="O378" s="288" t="s">
        <v>119</v>
      </c>
      <c r="P378" s="291"/>
      <c r="Q378" s="291"/>
      <c r="R378" s="288" t="s">
        <v>24</v>
      </c>
      <c r="S378" s="288"/>
      <c r="T378" s="292" t="s">
        <v>120</v>
      </c>
      <c r="U378" s="288" t="s">
        <v>301</v>
      </c>
      <c r="V378" s="292" t="s">
        <v>120</v>
      </c>
      <c r="W378" s="288"/>
      <c r="X378" s="292" t="s">
        <v>120</v>
      </c>
      <c r="Y378" s="288" t="s">
        <v>120</v>
      </c>
      <c r="Z378" s="293" t="s">
        <v>120</v>
      </c>
      <c r="AA378" s="294"/>
      <c r="AB378" s="294"/>
      <c r="AC378" s="295"/>
      <c r="AD378" s="288" t="s">
        <v>120</v>
      </c>
      <c r="AE378" s="292" t="s">
        <v>120</v>
      </c>
      <c r="AF378" s="289" t="s">
        <v>358</v>
      </c>
      <c r="AG378" s="296"/>
      <c r="AH378" s="296">
        <v>3.5</v>
      </c>
      <c r="AI378" s="288" t="s">
        <v>211</v>
      </c>
      <c r="AJ378" s="292" t="s">
        <v>120</v>
      </c>
      <c r="AK378" s="288" t="s">
        <v>123</v>
      </c>
      <c r="AL378" s="288"/>
      <c r="AM378" s="292"/>
      <c r="AN378" s="288"/>
      <c r="AO378" s="288"/>
      <c r="AP378" s="297"/>
      <c r="AQ378" s="288"/>
      <c r="AR378" s="292"/>
      <c r="AS378" s="288"/>
      <c r="AT378" s="289"/>
      <c r="AU378" s="289">
        <v>43453.3790665509</v>
      </c>
      <c r="AV378" s="289"/>
      <c r="AW378" s="289"/>
      <c r="AX378" s="289"/>
      <c r="AY378" s="289"/>
      <c r="AZ378" s="298">
        <v>43236</v>
      </c>
      <c r="BA37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8" s="300">
        <f>COUNTIFS(_05preva_view43[Site ID],_05preva_view43[[#This Row],[Site ID]],_05preva_view43[Prevalidation Status],"Under Prevalidation")</f>
        <v>0</v>
      </c>
      <c r="BC37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8" s="302" t="str">
        <f>CONCATENATE(_05preva_view43[[#This Row],[Site ID]]," (",_05preva_view43[[#This Row],[tenant id]],") Application",IF(_05preva_view43[[#This Row],[Colo Rev]]&gt;0," Rev "&amp;_05preva_view43[[#This Row],[Colo Rev]],""),".xlsx")</f>
        <v>AYYN_0144 (YAW7846) Application.xlsx</v>
      </c>
      <c r="BE378" s="64">
        <f t="shared" ca="1" si="7"/>
        <v>50</v>
      </c>
      <c r="BF378" s="104" t="str">
        <f ca="1">LEFT(CELL("filename",A363),_05preva_view43[[#This Row],[Find Process &amp; Database]]-1)</f>
        <v>D:\OneDrive - apollo-towers.com\Apollo Towers\00-</v>
      </c>
      <c r="BG378" s="104" t="str">
        <f ca="1">_05preva_view43[Folder Path1]&amp;"Process &amp; Database\Documentation\Colo Applications"</f>
        <v>D:\OneDrive - apollo-towers.com\Apollo Towers\00-Process &amp; Database\Documentation\Colo Applications</v>
      </c>
      <c r="BH37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8" s="63" t="str">
        <f ca="1">_05preva_view43[[#This Row],[Folder Path3]]&amp;_05preva_view43[[#This Row],[File Name]]</f>
        <v>D:\OneDrive - apollo-towers.com\Apollo Towers\00-Process &amp; Database\Documentation\Colo Applications\Colo App OML\AYYN_0144 (YAW7846) Application.xlsx</v>
      </c>
      <c r="BJ378" s="104"/>
      <c r="BK378" s="3"/>
      <c r="BL378" s="3"/>
      <c r="CJ378" s="5"/>
      <c r="CK378" s="5"/>
      <c r="CL378" s="3"/>
      <c r="CN378" s="5"/>
      <c r="CR378" s="3"/>
      <c r="CS378" s="3"/>
      <c r="CT378" s="5"/>
      <c r="CV378" s="3"/>
      <c r="DR378" s="5"/>
      <c r="DT378" s="3"/>
      <c r="EF378" s="7"/>
      <c r="EG378" s="7"/>
      <c r="EJ378" s="4"/>
      <c r="EK378" s="4"/>
      <c r="EU378" s="2"/>
      <c r="EV378" s="2"/>
    </row>
    <row r="379" spans="1:152">
      <c r="A379" s="287">
        <v>216</v>
      </c>
      <c r="B379" s="288" t="s">
        <v>504</v>
      </c>
      <c r="C379" s="288" t="s">
        <v>116</v>
      </c>
      <c r="D379" s="288" t="s">
        <v>153</v>
      </c>
      <c r="E379" s="288" t="s">
        <v>505</v>
      </c>
      <c r="F379" s="288" t="s">
        <v>40</v>
      </c>
      <c r="G379" s="288" t="s">
        <v>1289</v>
      </c>
      <c r="H379" s="288" t="s">
        <v>1290</v>
      </c>
      <c r="I379" s="288" t="s">
        <v>118</v>
      </c>
      <c r="J379" s="288"/>
      <c r="K379" s="289">
        <v>43236</v>
      </c>
      <c r="L379" s="290"/>
      <c r="M379" s="290">
        <v>3</v>
      </c>
      <c r="N379" s="288"/>
      <c r="O379" s="288" t="s">
        <v>119</v>
      </c>
      <c r="P379" s="291"/>
      <c r="Q379" s="291"/>
      <c r="R379" s="288" t="s">
        <v>24</v>
      </c>
      <c r="S379" s="288"/>
      <c r="T379" s="292" t="s">
        <v>120</v>
      </c>
      <c r="U379" s="288" t="s">
        <v>301</v>
      </c>
      <c r="V379" s="292" t="s">
        <v>120</v>
      </c>
      <c r="W379" s="288"/>
      <c r="X379" s="292" t="s">
        <v>120</v>
      </c>
      <c r="Y379" s="288" t="s">
        <v>120</v>
      </c>
      <c r="Z379" s="293" t="s">
        <v>120</v>
      </c>
      <c r="AA379" s="294"/>
      <c r="AB379" s="294"/>
      <c r="AC379" s="295" t="s">
        <v>350</v>
      </c>
      <c r="AD379" s="288"/>
      <c r="AE379" s="292" t="s">
        <v>125</v>
      </c>
      <c r="AF379" s="289"/>
      <c r="AG379" s="296"/>
      <c r="AH379" s="296"/>
      <c r="AI379" s="288" t="s">
        <v>368</v>
      </c>
      <c r="AJ379" s="292" t="s">
        <v>120</v>
      </c>
      <c r="AK379" s="288" t="s">
        <v>123</v>
      </c>
      <c r="AL379" s="288"/>
      <c r="AM379" s="292"/>
      <c r="AN379" s="288"/>
      <c r="AO379" s="288"/>
      <c r="AP379" s="297"/>
      <c r="AQ379" s="288"/>
      <c r="AR379" s="292"/>
      <c r="AS379" s="288"/>
      <c r="AT379" s="289"/>
      <c r="AU379" s="289"/>
      <c r="AV379" s="289"/>
      <c r="AW379" s="289"/>
      <c r="AX379" s="289"/>
      <c r="AY379" s="289"/>
      <c r="AZ379" s="298"/>
      <c r="BA37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79" s="300">
        <f>COUNTIFS(_05preva_view43[Site ID],_05preva_view43[[#This Row],[Site ID]],_05preva_view43[Prevalidation Status],"Under Prevalidation")</f>
        <v>0</v>
      </c>
      <c r="BC37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79" s="302" t="str">
        <f>CONCATENATE(_05preva_view43[[#This Row],[Site ID]]," (",_05preva_view43[[#This Row],[tenant id]],") Application",IF(_05preva_view43[[#This Row],[Colo Rev]]&gt;0," Rev "&amp;_05preva_view43[[#This Row],[Colo Rev]],""),".xlsx")</f>
        <v>AYYN_0066 (YAW7843) Application.xlsx</v>
      </c>
      <c r="BE379" s="64">
        <f t="shared" ca="1" si="7"/>
        <v>50</v>
      </c>
      <c r="BF379" s="104" t="str">
        <f ca="1">LEFT(CELL("filename",A364),_05preva_view43[[#This Row],[Find Process &amp; Database]]-1)</f>
        <v>D:\OneDrive - apollo-towers.com\Apollo Towers\00-</v>
      </c>
      <c r="BG379" s="104" t="str">
        <f ca="1">_05preva_view43[Folder Path1]&amp;"Process &amp; Database\Documentation\Colo Applications"</f>
        <v>D:\OneDrive - apollo-towers.com\Apollo Towers\00-Process &amp; Database\Documentation\Colo Applications</v>
      </c>
      <c r="BH379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79" s="63" t="str">
        <f ca="1">_05preva_view43[[#This Row],[Folder Path3]]&amp;_05preva_view43[[#This Row],[File Name]]</f>
        <v>D:\OneDrive - apollo-towers.com\Apollo Towers\00-Process &amp; Database\Documentation\Colo Applications\Colo App OML\AYYN_0066 (YAW7843) Application.xlsx</v>
      </c>
      <c r="BJ379" s="104"/>
      <c r="BK379" s="3"/>
      <c r="BL379" s="3"/>
      <c r="CJ379" s="5"/>
      <c r="CK379" s="5"/>
      <c r="CL379" s="3"/>
      <c r="CN379" s="5"/>
      <c r="CR379" s="3"/>
      <c r="CS379" s="3"/>
      <c r="CT379" s="5"/>
      <c r="CV379" s="3"/>
      <c r="DR379" s="5"/>
      <c r="DT379" s="3"/>
      <c r="EF379" s="7"/>
      <c r="EG379" s="7"/>
      <c r="EJ379" s="4"/>
      <c r="EK379" s="4"/>
      <c r="EU379" s="2"/>
      <c r="EV379" s="2"/>
    </row>
    <row r="380" spans="1:152">
      <c r="A380" s="287">
        <v>59</v>
      </c>
      <c r="B380" s="288" t="s">
        <v>296</v>
      </c>
      <c r="C380" s="288" t="s">
        <v>116</v>
      </c>
      <c r="D380" s="288" t="s">
        <v>153</v>
      </c>
      <c r="E380" s="288" t="s">
        <v>297</v>
      </c>
      <c r="F380" s="288" t="s">
        <v>40</v>
      </c>
      <c r="G380" s="288" t="s">
        <v>1288</v>
      </c>
      <c r="H380" s="288" t="s">
        <v>1285</v>
      </c>
      <c r="I380" s="288" t="s">
        <v>118</v>
      </c>
      <c r="J380" s="288"/>
      <c r="K380" s="289">
        <v>43234</v>
      </c>
      <c r="L380" s="290"/>
      <c r="M380" s="290">
        <v>3</v>
      </c>
      <c r="N380" s="288">
        <v>6</v>
      </c>
      <c r="O380" s="288" t="s">
        <v>119</v>
      </c>
      <c r="P380" s="291" t="s">
        <v>291</v>
      </c>
      <c r="Q380" s="291" t="s">
        <v>292</v>
      </c>
      <c r="R380" s="288" t="s">
        <v>24</v>
      </c>
      <c r="S380" s="288"/>
      <c r="T380" s="292" t="s">
        <v>120</v>
      </c>
      <c r="U380" s="288" t="s">
        <v>298</v>
      </c>
      <c r="V380" s="292" t="s">
        <v>120</v>
      </c>
      <c r="W380" s="288"/>
      <c r="X380" s="292" t="s">
        <v>120</v>
      </c>
      <c r="Y380" s="288"/>
      <c r="Z380" s="293" t="s">
        <v>120</v>
      </c>
      <c r="AA380" s="294"/>
      <c r="AB380" s="294"/>
      <c r="AC380" s="295"/>
      <c r="AD380" s="288"/>
      <c r="AE380" s="292" t="s">
        <v>120</v>
      </c>
      <c r="AF380" s="289" t="s">
        <v>207</v>
      </c>
      <c r="AG380" s="296"/>
      <c r="AH380" s="296">
        <v>3.5</v>
      </c>
      <c r="AI380" s="288" t="s">
        <v>295</v>
      </c>
      <c r="AJ380" s="292" t="s">
        <v>120</v>
      </c>
      <c r="AK380" s="288" t="s">
        <v>206</v>
      </c>
      <c r="AL380" s="288"/>
      <c r="AM380" s="292"/>
      <c r="AN380" s="288"/>
      <c r="AO380" s="288"/>
      <c r="AP380" s="297"/>
      <c r="AQ380" s="288"/>
      <c r="AR380" s="292"/>
      <c r="AS380" s="288"/>
      <c r="AT380" s="289"/>
      <c r="AU380" s="289">
        <v>43453.378968750003</v>
      </c>
      <c r="AV380" s="289"/>
      <c r="AW380" s="289"/>
      <c r="AX380" s="289"/>
      <c r="AY380" s="289"/>
      <c r="AZ380" s="298">
        <v>43234</v>
      </c>
      <c r="BA38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0" s="300">
        <f>COUNTIFS(_05preva_view43[Site ID],_05preva_view43[[#This Row],[Site ID]],_05preva_view43[Prevalidation Status],"Under Prevalidation")</f>
        <v>0</v>
      </c>
      <c r="BC38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0" s="302" t="str">
        <f>CONCATENATE(_05preva_view43[[#This Row],[Site ID]]," (",_05preva_view43[[#This Row],[tenant id]],") Application",IF(_05preva_view43[[#This Row],[Colo Rev]]&gt;0," Rev "&amp;_05preva_view43[[#This Row],[Colo Rev]],""),".xlsx")</f>
        <v>ASKA_0137 (KNW6140) Application.xlsx</v>
      </c>
      <c r="BE380" s="64">
        <f t="shared" ca="1" si="7"/>
        <v>50</v>
      </c>
      <c r="BF380" s="104" t="str">
        <f ca="1">LEFT(CELL("filename",A365),_05preva_view43[[#This Row],[Find Process &amp; Database]]-1)</f>
        <v>D:\OneDrive - apollo-towers.com\Apollo Towers\00-</v>
      </c>
      <c r="BG380" s="104" t="str">
        <f ca="1">_05preva_view43[Folder Path1]&amp;"Process &amp; Database\Documentation\Colo Applications"</f>
        <v>D:\OneDrive - apollo-towers.com\Apollo Towers\00-Process &amp; Database\Documentation\Colo Applications</v>
      </c>
      <c r="BH380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0" s="63" t="str">
        <f ca="1">_05preva_view43[[#This Row],[Folder Path3]]&amp;_05preva_view43[[#This Row],[File Name]]</f>
        <v>D:\OneDrive - apollo-towers.com\Apollo Towers\00-Process &amp; Database\Documentation\Colo Applications\Colo App OML\ASKA_0137 (KNW6140) Application.xlsx</v>
      </c>
      <c r="BJ380" s="104"/>
      <c r="BK380" s="3"/>
      <c r="BL380" s="3"/>
      <c r="CJ380" s="5"/>
      <c r="CK380" s="5"/>
      <c r="CL380" s="3"/>
      <c r="CN380" s="5"/>
      <c r="CR380" s="3"/>
      <c r="CS380" s="3"/>
      <c r="CT380" s="5"/>
      <c r="CV380" s="3"/>
      <c r="DR380" s="5"/>
      <c r="DT380" s="3"/>
      <c r="EF380" s="7"/>
      <c r="EG380" s="7"/>
      <c r="EJ380" s="4"/>
      <c r="EK380" s="4"/>
      <c r="EU380" s="2"/>
      <c r="EV380" s="2"/>
    </row>
    <row r="381" spans="1:152">
      <c r="A381" s="287">
        <v>55</v>
      </c>
      <c r="B381" s="288" t="s">
        <v>285</v>
      </c>
      <c r="C381" s="288" t="s">
        <v>116</v>
      </c>
      <c r="D381" s="288" t="s">
        <v>127</v>
      </c>
      <c r="E381" s="288" t="s">
        <v>286</v>
      </c>
      <c r="F381" s="288" t="s">
        <v>34</v>
      </c>
      <c r="G381" s="288" t="s">
        <v>1284</v>
      </c>
      <c r="H381" s="288" t="s">
        <v>1285</v>
      </c>
      <c r="I381" s="288" t="s">
        <v>118</v>
      </c>
      <c r="J381" s="288"/>
      <c r="K381" s="289">
        <v>43224</v>
      </c>
      <c r="L381" s="290"/>
      <c r="M381" s="290">
        <v>2</v>
      </c>
      <c r="N381" s="288">
        <v>6</v>
      </c>
      <c r="O381" s="288" t="s">
        <v>119</v>
      </c>
      <c r="P381" s="291" t="s">
        <v>247</v>
      </c>
      <c r="Q381" s="291" t="s">
        <v>227</v>
      </c>
      <c r="R381" s="288" t="s">
        <v>24</v>
      </c>
      <c r="S381" s="288"/>
      <c r="T381" s="292" t="s">
        <v>120</v>
      </c>
      <c r="U381" s="288" t="s">
        <v>121</v>
      </c>
      <c r="V381" s="292" t="s">
        <v>120</v>
      </c>
      <c r="W381" s="288"/>
      <c r="X381" s="292" t="s">
        <v>120</v>
      </c>
      <c r="Y381" s="288"/>
      <c r="Z381" s="293" t="s">
        <v>120</v>
      </c>
      <c r="AA381" s="294"/>
      <c r="AB381" s="294"/>
      <c r="AC381" s="295"/>
      <c r="AD381" s="288"/>
      <c r="AE381" s="292" t="s">
        <v>120</v>
      </c>
      <c r="AF381" s="289"/>
      <c r="AG381" s="296"/>
      <c r="AH381" s="296">
        <v>2</v>
      </c>
      <c r="AI381" s="288" t="s">
        <v>287</v>
      </c>
      <c r="AJ381" s="292" t="s">
        <v>120</v>
      </c>
      <c r="AK381" s="288" t="s">
        <v>123</v>
      </c>
      <c r="AL381" s="288"/>
      <c r="AM381" s="292"/>
      <c r="AN381" s="288"/>
      <c r="AO381" s="288"/>
      <c r="AP381" s="297"/>
      <c r="AQ381" s="288"/>
      <c r="AR381" s="292"/>
      <c r="AS381" s="288"/>
      <c r="AT381" s="289"/>
      <c r="AU381" s="289">
        <v>43453.378965162003</v>
      </c>
      <c r="AV381" s="289"/>
      <c r="AW381" s="289"/>
      <c r="AX381" s="289"/>
      <c r="AY381" s="289"/>
      <c r="AZ381" s="298">
        <v>43224</v>
      </c>
      <c r="BA38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1" s="300">
        <f>COUNTIFS(_05preva_view43[Site ID],_05preva_view43[[#This Row],[Site ID]],_05preva_view43[Prevalidation Status],"Under Prevalidation")</f>
        <v>0</v>
      </c>
      <c r="BC38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1" s="302" t="str">
        <f>CONCATENATE(_05preva_view43[[#This Row],[Site ID]]," (",_05preva_view43[[#This Row],[tenant id]],") Application",IF(_05preva_view43[[#This Row],[Colo Rev]]&gt;0," Rev "&amp;_05preva_view43[[#This Row],[Colo Rev]],""),".xlsx")</f>
        <v>ANMD_0080 (MDY0299) Application.xlsx</v>
      </c>
      <c r="BE381" s="64">
        <f t="shared" ca="1" si="7"/>
        <v>50</v>
      </c>
      <c r="BF381" s="104" t="str">
        <f ca="1">LEFT(CELL("filename",A366),_05preva_view43[[#This Row],[Find Process &amp; Database]]-1)</f>
        <v>D:\OneDrive - apollo-towers.com\Apollo Towers\00-</v>
      </c>
      <c r="BG381" s="104" t="str">
        <f ca="1">_05preva_view43[Folder Path1]&amp;"Process &amp; Database\Documentation\Colo Applications"</f>
        <v>D:\OneDrive - apollo-towers.com\Apollo Towers\00-Process &amp; Database\Documentation\Colo Applications</v>
      </c>
      <c r="BH38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1" s="63" t="str">
        <f ca="1">_05preva_view43[[#This Row],[Folder Path3]]&amp;_05preva_view43[[#This Row],[File Name]]</f>
        <v>D:\OneDrive - apollo-towers.com\Apollo Towers\00-Process &amp; Database\Documentation\Colo Applications\Colo App Mytel\ANMD_0080 (MDY0299) Application.xlsx</v>
      </c>
      <c r="BJ381" s="104"/>
      <c r="BK381" s="3"/>
      <c r="BL381" s="3"/>
      <c r="CJ381" s="5"/>
      <c r="CK381" s="5"/>
      <c r="CL381" s="3"/>
      <c r="CN381" s="5"/>
      <c r="CR381" s="3"/>
      <c r="CS381" s="3"/>
      <c r="CT381" s="5"/>
      <c r="CV381" s="3"/>
      <c r="DR381" s="5"/>
      <c r="DT381" s="3"/>
      <c r="EF381" s="7"/>
      <c r="EG381" s="7"/>
      <c r="EJ381" s="4"/>
      <c r="EK381" s="4"/>
      <c r="EU381" s="2"/>
      <c r="EV381" s="2"/>
    </row>
    <row r="382" spans="1:152">
      <c r="A382" s="287">
        <v>57</v>
      </c>
      <c r="B382" s="288" t="s">
        <v>289</v>
      </c>
      <c r="C382" s="288" t="s">
        <v>116</v>
      </c>
      <c r="D382" s="288" t="s">
        <v>153</v>
      </c>
      <c r="E382" s="288" t="s">
        <v>290</v>
      </c>
      <c r="F382" s="288" t="s">
        <v>40</v>
      </c>
      <c r="G382" s="288" t="s">
        <v>1289</v>
      </c>
      <c r="H382" s="288" t="s">
        <v>1285</v>
      </c>
      <c r="I382" s="288" t="s">
        <v>118</v>
      </c>
      <c r="J382" s="288"/>
      <c r="K382" s="289">
        <v>43224</v>
      </c>
      <c r="L382" s="290"/>
      <c r="M382" s="290">
        <v>3</v>
      </c>
      <c r="N382" s="288">
        <v>6</v>
      </c>
      <c r="O382" s="288" t="s">
        <v>119</v>
      </c>
      <c r="P382" s="291" t="s">
        <v>291</v>
      </c>
      <c r="Q382" s="291" t="s">
        <v>292</v>
      </c>
      <c r="R382" s="288" t="s">
        <v>24</v>
      </c>
      <c r="S382" s="288"/>
      <c r="T382" s="292" t="s">
        <v>120</v>
      </c>
      <c r="U382" s="288" t="s">
        <v>121</v>
      </c>
      <c r="V382" s="292" t="s">
        <v>120</v>
      </c>
      <c r="W382" s="288"/>
      <c r="X382" s="292" t="s">
        <v>120</v>
      </c>
      <c r="Y382" s="288"/>
      <c r="Z382" s="293" t="s">
        <v>120</v>
      </c>
      <c r="AA382" s="294"/>
      <c r="AB382" s="294"/>
      <c r="AC382" s="295"/>
      <c r="AD382" s="288" t="s">
        <v>293</v>
      </c>
      <c r="AE382" s="292" t="s">
        <v>120</v>
      </c>
      <c r="AF382" s="289" t="s">
        <v>207</v>
      </c>
      <c r="AG382" s="296"/>
      <c r="AH382" s="296">
        <v>3.5</v>
      </c>
      <c r="AI382" s="288" t="s">
        <v>295</v>
      </c>
      <c r="AJ382" s="292" t="s">
        <v>120</v>
      </c>
      <c r="AK382" s="288" t="s">
        <v>123</v>
      </c>
      <c r="AL382" s="288" t="s">
        <v>294</v>
      </c>
      <c r="AM382" s="292"/>
      <c r="AN382" s="288"/>
      <c r="AO382" s="288"/>
      <c r="AP382" s="297"/>
      <c r="AQ382" s="288"/>
      <c r="AR382" s="292"/>
      <c r="AS382" s="288"/>
      <c r="AT382" s="289"/>
      <c r="AU382" s="289">
        <v>43453.3789680556</v>
      </c>
      <c r="AV382" s="289"/>
      <c r="AW382" s="289"/>
      <c r="AX382" s="289"/>
      <c r="AY382" s="289"/>
      <c r="AZ382" s="298">
        <v>43224</v>
      </c>
      <c r="BA38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2" s="300">
        <f>COUNTIFS(_05preva_view43[Site ID],_05preva_view43[[#This Row],[Site ID]],_05preva_view43[Prevalidation Status],"Under Prevalidation")</f>
        <v>0</v>
      </c>
      <c r="BC38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2" s="302" t="str">
        <f>CONCATENATE(_05preva_view43[[#This Row],[Site ID]]," (",_05preva_view43[[#This Row],[tenant id]],") Application",IF(_05preva_view43[[#This Row],[Colo Rev]]&gt;0," Rev "&amp;_05preva_view43[[#This Row],[Colo Rev]],""),".xlsx")</f>
        <v>AYYN_0527 (YAW7098) Application.xlsx</v>
      </c>
      <c r="BE382" s="64">
        <f t="shared" ca="1" si="7"/>
        <v>50</v>
      </c>
      <c r="BF382" s="104" t="str">
        <f ca="1">LEFT(CELL("filename",A367),_05preva_view43[[#This Row],[Find Process &amp; Database]]-1)</f>
        <v>D:\OneDrive - apollo-towers.com\Apollo Towers\00-</v>
      </c>
      <c r="BG382" s="104" t="str">
        <f ca="1">_05preva_view43[Folder Path1]&amp;"Process &amp; Database\Documentation\Colo Applications"</f>
        <v>D:\OneDrive - apollo-towers.com\Apollo Towers\00-Process &amp; Database\Documentation\Colo Applications</v>
      </c>
      <c r="BH382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82" s="63" t="str">
        <f ca="1">_05preva_view43[[#This Row],[Folder Path3]]&amp;_05preva_view43[[#This Row],[File Name]]</f>
        <v>D:\OneDrive - apollo-towers.com\Apollo Towers\00-Process &amp; Database\Documentation\Colo Applications\Colo App OML\AYYN_0527 (YAW7098) Application.xlsx</v>
      </c>
      <c r="BJ382" s="104"/>
      <c r="BK382" s="3"/>
      <c r="BL382" s="3"/>
      <c r="CJ382" s="5"/>
      <c r="CK382" s="5"/>
      <c r="CL382" s="3"/>
      <c r="CN382" s="5"/>
      <c r="CR382" s="3"/>
      <c r="CS382" s="3"/>
      <c r="CT382" s="5"/>
      <c r="CV382" s="3"/>
      <c r="DR382" s="5"/>
      <c r="DT382" s="3"/>
      <c r="EF382" s="7"/>
      <c r="EG382" s="7"/>
      <c r="EJ382" s="4"/>
      <c r="EK382" s="4"/>
      <c r="EU382" s="2"/>
      <c r="EV382" s="2"/>
    </row>
    <row r="383" spans="1:152">
      <c r="A383" s="287">
        <v>42</v>
      </c>
      <c r="B383" s="288" t="s">
        <v>253</v>
      </c>
      <c r="C383" s="288" t="s">
        <v>116</v>
      </c>
      <c r="D383" s="288" t="s">
        <v>153</v>
      </c>
      <c r="E383" s="288" t="s">
        <v>254</v>
      </c>
      <c r="F383" s="288" t="s">
        <v>34</v>
      </c>
      <c r="G383" s="288" t="s">
        <v>1284</v>
      </c>
      <c r="H383" s="288" t="s">
        <v>1285</v>
      </c>
      <c r="I383" s="288" t="s">
        <v>118</v>
      </c>
      <c r="J383" s="288"/>
      <c r="K383" s="289">
        <v>43202</v>
      </c>
      <c r="L383" s="290"/>
      <c r="M383" s="290">
        <v>2</v>
      </c>
      <c r="N383" s="288">
        <v>6</v>
      </c>
      <c r="O383" s="288" t="s">
        <v>119</v>
      </c>
      <c r="P383" s="291" t="s">
        <v>248</v>
      </c>
      <c r="Q383" s="291" t="s">
        <v>249</v>
      </c>
      <c r="R383" s="288" t="s">
        <v>24</v>
      </c>
      <c r="S383" s="288"/>
      <c r="T383" s="292" t="s">
        <v>120</v>
      </c>
      <c r="U383" s="288" t="s">
        <v>121</v>
      </c>
      <c r="V383" s="292" t="s">
        <v>120</v>
      </c>
      <c r="W383" s="288"/>
      <c r="X383" s="292" t="s">
        <v>120</v>
      </c>
      <c r="Y383" s="288" t="s">
        <v>255</v>
      </c>
      <c r="Z383" s="293" t="s">
        <v>120</v>
      </c>
      <c r="AA383" s="294"/>
      <c r="AB383" s="294"/>
      <c r="AC383" s="295"/>
      <c r="AD383" s="288"/>
      <c r="AE383" s="292" t="s">
        <v>120</v>
      </c>
      <c r="AF383" s="289" t="s">
        <v>256</v>
      </c>
      <c r="AG383" s="296"/>
      <c r="AH383" s="296">
        <v>2</v>
      </c>
      <c r="AI383" s="288" t="s">
        <v>257</v>
      </c>
      <c r="AJ383" s="292" t="s">
        <v>120</v>
      </c>
      <c r="AK383" s="288" t="s">
        <v>123</v>
      </c>
      <c r="AL383" s="288"/>
      <c r="AM383" s="292"/>
      <c r="AN383" s="288"/>
      <c r="AO383" s="288"/>
      <c r="AP383" s="297"/>
      <c r="AQ383" s="288"/>
      <c r="AR383" s="292"/>
      <c r="AS383" s="288"/>
      <c r="AT383" s="289"/>
      <c r="AU383" s="289">
        <v>43453.378945833298</v>
      </c>
      <c r="AV383" s="289"/>
      <c r="AW383" s="289"/>
      <c r="AX383" s="289"/>
      <c r="AY383" s="289"/>
      <c r="AZ383" s="298">
        <v>43202</v>
      </c>
      <c r="BA38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3" s="300">
        <f>COUNTIFS(_05preva_view43[Site ID],_05preva_view43[[#This Row],[Site ID]],_05preva_view43[Prevalidation Status],"Under Prevalidation")</f>
        <v>0</v>
      </c>
      <c r="BC38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3" s="302" t="str">
        <f>CONCATENATE(_05preva_view43[[#This Row],[Site ID]]," (",_05preva_view43[[#This Row],[tenant id]],") Application",IF(_05preva_view43[[#This Row],[Colo Rev]]&gt;0," Rev "&amp;_05preva_view43[[#This Row],[Colo Rev]],""),".xlsx")</f>
        <v>ACBA_0052 (BGO0947) Application.xlsx</v>
      </c>
      <c r="BE383" s="64">
        <f t="shared" ca="1" si="7"/>
        <v>50</v>
      </c>
      <c r="BF383" s="104" t="str">
        <f ca="1">LEFT(CELL("filename",A368),_05preva_view43[[#This Row],[Find Process &amp; Database]]-1)</f>
        <v>D:\OneDrive - apollo-towers.com\Apollo Towers\00-</v>
      </c>
      <c r="BG383" s="104" t="str">
        <f ca="1">_05preva_view43[Folder Path1]&amp;"Process &amp; Database\Documentation\Colo Applications"</f>
        <v>D:\OneDrive - apollo-towers.com\Apollo Towers\00-Process &amp; Database\Documentation\Colo Applications</v>
      </c>
      <c r="BH38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3" s="63" t="str">
        <f ca="1">_05preva_view43[[#This Row],[Folder Path3]]&amp;_05preva_view43[[#This Row],[File Name]]</f>
        <v>D:\OneDrive - apollo-towers.com\Apollo Towers\00-Process &amp; Database\Documentation\Colo Applications\Colo App Mytel\ACBA_0052 (BGO0947) Application.xlsx</v>
      </c>
      <c r="BJ383" s="104"/>
      <c r="BK383" s="3"/>
      <c r="BL383" s="3"/>
      <c r="CJ383" s="5"/>
      <c r="CK383" s="5"/>
      <c r="CL383" s="3"/>
      <c r="CN383" s="5"/>
      <c r="CR383" s="3"/>
      <c r="CS383" s="3"/>
      <c r="CT383" s="5"/>
      <c r="CV383" s="3"/>
      <c r="DR383" s="5"/>
      <c r="DT383" s="3"/>
      <c r="EF383" s="7"/>
      <c r="EG383" s="7"/>
      <c r="EJ383" s="4"/>
      <c r="EK383" s="4"/>
      <c r="EU383" s="2"/>
      <c r="EV383" s="2"/>
    </row>
    <row r="384" spans="1:152">
      <c r="A384" s="287">
        <v>43</v>
      </c>
      <c r="B384" s="288" t="s">
        <v>258</v>
      </c>
      <c r="C384" s="288" t="s">
        <v>116</v>
      </c>
      <c r="D384" s="288" t="s">
        <v>117</v>
      </c>
      <c r="E384" s="288" t="s">
        <v>259</v>
      </c>
      <c r="F384" s="288" t="s">
        <v>34</v>
      </c>
      <c r="G384" s="288" t="s">
        <v>1284</v>
      </c>
      <c r="H384" s="288" t="s">
        <v>1285</v>
      </c>
      <c r="I384" s="288" t="s">
        <v>118</v>
      </c>
      <c r="J384" s="288"/>
      <c r="K384" s="289">
        <v>43202</v>
      </c>
      <c r="L384" s="290"/>
      <c r="M384" s="290">
        <v>2</v>
      </c>
      <c r="N384" s="288">
        <v>6</v>
      </c>
      <c r="O384" s="288" t="s">
        <v>119</v>
      </c>
      <c r="P384" s="291" t="s">
        <v>248</v>
      </c>
      <c r="Q384" s="291" t="s">
        <v>249</v>
      </c>
      <c r="R384" s="288" t="s">
        <v>24</v>
      </c>
      <c r="S384" s="288"/>
      <c r="T384" s="292" t="s">
        <v>120</v>
      </c>
      <c r="U384" s="288" t="s">
        <v>121</v>
      </c>
      <c r="V384" s="292" t="s">
        <v>120</v>
      </c>
      <c r="W384" s="288"/>
      <c r="X384" s="292" t="s">
        <v>120</v>
      </c>
      <c r="Y384" s="288" t="s">
        <v>260</v>
      </c>
      <c r="Z384" s="293" t="s">
        <v>120</v>
      </c>
      <c r="AA384" s="294"/>
      <c r="AB384" s="294"/>
      <c r="AC384" s="295"/>
      <c r="AD384" s="288"/>
      <c r="AE384" s="292" t="s">
        <v>120</v>
      </c>
      <c r="AF384" s="289" t="s">
        <v>256</v>
      </c>
      <c r="AG384" s="296"/>
      <c r="AH384" s="296">
        <v>2</v>
      </c>
      <c r="AI384" s="288" t="s">
        <v>261</v>
      </c>
      <c r="AJ384" s="292" t="s">
        <v>120</v>
      </c>
      <c r="AK384" s="288" t="s">
        <v>123</v>
      </c>
      <c r="AL384" s="288"/>
      <c r="AM384" s="292"/>
      <c r="AN384" s="288"/>
      <c r="AO384" s="288"/>
      <c r="AP384" s="297"/>
      <c r="AQ384" s="288"/>
      <c r="AR384" s="292"/>
      <c r="AS384" s="288"/>
      <c r="AT384" s="289"/>
      <c r="AU384" s="289">
        <v>43453.378948842597</v>
      </c>
      <c r="AV384" s="289"/>
      <c r="AW384" s="289"/>
      <c r="AX384" s="289"/>
      <c r="AY384" s="289"/>
      <c r="AZ384" s="298">
        <v>43202</v>
      </c>
      <c r="BA38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4" s="300">
        <f>COUNTIFS(_05preva_view43[Site ID],_05preva_view43[[#This Row],[Site ID]],_05preva_view43[Prevalidation Status],"Under Prevalidation")</f>
        <v>0</v>
      </c>
      <c r="BC38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4" s="302" t="str">
        <f>CONCATENATE(_05preva_view43[[#This Row],[Site ID]]," (",_05preva_view43[[#This Row],[tenant id]],") Application",IF(_05preva_view43[[#This Row],[Colo Rev]]&gt;0," Rev "&amp;_05preva_view43[[#This Row],[Colo Rev]],""),".xlsx")</f>
        <v>ACBA_0118 (BGO0948) Application.xlsx</v>
      </c>
      <c r="BE384" s="64">
        <f t="shared" ca="1" si="7"/>
        <v>50</v>
      </c>
      <c r="BF384" s="104" t="str">
        <f ca="1">LEFT(CELL("filename",A369),_05preva_view43[[#This Row],[Find Process &amp; Database]]-1)</f>
        <v>D:\OneDrive - apollo-towers.com\Apollo Towers\00-</v>
      </c>
      <c r="BG384" s="104" t="str">
        <f ca="1">_05preva_view43[Folder Path1]&amp;"Process &amp; Database\Documentation\Colo Applications"</f>
        <v>D:\OneDrive - apollo-towers.com\Apollo Towers\00-Process &amp; Database\Documentation\Colo Applications</v>
      </c>
      <c r="BH384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4" s="63" t="str">
        <f ca="1">_05preva_view43[[#This Row],[Folder Path3]]&amp;_05preva_view43[[#This Row],[File Name]]</f>
        <v>D:\OneDrive - apollo-towers.com\Apollo Towers\00-Process &amp; Database\Documentation\Colo Applications\Colo App Mytel\ACBA_0118 (BGO0948) Application.xlsx</v>
      </c>
      <c r="BJ384" s="104"/>
      <c r="BK384" s="3"/>
      <c r="BL384" s="3"/>
      <c r="CJ384" s="5"/>
      <c r="CK384" s="5"/>
      <c r="CL384" s="3"/>
      <c r="CN384" s="5"/>
      <c r="CR384" s="3"/>
      <c r="CS384" s="3"/>
      <c r="CT384" s="5"/>
      <c r="CV384" s="3"/>
      <c r="DR384" s="5"/>
      <c r="DT384" s="3"/>
      <c r="EF384" s="7"/>
      <c r="EG384" s="7"/>
      <c r="EJ384" s="4"/>
      <c r="EK384" s="4"/>
      <c r="EU384" s="2"/>
      <c r="EV384" s="2"/>
    </row>
    <row r="385" spans="1:152">
      <c r="A385" s="287">
        <v>44</v>
      </c>
      <c r="B385" s="288" t="s">
        <v>262</v>
      </c>
      <c r="C385" s="288" t="s">
        <v>116</v>
      </c>
      <c r="D385" s="288" t="s">
        <v>117</v>
      </c>
      <c r="E385" s="288" t="s">
        <v>263</v>
      </c>
      <c r="F385" s="288" t="s">
        <v>34</v>
      </c>
      <c r="G385" s="288" t="s">
        <v>1284</v>
      </c>
      <c r="H385" s="288" t="s">
        <v>1285</v>
      </c>
      <c r="I385" s="288" t="s">
        <v>118</v>
      </c>
      <c r="J385" s="288"/>
      <c r="K385" s="289">
        <v>43202</v>
      </c>
      <c r="L385" s="290"/>
      <c r="M385" s="290">
        <v>2</v>
      </c>
      <c r="N385" s="288">
        <v>6</v>
      </c>
      <c r="O385" s="288" t="s">
        <v>119</v>
      </c>
      <c r="P385" s="291" t="s">
        <v>248</v>
      </c>
      <c r="Q385" s="291" t="s">
        <v>249</v>
      </c>
      <c r="R385" s="288" t="s">
        <v>24</v>
      </c>
      <c r="S385" s="288"/>
      <c r="T385" s="292" t="s">
        <v>120</v>
      </c>
      <c r="U385" s="288" t="s">
        <v>121</v>
      </c>
      <c r="V385" s="292" t="s">
        <v>120</v>
      </c>
      <c r="W385" s="288"/>
      <c r="X385" s="292" t="s">
        <v>120</v>
      </c>
      <c r="Y385" s="288"/>
      <c r="Z385" s="293" t="s">
        <v>120</v>
      </c>
      <c r="AA385" s="294"/>
      <c r="AB385" s="294"/>
      <c r="AC385" s="295"/>
      <c r="AD385" s="288"/>
      <c r="AE385" s="292" t="s">
        <v>120</v>
      </c>
      <c r="AF385" s="289" t="s">
        <v>256</v>
      </c>
      <c r="AG385" s="296"/>
      <c r="AH385" s="296">
        <v>2</v>
      </c>
      <c r="AI385" s="288" t="s">
        <v>261</v>
      </c>
      <c r="AJ385" s="292" t="s">
        <v>120</v>
      </c>
      <c r="AK385" s="288" t="s">
        <v>123</v>
      </c>
      <c r="AL385" s="288"/>
      <c r="AM385" s="292"/>
      <c r="AN385" s="288"/>
      <c r="AO385" s="288"/>
      <c r="AP385" s="297"/>
      <c r="AQ385" s="288"/>
      <c r="AR385" s="292"/>
      <c r="AS385" s="288"/>
      <c r="AT385" s="289"/>
      <c r="AU385" s="289">
        <v>43453.378949652797</v>
      </c>
      <c r="AV385" s="289"/>
      <c r="AW385" s="289"/>
      <c r="AX385" s="289"/>
      <c r="AY385" s="289"/>
      <c r="AZ385" s="298">
        <v>43202</v>
      </c>
      <c r="BA38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5" s="300">
        <f>COUNTIFS(_05preva_view43[Site ID],_05preva_view43[[#This Row],[Site ID]],_05preva_view43[Prevalidation Status],"Under Prevalidation")</f>
        <v>0</v>
      </c>
      <c r="BC38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5" s="302" t="str">
        <f>CONCATENATE(_05preva_view43[[#This Row],[Site ID]]," (",_05preva_view43[[#This Row],[tenant id]],") Application",IF(_05preva_view43[[#This Row],[Colo Rev]]&gt;0," Rev "&amp;_05preva_view43[[#This Row],[Colo Rev]],""),".xlsx")</f>
        <v>ACBA_0075 (BGO0949) Application.xlsx</v>
      </c>
      <c r="BE385" s="64">
        <f t="shared" ca="1" si="7"/>
        <v>50</v>
      </c>
      <c r="BF385" s="104" t="str">
        <f ca="1">LEFT(CELL("filename",A370),_05preva_view43[[#This Row],[Find Process &amp; Database]]-1)</f>
        <v>D:\OneDrive - apollo-towers.com\Apollo Towers\00-</v>
      </c>
      <c r="BG385" s="104" t="str">
        <f ca="1">_05preva_view43[Folder Path1]&amp;"Process &amp; Database\Documentation\Colo Applications"</f>
        <v>D:\OneDrive - apollo-towers.com\Apollo Towers\00-Process &amp; Database\Documentation\Colo Applications</v>
      </c>
      <c r="BH38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5" s="63" t="str">
        <f ca="1">_05preva_view43[[#This Row],[Folder Path3]]&amp;_05preva_view43[[#This Row],[File Name]]</f>
        <v>D:\OneDrive - apollo-towers.com\Apollo Towers\00-Process &amp; Database\Documentation\Colo Applications\Colo App Mytel\ACBA_0075 (BGO0949) Application.xlsx</v>
      </c>
      <c r="BJ385" s="104"/>
      <c r="BK385" s="3"/>
      <c r="BL385" s="3"/>
      <c r="CJ385" s="5"/>
      <c r="CK385" s="5"/>
      <c r="CL385" s="3"/>
      <c r="CN385" s="5"/>
      <c r="CR385" s="3"/>
      <c r="CS385" s="3"/>
      <c r="CT385" s="5"/>
      <c r="CV385" s="3"/>
      <c r="DR385" s="5"/>
      <c r="DT385" s="3"/>
      <c r="EF385" s="7"/>
      <c r="EG385" s="7"/>
      <c r="EJ385" s="4"/>
      <c r="EK385" s="4"/>
      <c r="EU385" s="2"/>
      <c r="EV385" s="2"/>
    </row>
    <row r="386" spans="1:152">
      <c r="A386" s="287">
        <v>45</v>
      </c>
      <c r="B386" s="288" t="s">
        <v>264</v>
      </c>
      <c r="C386" s="288" t="s">
        <v>116</v>
      </c>
      <c r="D386" s="288" t="s">
        <v>117</v>
      </c>
      <c r="E386" s="288" t="s">
        <v>265</v>
      </c>
      <c r="F386" s="288" t="s">
        <v>34</v>
      </c>
      <c r="G386" s="288" t="s">
        <v>1284</v>
      </c>
      <c r="H386" s="288" t="s">
        <v>1285</v>
      </c>
      <c r="I386" s="288" t="s">
        <v>118</v>
      </c>
      <c r="J386" s="288"/>
      <c r="K386" s="289">
        <v>43202</v>
      </c>
      <c r="L386" s="290"/>
      <c r="M386" s="290">
        <v>2</v>
      </c>
      <c r="N386" s="288">
        <v>6</v>
      </c>
      <c r="O386" s="288" t="s">
        <v>119</v>
      </c>
      <c r="P386" s="291" t="s">
        <v>248</v>
      </c>
      <c r="Q386" s="291" t="s">
        <v>249</v>
      </c>
      <c r="R386" s="288" t="s">
        <v>24</v>
      </c>
      <c r="S386" s="288"/>
      <c r="T386" s="292" t="s">
        <v>120</v>
      </c>
      <c r="U386" s="288" t="s">
        <v>121</v>
      </c>
      <c r="V386" s="292" t="s">
        <v>120</v>
      </c>
      <c r="W386" s="288"/>
      <c r="X386" s="292" t="s">
        <v>120</v>
      </c>
      <c r="Y386" s="288"/>
      <c r="Z386" s="293" t="s">
        <v>120</v>
      </c>
      <c r="AA386" s="294"/>
      <c r="AB386" s="294"/>
      <c r="AC386" s="295"/>
      <c r="AD386" s="288"/>
      <c r="AE386" s="292" t="s">
        <v>120</v>
      </c>
      <c r="AF386" s="289" t="s">
        <v>256</v>
      </c>
      <c r="AG386" s="296"/>
      <c r="AH386" s="296">
        <v>2</v>
      </c>
      <c r="AI386" s="288" t="s">
        <v>261</v>
      </c>
      <c r="AJ386" s="292" t="s">
        <v>120</v>
      </c>
      <c r="AK386" s="288" t="s">
        <v>123</v>
      </c>
      <c r="AL386" s="288"/>
      <c r="AM386" s="292"/>
      <c r="AN386" s="288"/>
      <c r="AO386" s="288"/>
      <c r="AP386" s="297"/>
      <c r="AQ386" s="288"/>
      <c r="AR386" s="292"/>
      <c r="AS386" s="288"/>
      <c r="AT386" s="289"/>
      <c r="AU386" s="289">
        <v>43453.378952199098</v>
      </c>
      <c r="AV386" s="289"/>
      <c r="AW386" s="289"/>
      <c r="AX386" s="289"/>
      <c r="AY386" s="289"/>
      <c r="AZ386" s="298">
        <v>43202</v>
      </c>
      <c r="BA38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6" s="300">
        <f>COUNTIFS(_05preva_view43[Site ID],_05preva_view43[[#This Row],[Site ID]],_05preva_view43[Prevalidation Status],"Under Prevalidation")</f>
        <v>0</v>
      </c>
      <c r="BC38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6" s="302" t="str">
        <f>CONCATENATE(_05preva_view43[[#This Row],[Site ID]]," (",_05preva_view43[[#This Row],[tenant id]],") Application",IF(_05preva_view43[[#This Row],[Colo Rev]]&gt;0," Rev "&amp;_05preva_view43[[#This Row],[Colo Rev]],""),".xlsx")</f>
        <v>ACBA_0073 (BGO0950) Application.xlsx</v>
      </c>
      <c r="BE386" s="64">
        <f t="shared" ca="1" si="7"/>
        <v>50</v>
      </c>
      <c r="BF386" s="104" t="str">
        <f ca="1">LEFT(CELL("filename",A371),_05preva_view43[[#This Row],[Find Process &amp; Database]]-1)</f>
        <v>D:\OneDrive - apollo-towers.com\Apollo Towers\00-</v>
      </c>
      <c r="BG386" s="104" t="str">
        <f ca="1">_05preva_view43[Folder Path1]&amp;"Process &amp; Database\Documentation\Colo Applications"</f>
        <v>D:\OneDrive - apollo-towers.com\Apollo Towers\00-Process &amp; Database\Documentation\Colo Applications</v>
      </c>
      <c r="BH38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6" s="63" t="str">
        <f ca="1">_05preva_view43[[#This Row],[Folder Path3]]&amp;_05preva_view43[[#This Row],[File Name]]</f>
        <v>D:\OneDrive - apollo-towers.com\Apollo Towers\00-Process &amp; Database\Documentation\Colo Applications\Colo App Mytel\ACBA_0073 (BGO0950) Application.xlsx</v>
      </c>
      <c r="BJ386" s="104"/>
      <c r="BK386" s="3"/>
      <c r="BL386" s="3"/>
      <c r="CJ386" s="5"/>
      <c r="CK386" s="5"/>
      <c r="CL386" s="3"/>
      <c r="CN386" s="5"/>
      <c r="CR386" s="3"/>
      <c r="CS386" s="3"/>
      <c r="CT386" s="5"/>
      <c r="CV386" s="3"/>
      <c r="DR386" s="5"/>
      <c r="DT386" s="3"/>
      <c r="EF386" s="7"/>
      <c r="EG386" s="7"/>
      <c r="EJ386" s="4"/>
      <c r="EK386" s="4"/>
      <c r="EU386" s="2"/>
      <c r="EV386" s="2"/>
    </row>
    <row r="387" spans="1:152">
      <c r="A387" s="287">
        <v>46</v>
      </c>
      <c r="B387" s="288" t="s">
        <v>266</v>
      </c>
      <c r="C387" s="288" t="s">
        <v>116</v>
      </c>
      <c r="D387" s="288" t="s">
        <v>117</v>
      </c>
      <c r="E387" s="288" t="s">
        <v>267</v>
      </c>
      <c r="F387" s="288" t="s">
        <v>34</v>
      </c>
      <c r="G387" s="288" t="s">
        <v>1284</v>
      </c>
      <c r="H387" s="288" t="s">
        <v>1285</v>
      </c>
      <c r="I387" s="288" t="s">
        <v>118</v>
      </c>
      <c r="J387" s="288"/>
      <c r="K387" s="289">
        <v>43202</v>
      </c>
      <c r="L387" s="290"/>
      <c r="M387" s="290">
        <v>2</v>
      </c>
      <c r="N387" s="288">
        <v>6</v>
      </c>
      <c r="O387" s="288" t="s">
        <v>119</v>
      </c>
      <c r="P387" s="291" t="s">
        <v>248</v>
      </c>
      <c r="Q387" s="291" t="s">
        <v>249</v>
      </c>
      <c r="R387" s="288" t="s">
        <v>24</v>
      </c>
      <c r="S387" s="288"/>
      <c r="T387" s="292" t="s">
        <v>120</v>
      </c>
      <c r="U387" s="288" t="s">
        <v>121</v>
      </c>
      <c r="V387" s="292" t="s">
        <v>120</v>
      </c>
      <c r="W387" s="288"/>
      <c r="X387" s="292" t="s">
        <v>120</v>
      </c>
      <c r="Y387" s="288"/>
      <c r="Z387" s="293" t="s">
        <v>120</v>
      </c>
      <c r="AA387" s="294"/>
      <c r="AB387" s="294"/>
      <c r="AC387" s="295"/>
      <c r="AD387" s="288"/>
      <c r="AE387" s="292" t="s">
        <v>120</v>
      </c>
      <c r="AF387" s="289" t="s">
        <v>256</v>
      </c>
      <c r="AG387" s="296"/>
      <c r="AH387" s="296">
        <v>2</v>
      </c>
      <c r="AI387" s="288" t="s">
        <v>261</v>
      </c>
      <c r="AJ387" s="292" t="s">
        <v>120</v>
      </c>
      <c r="AK387" s="288" t="s">
        <v>123</v>
      </c>
      <c r="AL387" s="288"/>
      <c r="AM387" s="292"/>
      <c r="AN387" s="288"/>
      <c r="AO387" s="288"/>
      <c r="AP387" s="297"/>
      <c r="AQ387" s="288"/>
      <c r="AR387" s="292"/>
      <c r="AS387" s="288"/>
      <c r="AT387" s="289"/>
      <c r="AU387" s="289">
        <v>43453.378953240703</v>
      </c>
      <c r="AV387" s="289"/>
      <c r="AW387" s="289"/>
      <c r="AX387" s="289"/>
      <c r="AY387" s="289"/>
      <c r="AZ387" s="298">
        <v>43202</v>
      </c>
      <c r="BA38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7" s="300">
        <f>COUNTIFS(_05preva_view43[Site ID],_05preva_view43[[#This Row],[Site ID]],_05preva_view43[Prevalidation Status],"Under Prevalidation")</f>
        <v>0</v>
      </c>
      <c r="BC38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7" s="302" t="str">
        <f>CONCATENATE(_05preva_view43[[#This Row],[Site ID]]," (",_05preva_view43[[#This Row],[tenant id]],") Application",IF(_05preva_view43[[#This Row],[Colo Rev]]&gt;0," Rev "&amp;_05preva_view43[[#This Row],[Colo Rev]],""),".xlsx")</f>
        <v>ACBA_0067 (BGO0965) Application.xlsx</v>
      </c>
      <c r="BE387" s="64">
        <f t="shared" ca="1" si="7"/>
        <v>50</v>
      </c>
      <c r="BF387" s="104" t="str">
        <f ca="1">LEFT(CELL("filename",A372),_05preva_view43[[#This Row],[Find Process &amp; Database]]-1)</f>
        <v>D:\OneDrive - apollo-towers.com\Apollo Towers\00-</v>
      </c>
      <c r="BG387" s="104" t="str">
        <f ca="1">_05preva_view43[Folder Path1]&amp;"Process &amp; Database\Documentation\Colo Applications"</f>
        <v>D:\OneDrive - apollo-towers.com\Apollo Towers\00-Process &amp; Database\Documentation\Colo Applications</v>
      </c>
      <c r="BH38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7" s="63" t="str">
        <f ca="1">_05preva_view43[[#This Row],[Folder Path3]]&amp;_05preva_view43[[#This Row],[File Name]]</f>
        <v>D:\OneDrive - apollo-towers.com\Apollo Towers\00-Process &amp; Database\Documentation\Colo Applications\Colo App Mytel\ACBA_0067 (BGO0965) Application.xlsx</v>
      </c>
      <c r="BJ387" s="104"/>
      <c r="BK387" s="3"/>
      <c r="BL387" s="3"/>
      <c r="CJ387" s="5"/>
      <c r="CK387" s="5"/>
      <c r="CL387" s="3"/>
      <c r="CN387" s="5"/>
      <c r="CR387" s="3"/>
      <c r="CS387" s="3"/>
      <c r="CT387" s="5"/>
      <c r="CV387" s="3"/>
      <c r="DR387" s="5"/>
      <c r="DT387" s="3"/>
      <c r="EF387" s="7"/>
      <c r="EG387" s="7"/>
      <c r="EJ387" s="4"/>
      <c r="EK387" s="4"/>
      <c r="EU387" s="2"/>
      <c r="EV387" s="2"/>
    </row>
    <row r="388" spans="1:152">
      <c r="A388" s="287">
        <v>47</v>
      </c>
      <c r="B388" s="288" t="s">
        <v>268</v>
      </c>
      <c r="C388" s="288" t="s">
        <v>116</v>
      </c>
      <c r="D388" s="288" t="s">
        <v>117</v>
      </c>
      <c r="E388" s="288" t="s">
        <v>269</v>
      </c>
      <c r="F388" s="288" t="s">
        <v>34</v>
      </c>
      <c r="G388" s="288" t="s">
        <v>1284</v>
      </c>
      <c r="H388" s="288" t="s">
        <v>1285</v>
      </c>
      <c r="I388" s="288" t="s">
        <v>118</v>
      </c>
      <c r="J388" s="288"/>
      <c r="K388" s="289">
        <v>43202</v>
      </c>
      <c r="L388" s="290"/>
      <c r="M388" s="290">
        <v>2</v>
      </c>
      <c r="N388" s="288">
        <v>6</v>
      </c>
      <c r="O388" s="288" t="s">
        <v>119</v>
      </c>
      <c r="P388" s="291" t="s">
        <v>248</v>
      </c>
      <c r="Q388" s="291" t="s">
        <v>249</v>
      </c>
      <c r="R388" s="288" t="s">
        <v>24</v>
      </c>
      <c r="S388" s="288"/>
      <c r="T388" s="292" t="s">
        <v>120</v>
      </c>
      <c r="U388" s="288" t="s">
        <v>121</v>
      </c>
      <c r="V388" s="292" t="s">
        <v>120</v>
      </c>
      <c r="W388" s="288"/>
      <c r="X388" s="292" t="s">
        <v>120</v>
      </c>
      <c r="Y388" s="288"/>
      <c r="Z388" s="293" t="s">
        <v>120</v>
      </c>
      <c r="AA388" s="294"/>
      <c r="AB388" s="294"/>
      <c r="AC388" s="295"/>
      <c r="AD388" s="288"/>
      <c r="AE388" s="292" t="s">
        <v>120</v>
      </c>
      <c r="AF388" s="289" t="s">
        <v>256</v>
      </c>
      <c r="AG388" s="296"/>
      <c r="AH388" s="296">
        <v>2</v>
      </c>
      <c r="AI388" s="288" t="s">
        <v>261</v>
      </c>
      <c r="AJ388" s="292" t="s">
        <v>120</v>
      </c>
      <c r="AK388" s="288" t="s">
        <v>123</v>
      </c>
      <c r="AL388" s="288"/>
      <c r="AM388" s="292"/>
      <c r="AN388" s="288"/>
      <c r="AO388" s="288"/>
      <c r="AP388" s="297"/>
      <c r="AQ388" s="288"/>
      <c r="AR388" s="292"/>
      <c r="AS388" s="288"/>
      <c r="AT388" s="289"/>
      <c r="AU388" s="289">
        <v>43453.3789555556</v>
      </c>
      <c r="AV388" s="289"/>
      <c r="AW388" s="289"/>
      <c r="AX388" s="289"/>
      <c r="AY388" s="289"/>
      <c r="AZ388" s="298">
        <v>43202</v>
      </c>
      <c r="BA38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8" s="300">
        <f>COUNTIFS(_05preva_view43[Site ID],_05preva_view43[[#This Row],[Site ID]],_05preva_view43[Prevalidation Status],"Under Prevalidation")</f>
        <v>0</v>
      </c>
      <c r="BC38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8" s="302" t="str">
        <f>CONCATENATE(_05preva_view43[[#This Row],[Site ID]]," (",_05preva_view43[[#This Row],[tenant id]],") Application",IF(_05preva_view43[[#This Row],[Colo Rev]]&gt;0," Rev "&amp;_05preva_view43[[#This Row],[Colo Rev]],""),".xlsx")</f>
        <v>ACBA_0124 (BGO0970) Application.xlsx</v>
      </c>
      <c r="BE388" s="64">
        <f t="shared" ca="1" si="7"/>
        <v>50</v>
      </c>
      <c r="BF388" s="104" t="str">
        <f ca="1">LEFT(CELL("filename",A373),_05preva_view43[[#This Row],[Find Process &amp; Database]]-1)</f>
        <v>D:\OneDrive - apollo-towers.com\Apollo Towers\00-</v>
      </c>
      <c r="BG388" s="104" t="str">
        <f ca="1">_05preva_view43[Folder Path1]&amp;"Process &amp; Database\Documentation\Colo Applications"</f>
        <v>D:\OneDrive - apollo-towers.com\Apollo Towers\00-Process &amp; Database\Documentation\Colo Applications</v>
      </c>
      <c r="BH38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8" s="63" t="str">
        <f ca="1">_05preva_view43[[#This Row],[Folder Path3]]&amp;_05preva_view43[[#This Row],[File Name]]</f>
        <v>D:\OneDrive - apollo-towers.com\Apollo Towers\00-Process &amp; Database\Documentation\Colo Applications\Colo App Mytel\ACBA_0124 (BGO0970) Application.xlsx</v>
      </c>
      <c r="BJ388" s="104"/>
      <c r="BK388" s="3"/>
      <c r="BL388" s="3"/>
      <c r="CJ388" s="5"/>
      <c r="CK388" s="5"/>
      <c r="CL388" s="3"/>
      <c r="CN388" s="5"/>
      <c r="CR388" s="3"/>
      <c r="CS388" s="3"/>
      <c r="CT388" s="5"/>
      <c r="CV388" s="3"/>
      <c r="DR388" s="5"/>
      <c r="DT388" s="3"/>
      <c r="EF388" s="7"/>
      <c r="EG388" s="7"/>
      <c r="EJ388" s="4"/>
      <c r="EK388" s="4"/>
      <c r="EU388" s="2"/>
      <c r="EV388" s="2"/>
    </row>
    <row r="389" spans="1:152">
      <c r="A389" s="287">
        <v>48</v>
      </c>
      <c r="B389" s="288" t="s">
        <v>270</v>
      </c>
      <c r="C389" s="288" t="s">
        <v>116</v>
      </c>
      <c r="D389" s="288" t="s">
        <v>117</v>
      </c>
      <c r="E389" s="288" t="s">
        <v>271</v>
      </c>
      <c r="F389" s="288" t="s">
        <v>34</v>
      </c>
      <c r="G389" s="288" t="s">
        <v>1284</v>
      </c>
      <c r="H389" s="288" t="s">
        <v>1285</v>
      </c>
      <c r="I389" s="288" t="s">
        <v>118</v>
      </c>
      <c r="J389" s="288"/>
      <c r="K389" s="289">
        <v>43202</v>
      </c>
      <c r="L389" s="290"/>
      <c r="M389" s="290">
        <v>2</v>
      </c>
      <c r="N389" s="288">
        <v>6</v>
      </c>
      <c r="O389" s="288" t="s">
        <v>119</v>
      </c>
      <c r="P389" s="291" t="s">
        <v>248</v>
      </c>
      <c r="Q389" s="291" t="s">
        <v>249</v>
      </c>
      <c r="R389" s="288" t="s">
        <v>24</v>
      </c>
      <c r="S389" s="288"/>
      <c r="T389" s="292" t="s">
        <v>120</v>
      </c>
      <c r="U389" s="288" t="s">
        <v>121</v>
      </c>
      <c r="V389" s="292" t="s">
        <v>120</v>
      </c>
      <c r="W389" s="288"/>
      <c r="X389" s="292" t="s">
        <v>120</v>
      </c>
      <c r="Y389" s="288"/>
      <c r="Z389" s="293" t="s">
        <v>120</v>
      </c>
      <c r="AA389" s="294"/>
      <c r="AB389" s="294"/>
      <c r="AC389" s="295"/>
      <c r="AD389" s="288"/>
      <c r="AE389" s="292" t="s">
        <v>120</v>
      </c>
      <c r="AF389" s="289" t="s">
        <v>256</v>
      </c>
      <c r="AG389" s="296"/>
      <c r="AH389" s="296">
        <v>2</v>
      </c>
      <c r="AI389" s="288" t="s">
        <v>243</v>
      </c>
      <c r="AJ389" s="292" t="s">
        <v>120</v>
      </c>
      <c r="AK389" s="288" t="s">
        <v>123</v>
      </c>
      <c r="AL389" s="288"/>
      <c r="AM389" s="292"/>
      <c r="AN389" s="288"/>
      <c r="AO389" s="288"/>
      <c r="AP389" s="297"/>
      <c r="AQ389" s="288"/>
      <c r="AR389" s="292"/>
      <c r="AS389" s="288"/>
      <c r="AT389" s="289"/>
      <c r="AU389" s="289">
        <v>43453.378956250002</v>
      </c>
      <c r="AV389" s="289"/>
      <c r="AW389" s="289"/>
      <c r="AX389" s="289"/>
      <c r="AY389" s="289"/>
      <c r="AZ389" s="298">
        <v>43202</v>
      </c>
      <c r="BA38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89" s="300">
        <f>COUNTIFS(_05preva_view43[Site ID],_05preva_view43[[#This Row],[Site ID]],_05preva_view43[Prevalidation Status],"Under Prevalidation")</f>
        <v>0</v>
      </c>
      <c r="BC38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89" s="302" t="str">
        <f>CONCATENATE(_05preva_view43[[#This Row],[Site ID]]," (",_05preva_view43[[#This Row],[tenant id]],") Application",IF(_05preva_view43[[#This Row],[Colo Rev]]&gt;0," Rev "&amp;_05preva_view43[[#This Row],[Colo Rev]],""),".xlsx")</f>
        <v>ANNP_0243 (NPW0263) Application.xlsx</v>
      </c>
      <c r="BE389" s="64">
        <f t="shared" ca="1" si="7"/>
        <v>50</v>
      </c>
      <c r="BF389" s="104" t="str">
        <f ca="1">LEFT(CELL("filename",A374),_05preva_view43[[#This Row],[Find Process &amp; Database]]-1)</f>
        <v>D:\OneDrive - apollo-towers.com\Apollo Towers\00-</v>
      </c>
      <c r="BG389" s="104" t="str">
        <f ca="1">_05preva_view43[Folder Path1]&amp;"Process &amp; Database\Documentation\Colo Applications"</f>
        <v>D:\OneDrive - apollo-towers.com\Apollo Towers\00-Process &amp; Database\Documentation\Colo Applications</v>
      </c>
      <c r="BH38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89" s="63" t="str">
        <f ca="1">_05preva_view43[[#This Row],[Folder Path3]]&amp;_05preva_view43[[#This Row],[File Name]]</f>
        <v>D:\OneDrive - apollo-towers.com\Apollo Towers\00-Process &amp; Database\Documentation\Colo Applications\Colo App Mytel\ANNP_0243 (NPW0263) Application.xlsx</v>
      </c>
      <c r="BJ389" s="104"/>
      <c r="BK389" s="3"/>
      <c r="BL389" s="3"/>
      <c r="CJ389" s="5"/>
      <c r="CK389" s="5"/>
      <c r="CL389" s="3"/>
      <c r="CN389" s="5"/>
      <c r="CR389" s="3"/>
      <c r="CS389" s="3"/>
      <c r="CT389" s="5"/>
      <c r="CV389" s="3"/>
      <c r="DR389" s="5"/>
      <c r="DT389" s="3"/>
      <c r="EF389" s="7"/>
      <c r="EG389" s="7"/>
      <c r="EJ389" s="4"/>
      <c r="EK389" s="4"/>
      <c r="EU389" s="2"/>
      <c r="EV389" s="2"/>
    </row>
    <row r="390" spans="1:152">
      <c r="A390" s="287">
        <v>49</v>
      </c>
      <c r="B390" s="288" t="s">
        <v>272</v>
      </c>
      <c r="C390" s="288" t="s">
        <v>116</v>
      </c>
      <c r="D390" s="288" t="s">
        <v>117</v>
      </c>
      <c r="E390" s="288" t="s">
        <v>273</v>
      </c>
      <c r="F390" s="288" t="s">
        <v>34</v>
      </c>
      <c r="G390" s="288" t="s">
        <v>1284</v>
      </c>
      <c r="H390" s="288" t="s">
        <v>1285</v>
      </c>
      <c r="I390" s="288" t="s">
        <v>118</v>
      </c>
      <c r="J390" s="288"/>
      <c r="K390" s="289">
        <v>43202</v>
      </c>
      <c r="L390" s="290"/>
      <c r="M390" s="290">
        <v>2</v>
      </c>
      <c r="N390" s="288">
        <v>6</v>
      </c>
      <c r="O390" s="288" t="s">
        <v>119</v>
      </c>
      <c r="P390" s="291" t="s">
        <v>248</v>
      </c>
      <c r="Q390" s="291" t="s">
        <v>249</v>
      </c>
      <c r="R390" s="288" t="s">
        <v>24</v>
      </c>
      <c r="S390" s="288"/>
      <c r="T390" s="292" t="s">
        <v>120</v>
      </c>
      <c r="U390" s="288" t="s">
        <v>121</v>
      </c>
      <c r="V390" s="292" t="s">
        <v>120</v>
      </c>
      <c r="W390" s="288"/>
      <c r="X390" s="292" t="s">
        <v>120</v>
      </c>
      <c r="Y390" s="288" t="s">
        <v>274</v>
      </c>
      <c r="Z390" s="293" t="s">
        <v>120</v>
      </c>
      <c r="AA390" s="294"/>
      <c r="AB390" s="294"/>
      <c r="AC390" s="295"/>
      <c r="AD390" s="288" t="s">
        <v>275</v>
      </c>
      <c r="AE390" s="292" t="s">
        <v>120</v>
      </c>
      <c r="AF390" s="289" t="s">
        <v>256</v>
      </c>
      <c r="AG390" s="296"/>
      <c r="AH390" s="296">
        <v>2</v>
      </c>
      <c r="AI390" s="288" t="s">
        <v>277</v>
      </c>
      <c r="AJ390" s="292" t="s">
        <v>120</v>
      </c>
      <c r="AK390" s="288" t="s">
        <v>206</v>
      </c>
      <c r="AL390" s="288" t="s">
        <v>276</v>
      </c>
      <c r="AM390" s="292"/>
      <c r="AN390" s="288"/>
      <c r="AO390" s="288"/>
      <c r="AP390" s="297"/>
      <c r="AQ390" s="288"/>
      <c r="AR390" s="292"/>
      <c r="AS390" s="288"/>
      <c r="AT390" s="289"/>
      <c r="AU390" s="289">
        <v>43453.378957291701</v>
      </c>
      <c r="AV390" s="289"/>
      <c r="AW390" s="289"/>
      <c r="AX390" s="289"/>
      <c r="AY390" s="289"/>
      <c r="AZ390" s="298">
        <v>43202</v>
      </c>
      <c r="BA39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0" s="300">
        <f>COUNTIFS(_05preva_view43[Site ID],_05preva_view43[[#This Row],[Site ID]],_05preva_view43[Prevalidation Status],"Under Prevalidation")</f>
        <v>0</v>
      </c>
      <c r="BC39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0" s="302" t="str">
        <f>CONCATENATE(_05preva_view43[[#This Row],[Site ID]]," (",_05preva_view43[[#This Row],[tenant id]],") Application",IF(_05preva_view43[[#This Row],[Colo Rev]]&gt;0," Rev "&amp;_05preva_view43[[#This Row],[Colo Rev]],""),".xlsx")</f>
        <v>ANNP_0241 (NPW0264) Application.xlsx</v>
      </c>
      <c r="BE390" s="64">
        <f t="shared" ca="1" si="7"/>
        <v>50</v>
      </c>
      <c r="BF390" s="104" t="str">
        <f ca="1">LEFT(CELL("filename",A375),_05preva_view43[[#This Row],[Find Process &amp; Database]]-1)</f>
        <v>D:\OneDrive - apollo-towers.com\Apollo Towers\00-</v>
      </c>
      <c r="BG390" s="104" t="str">
        <f ca="1">_05preva_view43[Folder Path1]&amp;"Process &amp; Database\Documentation\Colo Applications"</f>
        <v>D:\OneDrive - apollo-towers.com\Apollo Towers\00-Process &amp; Database\Documentation\Colo Applications</v>
      </c>
      <c r="BH39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0" s="63" t="str">
        <f ca="1">_05preva_view43[[#This Row],[Folder Path3]]&amp;_05preva_view43[[#This Row],[File Name]]</f>
        <v>D:\OneDrive - apollo-towers.com\Apollo Towers\00-Process &amp; Database\Documentation\Colo Applications\Colo App Mytel\ANNP_0241 (NPW0264) Application.xlsx</v>
      </c>
      <c r="BJ390" s="104"/>
      <c r="BK390" s="3"/>
      <c r="BL390" s="3"/>
      <c r="CJ390" s="5"/>
      <c r="CK390" s="5"/>
      <c r="CL390" s="3"/>
      <c r="CN390" s="5"/>
      <c r="CR390" s="3"/>
      <c r="CS390" s="3"/>
      <c r="CT390" s="5"/>
      <c r="CV390" s="3"/>
      <c r="DR390" s="5"/>
      <c r="DT390" s="3"/>
      <c r="EF390" s="7"/>
      <c r="EG390" s="7"/>
      <c r="EJ390" s="4"/>
      <c r="EK390" s="4"/>
      <c r="EU390" s="2"/>
      <c r="EV390" s="2"/>
    </row>
    <row r="391" spans="1:152">
      <c r="A391" s="287">
        <v>36</v>
      </c>
      <c r="B391" s="288" t="s">
        <v>238</v>
      </c>
      <c r="C391" s="288" t="s">
        <v>116</v>
      </c>
      <c r="D391" s="288" t="s">
        <v>127</v>
      </c>
      <c r="E391" s="288" t="s">
        <v>239</v>
      </c>
      <c r="F391" s="288" t="s">
        <v>34</v>
      </c>
      <c r="G391" s="288" t="s">
        <v>1284</v>
      </c>
      <c r="H391" s="288" t="s">
        <v>1290</v>
      </c>
      <c r="I391" s="288" t="s">
        <v>118</v>
      </c>
      <c r="J391" s="288"/>
      <c r="K391" s="289">
        <v>43193</v>
      </c>
      <c r="L391" s="290"/>
      <c r="M391" s="290">
        <v>2</v>
      </c>
      <c r="N391" s="288">
        <v>6</v>
      </c>
      <c r="O391" s="288" t="s">
        <v>119</v>
      </c>
      <c r="P391" s="291" t="s">
        <v>240</v>
      </c>
      <c r="Q391" s="291" t="s">
        <v>241</v>
      </c>
      <c r="R391" s="288" t="s">
        <v>24</v>
      </c>
      <c r="S391" s="288"/>
      <c r="T391" s="292" t="s">
        <v>120</v>
      </c>
      <c r="U391" s="288" t="s">
        <v>121</v>
      </c>
      <c r="V391" s="292" t="s">
        <v>229</v>
      </c>
      <c r="W391" s="288"/>
      <c r="X391" s="292" t="s">
        <v>120</v>
      </c>
      <c r="Y391" s="288" t="s">
        <v>242</v>
      </c>
      <c r="Z391" s="293" t="s">
        <v>120</v>
      </c>
      <c r="AA391" s="294"/>
      <c r="AB391" s="294"/>
      <c r="AC391" s="295"/>
      <c r="AD391" s="288"/>
      <c r="AE391" s="292" t="s">
        <v>120</v>
      </c>
      <c r="AF391" s="289" t="s">
        <v>230</v>
      </c>
      <c r="AG391" s="296"/>
      <c r="AH391" s="296">
        <v>2</v>
      </c>
      <c r="AI391" s="288" t="s">
        <v>243</v>
      </c>
      <c r="AJ391" s="292" t="s">
        <v>120</v>
      </c>
      <c r="AK391" s="288" t="s">
        <v>206</v>
      </c>
      <c r="AL391" s="288" t="s">
        <v>222</v>
      </c>
      <c r="AM391" s="292"/>
      <c r="AN391" s="288"/>
      <c r="AO391" s="288"/>
      <c r="AP391" s="297"/>
      <c r="AQ391" s="288"/>
      <c r="AR391" s="292"/>
      <c r="AS391" s="288"/>
      <c r="AT391" s="289"/>
      <c r="AU391" s="289">
        <v>43453.378931944397</v>
      </c>
      <c r="AV391" s="289"/>
      <c r="AW391" s="289"/>
      <c r="AX391" s="289"/>
      <c r="AY391" s="289"/>
      <c r="AZ391" s="298">
        <v>43193</v>
      </c>
      <c r="BA39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1" s="300">
        <f>COUNTIFS(_05preva_view43[Site ID],_05preva_view43[[#This Row],[Site ID]],_05preva_view43[Prevalidation Status],"Under Prevalidation")</f>
        <v>0</v>
      </c>
      <c r="BC39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1" s="302" t="str">
        <f>CONCATENATE(_05preva_view43[[#This Row],[Site ID]]," (",_05preva_view43[[#This Row],[tenant id]],") Application",IF(_05preva_view43[[#This Row],[Colo Rev]]&gt;0," Rev "&amp;_05preva_view43[[#This Row],[Colo Rev]],""),".xlsx")</f>
        <v>ANKC_0017 (KCN0349) Application.xlsx</v>
      </c>
      <c r="BE391" s="64">
        <f t="shared" ca="1" si="7"/>
        <v>50</v>
      </c>
      <c r="BF391" s="104" t="str">
        <f ca="1">LEFT(CELL("filename",A376),_05preva_view43[[#This Row],[Find Process &amp; Database]]-1)</f>
        <v>D:\OneDrive - apollo-towers.com\Apollo Towers\00-</v>
      </c>
      <c r="BG391" s="104" t="str">
        <f ca="1">_05preva_view43[Folder Path1]&amp;"Process &amp; Database\Documentation\Colo Applications"</f>
        <v>D:\OneDrive - apollo-towers.com\Apollo Towers\00-Process &amp; Database\Documentation\Colo Applications</v>
      </c>
      <c r="BH39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1" s="63" t="str">
        <f ca="1">_05preva_view43[[#This Row],[Folder Path3]]&amp;_05preva_view43[[#This Row],[File Name]]</f>
        <v>D:\OneDrive - apollo-towers.com\Apollo Towers\00-Process &amp; Database\Documentation\Colo Applications\Colo App Mytel\ANKC_0017 (KCN0349) Application.xlsx</v>
      </c>
      <c r="BJ391" s="104"/>
      <c r="BK391" s="3"/>
      <c r="BL391" s="3"/>
      <c r="CJ391" s="5"/>
      <c r="CK391" s="5"/>
      <c r="CL391" s="3"/>
      <c r="CN391" s="5"/>
      <c r="CR391" s="3"/>
      <c r="CS391" s="3"/>
      <c r="CT391" s="5"/>
      <c r="CV391" s="3"/>
      <c r="DR391" s="5"/>
      <c r="DT391" s="3"/>
      <c r="EF391" s="7"/>
      <c r="EG391" s="7"/>
      <c r="EJ391" s="4"/>
      <c r="EK391" s="4"/>
      <c r="EU391" s="2"/>
      <c r="EV391" s="2"/>
    </row>
    <row r="392" spans="1:152">
      <c r="A392" s="287">
        <v>37</v>
      </c>
      <c r="B392" s="288" t="s">
        <v>244</v>
      </c>
      <c r="C392" s="288" t="s">
        <v>116</v>
      </c>
      <c r="D392" s="288" t="s">
        <v>127</v>
      </c>
      <c r="E392" s="288" t="s">
        <v>245</v>
      </c>
      <c r="F392" s="288" t="s">
        <v>34</v>
      </c>
      <c r="G392" s="288" t="s">
        <v>1284</v>
      </c>
      <c r="H392" s="288" t="s">
        <v>1285</v>
      </c>
      <c r="I392" s="288" t="s">
        <v>118</v>
      </c>
      <c r="J392" s="288"/>
      <c r="K392" s="289">
        <v>43193</v>
      </c>
      <c r="L392" s="290"/>
      <c r="M392" s="290">
        <v>2</v>
      </c>
      <c r="N392" s="288">
        <v>6</v>
      </c>
      <c r="O392" s="288" t="s">
        <v>119</v>
      </c>
      <c r="P392" s="291" t="s">
        <v>240</v>
      </c>
      <c r="Q392" s="291" t="s">
        <v>241</v>
      </c>
      <c r="R392" s="288" t="s">
        <v>24</v>
      </c>
      <c r="S392" s="288"/>
      <c r="T392" s="292" t="s">
        <v>120</v>
      </c>
      <c r="U392" s="288" t="s">
        <v>121</v>
      </c>
      <c r="V392" s="292" t="s">
        <v>120</v>
      </c>
      <c r="W392" s="288"/>
      <c r="X392" s="292" t="s">
        <v>120</v>
      </c>
      <c r="Y392" s="288" t="s">
        <v>242</v>
      </c>
      <c r="Z392" s="293" t="s">
        <v>120</v>
      </c>
      <c r="AA392" s="294"/>
      <c r="AB392" s="294"/>
      <c r="AC392" s="295"/>
      <c r="AD392" s="288"/>
      <c r="AE392" s="292" t="s">
        <v>120</v>
      </c>
      <c r="AF392" s="289" t="s">
        <v>230</v>
      </c>
      <c r="AG392" s="296"/>
      <c r="AH392" s="296">
        <v>2</v>
      </c>
      <c r="AI392" s="288" t="s">
        <v>231</v>
      </c>
      <c r="AJ392" s="292" t="s">
        <v>120</v>
      </c>
      <c r="AK392" s="288" t="s">
        <v>123</v>
      </c>
      <c r="AL392" s="288"/>
      <c r="AM392" s="292"/>
      <c r="AN392" s="288"/>
      <c r="AO392" s="288"/>
      <c r="AP392" s="297"/>
      <c r="AQ392" s="288"/>
      <c r="AR392" s="292"/>
      <c r="AS392" s="288"/>
      <c r="AT392" s="289"/>
      <c r="AU392" s="289">
        <v>43453.378934606502</v>
      </c>
      <c r="AV392" s="289"/>
      <c r="AW392" s="289"/>
      <c r="AX392" s="289"/>
      <c r="AY392" s="289"/>
      <c r="AZ392" s="298">
        <v>43193</v>
      </c>
      <c r="BA39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2" s="300">
        <f>COUNTIFS(_05preva_view43[Site ID],_05preva_view43[[#This Row],[Site ID]],_05preva_view43[Prevalidation Status],"Under Prevalidation")</f>
        <v>0</v>
      </c>
      <c r="BC39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2" s="302" t="str">
        <f>CONCATENATE(_05preva_view43[[#This Row],[Site ID]]," (",_05preva_view43[[#This Row],[tenant id]],") Application",IF(_05preva_view43[[#This Row],[Colo Rev]]&gt;0," Rev "&amp;_05preva_view43[[#This Row],[Colo Rev]],""),".xlsx")</f>
        <v>ANMD_0073 (MDY0002) Application.xlsx</v>
      </c>
      <c r="BE392" s="64">
        <f t="shared" ca="1" si="7"/>
        <v>50</v>
      </c>
      <c r="BF392" s="104" t="str">
        <f ca="1">LEFT(CELL("filename",A377),_05preva_view43[[#This Row],[Find Process &amp; Database]]-1)</f>
        <v>D:\OneDrive - apollo-towers.com\Apollo Towers\00-</v>
      </c>
      <c r="BG392" s="104" t="str">
        <f ca="1">_05preva_view43[Folder Path1]&amp;"Process &amp; Database\Documentation\Colo Applications"</f>
        <v>D:\OneDrive - apollo-towers.com\Apollo Towers\00-Process &amp; Database\Documentation\Colo Applications</v>
      </c>
      <c r="BH39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2" s="63" t="str">
        <f ca="1">_05preva_view43[[#This Row],[Folder Path3]]&amp;_05preva_view43[[#This Row],[File Name]]</f>
        <v>D:\OneDrive - apollo-towers.com\Apollo Towers\00-Process &amp; Database\Documentation\Colo Applications\Colo App Mytel\ANMD_0073 (MDY0002) Application.xlsx</v>
      </c>
      <c r="BJ392" s="104"/>
      <c r="BK392" s="3"/>
      <c r="BL392" s="3"/>
      <c r="CJ392" s="5"/>
      <c r="CK392" s="5"/>
      <c r="CL392" s="3"/>
      <c r="CN392" s="5"/>
      <c r="CR392" s="3"/>
      <c r="CS392" s="3"/>
      <c r="CT392" s="5"/>
      <c r="CV392" s="3"/>
      <c r="DR392" s="5"/>
      <c r="DT392" s="3"/>
      <c r="EF392" s="7"/>
      <c r="EG392" s="7"/>
      <c r="EJ392" s="4"/>
      <c r="EK392" s="4"/>
      <c r="EU392" s="2"/>
      <c r="EV392" s="2"/>
    </row>
    <row r="393" spans="1:152">
      <c r="A393" s="287">
        <v>40</v>
      </c>
      <c r="B393" s="288" t="s">
        <v>250</v>
      </c>
      <c r="C393" s="288" t="s">
        <v>116</v>
      </c>
      <c r="D393" s="288" t="s">
        <v>117</v>
      </c>
      <c r="E393" s="288" t="s">
        <v>251</v>
      </c>
      <c r="F393" s="288" t="s">
        <v>34</v>
      </c>
      <c r="G393" s="288" t="s">
        <v>1284</v>
      </c>
      <c r="H393" s="288" t="s">
        <v>1285</v>
      </c>
      <c r="I393" s="288" t="s">
        <v>118</v>
      </c>
      <c r="J393" s="288"/>
      <c r="K393" s="289">
        <v>43193</v>
      </c>
      <c r="L393" s="290"/>
      <c r="M393" s="290">
        <v>2</v>
      </c>
      <c r="N393" s="288">
        <v>6</v>
      </c>
      <c r="O393" s="288" t="s">
        <v>119</v>
      </c>
      <c r="P393" s="291" t="s">
        <v>246</v>
      </c>
      <c r="Q393" s="291" t="s">
        <v>247</v>
      </c>
      <c r="R393" s="288" t="s">
        <v>24</v>
      </c>
      <c r="S393" s="288"/>
      <c r="T393" s="292" t="s">
        <v>120</v>
      </c>
      <c r="U393" s="288" t="s">
        <v>121</v>
      </c>
      <c r="V393" s="292" t="s">
        <v>120</v>
      </c>
      <c r="W393" s="288"/>
      <c r="X393" s="292" t="s">
        <v>120</v>
      </c>
      <c r="Y393" s="288"/>
      <c r="Z393" s="293" t="s">
        <v>120</v>
      </c>
      <c r="AA393" s="294"/>
      <c r="AB393" s="294"/>
      <c r="AC393" s="295"/>
      <c r="AD393" s="288"/>
      <c r="AE393" s="292" t="s">
        <v>120</v>
      </c>
      <c r="AF393" s="289" t="s">
        <v>230</v>
      </c>
      <c r="AG393" s="296"/>
      <c r="AH393" s="296">
        <v>2</v>
      </c>
      <c r="AI393" s="288" t="s">
        <v>231</v>
      </c>
      <c r="AJ393" s="292" t="s">
        <v>120</v>
      </c>
      <c r="AK393" s="288" t="s">
        <v>123</v>
      </c>
      <c r="AL393" s="288"/>
      <c r="AM393" s="292"/>
      <c r="AN393" s="288"/>
      <c r="AO393" s="288"/>
      <c r="AP393" s="297"/>
      <c r="AQ393" s="288"/>
      <c r="AR393" s="292"/>
      <c r="AS393" s="288"/>
      <c r="AT393" s="289"/>
      <c r="AU393" s="289">
        <v>43453.3789420139</v>
      </c>
      <c r="AV393" s="289"/>
      <c r="AW393" s="289"/>
      <c r="AX393" s="289"/>
      <c r="AY393" s="289"/>
      <c r="AZ393" s="298">
        <v>43193</v>
      </c>
      <c r="BA39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3" s="300">
        <f>COUNTIFS(_05preva_view43[Site ID],_05preva_view43[[#This Row],[Site ID]],_05preva_view43[Prevalidation Status],"Under Prevalidation")</f>
        <v>0</v>
      </c>
      <c r="BC39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3" s="302" t="str">
        <f>CONCATENATE(_05preva_view43[[#This Row],[Site ID]]," (",_05preva_view43[[#This Row],[tenant id]],") Application",IF(_05preva_view43[[#This Row],[Colo Rev]]&gt;0," Rev "&amp;_05preva_view43[[#This Row],[Colo Rev]],""),".xlsx")</f>
        <v>ANMG_0187 (MGY0444) Application.xlsx</v>
      </c>
      <c r="BE393" s="64">
        <f t="shared" ca="1" si="7"/>
        <v>50</v>
      </c>
      <c r="BF393" s="104" t="str">
        <f ca="1">LEFT(CELL("filename",A378),_05preva_view43[[#This Row],[Find Process &amp; Database]]-1)</f>
        <v>D:\OneDrive - apollo-towers.com\Apollo Towers\00-</v>
      </c>
      <c r="BG393" s="104" t="str">
        <f ca="1">_05preva_view43[Folder Path1]&amp;"Process &amp; Database\Documentation\Colo Applications"</f>
        <v>D:\OneDrive - apollo-towers.com\Apollo Towers\00-Process &amp; Database\Documentation\Colo Applications</v>
      </c>
      <c r="BH39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3" s="63" t="str">
        <f ca="1">_05preva_view43[[#This Row],[Folder Path3]]&amp;_05preva_view43[[#This Row],[File Name]]</f>
        <v>D:\OneDrive - apollo-towers.com\Apollo Towers\00-Process &amp; Database\Documentation\Colo Applications\Colo App Mytel\ANMG_0187 (MGY0444) Application.xlsx</v>
      </c>
      <c r="BJ393" s="104"/>
      <c r="BK393" s="3"/>
      <c r="BL393" s="3"/>
      <c r="CJ393" s="5"/>
      <c r="CK393" s="5"/>
      <c r="CL393" s="3"/>
      <c r="CN393" s="5"/>
      <c r="CR393" s="3"/>
      <c r="CS393" s="3"/>
      <c r="CT393" s="5"/>
      <c r="CV393" s="3"/>
      <c r="DR393" s="5"/>
      <c r="DT393" s="3"/>
      <c r="EF393" s="7"/>
      <c r="EG393" s="7"/>
      <c r="EJ393" s="4"/>
      <c r="EK393" s="4"/>
      <c r="EU393" s="2"/>
      <c r="EV393" s="2"/>
    </row>
    <row r="394" spans="1:152">
      <c r="A394" s="287">
        <v>35</v>
      </c>
      <c r="B394" s="288" t="s">
        <v>232</v>
      </c>
      <c r="C394" s="288" t="s">
        <v>116</v>
      </c>
      <c r="D394" s="288" t="s">
        <v>153</v>
      </c>
      <c r="E394" s="288" t="s">
        <v>233</v>
      </c>
      <c r="F394" s="288" t="s">
        <v>35</v>
      </c>
      <c r="G394" s="288" t="s">
        <v>1287</v>
      </c>
      <c r="H394" s="288" t="s">
        <v>1285</v>
      </c>
      <c r="I394" s="288" t="s">
        <v>118</v>
      </c>
      <c r="J394" s="288"/>
      <c r="K394" s="289">
        <v>43192</v>
      </c>
      <c r="L394" s="290"/>
      <c r="M394" s="290">
        <v>1.3</v>
      </c>
      <c r="N394" s="288">
        <v>5</v>
      </c>
      <c r="O394" s="288" t="s">
        <v>119</v>
      </c>
      <c r="P394" s="291" t="s">
        <v>234</v>
      </c>
      <c r="Q394" s="291" t="s">
        <v>220</v>
      </c>
      <c r="R394" s="288" t="s">
        <v>24</v>
      </c>
      <c r="S394" s="288"/>
      <c r="T394" s="292" t="s">
        <v>120</v>
      </c>
      <c r="U394" s="288" t="s">
        <v>121</v>
      </c>
      <c r="V394" s="292" t="s">
        <v>120</v>
      </c>
      <c r="W394" s="288"/>
      <c r="X394" s="292" t="s">
        <v>120</v>
      </c>
      <c r="Y394" s="288" t="s">
        <v>235</v>
      </c>
      <c r="Z394" s="293" t="s">
        <v>120</v>
      </c>
      <c r="AA394" s="294"/>
      <c r="AB394" s="294"/>
      <c r="AC394" s="295"/>
      <c r="AD394" s="288"/>
      <c r="AE394" s="292" t="s">
        <v>120</v>
      </c>
      <c r="AF394" s="289" t="s">
        <v>236</v>
      </c>
      <c r="AG394" s="296"/>
      <c r="AH394" s="296">
        <v>1.3</v>
      </c>
      <c r="AI394" s="288" t="s">
        <v>237</v>
      </c>
      <c r="AJ394" s="292" t="s">
        <v>120</v>
      </c>
      <c r="AK394" s="288" t="s">
        <v>123</v>
      </c>
      <c r="AL394" s="288"/>
      <c r="AM394" s="292"/>
      <c r="AN394" s="288"/>
      <c r="AO394" s="288"/>
      <c r="AP394" s="297"/>
      <c r="AQ394" s="288"/>
      <c r="AR394" s="292"/>
      <c r="AS394" s="288"/>
      <c r="AT394" s="289"/>
      <c r="AU394" s="289">
        <v>43453.378928472201</v>
      </c>
      <c r="AV394" s="289"/>
      <c r="AW394" s="289"/>
      <c r="AX394" s="289"/>
      <c r="AY394" s="289"/>
      <c r="AZ394" s="298">
        <v>43192</v>
      </c>
      <c r="BA39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4" s="300">
        <f>COUNTIFS(_05preva_view43[Site ID],_05preva_view43[[#This Row],[Site ID]],_05preva_view43[Prevalidation Status],"Under Prevalidation")</f>
        <v>0</v>
      </c>
      <c r="BC39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4" s="302" t="str">
        <f>CONCATENATE(_05preva_view43[[#This Row],[Site ID]]," (",_05preva_view43[[#This Row],[tenant id]],") Application",IF(_05preva_view43[[#This Row],[Colo Rev]]&gt;0," Rev "&amp;_05preva_view43[[#This Row],[Colo Rev]],""),".xlsx")</f>
        <v>AYYN_0135 (YGN02071) Application.xlsx</v>
      </c>
      <c r="BE394" s="64">
        <f t="shared" ca="1" si="7"/>
        <v>50</v>
      </c>
      <c r="BF394" s="104" t="str">
        <f ca="1">LEFT(CELL("filename",A379),_05preva_view43[[#This Row],[Find Process &amp; Database]]-1)</f>
        <v>D:\OneDrive - apollo-towers.com\Apollo Towers\00-</v>
      </c>
      <c r="BG394" s="104" t="str">
        <f ca="1">_05preva_view43[Folder Path1]&amp;"Process &amp; Database\Documentation\Colo Applications"</f>
        <v>D:\OneDrive - apollo-towers.com\Apollo Towers\00-Process &amp; Database\Documentation\Colo Applications</v>
      </c>
      <c r="BH39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394" s="63" t="str">
        <f ca="1">_05preva_view43[[#This Row],[Folder Path3]]&amp;_05preva_view43[[#This Row],[File Name]]</f>
        <v>D:\OneDrive - apollo-towers.com\Apollo Towers\00-Process &amp; Database\Documentation\Colo Applications\Colo App MPT\AYYN_0135 (YGN02071) Application.xlsx</v>
      </c>
      <c r="BJ394" s="104"/>
      <c r="BK394" s="3"/>
      <c r="BL394" s="3"/>
      <c r="CJ394" s="5"/>
      <c r="CK394" s="5"/>
      <c r="CL394" s="3"/>
      <c r="CN394" s="5"/>
      <c r="CR394" s="3"/>
      <c r="CS394" s="3"/>
      <c r="CT394" s="5"/>
      <c r="CV394" s="3"/>
      <c r="DR394" s="5"/>
      <c r="DT394" s="3"/>
      <c r="EF394" s="7"/>
      <c r="EG394" s="7"/>
      <c r="EJ394" s="4"/>
      <c r="EK394" s="4"/>
      <c r="EU394" s="2"/>
      <c r="EV394" s="2"/>
    </row>
    <row r="395" spans="1:152">
      <c r="A395" s="287">
        <v>34</v>
      </c>
      <c r="B395" s="288" t="s">
        <v>225</v>
      </c>
      <c r="C395" s="288" t="s">
        <v>116</v>
      </c>
      <c r="D395" s="288" t="s">
        <v>117</v>
      </c>
      <c r="E395" s="288" t="s">
        <v>226</v>
      </c>
      <c r="F395" s="288" t="s">
        <v>34</v>
      </c>
      <c r="G395" s="288" t="s">
        <v>1284</v>
      </c>
      <c r="H395" s="288" t="s">
        <v>1285</v>
      </c>
      <c r="I395" s="288" t="s">
        <v>118</v>
      </c>
      <c r="J395" s="288"/>
      <c r="K395" s="289">
        <v>43189</v>
      </c>
      <c r="L395" s="290"/>
      <c r="M395" s="290">
        <v>2</v>
      </c>
      <c r="N395" s="288">
        <v>6</v>
      </c>
      <c r="O395" s="288" t="s">
        <v>119</v>
      </c>
      <c r="P395" s="291" t="s">
        <v>227</v>
      </c>
      <c r="Q395" s="291" t="s">
        <v>228</v>
      </c>
      <c r="R395" s="288" t="s">
        <v>24</v>
      </c>
      <c r="S395" s="288"/>
      <c r="T395" s="292" t="s">
        <v>120</v>
      </c>
      <c r="U395" s="288" t="s">
        <v>121</v>
      </c>
      <c r="V395" s="292" t="s">
        <v>120</v>
      </c>
      <c r="W395" s="288"/>
      <c r="X395" s="292" t="s">
        <v>120</v>
      </c>
      <c r="Y395" s="288" t="s">
        <v>229</v>
      </c>
      <c r="Z395" s="293" t="s">
        <v>120</v>
      </c>
      <c r="AA395" s="294"/>
      <c r="AB395" s="294"/>
      <c r="AC395" s="295"/>
      <c r="AD395" s="288"/>
      <c r="AE395" s="292" t="s">
        <v>120</v>
      </c>
      <c r="AF395" s="289" t="s">
        <v>230</v>
      </c>
      <c r="AG395" s="296"/>
      <c r="AH395" s="296">
        <v>2</v>
      </c>
      <c r="AI395" s="288" t="s">
        <v>231</v>
      </c>
      <c r="AJ395" s="292" t="s">
        <v>120</v>
      </c>
      <c r="AK395" s="288" t="s">
        <v>123</v>
      </c>
      <c r="AL395" s="288"/>
      <c r="AM395" s="292"/>
      <c r="AN395" s="288"/>
      <c r="AO395" s="288"/>
      <c r="AP395" s="297"/>
      <c r="AQ395" s="288"/>
      <c r="AR395" s="292"/>
      <c r="AS395" s="288"/>
      <c r="AT395" s="289"/>
      <c r="AU395" s="289">
        <v>43453.3789256944</v>
      </c>
      <c r="AV395" s="289"/>
      <c r="AW395" s="289"/>
      <c r="AX395" s="289"/>
      <c r="AY395" s="289"/>
      <c r="AZ395" s="298">
        <v>43189</v>
      </c>
      <c r="BA39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5" s="300">
        <f>COUNTIFS(_05preva_view43[Site ID],_05preva_view43[[#This Row],[Site ID]],_05preva_view43[Prevalidation Status],"Under Prevalidation")</f>
        <v>0</v>
      </c>
      <c r="BC39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5" s="302" t="str">
        <f>CONCATENATE(_05preva_view43[[#This Row],[Site ID]]," (",_05preva_view43[[#This Row],[tenant id]],") Application",IF(_05preva_view43[[#This Row],[Colo Rev]]&gt;0," Rev "&amp;_05preva_view43[[#This Row],[Colo Rev]],""),".xlsx")</f>
        <v>ANNP_0252 (NPW0260) Application.xlsx</v>
      </c>
      <c r="BE395" s="64">
        <f t="shared" ca="1" si="7"/>
        <v>50</v>
      </c>
      <c r="BF395" s="104" t="str">
        <f ca="1">LEFT(CELL("filename",A380),_05preva_view43[[#This Row],[Find Process &amp; Database]]-1)</f>
        <v>D:\OneDrive - apollo-towers.com\Apollo Towers\00-</v>
      </c>
      <c r="BG395" s="104" t="str">
        <f ca="1">_05preva_view43[Folder Path1]&amp;"Process &amp; Database\Documentation\Colo Applications"</f>
        <v>D:\OneDrive - apollo-towers.com\Apollo Towers\00-Process &amp; Database\Documentation\Colo Applications</v>
      </c>
      <c r="BH39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5" s="63" t="str">
        <f ca="1">_05preva_view43[[#This Row],[Folder Path3]]&amp;_05preva_view43[[#This Row],[File Name]]</f>
        <v>D:\OneDrive - apollo-towers.com\Apollo Towers\00-Process &amp; Database\Documentation\Colo Applications\Colo App Mytel\ANNP_0252 (NPW0260) Application.xlsx</v>
      </c>
      <c r="BJ395" s="104"/>
      <c r="BK395" s="3"/>
      <c r="BL395" s="3"/>
      <c r="CJ395" s="5"/>
      <c r="CK395" s="5"/>
      <c r="CL395" s="3"/>
      <c r="CN395" s="5"/>
      <c r="CR395" s="3"/>
      <c r="CS395" s="3"/>
      <c r="CT395" s="5"/>
      <c r="CV395" s="3"/>
      <c r="DR395" s="5"/>
      <c r="DT395" s="3"/>
      <c r="EF395" s="7"/>
      <c r="EG395" s="7"/>
      <c r="EJ395" s="4"/>
      <c r="EK395" s="4"/>
      <c r="EU395" s="2"/>
      <c r="EV395" s="2"/>
    </row>
    <row r="396" spans="1:152">
      <c r="A396" s="287">
        <v>33</v>
      </c>
      <c r="B396" s="288" t="s">
        <v>218</v>
      </c>
      <c r="C396" s="288" t="s">
        <v>116</v>
      </c>
      <c r="D396" s="288" t="s">
        <v>127</v>
      </c>
      <c r="E396" s="288" t="s">
        <v>219</v>
      </c>
      <c r="F396" s="288" t="s">
        <v>40</v>
      </c>
      <c r="G396" s="288" t="s">
        <v>1289</v>
      </c>
      <c r="H396" s="288" t="s">
        <v>1285</v>
      </c>
      <c r="I396" s="288" t="s">
        <v>118</v>
      </c>
      <c r="J396" s="288"/>
      <c r="K396" s="289">
        <v>43181</v>
      </c>
      <c r="L396" s="290"/>
      <c r="M396" s="290">
        <v>3.5</v>
      </c>
      <c r="N396" s="288">
        <v>5.5</v>
      </c>
      <c r="O396" s="288" t="s">
        <v>119</v>
      </c>
      <c r="P396" s="291" t="s">
        <v>220</v>
      </c>
      <c r="Q396" s="291" t="s">
        <v>221</v>
      </c>
      <c r="R396" s="288" t="s">
        <v>24</v>
      </c>
      <c r="S396" s="288"/>
      <c r="T396" s="292" t="s">
        <v>120</v>
      </c>
      <c r="U396" s="288" t="s">
        <v>121</v>
      </c>
      <c r="V396" s="292" t="s">
        <v>120</v>
      </c>
      <c r="W396" s="288" t="s">
        <v>224</v>
      </c>
      <c r="X396" s="292" t="s">
        <v>120</v>
      </c>
      <c r="Y396" s="288"/>
      <c r="Z396" s="293" t="s">
        <v>120</v>
      </c>
      <c r="AA396" s="294"/>
      <c r="AB396" s="294"/>
      <c r="AC396" s="295"/>
      <c r="AD396" s="288" t="s">
        <v>216</v>
      </c>
      <c r="AE396" s="292" t="s">
        <v>120</v>
      </c>
      <c r="AF396" s="289"/>
      <c r="AG396" s="296"/>
      <c r="AH396" s="296"/>
      <c r="AI396" s="288" t="s">
        <v>223</v>
      </c>
      <c r="AJ396" s="292" t="s">
        <v>120</v>
      </c>
      <c r="AK396" s="288" t="s">
        <v>206</v>
      </c>
      <c r="AL396" s="288" t="s">
        <v>222</v>
      </c>
      <c r="AM396" s="292"/>
      <c r="AN396" s="288"/>
      <c r="AO396" s="288"/>
      <c r="AP396" s="297"/>
      <c r="AQ396" s="288"/>
      <c r="AR396" s="292"/>
      <c r="AS396" s="288"/>
      <c r="AT396" s="289"/>
      <c r="AU396" s="289">
        <v>43453.378924421297</v>
      </c>
      <c r="AV396" s="289"/>
      <c r="AW396" s="289"/>
      <c r="AX396" s="289"/>
      <c r="AY396" s="289"/>
      <c r="AZ396" s="298">
        <v>43181</v>
      </c>
      <c r="BA39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6" s="300">
        <f>COUNTIFS(_05preva_view43[Site ID],_05preva_view43[[#This Row],[Site ID]],_05preva_view43[Prevalidation Status],"Under Prevalidation")</f>
        <v>0</v>
      </c>
      <c r="BC39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6" s="302" t="str">
        <f>CONCATENATE(_05preva_view43[[#This Row],[Site ID]]," (",_05preva_view43[[#This Row],[tenant id]],") Application",IF(_05preva_view43[[#This Row],[Colo Rev]]&gt;0," Rev "&amp;_05preva_view43[[#This Row],[Colo Rev]],""),".xlsx")</f>
        <v>ANSG_0343 (SAW0697) Application.xlsx</v>
      </c>
      <c r="BE396" s="64">
        <f t="shared" ca="1" si="7"/>
        <v>50</v>
      </c>
      <c r="BF396" s="104" t="str">
        <f ca="1">LEFT(CELL("filename",A381),_05preva_view43[[#This Row],[Find Process &amp; Database]]-1)</f>
        <v>D:\OneDrive - apollo-towers.com\Apollo Towers\00-</v>
      </c>
      <c r="BG396" s="104" t="str">
        <f ca="1">_05preva_view43[Folder Path1]&amp;"Process &amp; Database\Documentation\Colo Applications"</f>
        <v>D:\OneDrive - apollo-towers.com\Apollo Towers\00-Process &amp; Database\Documentation\Colo Applications</v>
      </c>
      <c r="BH39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396" s="63" t="str">
        <f ca="1">_05preva_view43[[#This Row],[Folder Path3]]&amp;_05preva_view43[[#This Row],[File Name]]</f>
        <v>D:\OneDrive - apollo-towers.com\Apollo Towers\00-Process &amp; Database\Documentation\Colo Applications\Colo App OML\ANSG_0343 (SAW0697) Application.xlsx</v>
      </c>
      <c r="BJ396" s="104"/>
      <c r="BK396" s="3"/>
      <c r="BL396" s="3"/>
      <c r="CJ396" s="5"/>
      <c r="CK396" s="5"/>
      <c r="CL396" s="3"/>
      <c r="CN396" s="5"/>
      <c r="CR396" s="3"/>
      <c r="CS396" s="3"/>
      <c r="CT396" s="5"/>
      <c r="CV396" s="3"/>
      <c r="DR396" s="5"/>
      <c r="DT396" s="3"/>
      <c r="EF396" s="7"/>
      <c r="EG396" s="7"/>
      <c r="EJ396" s="4"/>
      <c r="EK396" s="4"/>
      <c r="EU396" s="2"/>
      <c r="EV396" s="2"/>
    </row>
    <row r="397" spans="1:152">
      <c r="A397" s="287">
        <v>2</v>
      </c>
      <c r="B397" s="288" t="s">
        <v>126</v>
      </c>
      <c r="C397" s="288" t="s">
        <v>116</v>
      </c>
      <c r="D397" s="288" t="s">
        <v>127</v>
      </c>
      <c r="E397" s="288" t="s">
        <v>128</v>
      </c>
      <c r="F397" s="288" t="s">
        <v>34</v>
      </c>
      <c r="G397" s="288" t="s">
        <v>1284</v>
      </c>
      <c r="H397" s="288" t="s">
        <v>1285</v>
      </c>
      <c r="I397" s="288" t="s">
        <v>118</v>
      </c>
      <c r="J397" s="288"/>
      <c r="K397" s="289">
        <v>43172</v>
      </c>
      <c r="L397" s="290"/>
      <c r="M397" s="290"/>
      <c r="N397" s="288"/>
      <c r="O397" s="288" t="s">
        <v>119</v>
      </c>
      <c r="P397" s="291"/>
      <c r="Q397" s="291"/>
      <c r="R397" s="288" t="s">
        <v>24</v>
      </c>
      <c r="S397" s="288"/>
      <c r="T397" s="292" t="s">
        <v>120</v>
      </c>
      <c r="U397" s="288" t="s">
        <v>121</v>
      </c>
      <c r="V397" s="292" t="s">
        <v>120</v>
      </c>
      <c r="W397" s="288"/>
      <c r="X397" s="292" t="s">
        <v>120</v>
      </c>
      <c r="Y397" s="288" t="s">
        <v>129</v>
      </c>
      <c r="Z397" s="293" t="s">
        <v>120</v>
      </c>
      <c r="AA397" s="294"/>
      <c r="AB397" s="294"/>
      <c r="AC397" s="295"/>
      <c r="AD397" s="288"/>
      <c r="AE397" s="292" t="s">
        <v>120</v>
      </c>
      <c r="AF397" s="289"/>
      <c r="AG397" s="296"/>
      <c r="AH397" s="296"/>
      <c r="AI397" s="288" t="s">
        <v>131</v>
      </c>
      <c r="AJ397" s="292" t="s">
        <v>120</v>
      </c>
      <c r="AK397" s="288" t="s">
        <v>123</v>
      </c>
      <c r="AL397" s="288" t="s">
        <v>130</v>
      </c>
      <c r="AM397" s="292"/>
      <c r="AN397" s="288"/>
      <c r="AO397" s="288"/>
      <c r="AP397" s="297"/>
      <c r="AQ397" s="288"/>
      <c r="AR397" s="292"/>
      <c r="AS397" s="288"/>
      <c r="AT397" s="289"/>
      <c r="AU397" s="289">
        <v>43453.3788732639</v>
      </c>
      <c r="AV397" s="289"/>
      <c r="AW397" s="289"/>
      <c r="AX397" s="289"/>
      <c r="AY397" s="289"/>
      <c r="AZ397" s="298">
        <v>43172</v>
      </c>
      <c r="BA39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7" s="300">
        <f>COUNTIFS(_05preva_view43[Site ID],_05preva_view43[[#This Row],[Site ID]],_05preva_view43[Prevalidation Status],"Under Prevalidation")</f>
        <v>0</v>
      </c>
      <c r="BC39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7" s="302" t="str">
        <f>CONCATENATE(_05preva_view43[[#This Row],[Site ID]]," (",_05preva_view43[[#This Row],[tenant id]],") Application",IF(_05preva_view43[[#This Row],[Colo Rev]]&gt;0," Rev "&amp;_05preva_view43[[#This Row],[Colo Rev]],""),".xlsx")</f>
        <v>ANKC_0015 (KCN0160) Application.xlsx</v>
      </c>
      <c r="BE397" s="64">
        <f t="shared" ca="1" si="7"/>
        <v>50</v>
      </c>
      <c r="BF397" s="104" t="str">
        <f ca="1">LEFT(CELL("filename",A382),_05preva_view43[[#This Row],[Find Process &amp; Database]]-1)</f>
        <v>D:\OneDrive - apollo-towers.com\Apollo Towers\00-</v>
      </c>
      <c r="BG397" s="104" t="str">
        <f ca="1">_05preva_view43[Folder Path1]&amp;"Process &amp; Database\Documentation\Colo Applications"</f>
        <v>D:\OneDrive - apollo-towers.com\Apollo Towers\00-Process &amp; Database\Documentation\Colo Applications</v>
      </c>
      <c r="BH39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7" s="63" t="str">
        <f ca="1">_05preva_view43[[#This Row],[Folder Path3]]&amp;_05preva_view43[[#This Row],[File Name]]</f>
        <v>D:\OneDrive - apollo-towers.com\Apollo Towers\00-Process &amp; Database\Documentation\Colo Applications\Colo App Mytel\ANKC_0015 (KCN0160) Application.xlsx</v>
      </c>
      <c r="BJ397" s="104"/>
      <c r="BK397" s="3"/>
      <c r="BL397" s="3"/>
      <c r="CJ397" s="5"/>
      <c r="CK397" s="5"/>
      <c r="CL397" s="3"/>
      <c r="CN397" s="5"/>
      <c r="CR397" s="3"/>
      <c r="CS397" s="3"/>
      <c r="CT397" s="5"/>
      <c r="CV397" s="3"/>
      <c r="DR397" s="5"/>
      <c r="DT397" s="3"/>
      <c r="EF397" s="7"/>
      <c r="EG397" s="7"/>
      <c r="EJ397" s="4"/>
      <c r="EK397" s="4"/>
      <c r="EU397" s="2"/>
      <c r="EV397" s="2"/>
    </row>
    <row r="398" spans="1:152">
      <c r="A398" s="287">
        <v>3</v>
      </c>
      <c r="B398" s="288" t="s">
        <v>132</v>
      </c>
      <c r="C398" s="288" t="s">
        <v>116</v>
      </c>
      <c r="D398" s="288" t="s">
        <v>127</v>
      </c>
      <c r="E398" s="288" t="s">
        <v>133</v>
      </c>
      <c r="F398" s="288" t="s">
        <v>34</v>
      </c>
      <c r="G398" s="288" t="s">
        <v>1284</v>
      </c>
      <c r="H398" s="288" t="s">
        <v>1285</v>
      </c>
      <c r="I398" s="288" t="s">
        <v>118</v>
      </c>
      <c r="J398" s="288"/>
      <c r="K398" s="289">
        <v>43172</v>
      </c>
      <c r="L398" s="290"/>
      <c r="M398" s="290"/>
      <c r="N398" s="288"/>
      <c r="O398" s="288" t="s">
        <v>119</v>
      </c>
      <c r="P398" s="291"/>
      <c r="Q398" s="291"/>
      <c r="R398" s="288" t="s">
        <v>24</v>
      </c>
      <c r="S398" s="288"/>
      <c r="T398" s="292" t="s">
        <v>120</v>
      </c>
      <c r="U398" s="288" t="s">
        <v>121</v>
      </c>
      <c r="V398" s="292" t="s">
        <v>120</v>
      </c>
      <c r="W398" s="288"/>
      <c r="X398" s="292" t="s">
        <v>120</v>
      </c>
      <c r="Y398" s="288" t="s">
        <v>122</v>
      </c>
      <c r="Z398" s="293" t="s">
        <v>120</v>
      </c>
      <c r="AA398" s="294"/>
      <c r="AB398" s="294"/>
      <c r="AC398" s="295"/>
      <c r="AD398" s="288"/>
      <c r="AE398" s="292" t="s">
        <v>120</v>
      </c>
      <c r="AF398" s="289"/>
      <c r="AG398" s="296"/>
      <c r="AH398" s="296"/>
      <c r="AI398" s="288" t="s">
        <v>134</v>
      </c>
      <c r="AJ398" s="292" t="s">
        <v>120</v>
      </c>
      <c r="AK398" s="288" t="s">
        <v>123</v>
      </c>
      <c r="AL398" s="288" t="s">
        <v>130</v>
      </c>
      <c r="AM398" s="292"/>
      <c r="AN398" s="288"/>
      <c r="AO398" s="288"/>
      <c r="AP398" s="297"/>
      <c r="AQ398" s="288"/>
      <c r="AR398" s="292"/>
      <c r="AS398" s="288"/>
      <c r="AT398" s="289"/>
      <c r="AU398" s="289">
        <v>43453.378876620402</v>
      </c>
      <c r="AV398" s="289"/>
      <c r="AW398" s="289"/>
      <c r="AX398" s="289"/>
      <c r="AY398" s="289"/>
      <c r="AZ398" s="298">
        <v>43172</v>
      </c>
      <c r="BA39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8" s="300">
        <f>COUNTIFS(_05preva_view43[Site ID],_05preva_view43[[#This Row],[Site ID]],_05preva_view43[Prevalidation Status],"Under Prevalidation")</f>
        <v>0</v>
      </c>
      <c r="BC39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8" s="302" t="str">
        <f>CONCATENATE(_05preva_view43[[#This Row],[Site ID]]," (",_05preva_view43[[#This Row],[tenant id]],") Application",IF(_05preva_view43[[#This Row],[Colo Rev]]&gt;0," Rev "&amp;_05preva_view43[[#This Row],[Colo Rev]],""),".xlsx")</f>
        <v>ANMD_0065 (MDY0723) Application.xlsx</v>
      </c>
      <c r="BE398" s="64">
        <f t="shared" ca="1" si="7"/>
        <v>50</v>
      </c>
      <c r="BF398" s="104" t="str">
        <f ca="1">LEFT(CELL("filename",A383),_05preva_view43[[#This Row],[Find Process &amp; Database]]-1)</f>
        <v>D:\OneDrive - apollo-towers.com\Apollo Towers\00-</v>
      </c>
      <c r="BG398" s="104" t="str">
        <f ca="1">_05preva_view43[Folder Path1]&amp;"Process &amp; Database\Documentation\Colo Applications"</f>
        <v>D:\OneDrive - apollo-towers.com\Apollo Towers\00-Process &amp; Database\Documentation\Colo Applications</v>
      </c>
      <c r="BH39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8" s="63" t="str">
        <f ca="1">_05preva_view43[[#This Row],[Folder Path3]]&amp;_05preva_view43[[#This Row],[File Name]]</f>
        <v>D:\OneDrive - apollo-towers.com\Apollo Towers\00-Process &amp; Database\Documentation\Colo Applications\Colo App Mytel\ANMD_0065 (MDY0723) Application.xlsx</v>
      </c>
      <c r="BJ398" s="104"/>
      <c r="BK398" s="3"/>
      <c r="BL398" s="3"/>
      <c r="CJ398" s="5"/>
      <c r="CK398" s="5"/>
      <c r="CL398" s="3"/>
      <c r="CN398" s="5"/>
      <c r="CR398" s="3"/>
      <c r="CS398" s="3"/>
      <c r="CT398" s="5"/>
      <c r="CV398" s="3"/>
      <c r="DR398" s="5"/>
      <c r="DT398" s="3"/>
      <c r="EF398" s="7"/>
      <c r="EG398" s="7"/>
      <c r="EJ398" s="4"/>
      <c r="EK398" s="4"/>
      <c r="EU398" s="2"/>
      <c r="EV398" s="2"/>
    </row>
    <row r="399" spans="1:152">
      <c r="A399" s="287">
        <v>4</v>
      </c>
      <c r="B399" s="288" t="s">
        <v>135</v>
      </c>
      <c r="C399" s="288" t="s">
        <v>116</v>
      </c>
      <c r="D399" s="288" t="s">
        <v>127</v>
      </c>
      <c r="E399" s="288" t="s">
        <v>136</v>
      </c>
      <c r="F399" s="288" t="s">
        <v>34</v>
      </c>
      <c r="G399" s="288" t="s">
        <v>1284</v>
      </c>
      <c r="H399" s="288" t="s">
        <v>1285</v>
      </c>
      <c r="I399" s="288" t="s">
        <v>118</v>
      </c>
      <c r="J399" s="288"/>
      <c r="K399" s="289">
        <v>43172</v>
      </c>
      <c r="L399" s="290"/>
      <c r="M399" s="290"/>
      <c r="N399" s="288"/>
      <c r="O399" s="288" t="s">
        <v>119</v>
      </c>
      <c r="P399" s="291"/>
      <c r="Q399" s="291"/>
      <c r="R399" s="288" t="s">
        <v>24</v>
      </c>
      <c r="S399" s="288"/>
      <c r="T399" s="292" t="s">
        <v>120</v>
      </c>
      <c r="U399" s="288" t="s">
        <v>121</v>
      </c>
      <c r="V399" s="292" t="s">
        <v>120</v>
      </c>
      <c r="W399" s="288"/>
      <c r="X399" s="292" t="s">
        <v>120</v>
      </c>
      <c r="Y399" s="288" t="s">
        <v>137</v>
      </c>
      <c r="Z399" s="293" t="s">
        <v>120</v>
      </c>
      <c r="AA399" s="294"/>
      <c r="AB399" s="294"/>
      <c r="AC399" s="295"/>
      <c r="AD399" s="288" t="s">
        <v>138</v>
      </c>
      <c r="AE399" s="292" t="s">
        <v>120</v>
      </c>
      <c r="AF399" s="289"/>
      <c r="AG399" s="296"/>
      <c r="AH399" s="296"/>
      <c r="AI399" s="288" t="s">
        <v>140</v>
      </c>
      <c r="AJ399" s="292" t="s">
        <v>120</v>
      </c>
      <c r="AK399" s="288" t="s">
        <v>123</v>
      </c>
      <c r="AL399" s="288" t="s">
        <v>139</v>
      </c>
      <c r="AM399" s="292"/>
      <c r="AN399" s="288"/>
      <c r="AO399" s="288"/>
      <c r="AP399" s="297"/>
      <c r="AQ399" s="288"/>
      <c r="AR399" s="292"/>
      <c r="AS399" s="288"/>
      <c r="AT399" s="289"/>
      <c r="AU399" s="289">
        <v>43453.378878124997</v>
      </c>
      <c r="AV399" s="289"/>
      <c r="AW399" s="289"/>
      <c r="AX399" s="289"/>
      <c r="AY399" s="289"/>
      <c r="AZ399" s="298">
        <v>43172</v>
      </c>
      <c r="BA39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399" s="300">
        <f>COUNTIFS(_05preva_view43[Site ID],_05preva_view43[[#This Row],[Site ID]],_05preva_view43[Prevalidation Status],"Under Prevalidation")</f>
        <v>0</v>
      </c>
      <c r="BC39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399" s="302" t="str">
        <f>CONCATENATE(_05preva_view43[[#This Row],[Site ID]]," (",_05preva_view43[[#This Row],[tenant id]],") Application",IF(_05preva_view43[[#This Row],[Colo Rev]]&gt;0," Rev "&amp;_05preva_view43[[#This Row],[Colo Rev]],""),".xlsx")</f>
        <v>ANMD_0119 (MDY0093) Application.xlsx</v>
      </c>
      <c r="BE399" s="64">
        <f t="shared" ca="1" si="7"/>
        <v>50</v>
      </c>
      <c r="BF399" s="104" t="str">
        <f ca="1">LEFT(CELL("filename",A384),_05preva_view43[[#This Row],[Find Process &amp; Database]]-1)</f>
        <v>D:\OneDrive - apollo-towers.com\Apollo Towers\00-</v>
      </c>
      <c r="BG399" s="104" t="str">
        <f ca="1">_05preva_view43[Folder Path1]&amp;"Process &amp; Database\Documentation\Colo Applications"</f>
        <v>D:\OneDrive - apollo-towers.com\Apollo Towers\00-Process &amp; Database\Documentation\Colo Applications</v>
      </c>
      <c r="BH399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399" s="63" t="str">
        <f ca="1">_05preva_view43[[#This Row],[Folder Path3]]&amp;_05preva_view43[[#This Row],[File Name]]</f>
        <v>D:\OneDrive - apollo-towers.com\Apollo Towers\00-Process &amp; Database\Documentation\Colo Applications\Colo App Mytel\ANMD_0119 (MDY0093) Application.xlsx</v>
      </c>
      <c r="BJ399" s="104"/>
      <c r="BK399" s="3"/>
      <c r="BL399" s="3"/>
      <c r="CJ399" s="5"/>
      <c r="CK399" s="5"/>
      <c r="CL399" s="3"/>
      <c r="CN399" s="5"/>
      <c r="CR399" s="3"/>
      <c r="CS399" s="3"/>
      <c r="CT399" s="5"/>
      <c r="CV399" s="3"/>
      <c r="DR399" s="5"/>
      <c r="DT399" s="3"/>
      <c r="EF399" s="7"/>
      <c r="EG399" s="7"/>
      <c r="EJ399" s="4"/>
      <c r="EK399" s="4"/>
      <c r="EU399" s="2"/>
      <c r="EV399" s="2"/>
    </row>
    <row r="400" spans="1:152">
      <c r="A400" s="287">
        <v>6</v>
      </c>
      <c r="B400" s="288" t="s">
        <v>142</v>
      </c>
      <c r="C400" s="288" t="s">
        <v>116</v>
      </c>
      <c r="D400" s="288" t="s">
        <v>127</v>
      </c>
      <c r="E400" s="288" t="s">
        <v>143</v>
      </c>
      <c r="F400" s="288" t="s">
        <v>34</v>
      </c>
      <c r="G400" s="288" t="s">
        <v>1284</v>
      </c>
      <c r="H400" s="288" t="s">
        <v>1285</v>
      </c>
      <c r="I400" s="288" t="s">
        <v>118</v>
      </c>
      <c r="J400" s="288"/>
      <c r="K400" s="289">
        <v>43172</v>
      </c>
      <c r="L400" s="290"/>
      <c r="M400" s="290"/>
      <c r="N400" s="288"/>
      <c r="O400" s="288" t="s">
        <v>119</v>
      </c>
      <c r="P400" s="291"/>
      <c r="Q400" s="291"/>
      <c r="R400" s="288" t="s">
        <v>24</v>
      </c>
      <c r="S400" s="288"/>
      <c r="T400" s="292" t="s">
        <v>120</v>
      </c>
      <c r="U400" s="288" t="s">
        <v>121</v>
      </c>
      <c r="V400" s="292" t="s">
        <v>120</v>
      </c>
      <c r="W400" s="288"/>
      <c r="X400" s="292" t="s">
        <v>120</v>
      </c>
      <c r="Y400" s="288" t="s">
        <v>144</v>
      </c>
      <c r="Z400" s="293" t="s">
        <v>120</v>
      </c>
      <c r="AA400" s="294"/>
      <c r="AB400" s="294"/>
      <c r="AC400" s="295"/>
      <c r="AD400" s="288"/>
      <c r="AE400" s="292" t="s">
        <v>120</v>
      </c>
      <c r="AF400" s="289"/>
      <c r="AG400" s="296"/>
      <c r="AH400" s="296"/>
      <c r="AI400" s="288" t="s">
        <v>140</v>
      </c>
      <c r="AJ400" s="292" t="s">
        <v>120</v>
      </c>
      <c r="AK400" s="288" t="s">
        <v>123</v>
      </c>
      <c r="AL400" s="288"/>
      <c r="AM400" s="292"/>
      <c r="AN400" s="288"/>
      <c r="AO400" s="288"/>
      <c r="AP400" s="297"/>
      <c r="AQ400" s="288"/>
      <c r="AR400" s="292"/>
      <c r="AS400" s="288"/>
      <c r="AT400" s="289"/>
      <c r="AU400" s="289">
        <v>43453.378882291698</v>
      </c>
      <c r="AV400" s="289"/>
      <c r="AW400" s="289"/>
      <c r="AX400" s="289"/>
      <c r="AY400" s="289"/>
      <c r="AZ400" s="298">
        <v>43172</v>
      </c>
      <c r="BA40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0" s="300">
        <f>COUNTIFS(_05preva_view43[Site ID],_05preva_view43[[#This Row],[Site ID]],_05preva_view43[Prevalidation Status],"Under Prevalidation")</f>
        <v>0</v>
      </c>
      <c r="BC40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0" s="302" t="str">
        <f>CONCATENATE(_05preva_view43[[#This Row],[Site ID]]," (",_05preva_view43[[#This Row],[tenant id]],") Application",IF(_05preva_view43[[#This Row],[Colo Rev]]&gt;0," Rev "&amp;_05preva_view43[[#This Row],[Colo Rev]],""),".xlsx")</f>
        <v>ANMD_0174 (MDY0004) Application.xlsx</v>
      </c>
      <c r="BE400" s="64">
        <f t="shared" ref="BE400:BE418" ca="1" si="8">FIND("Process &amp; Database\",CELL("filename",$A$1))</f>
        <v>50</v>
      </c>
      <c r="BF400" s="104" t="str">
        <f ca="1">LEFT(CELL("filename",A385),_05preva_view43[[#This Row],[Find Process &amp; Database]]-1)</f>
        <v>D:\OneDrive - apollo-towers.com\Apollo Towers\00-</v>
      </c>
      <c r="BG400" s="104" t="str">
        <f ca="1">_05preva_view43[Folder Path1]&amp;"Process &amp; Database\Documentation\Colo Applications"</f>
        <v>D:\OneDrive - apollo-towers.com\Apollo Towers\00-Process &amp; Database\Documentation\Colo Applications</v>
      </c>
      <c r="BH400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0" s="63" t="str">
        <f ca="1">_05preva_view43[[#This Row],[Folder Path3]]&amp;_05preva_view43[[#This Row],[File Name]]</f>
        <v>D:\OneDrive - apollo-towers.com\Apollo Towers\00-Process &amp; Database\Documentation\Colo Applications\Colo App Mytel\ANMD_0174 (MDY0004) Application.xlsx</v>
      </c>
      <c r="BJ400" s="104"/>
      <c r="BK400" s="3"/>
      <c r="BL400" s="3"/>
      <c r="CJ400" s="5"/>
      <c r="CK400" s="5"/>
      <c r="CL400" s="3"/>
      <c r="CN400" s="5"/>
      <c r="CR400" s="3"/>
      <c r="CS400" s="3"/>
      <c r="CT400" s="5"/>
      <c r="CV400" s="3"/>
      <c r="DR400" s="5"/>
      <c r="DT400" s="3"/>
      <c r="EF400" s="7"/>
      <c r="EG400" s="7"/>
      <c r="EJ400" s="4"/>
      <c r="EK400" s="4"/>
      <c r="EU400" s="2"/>
      <c r="EV400" s="2"/>
    </row>
    <row r="401" spans="1:152">
      <c r="A401" s="287">
        <v>7</v>
      </c>
      <c r="B401" s="288" t="s">
        <v>145</v>
      </c>
      <c r="C401" s="288" t="s">
        <v>116</v>
      </c>
      <c r="D401" s="288" t="s">
        <v>127</v>
      </c>
      <c r="E401" s="288" t="s">
        <v>146</v>
      </c>
      <c r="F401" s="288" t="s">
        <v>34</v>
      </c>
      <c r="G401" s="288" t="s">
        <v>1284</v>
      </c>
      <c r="H401" s="288" t="s">
        <v>1285</v>
      </c>
      <c r="I401" s="288" t="s">
        <v>118</v>
      </c>
      <c r="J401" s="288"/>
      <c r="K401" s="289">
        <v>43172</v>
      </c>
      <c r="L401" s="290"/>
      <c r="M401" s="290"/>
      <c r="N401" s="288"/>
      <c r="O401" s="288" t="s">
        <v>119</v>
      </c>
      <c r="P401" s="291"/>
      <c r="Q401" s="291"/>
      <c r="R401" s="288" t="s">
        <v>24</v>
      </c>
      <c r="S401" s="288"/>
      <c r="T401" s="292" t="s">
        <v>120</v>
      </c>
      <c r="U401" s="288" t="s">
        <v>121</v>
      </c>
      <c r="V401" s="292" t="s">
        <v>120</v>
      </c>
      <c r="W401" s="288"/>
      <c r="X401" s="292" t="s">
        <v>120</v>
      </c>
      <c r="Y401" s="288" t="s">
        <v>147</v>
      </c>
      <c r="Z401" s="293" t="s">
        <v>120</v>
      </c>
      <c r="AA401" s="294"/>
      <c r="AB401" s="294"/>
      <c r="AC401" s="295"/>
      <c r="AD401" s="288"/>
      <c r="AE401" s="292" t="s">
        <v>120</v>
      </c>
      <c r="AF401" s="289"/>
      <c r="AG401" s="296"/>
      <c r="AH401" s="296"/>
      <c r="AI401" s="288" t="s">
        <v>124</v>
      </c>
      <c r="AJ401" s="292" t="s">
        <v>120</v>
      </c>
      <c r="AK401" s="288" t="s">
        <v>123</v>
      </c>
      <c r="AL401" s="288"/>
      <c r="AM401" s="292"/>
      <c r="AN401" s="288"/>
      <c r="AO401" s="288"/>
      <c r="AP401" s="297"/>
      <c r="AQ401" s="288"/>
      <c r="AR401" s="292"/>
      <c r="AS401" s="288"/>
      <c r="AT401" s="289"/>
      <c r="AU401" s="289">
        <v>43453.378884027799</v>
      </c>
      <c r="AV401" s="289"/>
      <c r="AW401" s="289"/>
      <c r="AX401" s="289"/>
      <c r="AY401" s="289"/>
      <c r="AZ401" s="298">
        <v>43172</v>
      </c>
      <c r="BA40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1" s="300">
        <f>COUNTIFS(_05preva_view43[Site ID],_05preva_view43[[#This Row],[Site ID]],_05preva_view43[Prevalidation Status],"Under Prevalidation")</f>
        <v>0</v>
      </c>
      <c r="BC40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1" s="302" t="str">
        <f>CONCATENATE(_05preva_view43[[#This Row],[Site ID]]," (",_05preva_view43[[#This Row],[tenant id]],") Application",IF(_05preva_view43[[#This Row],[Colo Rev]]&gt;0," Rev "&amp;_05preva_view43[[#This Row],[Colo Rev]],""),".xlsx")</f>
        <v>ANSG_0344 (SGG0260) Application.xlsx</v>
      </c>
      <c r="BE401" s="64">
        <f t="shared" ca="1" si="8"/>
        <v>50</v>
      </c>
      <c r="BF401" s="104" t="str">
        <f ca="1">LEFT(CELL("filename",A386),_05preva_view43[[#This Row],[Find Process &amp; Database]]-1)</f>
        <v>D:\OneDrive - apollo-towers.com\Apollo Towers\00-</v>
      </c>
      <c r="BG401" s="104" t="str">
        <f ca="1">_05preva_view43[Folder Path1]&amp;"Process &amp; Database\Documentation\Colo Applications"</f>
        <v>D:\OneDrive - apollo-towers.com\Apollo Towers\00-Process &amp; Database\Documentation\Colo Applications</v>
      </c>
      <c r="BH401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1" s="63" t="str">
        <f ca="1">_05preva_view43[[#This Row],[Folder Path3]]&amp;_05preva_view43[[#This Row],[File Name]]</f>
        <v>D:\OneDrive - apollo-towers.com\Apollo Towers\00-Process &amp; Database\Documentation\Colo Applications\Colo App Mytel\ANSG_0344 (SGG0260) Application.xlsx</v>
      </c>
      <c r="BJ401" s="104"/>
      <c r="BK401" s="3"/>
      <c r="BL401" s="3"/>
      <c r="CJ401" s="5"/>
      <c r="CK401" s="5"/>
      <c r="CL401" s="3"/>
      <c r="CN401" s="5"/>
      <c r="CR401" s="3"/>
      <c r="CS401" s="3"/>
      <c r="CT401" s="5"/>
      <c r="CV401" s="3"/>
      <c r="DR401" s="5"/>
      <c r="DT401" s="3"/>
      <c r="EF401" s="7"/>
      <c r="EG401" s="7"/>
      <c r="EJ401" s="4"/>
      <c r="EK401" s="4"/>
      <c r="EU401" s="2"/>
      <c r="EV401" s="2"/>
    </row>
    <row r="402" spans="1:152">
      <c r="A402" s="287">
        <v>9</v>
      </c>
      <c r="B402" s="288" t="s">
        <v>148</v>
      </c>
      <c r="C402" s="288" t="s">
        <v>116</v>
      </c>
      <c r="D402" s="288" t="s">
        <v>117</v>
      </c>
      <c r="E402" s="288" t="s">
        <v>149</v>
      </c>
      <c r="F402" s="288" t="s">
        <v>34</v>
      </c>
      <c r="G402" s="288" t="s">
        <v>1284</v>
      </c>
      <c r="H402" s="288" t="s">
        <v>1285</v>
      </c>
      <c r="I402" s="288" t="s">
        <v>118</v>
      </c>
      <c r="J402" s="288"/>
      <c r="K402" s="289">
        <v>43172</v>
      </c>
      <c r="L402" s="290"/>
      <c r="M402" s="290"/>
      <c r="N402" s="288"/>
      <c r="O402" s="288" t="s">
        <v>119</v>
      </c>
      <c r="P402" s="291"/>
      <c r="Q402" s="291"/>
      <c r="R402" s="288" t="s">
        <v>24</v>
      </c>
      <c r="S402" s="288"/>
      <c r="T402" s="292" t="s">
        <v>120</v>
      </c>
      <c r="U402" s="288" t="s">
        <v>121</v>
      </c>
      <c r="V402" s="292" t="s">
        <v>120</v>
      </c>
      <c r="W402" s="288"/>
      <c r="X402" s="292" t="s">
        <v>120</v>
      </c>
      <c r="Y402" s="288" t="s">
        <v>150</v>
      </c>
      <c r="Z402" s="293" t="s">
        <v>120</v>
      </c>
      <c r="AA402" s="294"/>
      <c r="AB402" s="294"/>
      <c r="AC402" s="295"/>
      <c r="AD402" s="288"/>
      <c r="AE402" s="292" t="s">
        <v>120</v>
      </c>
      <c r="AF402" s="289"/>
      <c r="AG402" s="296"/>
      <c r="AH402" s="296"/>
      <c r="AI402" s="288" t="s">
        <v>151</v>
      </c>
      <c r="AJ402" s="292" t="s">
        <v>120</v>
      </c>
      <c r="AK402" s="288" t="s">
        <v>123</v>
      </c>
      <c r="AL402" s="288"/>
      <c r="AM402" s="292"/>
      <c r="AN402" s="288"/>
      <c r="AO402" s="288"/>
      <c r="AP402" s="297"/>
      <c r="AQ402" s="288"/>
      <c r="AR402" s="292"/>
      <c r="AS402" s="288"/>
      <c r="AT402" s="289"/>
      <c r="AU402" s="289">
        <v>43453.378887152801</v>
      </c>
      <c r="AV402" s="289"/>
      <c r="AW402" s="289"/>
      <c r="AX402" s="289"/>
      <c r="AY402" s="289"/>
      <c r="AZ402" s="298">
        <v>43172</v>
      </c>
      <c r="BA40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2" s="300">
        <f>COUNTIFS(_05preva_view43[Site ID],_05preva_view43[[#This Row],[Site ID]],_05preva_view43[Prevalidation Status],"Under Prevalidation")</f>
        <v>0</v>
      </c>
      <c r="BC40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2" s="302" t="str">
        <f>CONCATENATE(_05preva_view43[[#This Row],[Site ID]]," (",_05preva_view43[[#This Row],[tenant id]],") Application",IF(_05preva_view43[[#This Row],[Colo Rev]]&gt;0," Rev "&amp;_05preva_view43[[#This Row],[Colo Rev]],""),".xlsx")</f>
        <v>ANSH_0006 (SHN0876) Application.xlsx</v>
      </c>
      <c r="BE402" s="64">
        <f t="shared" ca="1" si="8"/>
        <v>50</v>
      </c>
      <c r="BF402" s="104" t="str">
        <f ca="1">LEFT(CELL("filename",A387),_05preva_view43[[#This Row],[Find Process &amp; Database]]-1)</f>
        <v>D:\OneDrive - apollo-towers.com\Apollo Towers\00-</v>
      </c>
      <c r="BG402" s="104" t="str">
        <f ca="1">_05preva_view43[Folder Path1]&amp;"Process &amp; Database\Documentation\Colo Applications"</f>
        <v>D:\OneDrive - apollo-towers.com\Apollo Towers\00-Process &amp; Database\Documentation\Colo Applications</v>
      </c>
      <c r="BH402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2" s="63" t="str">
        <f ca="1">_05preva_view43[[#This Row],[Folder Path3]]&amp;_05preva_view43[[#This Row],[File Name]]</f>
        <v>D:\OneDrive - apollo-towers.com\Apollo Towers\00-Process &amp; Database\Documentation\Colo Applications\Colo App Mytel\ANSH_0006 (SHN0876) Application.xlsx</v>
      </c>
      <c r="BJ402" s="104"/>
      <c r="BK402" s="3"/>
      <c r="BL402" s="3"/>
      <c r="CJ402" s="5"/>
      <c r="CK402" s="5"/>
      <c r="CL402" s="3"/>
      <c r="CN402" s="5"/>
      <c r="CR402" s="3"/>
      <c r="CS402" s="3"/>
      <c r="CT402" s="5"/>
      <c r="CV402" s="3"/>
      <c r="DR402" s="5"/>
      <c r="DT402" s="3"/>
      <c r="EF402" s="7"/>
      <c r="EG402" s="7"/>
      <c r="EJ402" s="4"/>
      <c r="EK402" s="4"/>
      <c r="EU402" s="2"/>
      <c r="EV402" s="2"/>
    </row>
    <row r="403" spans="1:152">
      <c r="A403" s="287">
        <v>10</v>
      </c>
      <c r="B403" s="288" t="s">
        <v>152</v>
      </c>
      <c r="C403" s="288" t="s">
        <v>116</v>
      </c>
      <c r="D403" s="288" t="s">
        <v>153</v>
      </c>
      <c r="E403" s="288" t="s">
        <v>154</v>
      </c>
      <c r="F403" s="288" t="s">
        <v>34</v>
      </c>
      <c r="G403" s="288" t="s">
        <v>1284</v>
      </c>
      <c r="H403" s="288" t="s">
        <v>1285</v>
      </c>
      <c r="I403" s="288" t="s">
        <v>118</v>
      </c>
      <c r="J403" s="288"/>
      <c r="K403" s="289">
        <v>43172</v>
      </c>
      <c r="L403" s="290"/>
      <c r="M403" s="290"/>
      <c r="N403" s="288"/>
      <c r="O403" s="288" t="s">
        <v>119</v>
      </c>
      <c r="P403" s="291"/>
      <c r="Q403" s="291"/>
      <c r="R403" s="288" t="s">
        <v>24</v>
      </c>
      <c r="S403" s="288"/>
      <c r="T403" s="292" t="s">
        <v>120</v>
      </c>
      <c r="U403" s="288" t="s">
        <v>121</v>
      </c>
      <c r="V403" s="292" t="s">
        <v>120</v>
      </c>
      <c r="W403" s="288"/>
      <c r="X403" s="292" t="s">
        <v>120</v>
      </c>
      <c r="Y403" s="288" t="s">
        <v>155</v>
      </c>
      <c r="Z403" s="293" t="s">
        <v>120</v>
      </c>
      <c r="AA403" s="294"/>
      <c r="AB403" s="294"/>
      <c r="AC403" s="295"/>
      <c r="AD403" s="288"/>
      <c r="AE403" s="292" t="s">
        <v>120</v>
      </c>
      <c r="AF403" s="289"/>
      <c r="AG403" s="296"/>
      <c r="AH403" s="296"/>
      <c r="AI403" s="288" t="s">
        <v>156</v>
      </c>
      <c r="AJ403" s="292" t="s">
        <v>120</v>
      </c>
      <c r="AK403" s="288" t="s">
        <v>123</v>
      </c>
      <c r="AL403" s="288"/>
      <c r="AM403" s="292"/>
      <c r="AN403" s="288"/>
      <c r="AO403" s="288"/>
      <c r="AP403" s="297"/>
      <c r="AQ403" s="288"/>
      <c r="AR403" s="292"/>
      <c r="AS403" s="288"/>
      <c r="AT403" s="289"/>
      <c r="AU403" s="289">
        <v>43453.378889351901</v>
      </c>
      <c r="AV403" s="289"/>
      <c r="AW403" s="289"/>
      <c r="AX403" s="289"/>
      <c r="AY403" s="289"/>
      <c r="AZ403" s="298">
        <v>43172</v>
      </c>
      <c r="BA40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3" s="300">
        <f>COUNTIFS(_05preva_view43[Site ID],_05preva_view43[[#This Row],[Site ID]],_05preva_view43[Prevalidation Status],"Under Prevalidation")</f>
        <v>0</v>
      </c>
      <c r="BC40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3" s="302" t="str">
        <f>CONCATENATE(_05preva_view43[[#This Row],[Site ID]]," (",_05preva_view43[[#This Row],[tenant id]],") Application",IF(_05preva_view43[[#This Row],[Colo Rev]]&gt;0," Rev "&amp;_05preva_view43[[#This Row],[Colo Rev]],""),".xlsx")</f>
        <v>ASKA_0150 (KYN0014) Application.xlsx</v>
      </c>
      <c r="BE403" s="64">
        <f t="shared" ca="1" si="8"/>
        <v>50</v>
      </c>
      <c r="BF403" s="104" t="str">
        <f ca="1">LEFT(CELL("filename",A388),_05preva_view43[[#This Row],[Find Process &amp; Database]]-1)</f>
        <v>D:\OneDrive - apollo-towers.com\Apollo Towers\00-</v>
      </c>
      <c r="BG403" s="104" t="str">
        <f ca="1">_05preva_view43[Folder Path1]&amp;"Process &amp; Database\Documentation\Colo Applications"</f>
        <v>D:\OneDrive - apollo-towers.com\Apollo Towers\00-Process &amp; Database\Documentation\Colo Applications</v>
      </c>
      <c r="BH403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3" s="63" t="str">
        <f ca="1">_05preva_view43[[#This Row],[Folder Path3]]&amp;_05preva_view43[[#This Row],[File Name]]</f>
        <v>D:\OneDrive - apollo-towers.com\Apollo Towers\00-Process &amp; Database\Documentation\Colo Applications\Colo App Mytel\ASKA_0150 (KYN0014) Application.xlsx</v>
      </c>
      <c r="BJ403" s="104"/>
      <c r="BK403" s="3"/>
      <c r="BL403" s="3"/>
      <c r="CJ403" s="5"/>
      <c r="CK403" s="5"/>
      <c r="CL403" s="3"/>
      <c r="CN403" s="5"/>
      <c r="CR403" s="3"/>
      <c r="CS403" s="3"/>
      <c r="CT403" s="5"/>
      <c r="CV403" s="3"/>
      <c r="DR403" s="5"/>
      <c r="DT403" s="3"/>
      <c r="EF403" s="7"/>
      <c r="EG403" s="7"/>
      <c r="EJ403" s="4"/>
      <c r="EK403" s="4"/>
      <c r="EU403" s="2"/>
      <c r="EV403" s="2"/>
    </row>
    <row r="404" spans="1:152">
      <c r="A404" s="287">
        <v>11</v>
      </c>
      <c r="B404" s="288" t="s">
        <v>157</v>
      </c>
      <c r="C404" s="288" t="s">
        <v>116</v>
      </c>
      <c r="D404" s="288" t="s">
        <v>153</v>
      </c>
      <c r="E404" s="288" t="s">
        <v>158</v>
      </c>
      <c r="F404" s="288" t="s">
        <v>34</v>
      </c>
      <c r="G404" s="288" t="s">
        <v>1284</v>
      </c>
      <c r="H404" s="288" t="s">
        <v>1285</v>
      </c>
      <c r="I404" s="288" t="s">
        <v>118</v>
      </c>
      <c r="J404" s="288"/>
      <c r="K404" s="289">
        <v>43172</v>
      </c>
      <c r="L404" s="290"/>
      <c r="M404" s="290"/>
      <c r="N404" s="288"/>
      <c r="O404" s="288" t="s">
        <v>119</v>
      </c>
      <c r="P404" s="291"/>
      <c r="Q404" s="291"/>
      <c r="R404" s="288" t="s">
        <v>24</v>
      </c>
      <c r="S404" s="288"/>
      <c r="T404" s="292" t="s">
        <v>120</v>
      </c>
      <c r="U404" s="288" t="s">
        <v>121</v>
      </c>
      <c r="V404" s="292" t="s">
        <v>120</v>
      </c>
      <c r="W404" s="288"/>
      <c r="X404" s="292" t="s">
        <v>120</v>
      </c>
      <c r="Y404" s="288" t="s">
        <v>159</v>
      </c>
      <c r="Z404" s="293" t="s">
        <v>120</v>
      </c>
      <c r="AA404" s="294"/>
      <c r="AB404" s="294"/>
      <c r="AC404" s="295"/>
      <c r="AD404" s="288"/>
      <c r="AE404" s="292" t="s">
        <v>120</v>
      </c>
      <c r="AF404" s="289"/>
      <c r="AG404" s="296"/>
      <c r="AH404" s="296"/>
      <c r="AI404" s="288" t="s">
        <v>160</v>
      </c>
      <c r="AJ404" s="292" t="s">
        <v>120</v>
      </c>
      <c r="AK404" s="288" t="s">
        <v>123</v>
      </c>
      <c r="AL404" s="288"/>
      <c r="AM404" s="292"/>
      <c r="AN404" s="288"/>
      <c r="AO404" s="288"/>
      <c r="AP404" s="297"/>
      <c r="AQ404" s="288"/>
      <c r="AR404" s="292"/>
      <c r="AS404" s="288"/>
      <c r="AT404" s="289"/>
      <c r="AU404" s="289">
        <v>43453.378891666704</v>
      </c>
      <c r="AV404" s="289"/>
      <c r="AW404" s="289"/>
      <c r="AX404" s="289"/>
      <c r="AY404" s="289"/>
      <c r="AZ404" s="298">
        <v>43172</v>
      </c>
      <c r="BA40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4" s="300">
        <f>COUNTIFS(_05preva_view43[Site ID],_05preva_view43[[#This Row],[Site ID]],_05preva_view43[Prevalidation Status],"Under Prevalidation")</f>
        <v>0</v>
      </c>
      <c r="BC40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4" s="302" t="str">
        <f>CONCATENATE(_05preva_view43[[#This Row],[Site ID]]," (",_05preva_view43[[#This Row],[tenant id]],") Application",IF(_05preva_view43[[#This Row],[Colo Rev]]&gt;0," Rev "&amp;_05preva_view43[[#This Row],[Colo Rev]],""),".xlsx")</f>
        <v>ASMO_0275 (MON0306) Application.xlsx</v>
      </c>
      <c r="BE404" s="64">
        <f t="shared" ca="1" si="8"/>
        <v>50</v>
      </c>
      <c r="BF404" s="104" t="str">
        <f ca="1">LEFT(CELL("filename",A389),_05preva_view43[[#This Row],[Find Process &amp; Database]]-1)</f>
        <v>D:\OneDrive - apollo-towers.com\Apollo Towers\00-</v>
      </c>
      <c r="BG404" s="104" t="str">
        <f ca="1">_05preva_view43[Folder Path1]&amp;"Process &amp; Database\Documentation\Colo Applications"</f>
        <v>D:\OneDrive - apollo-towers.com\Apollo Towers\00-Process &amp; Database\Documentation\Colo Applications</v>
      </c>
      <c r="BH404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4" s="63" t="str">
        <f ca="1">_05preva_view43[[#This Row],[Folder Path3]]&amp;_05preva_view43[[#This Row],[File Name]]</f>
        <v>D:\OneDrive - apollo-towers.com\Apollo Towers\00-Process &amp; Database\Documentation\Colo Applications\Colo App Mytel\ASMO_0275 (MON0306) Application.xlsx</v>
      </c>
      <c r="BJ404" s="104"/>
      <c r="BK404" s="3"/>
      <c r="BL404" s="3"/>
      <c r="CJ404" s="5"/>
      <c r="CK404" s="5"/>
      <c r="CL404" s="3"/>
      <c r="CN404" s="5"/>
      <c r="CR404" s="3"/>
      <c r="CS404" s="3"/>
      <c r="CT404" s="5"/>
      <c r="CV404" s="3"/>
      <c r="DR404" s="5"/>
      <c r="DT404" s="3"/>
      <c r="EF404" s="7"/>
      <c r="EG404" s="7"/>
      <c r="EJ404" s="4"/>
      <c r="EK404" s="4"/>
      <c r="EU404" s="2"/>
      <c r="EV404" s="2"/>
    </row>
    <row r="405" spans="1:152">
      <c r="A405" s="287">
        <v>13</v>
      </c>
      <c r="B405" s="288" t="s">
        <v>161</v>
      </c>
      <c r="C405" s="288" t="s">
        <v>116</v>
      </c>
      <c r="D405" s="288" t="s">
        <v>153</v>
      </c>
      <c r="E405" s="288" t="s">
        <v>162</v>
      </c>
      <c r="F405" s="288" t="s">
        <v>34</v>
      </c>
      <c r="G405" s="288" t="s">
        <v>1284</v>
      </c>
      <c r="H405" s="288" t="s">
        <v>1285</v>
      </c>
      <c r="I405" s="288" t="s">
        <v>118</v>
      </c>
      <c r="J405" s="288"/>
      <c r="K405" s="289">
        <v>43172</v>
      </c>
      <c r="L405" s="290"/>
      <c r="M405" s="290"/>
      <c r="N405" s="288"/>
      <c r="O405" s="288" t="s">
        <v>119</v>
      </c>
      <c r="P405" s="291"/>
      <c r="Q405" s="291"/>
      <c r="R405" s="288" t="s">
        <v>24</v>
      </c>
      <c r="S405" s="288"/>
      <c r="T405" s="292" t="s">
        <v>120</v>
      </c>
      <c r="U405" s="288" t="s">
        <v>121</v>
      </c>
      <c r="V405" s="292" t="s">
        <v>120</v>
      </c>
      <c r="W405" s="288"/>
      <c r="X405" s="292" t="s">
        <v>120</v>
      </c>
      <c r="Y405" s="288" t="s">
        <v>163</v>
      </c>
      <c r="Z405" s="293" t="s">
        <v>120</v>
      </c>
      <c r="AA405" s="294"/>
      <c r="AB405" s="294"/>
      <c r="AC405" s="295"/>
      <c r="AD405" s="288" t="s">
        <v>138</v>
      </c>
      <c r="AE405" s="292" t="s">
        <v>120</v>
      </c>
      <c r="AF405" s="289"/>
      <c r="AG405" s="296"/>
      <c r="AH405" s="296"/>
      <c r="AI405" s="288" t="s">
        <v>140</v>
      </c>
      <c r="AJ405" s="292" t="s">
        <v>120</v>
      </c>
      <c r="AK405" s="288" t="s">
        <v>123</v>
      </c>
      <c r="AL405" s="288"/>
      <c r="AM405" s="292"/>
      <c r="AN405" s="288"/>
      <c r="AO405" s="288"/>
      <c r="AP405" s="297"/>
      <c r="AQ405" s="288"/>
      <c r="AR405" s="292"/>
      <c r="AS405" s="288"/>
      <c r="AT405" s="289"/>
      <c r="AU405" s="289">
        <v>43453.3788965278</v>
      </c>
      <c r="AV405" s="289"/>
      <c r="AW405" s="289"/>
      <c r="AX405" s="289"/>
      <c r="AY405" s="289"/>
      <c r="AZ405" s="298">
        <v>43172</v>
      </c>
      <c r="BA40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5" s="300">
        <f>COUNTIFS(_05preva_view43[Site ID],_05preva_view43[[#This Row],[Site ID]],_05preva_view43[Prevalidation Status],"Under Prevalidation")</f>
        <v>0</v>
      </c>
      <c r="BC40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5" s="302" t="str">
        <f>CONCATENATE(_05preva_view43[[#This Row],[Site ID]]," (",_05preva_view43[[#This Row],[tenant id]],") Application",IF(_05preva_view43[[#This Row],[Colo Rev]]&gt;0," Rev "&amp;_05preva_view43[[#This Row],[Colo Rev]],""),".xlsx")</f>
        <v>AYYN_0121 (YGN1319) Application.xlsx</v>
      </c>
      <c r="BE405" s="64">
        <f t="shared" ca="1" si="8"/>
        <v>50</v>
      </c>
      <c r="BF405" s="104" t="str">
        <f ca="1">LEFT(CELL("filename",A390),_05preva_view43[[#This Row],[Find Process &amp; Database]]-1)</f>
        <v>D:\OneDrive - apollo-towers.com\Apollo Towers\00-</v>
      </c>
      <c r="BG405" s="104" t="str">
        <f ca="1">_05preva_view43[Folder Path1]&amp;"Process &amp; Database\Documentation\Colo Applications"</f>
        <v>D:\OneDrive - apollo-towers.com\Apollo Towers\00-Process &amp; Database\Documentation\Colo Applications</v>
      </c>
      <c r="BH405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5" s="63" t="str">
        <f ca="1">_05preva_view43[[#This Row],[Folder Path3]]&amp;_05preva_view43[[#This Row],[File Name]]</f>
        <v>D:\OneDrive - apollo-towers.com\Apollo Towers\00-Process &amp; Database\Documentation\Colo Applications\Colo App Mytel\AYYN_0121 (YGN1319) Application.xlsx</v>
      </c>
      <c r="BJ405" s="104"/>
      <c r="BK405" s="3"/>
      <c r="BL405" s="3"/>
      <c r="CJ405" s="5"/>
      <c r="CK405" s="5"/>
      <c r="CL405" s="3"/>
      <c r="CN405" s="5"/>
      <c r="CR405" s="3"/>
      <c r="CS405" s="3"/>
      <c r="CT405" s="5"/>
      <c r="CV405" s="3"/>
      <c r="DR405" s="5"/>
      <c r="DT405" s="3"/>
      <c r="EF405" s="7"/>
      <c r="EG405" s="7"/>
      <c r="EJ405" s="4"/>
      <c r="EK405" s="4"/>
      <c r="EU405" s="2"/>
      <c r="EV405" s="2"/>
    </row>
    <row r="406" spans="1:152">
      <c r="A406" s="287">
        <v>17</v>
      </c>
      <c r="B406" s="288" t="s">
        <v>166</v>
      </c>
      <c r="C406" s="288" t="s">
        <v>116</v>
      </c>
      <c r="D406" s="288" t="s">
        <v>153</v>
      </c>
      <c r="E406" s="288" t="s">
        <v>167</v>
      </c>
      <c r="F406" s="288" t="s">
        <v>34</v>
      </c>
      <c r="G406" s="288" t="s">
        <v>118</v>
      </c>
      <c r="H406" s="288"/>
      <c r="I406" s="288" t="s">
        <v>118</v>
      </c>
      <c r="J406" s="288"/>
      <c r="K406" s="289">
        <v>43172</v>
      </c>
      <c r="L406" s="290"/>
      <c r="M406" s="290"/>
      <c r="N406" s="288"/>
      <c r="O406" s="288" t="s">
        <v>119</v>
      </c>
      <c r="P406" s="291"/>
      <c r="Q406" s="291"/>
      <c r="R406" s="288" t="s">
        <v>24</v>
      </c>
      <c r="S406" s="288"/>
      <c r="T406" s="292" t="s">
        <v>120</v>
      </c>
      <c r="U406" s="288" t="s">
        <v>121</v>
      </c>
      <c r="V406" s="292" t="s">
        <v>120</v>
      </c>
      <c r="W406" s="288"/>
      <c r="X406" s="292" t="s">
        <v>120</v>
      </c>
      <c r="Y406" s="288" t="s">
        <v>168</v>
      </c>
      <c r="Z406" s="293" t="s">
        <v>120</v>
      </c>
      <c r="AA406" s="294"/>
      <c r="AB406" s="294"/>
      <c r="AC406" s="295"/>
      <c r="AD406" s="288" t="s">
        <v>169</v>
      </c>
      <c r="AE406" s="292" t="s">
        <v>120</v>
      </c>
      <c r="AF406" s="289" t="s">
        <v>170</v>
      </c>
      <c r="AG406" s="296"/>
      <c r="AH406" s="296"/>
      <c r="AI406" s="288" t="s">
        <v>171</v>
      </c>
      <c r="AJ406" s="292" t="s">
        <v>120</v>
      </c>
      <c r="AK406" s="288"/>
      <c r="AL406" s="288" t="s">
        <v>164</v>
      </c>
      <c r="AM406" s="292"/>
      <c r="AN406" s="288"/>
      <c r="AO406" s="288"/>
      <c r="AP406" s="297"/>
      <c r="AQ406" s="288"/>
      <c r="AR406" s="292"/>
      <c r="AS406" s="288"/>
      <c r="AT406" s="289"/>
      <c r="AU406" s="289">
        <v>43453.378902662</v>
      </c>
      <c r="AV406" s="289"/>
      <c r="AW406" s="289"/>
      <c r="AX406" s="289"/>
      <c r="AY406" s="289"/>
      <c r="AZ406" s="298">
        <v>43172</v>
      </c>
      <c r="BA40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6" s="300">
        <f>COUNTIFS(_05preva_view43[Site ID],_05preva_view43[[#This Row],[Site ID]],_05preva_view43[Prevalidation Status],"Under Prevalidation")</f>
        <v>0</v>
      </c>
      <c r="BC40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6" s="302" t="str">
        <f>CONCATENATE(_05preva_view43[[#This Row],[Site ID]]," (",_05preva_view43[[#This Row],[tenant id]],") Application",IF(_05preva_view43[[#This Row],[Colo Rev]]&gt;0," Rev "&amp;_05preva_view43[[#This Row],[Colo Rev]],""),".xlsx")</f>
        <v>AYYN_0389 (YGN0167) Application.xlsx</v>
      </c>
      <c r="BE406" s="64">
        <f t="shared" ca="1" si="8"/>
        <v>50</v>
      </c>
      <c r="BF406" s="104" t="str">
        <f ca="1">LEFT(CELL("filename",A391),_05preva_view43[[#This Row],[Find Process &amp; Database]]-1)</f>
        <v>D:\OneDrive - apollo-towers.com\Apollo Towers\00-</v>
      </c>
      <c r="BG406" s="104" t="str">
        <f ca="1">_05preva_view43[Folder Path1]&amp;"Process &amp; Database\Documentation\Colo Applications"</f>
        <v>D:\OneDrive - apollo-towers.com\Apollo Towers\00-Process &amp; Database\Documentation\Colo Applications</v>
      </c>
      <c r="BH406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6" s="63" t="str">
        <f ca="1">_05preva_view43[[#This Row],[Folder Path3]]&amp;_05preva_view43[[#This Row],[File Name]]</f>
        <v>D:\OneDrive - apollo-towers.com\Apollo Towers\00-Process &amp; Database\Documentation\Colo Applications\Colo App Mytel\AYYN_0389 (YGN0167) Application.xlsx</v>
      </c>
      <c r="BJ406" s="104"/>
      <c r="BK406" s="3"/>
      <c r="BL406" s="3"/>
      <c r="CJ406" s="5"/>
      <c r="CK406" s="5"/>
      <c r="CL406" s="3"/>
      <c r="CN406" s="5"/>
      <c r="CR406" s="3"/>
      <c r="CS406" s="3"/>
      <c r="CT406" s="5"/>
      <c r="CV406" s="3"/>
      <c r="DR406" s="5"/>
      <c r="DT406" s="3"/>
      <c r="EF406" s="7"/>
      <c r="EG406" s="7"/>
      <c r="EJ406" s="4"/>
      <c r="EK406" s="4"/>
      <c r="EU406" s="2"/>
      <c r="EV406" s="2"/>
    </row>
    <row r="407" spans="1:152">
      <c r="A407" s="287">
        <v>18</v>
      </c>
      <c r="B407" s="288" t="s">
        <v>172</v>
      </c>
      <c r="C407" s="288" t="s">
        <v>116</v>
      </c>
      <c r="D407" s="288" t="s">
        <v>153</v>
      </c>
      <c r="E407" s="288" t="s">
        <v>173</v>
      </c>
      <c r="F407" s="288" t="s">
        <v>34</v>
      </c>
      <c r="G407" s="288" t="s">
        <v>118</v>
      </c>
      <c r="H407" s="288"/>
      <c r="I407" s="288" t="s">
        <v>118</v>
      </c>
      <c r="J407" s="288"/>
      <c r="K407" s="289">
        <v>43172</v>
      </c>
      <c r="L407" s="290"/>
      <c r="M407" s="290"/>
      <c r="N407" s="288"/>
      <c r="O407" s="288" t="s">
        <v>119</v>
      </c>
      <c r="P407" s="291"/>
      <c r="Q407" s="291"/>
      <c r="R407" s="288" t="s">
        <v>24</v>
      </c>
      <c r="S407" s="288"/>
      <c r="T407" s="292" t="s">
        <v>120</v>
      </c>
      <c r="U407" s="288" t="s">
        <v>121</v>
      </c>
      <c r="V407" s="292" t="s">
        <v>120</v>
      </c>
      <c r="W407" s="288"/>
      <c r="X407" s="292" t="s">
        <v>120</v>
      </c>
      <c r="Y407" s="288" t="s">
        <v>174</v>
      </c>
      <c r="Z407" s="293" t="s">
        <v>120</v>
      </c>
      <c r="AA407" s="294"/>
      <c r="AB407" s="294"/>
      <c r="AC407" s="295"/>
      <c r="AD407" s="288" t="s">
        <v>175</v>
      </c>
      <c r="AE407" s="292" t="s">
        <v>120</v>
      </c>
      <c r="AF407" s="289"/>
      <c r="AG407" s="296"/>
      <c r="AH407" s="296"/>
      <c r="AI407" s="288" t="s">
        <v>165</v>
      </c>
      <c r="AJ407" s="292" t="s">
        <v>120</v>
      </c>
      <c r="AK407" s="288"/>
      <c r="AL407" s="288" t="s">
        <v>164</v>
      </c>
      <c r="AM407" s="292"/>
      <c r="AN407" s="288"/>
      <c r="AO407" s="288"/>
      <c r="AP407" s="297"/>
      <c r="AQ407" s="288"/>
      <c r="AR407" s="292"/>
      <c r="AS407" s="288"/>
      <c r="AT407" s="289"/>
      <c r="AU407" s="289">
        <v>43453.378903356497</v>
      </c>
      <c r="AV407" s="289"/>
      <c r="AW407" s="289"/>
      <c r="AX407" s="289"/>
      <c r="AY407" s="289"/>
      <c r="AZ407" s="298">
        <v>43172</v>
      </c>
      <c r="BA40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7" s="300">
        <f>COUNTIFS(_05preva_view43[Site ID],_05preva_view43[[#This Row],[Site ID]],_05preva_view43[Prevalidation Status],"Under Prevalidation")</f>
        <v>0</v>
      </c>
      <c r="BC40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7" s="302" t="str">
        <f>CONCATENATE(_05preva_view43[[#This Row],[Site ID]]," (",_05preva_view43[[#This Row],[tenant id]],") Application",IF(_05preva_view43[[#This Row],[Colo Rev]]&gt;0," Rev "&amp;_05preva_view43[[#This Row],[Colo Rev]],""),".xlsx")</f>
        <v>AYYN_0396 (YGN0171) Application.xlsx</v>
      </c>
      <c r="BE407" s="64">
        <f t="shared" ca="1" si="8"/>
        <v>50</v>
      </c>
      <c r="BF407" s="104" t="str">
        <f ca="1">LEFT(CELL("filename",A392),_05preva_view43[[#This Row],[Find Process &amp; Database]]-1)</f>
        <v>D:\OneDrive - apollo-towers.com\Apollo Towers\00-</v>
      </c>
      <c r="BG407" s="104" t="str">
        <f ca="1">_05preva_view43[Folder Path1]&amp;"Process &amp; Database\Documentation\Colo Applications"</f>
        <v>D:\OneDrive - apollo-towers.com\Apollo Towers\00-Process &amp; Database\Documentation\Colo Applications</v>
      </c>
      <c r="BH407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7" s="63" t="str">
        <f ca="1">_05preva_view43[[#This Row],[Folder Path3]]&amp;_05preva_view43[[#This Row],[File Name]]</f>
        <v>D:\OneDrive - apollo-towers.com\Apollo Towers\00-Process &amp; Database\Documentation\Colo Applications\Colo App Mytel\AYYN_0396 (YGN0171) Application.xlsx</v>
      </c>
      <c r="BJ407" s="104"/>
      <c r="BK407" s="3"/>
      <c r="BL407" s="3"/>
      <c r="CJ407" s="5"/>
      <c r="CK407" s="5"/>
      <c r="CL407" s="3"/>
      <c r="CN407" s="5"/>
      <c r="CR407" s="3"/>
      <c r="CS407" s="3"/>
      <c r="CT407" s="5"/>
      <c r="CV407" s="3"/>
      <c r="DR407" s="5"/>
      <c r="DT407" s="3"/>
      <c r="EF407" s="7"/>
      <c r="EG407" s="7"/>
      <c r="EJ407" s="4"/>
      <c r="EK407" s="4"/>
      <c r="EU407" s="2"/>
      <c r="EV407" s="2"/>
    </row>
    <row r="408" spans="1:152">
      <c r="A408" s="287">
        <v>19</v>
      </c>
      <c r="B408" s="288" t="s">
        <v>176</v>
      </c>
      <c r="C408" s="288" t="s">
        <v>116</v>
      </c>
      <c r="D408" s="288" t="s">
        <v>153</v>
      </c>
      <c r="E408" s="288" t="s">
        <v>177</v>
      </c>
      <c r="F408" s="288" t="s">
        <v>34</v>
      </c>
      <c r="G408" s="288" t="s">
        <v>1284</v>
      </c>
      <c r="H408" s="288" t="s">
        <v>1285</v>
      </c>
      <c r="I408" s="288" t="s">
        <v>118</v>
      </c>
      <c r="J408" s="288"/>
      <c r="K408" s="289">
        <v>43172</v>
      </c>
      <c r="L408" s="290"/>
      <c r="M408" s="290"/>
      <c r="N408" s="288"/>
      <c r="O408" s="288" t="s">
        <v>119</v>
      </c>
      <c r="P408" s="291"/>
      <c r="Q408" s="291"/>
      <c r="R408" s="288" t="s">
        <v>24</v>
      </c>
      <c r="S408" s="288"/>
      <c r="T408" s="292" t="s">
        <v>120</v>
      </c>
      <c r="U408" s="288" t="s">
        <v>121</v>
      </c>
      <c r="V408" s="292" t="s">
        <v>120</v>
      </c>
      <c r="W408" s="288"/>
      <c r="X408" s="292" t="s">
        <v>120</v>
      </c>
      <c r="Y408" s="288" t="s">
        <v>178</v>
      </c>
      <c r="Z408" s="293" t="s">
        <v>120</v>
      </c>
      <c r="AA408" s="294"/>
      <c r="AB408" s="294"/>
      <c r="AC408" s="295"/>
      <c r="AD408" s="288" t="s">
        <v>138</v>
      </c>
      <c r="AE408" s="292" t="s">
        <v>120</v>
      </c>
      <c r="AF408" s="289"/>
      <c r="AG408" s="296"/>
      <c r="AH408" s="296"/>
      <c r="AI408" s="288" t="s">
        <v>179</v>
      </c>
      <c r="AJ408" s="292" t="s">
        <v>120</v>
      </c>
      <c r="AK408" s="288"/>
      <c r="AL408" s="288" t="s">
        <v>164</v>
      </c>
      <c r="AM408" s="292"/>
      <c r="AN408" s="288"/>
      <c r="AO408" s="288"/>
      <c r="AP408" s="297"/>
      <c r="AQ408" s="288"/>
      <c r="AR408" s="292"/>
      <c r="AS408" s="288"/>
      <c r="AT408" s="289"/>
      <c r="AU408" s="289">
        <v>43453.378905208301</v>
      </c>
      <c r="AV408" s="289"/>
      <c r="AW408" s="289"/>
      <c r="AX408" s="289"/>
      <c r="AY408" s="289"/>
      <c r="AZ408" s="298">
        <v>43172</v>
      </c>
      <c r="BA408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8" s="300">
        <f>COUNTIFS(_05preva_view43[Site ID],_05preva_view43[[#This Row],[Site ID]],_05preva_view43[Prevalidation Status],"Under Prevalidation")</f>
        <v>0</v>
      </c>
      <c r="BC408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8" s="302" t="str">
        <f>CONCATENATE(_05preva_view43[[#This Row],[Site ID]]," (",_05preva_view43[[#This Row],[tenant id]],") Application",IF(_05preva_view43[[#This Row],[Colo Rev]]&gt;0," Rev "&amp;_05preva_view43[[#This Row],[Colo Rev]],""),".xlsx")</f>
        <v>AYYN_0583 (YGN1201) Application.xlsx</v>
      </c>
      <c r="BE408" s="64">
        <f t="shared" ca="1" si="8"/>
        <v>50</v>
      </c>
      <c r="BF408" s="104" t="str">
        <f ca="1">LEFT(CELL("filename",A393),_05preva_view43[[#This Row],[Find Process &amp; Database]]-1)</f>
        <v>D:\OneDrive - apollo-towers.com\Apollo Towers\00-</v>
      </c>
      <c r="BG408" s="104" t="str">
        <f ca="1">_05preva_view43[Folder Path1]&amp;"Process &amp; Database\Documentation\Colo Applications"</f>
        <v>D:\OneDrive - apollo-towers.com\Apollo Towers\00-Process &amp; Database\Documentation\Colo Applications</v>
      </c>
      <c r="BH408" s="104" t="str">
        <f ca="1">_05preva_view43[Folder Path2]&amp;"\Colo App "&amp;_05preva_view43[[#This Row],[Operator]]&amp;"\"</f>
        <v>D:\OneDrive - apollo-towers.com\Apollo Towers\00-Process &amp; Database\Documentation\Colo Applications\Colo App Mytel\</v>
      </c>
      <c r="BI408" s="63" t="str">
        <f ca="1">_05preva_view43[[#This Row],[Folder Path3]]&amp;_05preva_view43[[#This Row],[File Name]]</f>
        <v>D:\OneDrive - apollo-towers.com\Apollo Towers\00-Process &amp; Database\Documentation\Colo Applications\Colo App Mytel\AYYN_0583 (YGN1201) Application.xlsx</v>
      </c>
      <c r="BJ408" s="104"/>
      <c r="BK408" s="3"/>
      <c r="BL408" s="3"/>
      <c r="CJ408" s="5"/>
      <c r="CK408" s="5"/>
      <c r="CL408" s="3"/>
      <c r="CN408" s="5"/>
      <c r="CR408" s="3"/>
      <c r="CS408" s="3"/>
      <c r="CT408" s="5"/>
      <c r="CV408" s="3"/>
      <c r="DR408" s="5"/>
      <c r="DT408" s="3"/>
      <c r="EF408" s="7"/>
      <c r="EG408" s="7"/>
      <c r="EJ408" s="4"/>
      <c r="EK408" s="4"/>
      <c r="EU408" s="2"/>
      <c r="EV408" s="2"/>
    </row>
    <row r="409" spans="1:152">
      <c r="A409" s="287">
        <v>21</v>
      </c>
      <c r="B409" s="288" t="s">
        <v>181</v>
      </c>
      <c r="C409" s="288" t="s">
        <v>116</v>
      </c>
      <c r="D409" s="288" t="s">
        <v>153</v>
      </c>
      <c r="E409" s="288" t="s">
        <v>182</v>
      </c>
      <c r="F409" s="288" t="s">
        <v>41</v>
      </c>
      <c r="G409" s="288" t="s">
        <v>1286</v>
      </c>
      <c r="H409" s="288" t="s">
        <v>1285</v>
      </c>
      <c r="I409" s="288" t="s">
        <v>118</v>
      </c>
      <c r="J409" s="288"/>
      <c r="K409" s="289">
        <v>43172</v>
      </c>
      <c r="L409" s="290"/>
      <c r="M409" s="290"/>
      <c r="N409" s="288"/>
      <c r="O409" s="288" t="s">
        <v>119</v>
      </c>
      <c r="P409" s="291"/>
      <c r="Q409" s="291"/>
      <c r="R409" s="288" t="s">
        <v>24</v>
      </c>
      <c r="S409" s="288"/>
      <c r="T409" s="292" t="s">
        <v>120</v>
      </c>
      <c r="U409" s="288" t="s">
        <v>121</v>
      </c>
      <c r="V409" s="292" t="s">
        <v>120</v>
      </c>
      <c r="W409" s="288"/>
      <c r="X409" s="292" t="s">
        <v>120</v>
      </c>
      <c r="Y409" s="288"/>
      <c r="Z409" s="293" t="s">
        <v>120</v>
      </c>
      <c r="AA409" s="294"/>
      <c r="AB409" s="294"/>
      <c r="AC409" s="295"/>
      <c r="AD409" s="288"/>
      <c r="AE409" s="292" t="s">
        <v>120</v>
      </c>
      <c r="AF409" s="289"/>
      <c r="AG409" s="296"/>
      <c r="AH409" s="296"/>
      <c r="AI409" s="288" t="s">
        <v>183</v>
      </c>
      <c r="AJ409" s="292" t="s">
        <v>120</v>
      </c>
      <c r="AK409" s="288"/>
      <c r="AL409" s="288"/>
      <c r="AM409" s="292"/>
      <c r="AN409" s="288"/>
      <c r="AO409" s="288"/>
      <c r="AP409" s="297"/>
      <c r="AQ409" s="288"/>
      <c r="AR409" s="292"/>
      <c r="AS409" s="288"/>
      <c r="AT409" s="289"/>
      <c r="AU409" s="289">
        <v>43453.378908217601</v>
      </c>
      <c r="AV409" s="289"/>
      <c r="AW409" s="289"/>
      <c r="AX409" s="289"/>
      <c r="AY409" s="289"/>
      <c r="AZ409" s="298">
        <v>43172</v>
      </c>
      <c r="BA409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09" s="300">
        <f>COUNTIFS(_05preva_view43[Site ID],_05preva_view43[[#This Row],[Site ID]],_05preva_view43[Prevalidation Status],"Under Prevalidation")</f>
        <v>0</v>
      </c>
      <c r="BC409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09" s="302" t="str">
        <f>CONCATENATE(_05preva_view43[[#This Row],[Site ID]]," (",_05preva_view43[[#This Row],[tenant id]],") Application",IF(_05preva_view43[[#This Row],[Colo Rev]]&gt;0," Rev "&amp;_05preva_view43[[#This Row],[Colo Rev]],""),".xlsx")</f>
        <v>AYYN_0269 (YGNINSN052) Application.xlsx</v>
      </c>
      <c r="BE409" s="64">
        <f t="shared" ca="1" si="8"/>
        <v>50</v>
      </c>
      <c r="BF409" s="104" t="str">
        <f ca="1">LEFT(CELL("filename",A394),_05preva_view43[[#This Row],[Find Process &amp; Database]]-1)</f>
        <v>D:\OneDrive - apollo-towers.com\Apollo Towers\00-</v>
      </c>
      <c r="BG409" s="104" t="str">
        <f ca="1">_05preva_view43[Folder Path1]&amp;"Process &amp; Database\Documentation\Colo Applications"</f>
        <v>D:\OneDrive - apollo-towers.com\Apollo Towers\00-Process &amp; Database\Documentation\Colo Applications</v>
      </c>
      <c r="BH409" s="104" t="str">
        <f ca="1">_05preva_view43[Folder Path2]&amp;"\Colo App "&amp;_05preva_view43[[#This Row],[Operator]]&amp;"\"</f>
        <v>D:\OneDrive - apollo-towers.com\Apollo Towers\00-Process &amp; Database\Documentation\Colo Applications\Colo App Amara\</v>
      </c>
      <c r="BI409" s="63" t="str">
        <f ca="1">_05preva_view43[[#This Row],[Folder Path3]]&amp;_05preva_view43[[#This Row],[File Name]]</f>
        <v>D:\OneDrive - apollo-towers.com\Apollo Towers\00-Process &amp; Database\Documentation\Colo Applications\Colo App Amara\AYYN_0269 (YGNINSN052) Application.xlsx</v>
      </c>
      <c r="BJ409" s="104"/>
      <c r="BK409" s="3"/>
      <c r="BL409" s="3"/>
      <c r="CJ409" s="5"/>
      <c r="CK409" s="5"/>
      <c r="CL409" s="3"/>
      <c r="CN409" s="5"/>
      <c r="CR409" s="3"/>
      <c r="CS409" s="3"/>
      <c r="CT409" s="5"/>
      <c r="CV409" s="3"/>
      <c r="DR409" s="5"/>
      <c r="DT409" s="3"/>
      <c r="EF409" s="7"/>
      <c r="EG409" s="7"/>
      <c r="EJ409" s="4"/>
      <c r="EK409" s="4"/>
      <c r="EU409" s="2"/>
      <c r="EV409" s="2"/>
    </row>
    <row r="410" spans="1:152">
      <c r="A410" s="287">
        <v>22</v>
      </c>
      <c r="B410" s="288" t="s">
        <v>184</v>
      </c>
      <c r="C410" s="288" t="s">
        <v>116</v>
      </c>
      <c r="D410" s="288" t="s">
        <v>153</v>
      </c>
      <c r="E410" s="288" t="s">
        <v>185</v>
      </c>
      <c r="F410" s="288" t="s">
        <v>35</v>
      </c>
      <c r="G410" s="288" t="s">
        <v>1287</v>
      </c>
      <c r="H410" s="288" t="s">
        <v>1285</v>
      </c>
      <c r="I410" s="288" t="s">
        <v>118</v>
      </c>
      <c r="J410" s="288"/>
      <c r="K410" s="289">
        <v>43172</v>
      </c>
      <c r="L410" s="290"/>
      <c r="M410" s="290"/>
      <c r="N410" s="288"/>
      <c r="O410" s="288" t="s">
        <v>119</v>
      </c>
      <c r="P410" s="291"/>
      <c r="Q410" s="291"/>
      <c r="R410" s="288" t="s">
        <v>24</v>
      </c>
      <c r="S410" s="288"/>
      <c r="T410" s="292" t="s">
        <v>120</v>
      </c>
      <c r="U410" s="288" t="s">
        <v>121</v>
      </c>
      <c r="V410" s="292" t="s">
        <v>120</v>
      </c>
      <c r="W410" s="288"/>
      <c r="X410" s="292" t="s">
        <v>120</v>
      </c>
      <c r="Y410" s="288"/>
      <c r="Z410" s="293" t="s">
        <v>120</v>
      </c>
      <c r="AA410" s="294"/>
      <c r="AB410" s="294"/>
      <c r="AC410" s="295"/>
      <c r="AD410" s="288"/>
      <c r="AE410" s="292" t="s">
        <v>120</v>
      </c>
      <c r="AF410" s="289"/>
      <c r="AG410" s="296"/>
      <c r="AH410" s="296"/>
      <c r="AI410" s="288" t="s">
        <v>186</v>
      </c>
      <c r="AJ410" s="292" t="s">
        <v>120</v>
      </c>
      <c r="AK410" s="288" t="s">
        <v>123</v>
      </c>
      <c r="AL410" s="288"/>
      <c r="AM410" s="292"/>
      <c r="AN410" s="288"/>
      <c r="AO410" s="288"/>
      <c r="AP410" s="297"/>
      <c r="AQ410" s="288"/>
      <c r="AR410" s="292"/>
      <c r="AS410" s="288"/>
      <c r="AT410" s="289"/>
      <c r="AU410" s="289">
        <v>43453.378908911996</v>
      </c>
      <c r="AV410" s="289"/>
      <c r="AW410" s="289"/>
      <c r="AX410" s="289"/>
      <c r="AY410" s="289"/>
      <c r="AZ410" s="298">
        <v>43172</v>
      </c>
      <c r="BA410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0" s="300">
        <f>COUNTIFS(_05preva_view43[Site ID],_05preva_view43[[#This Row],[Site ID]],_05preva_view43[Prevalidation Status],"Under Prevalidation")</f>
        <v>0</v>
      </c>
      <c r="BC410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0" s="302" t="str">
        <f>CONCATENATE(_05preva_view43[[#This Row],[Site ID]]," (",_05preva_view43[[#This Row],[tenant id]],") Application",IF(_05preva_view43[[#This Row],[Colo Rev]]&gt;0," Rev "&amp;_05preva_view43[[#This Row],[Colo Rev]],""),".xlsx")</f>
        <v>AYYN_0171 (YGN01927) Application.xlsx</v>
      </c>
      <c r="BE410" s="64">
        <f t="shared" ca="1" si="8"/>
        <v>50</v>
      </c>
      <c r="BF410" s="104" t="str">
        <f ca="1">LEFT(CELL("filename",A395),_05preva_view43[[#This Row],[Find Process &amp; Database]]-1)</f>
        <v>D:\OneDrive - apollo-towers.com\Apollo Towers\00-</v>
      </c>
      <c r="BG410" s="104" t="str">
        <f ca="1">_05preva_view43[Folder Path1]&amp;"Process &amp; Database\Documentation\Colo Applications"</f>
        <v>D:\OneDrive - apollo-towers.com\Apollo Towers\00-Process &amp; Database\Documentation\Colo Applications</v>
      </c>
      <c r="BH410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0" s="63" t="str">
        <f ca="1">_05preva_view43[[#This Row],[Folder Path3]]&amp;_05preva_view43[[#This Row],[File Name]]</f>
        <v>D:\OneDrive - apollo-towers.com\Apollo Towers\00-Process &amp; Database\Documentation\Colo Applications\Colo App MPT\AYYN_0171 (YGN01927) Application.xlsx</v>
      </c>
      <c r="BJ410" s="104"/>
      <c r="BK410" s="3"/>
      <c r="BL410" s="3"/>
      <c r="CJ410" s="5"/>
      <c r="CK410" s="5"/>
      <c r="CL410" s="3"/>
      <c r="CN410" s="5"/>
      <c r="CR410" s="3"/>
      <c r="CS410" s="3"/>
      <c r="CT410" s="5"/>
      <c r="CV410" s="3"/>
      <c r="DR410" s="5"/>
      <c r="DT410" s="3"/>
      <c r="EF410" s="7"/>
      <c r="EG410" s="7"/>
      <c r="EJ410" s="4"/>
      <c r="EK410" s="4"/>
      <c r="EU410" s="2"/>
      <c r="EV410" s="2"/>
    </row>
    <row r="411" spans="1:152">
      <c r="A411" s="287">
        <v>23</v>
      </c>
      <c r="B411" s="288" t="s">
        <v>187</v>
      </c>
      <c r="C411" s="288" t="s">
        <v>116</v>
      </c>
      <c r="D411" s="288" t="s">
        <v>127</v>
      </c>
      <c r="E411" s="288" t="s">
        <v>188</v>
      </c>
      <c r="F411" s="288" t="s">
        <v>35</v>
      </c>
      <c r="G411" s="288" t="s">
        <v>1287</v>
      </c>
      <c r="H411" s="288" t="s">
        <v>1285</v>
      </c>
      <c r="I411" s="288" t="s">
        <v>118</v>
      </c>
      <c r="J411" s="288"/>
      <c r="K411" s="289">
        <v>43172</v>
      </c>
      <c r="L411" s="290"/>
      <c r="M411" s="290"/>
      <c r="N411" s="288"/>
      <c r="O411" s="288" t="s">
        <v>119</v>
      </c>
      <c r="P411" s="291"/>
      <c r="Q411" s="291"/>
      <c r="R411" s="288" t="s">
        <v>24</v>
      </c>
      <c r="S411" s="288"/>
      <c r="T411" s="292" t="s">
        <v>120</v>
      </c>
      <c r="U411" s="288" t="s">
        <v>121</v>
      </c>
      <c r="V411" s="292" t="s">
        <v>120</v>
      </c>
      <c r="W411" s="288"/>
      <c r="X411" s="292" t="s">
        <v>120</v>
      </c>
      <c r="Y411" s="288"/>
      <c r="Z411" s="293" t="s">
        <v>120</v>
      </c>
      <c r="AA411" s="294"/>
      <c r="AB411" s="294"/>
      <c r="AC411" s="295"/>
      <c r="AD411" s="288"/>
      <c r="AE411" s="292" t="s">
        <v>120</v>
      </c>
      <c r="AF411" s="289"/>
      <c r="AG411" s="296"/>
      <c r="AH411" s="296"/>
      <c r="AI411" s="288" t="s">
        <v>189</v>
      </c>
      <c r="AJ411" s="292" t="s">
        <v>120</v>
      </c>
      <c r="AK411" s="288" t="s">
        <v>123</v>
      </c>
      <c r="AL411" s="288"/>
      <c r="AM411" s="292"/>
      <c r="AN411" s="288"/>
      <c r="AO411" s="288"/>
      <c r="AP411" s="297"/>
      <c r="AQ411" s="288"/>
      <c r="AR411" s="292"/>
      <c r="AS411" s="288"/>
      <c r="AT411" s="289"/>
      <c r="AU411" s="289">
        <v>43453.378910995401</v>
      </c>
      <c r="AV411" s="289"/>
      <c r="AW411" s="289"/>
      <c r="AX411" s="289"/>
      <c r="AY411" s="289"/>
      <c r="AZ411" s="298">
        <v>43172</v>
      </c>
      <c r="BA411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1" s="300">
        <f>COUNTIFS(_05preva_view43[Site ID],_05preva_view43[[#This Row],[Site ID]],_05preva_view43[Prevalidation Status],"Under Prevalidation")</f>
        <v>0</v>
      </c>
      <c r="BC411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1" s="302" t="str">
        <f>CONCATENATE(_05preva_view43[[#This Row],[Site ID]]," (",_05preva_view43[[#This Row],[tenant id]],") Application",IF(_05preva_view43[[#This Row],[Colo Rev]]&gt;0," Rev "&amp;_05preva_view43[[#This Row],[Colo Rev]],""),".xlsx")</f>
        <v>ANSG_0355 (SGG01165) Application.xlsx</v>
      </c>
      <c r="BE411" s="64">
        <f t="shared" ca="1" si="8"/>
        <v>50</v>
      </c>
      <c r="BF411" s="104" t="str">
        <f ca="1">LEFT(CELL("filename",A396),_05preva_view43[[#This Row],[Find Process &amp; Database]]-1)</f>
        <v>D:\OneDrive - apollo-towers.com\Apollo Towers\00-</v>
      </c>
      <c r="BG411" s="104" t="str">
        <f ca="1">_05preva_view43[Folder Path1]&amp;"Process &amp; Database\Documentation\Colo Applications"</f>
        <v>D:\OneDrive - apollo-towers.com\Apollo Towers\00-Process &amp; Database\Documentation\Colo Applications</v>
      </c>
      <c r="BH411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1" s="63" t="str">
        <f ca="1">_05preva_view43[[#This Row],[Folder Path3]]&amp;_05preva_view43[[#This Row],[File Name]]</f>
        <v>D:\OneDrive - apollo-towers.com\Apollo Towers\00-Process &amp; Database\Documentation\Colo Applications\Colo App MPT\ANSG_0355 (SGG01165) Application.xlsx</v>
      </c>
      <c r="BJ411" s="104"/>
      <c r="BK411" s="3"/>
      <c r="BL411" s="3"/>
      <c r="CJ411" s="5"/>
      <c r="CK411" s="5"/>
      <c r="CL411" s="3"/>
      <c r="CN411" s="5"/>
      <c r="CR411" s="3"/>
      <c r="CS411" s="3"/>
      <c r="CT411" s="5"/>
      <c r="CV411" s="3"/>
      <c r="DR411" s="5"/>
      <c r="DT411" s="3"/>
      <c r="EF411" s="7"/>
      <c r="EG411" s="7"/>
      <c r="EJ411" s="4"/>
      <c r="EK411" s="4"/>
      <c r="EU411" s="2"/>
      <c r="EV411" s="2"/>
    </row>
    <row r="412" spans="1:152">
      <c r="A412" s="287">
        <v>24</v>
      </c>
      <c r="B412" s="288" t="s">
        <v>190</v>
      </c>
      <c r="C412" s="288" t="s">
        <v>116</v>
      </c>
      <c r="D412" s="288" t="s">
        <v>153</v>
      </c>
      <c r="E412" s="288" t="s">
        <v>191</v>
      </c>
      <c r="F412" s="288" t="s">
        <v>35</v>
      </c>
      <c r="G412" s="288" t="s">
        <v>1287</v>
      </c>
      <c r="H412" s="288" t="s">
        <v>1285</v>
      </c>
      <c r="I412" s="288" t="s">
        <v>118</v>
      </c>
      <c r="J412" s="288"/>
      <c r="K412" s="289">
        <v>43172</v>
      </c>
      <c r="L412" s="290"/>
      <c r="M412" s="290"/>
      <c r="N412" s="288"/>
      <c r="O412" s="288" t="s">
        <v>119</v>
      </c>
      <c r="P412" s="291"/>
      <c r="Q412" s="291"/>
      <c r="R412" s="288" t="s">
        <v>24</v>
      </c>
      <c r="S412" s="288"/>
      <c r="T412" s="292" t="s">
        <v>120</v>
      </c>
      <c r="U412" s="288" t="s">
        <v>121</v>
      </c>
      <c r="V412" s="292" t="s">
        <v>120</v>
      </c>
      <c r="W412" s="288"/>
      <c r="X412" s="292" t="s">
        <v>120</v>
      </c>
      <c r="Y412" s="288"/>
      <c r="Z412" s="293" t="s">
        <v>120</v>
      </c>
      <c r="AA412" s="294"/>
      <c r="AB412" s="294"/>
      <c r="AC412" s="295"/>
      <c r="AD412" s="288"/>
      <c r="AE412" s="292" t="s">
        <v>120</v>
      </c>
      <c r="AF412" s="289"/>
      <c r="AG412" s="296"/>
      <c r="AH412" s="296"/>
      <c r="AI412" s="288" t="s">
        <v>192</v>
      </c>
      <c r="AJ412" s="292" t="s">
        <v>120</v>
      </c>
      <c r="AK412" s="288" t="s">
        <v>123</v>
      </c>
      <c r="AL412" s="288"/>
      <c r="AM412" s="292"/>
      <c r="AN412" s="288"/>
      <c r="AO412" s="288"/>
      <c r="AP412" s="297"/>
      <c r="AQ412" s="288"/>
      <c r="AR412" s="292"/>
      <c r="AS412" s="288"/>
      <c r="AT412" s="289"/>
      <c r="AU412" s="289">
        <v>43453.378911689797</v>
      </c>
      <c r="AV412" s="289"/>
      <c r="AW412" s="289"/>
      <c r="AX412" s="289"/>
      <c r="AY412" s="289"/>
      <c r="AZ412" s="298">
        <v>43172</v>
      </c>
      <c r="BA412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2" s="300">
        <f>COUNTIFS(_05preva_view43[Site ID],_05preva_view43[[#This Row],[Site ID]],_05preva_view43[Prevalidation Status],"Under Prevalidation")</f>
        <v>0</v>
      </c>
      <c r="BC412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2" s="302" t="str">
        <f>CONCATENATE(_05preva_view43[[#This Row],[Site ID]]," (",_05preva_view43[[#This Row],[tenant id]],") Application",IF(_05preva_view43[[#This Row],[Colo Rev]]&gt;0," Rev "&amp;_05preva_view43[[#This Row],[Colo Rev]],""),".xlsx")</f>
        <v>AYYN_0099 (YGN02508) Application.xlsx</v>
      </c>
      <c r="BE412" s="64">
        <f t="shared" ca="1" si="8"/>
        <v>50</v>
      </c>
      <c r="BF412" s="104" t="str">
        <f ca="1">LEFT(CELL("filename",A397),_05preva_view43[[#This Row],[Find Process &amp; Database]]-1)</f>
        <v>D:\OneDrive - apollo-towers.com\Apollo Towers\00-</v>
      </c>
      <c r="BG412" s="104" t="str">
        <f ca="1">_05preva_view43[Folder Path1]&amp;"Process &amp; Database\Documentation\Colo Applications"</f>
        <v>D:\OneDrive - apollo-towers.com\Apollo Towers\00-Process &amp; Database\Documentation\Colo Applications</v>
      </c>
      <c r="BH412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2" s="63" t="str">
        <f ca="1">_05preva_view43[[#This Row],[Folder Path3]]&amp;_05preva_view43[[#This Row],[File Name]]</f>
        <v>D:\OneDrive - apollo-towers.com\Apollo Towers\00-Process &amp; Database\Documentation\Colo Applications\Colo App MPT\AYYN_0099 (YGN02508) Application.xlsx</v>
      </c>
      <c r="BJ412" s="104"/>
      <c r="BK412" s="3"/>
      <c r="BL412" s="3"/>
      <c r="CJ412" s="5"/>
      <c r="CK412" s="5"/>
      <c r="CL412" s="3"/>
      <c r="CN412" s="5"/>
      <c r="CR412" s="3"/>
      <c r="CS412" s="3"/>
      <c r="CT412" s="5"/>
      <c r="CV412" s="3"/>
      <c r="DR412" s="5"/>
      <c r="DT412" s="3"/>
      <c r="EF412" s="7"/>
      <c r="EG412" s="7"/>
      <c r="EJ412" s="4"/>
      <c r="EK412" s="4"/>
      <c r="EU412" s="2"/>
      <c r="EV412" s="2"/>
    </row>
    <row r="413" spans="1:152">
      <c r="A413" s="287">
        <v>25</v>
      </c>
      <c r="B413" s="288" t="s">
        <v>193</v>
      </c>
      <c r="C413" s="288" t="s">
        <v>116</v>
      </c>
      <c r="D413" s="288" t="s">
        <v>153</v>
      </c>
      <c r="E413" s="288" t="s">
        <v>194</v>
      </c>
      <c r="F413" s="288" t="s">
        <v>35</v>
      </c>
      <c r="G413" s="288" t="s">
        <v>1287</v>
      </c>
      <c r="H413" s="288" t="s">
        <v>1285</v>
      </c>
      <c r="I413" s="288" t="s">
        <v>118</v>
      </c>
      <c r="J413" s="288"/>
      <c r="K413" s="289">
        <v>43172</v>
      </c>
      <c r="L413" s="290"/>
      <c r="M413" s="290"/>
      <c r="N413" s="288"/>
      <c r="O413" s="288" t="s">
        <v>119</v>
      </c>
      <c r="P413" s="291"/>
      <c r="Q413" s="291"/>
      <c r="R413" s="288" t="s">
        <v>24</v>
      </c>
      <c r="S413" s="288"/>
      <c r="T413" s="292" t="s">
        <v>120</v>
      </c>
      <c r="U413" s="288" t="s">
        <v>121</v>
      </c>
      <c r="V413" s="292" t="s">
        <v>120</v>
      </c>
      <c r="W413" s="288"/>
      <c r="X413" s="292" t="s">
        <v>120</v>
      </c>
      <c r="Y413" s="288"/>
      <c r="Z413" s="293" t="s">
        <v>120</v>
      </c>
      <c r="AA413" s="294"/>
      <c r="AB413" s="294"/>
      <c r="AC413" s="295"/>
      <c r="AD413" s="288"/>
      <c r="AE413" s="292" t="s">
        <v>120</v>
      </c>
      <c r="AF413" s="289"/>
      <c r="AG413" s="296"/>
      <c r="AH413" s="296"/>
      <c r="AI413" s="288" t="s">
        <v>195</v>
      </c>
      <c r="AJ413" s="292" t="s">
        <v>120</v>
      </c>
      <c r="AK413" s="288" t="s">
        <v>123</v>
      </c>
      <c r="AL413" s="288"/>
      <c r="AM413" s="292"/>
      <c r="AN413" s="288"/>
      <c r="AO413" s="288"/>
      <c r="AP413" s="297"/>
      <c r="AQ413" s="288"/>
      <c r="AR413" s="292"/>
      <c r="AS413" s="288"/>
      <c r="AT413" s="289"/>
      <c r="AU413" s="289">
        <v>43453.378913773202</v>
      </c>
      <c r="AV413" s="289"/>
      <c r="AW413" s="289"/>
      <c r="AX413" s="289"/>
      <c r="AY413" s="289"/>
      <c r="AZ413" s="298">
        <v>43172</v>
      </c>
      <c r="BA413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3" s="300">
        <f>COUNTIFS(_05preva_view43[Site ID],_05preva_view43[[#This Row],[Site ID]],_05preva_view43[Prevalidation Status],"Under Prevalidation")</f>
        <v>0</v>
      </c>
      <c r="BC413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3" s="302" t="str">
        <f>CONCATENATE(_05preva_view43[[#This Row],[Site ID]]," (",_05preva_view43[[#This Row],[tenant id]],") Application",IF(_05preva_view43[[#This Row],[Colo Rev]]&gt;0," Rev "&amp;_05preva_view43[[#This Row],[Colo Rev]],""),".xlsx")</f>
        <v>AYYN_0251 (YGN01769) Application.xlsx</v>
      </c>
      <c r="BE413" s="64">
        <f t="shared" ca="1" si="8"/>
        <v>50</v>
      </c>
      <c r="BF413" s="104" t="str">
        <f ca="1">LEFT(CELL("filename",A398),_05preva_view43[[#This Row],[Find Process &amp; Database]]-1)</f>
        <v>D:\OneDrive - apollo-towers.com\Apollo Towers\00-</v>
      </c>
      <c r="BG413" s="104" t="str">
        <f ca="1">_05preva_view43[Folder Path1]&amp;"Process &amp; Database\Documentation\Colo Applications"</f>
        <v>D:\OneDrive - apollo-towers.com\Apollo Towers\00-Process &amp; Database\Documentation\Colo Applications</v>
      </c>
      <c r="BH413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3" s="63" t="str">
        <f ca="1">_05preva_view43[[#This Row],[Folder Path3]]&amp;_05preva_view43[[#This Row],[File Name]]</f>
        <v>D:\OneDrive - apollo-towers.com\Apollo Towers\00-Process &amp; Database\Documentation\Colo Applications\Colo App MPT\AYYN_0251 (YGN01769) Application.xlsx</v>
      </c>
      <c r="BJ413" s="104"/>
      <c r="BK413" s="3"/>
      <c r="BL413" s="3"/>
      <c r="CJ413" s="5"/>
      <c r="CK413" s="5"/>
      <c r="CL413" s="3"/>
      <c r="CN413" s="5"/>
      <c r="CR413" s="3"/>
      <c r="CS413" s="3"/>
      <c r="CT413" s="5"/>
      <c r="CV413" s="3"/>
      <c r="DR413" s="5"/>
      <c r="DT413" s="3"/>
      <c r="EF413" s="7"/>
      <c r="EG413" s="7"/>
      <c r="EJ413" s="4"/>
      <c r="EK413" s="4"/>
      <c r="EU413" s="2"/>
      <c r="EV413" s="2"/>
    </row>
    <row r="414" spans="1:152">
      <c r="A414" s="287">
        <v>26</v>
      </c>
      <c r="B414" s="288" t="s">
        <v>176</v>
      </c>
      <c r="C414" s="288" t="s">
        <v>116</v>
      </c>
      <c r="D414" s="288" t="s">
        <v>153</v>
      </c>
      <c r="E414" s="288" t="s">
        <v>196</v>
      </c>
      <c r="F414" s="288" t="s">
        <v>35</v>
      </c>
      <c r="G414" s="288" t="s">
        <v>1287</v>
      </c>
      <c r="H414" s="288" t="s">
        <v>1285</v>
      </c>
      <c r="I414" s="288" t="s">
        <v>118</v>
      </c>
      <c r="J414" s="288"/>
      <c r="K414" s="289">
        <v>43172</v>
      </c>
      <c r="L414" s="290"/>
      <c r="M414" s="290"/>
      <c r="N414" s="288"/>
      <c r="O414" s="288" t="s">
        <v>119</v>
      </c>
      <c r="P414" s="291"/>
      <c r="Q414" s="291"/>
      <c r="R414" s="288" t="s">
        <v>24</v>
      </c>
      <c r="S414" s="288"/>
      <c r="T414" s="292" t="s">
        <v>120</v>
      </c>
      <c r="U414" s="288" t="s">
        <v>121</v>
      </c>
      <c r="V414" s="292" t="s">
        <v>120</v>
      </c>
      <c r="W414" s="288"/>
      <c r="X414" s="292" t="s">
        <v>120</v>
      </c>
      <c r="Y414" s="288"/>
      <c r="Z414" s="293" t="s">
        <v>120</v>
      </c>
      <c r="AA414" s="294"/>
      <c r="AB414" s="294"/>
      <c r="AC414" s="295"/>
      <c r="AD414" s="288" t="s">
        <v>197</v>
      </c>
      <c r="AE414" s="292" t="s">
        <v>120</v>
      </c>
      <c r="AF414" s="289"/>
      <c r="AG414" s="296"/>
      <c r="AH414" s="296"/>
      <c r="AI414" s="288" t="s">
        <v>179</v>
      </c>
      <c r="AJ414" s="292" t="s">
        <v>120</v>
      </c>
      <c r="AK414" s="288" t="s">
        <v>123</v>
      </c>
      <c r="AL414" s="288"/>
      <c r="AM414" s="292"/>
      <c r="AN414" s="288"/>
      <c r="AO414" s="288"/>
      <c r="AP414" s="297"/>
      <c r="AQ414" s="288"/>
      <c r="AR414" s="292"/>
      <c r="AS414" s="288"/>
      <c r="AT414" s="289"/>
      <c r="AU414" s="289">
        <v>43453.378914351902</v>
      </c>
      <c r="AV414" s="289"/>
      <c r="AW414" s="289"/>
      <c r="AX414" s="289"/>
      <c r="AY414" s="289"/>
      <c r="AZ414" s="298">
        <v>43172</v>
      </c>
      <c r="BA414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4" s="300">
        <f>COUNTIFS(_05preva_view43[Site ID],_05preva_view43[[#This Row],[Site ID]],_05preva_view43[Prevalidation Status],"Under Prevalidation")</f>
        <v>0</v>
      </c>
      <c r="BC414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4" s="302" t="str">
        <f>CONCATENATE(_05preva_view43[[#This Row],[Site ID]]," (",_05preva_view43[[#This Row],[tenant id]],") Application",IF(_05preva_view43[[#This Row],[Colo Rev]]&gt;0," Rev "&amp;_05preva_view43[[#This Row],[Colo Rev]],""),".xlsx")</f>
        <v>AYYN_0583 (YGN02364) Application.xlsx</v>
      </c>
      <c r="BE414" s="64">
        <f t="shared" ca="1" si="8"/>
        <v>50</v>
      </c>
      <c r="BF414" s="104" t="str">
        <f ca="1">LEFT(CELL("filename",A399),_05preva_view43[[#This Row],[Find Process &amp; Database]]-1)</f>
        <v>D:\OneDrive - apollo-towers.com\Apollo Towers\00-</v>
      </c>
      <c r="BG414" s="104" t="str">
        <f ca="1">_05preva_view43[Folder Path1]&amp;"Process &amp; Database\Documentation\Colo Applications"</f>
        <v>D:\OneDrive - apollo-towers.com\Apollo Towers\00-Process &amp; Database\Documentation\Colo Applications</v>
      </c>
      <c r="BH414" s="104" t="str">
        <f ca="1">_05preva_view43[Folder Path2]&amp;"\Colo App "&amp;_05preva_view43[[#This Row],[Operator]]&amp;"\"</f>
        <v>D:\OneDrive - apollo-towers.com\Apollo Towers\00-Process &amp; Database\Documentation\Colo Applications\Colo App MPT\</v>
      </c>
      <c r="BI414" s="63" t="str">
        <f ca="1">_05preva_view43[[#This Row],[Folder Path3]]&amp;_05preva_view43[[#This Row],[File Name]]</f>
        <v>D:\OneDrive - apollo-towers.com\Apollo Towers\00-Process &amp; Database\Documentation\Colo Applications\Colo App MPT\AYYN_0583 (YGN02364) Application.xlsx</v>
      </c>
      <c r="BJ414" s="104"/>
      <c r="BK414" s="3"/>
      <c r="BL414" s="3"/>
      <c r="CJ414" s="5"/>
      <c r="CK414" s="5"/>
      <c r="CL414" s="3"/>
      <c r="CN414" s="5"/>
      <c r="CR414" s="3"/>
      <c r="CS414" s="3"/>
      <c r="CT414" s="5"/>
      <c r="CV414" s="3"/>
      <c r="DR414" s="5"/>
      <c r="DT414" s="3"/>
      <c r="EF414" s="7"/>
      <c r="EG414" s="7"/>
      <c r="EJ414" s="4"/>
      <c r="EK414" s="4"/>
      <c r="EU414" s="2"/>
      <c r="EV414" s="2"/>
    </row>
    <row r="415" spans="1:152">
      <c r="A415" s="287">
        <v>27</v>
      </c>
      <c r="B415" s="288" t="s">
        <v>198</v>
      </c>
      <c r="C415" s="288" t="s">
        <v>116</v>
      </c>
      <c r="D415" s="288" t="s">
        <v>127</v>
      </c>
      <c r="E415" s="288" t="s">
        <v>199</v>
      </c>
      <c r="F415" s="288" t="s">
        <v>40</v>
      </c>
      <c r="G415" s="288" t="s">
        <v>1288</v>
      </c>
      <c r="H415" s="288" t="s">
        <v>1285</v>
      </c>
      <c r="I415" s="288" t="s">
        <v>118</v>
      </c>
      <c r="J415" s="288"/>
      <c r="K415" s="289">
        <v>43172</v>
      </c>
      <c r="L415" s="290"/>
      <c r="M415" s="290"/>
      <c r="N415" s="288"/>
      <c r="O415" s="288" t="s">
        <v>119</v>
      </c>
      <c r="P415" s="291"/>
      <c r="Q415" s="291"/>
      <c r="R415" s="288" t="s">
        <v>24</v>
      </c>
      <c r="S415" s="288"/>
      <c r="T415" s="292" t="s">
        <v>120</v>
      </c>
      <c r="U415" s="288" t="s">
        <v>121</v>
      </c>
      <c r="V415" s="292" t="s">
        <v>120</v>
      </c>
      <c r="W415" s="288"/>
      <c r="X415" s="292" t="s">
        <v>120</v>
      </c>
      <c r="Y415" s="288"/>
      <c r="Z415" s="293" t="s">
        <v>120</v>
      </c>
      <c r="AA415" s="294"/>
      <c r="AB415" s="294"/>
      <c r="AC415" s="295"/>
      <c r="AD415" s="288"/>
      <c r="AE415" s="292" t="s">
        <v>120</v>
      </c>
      <c r="AF415" s="289"/>
      <c r="AG415" s="296"/>
      <c r="AH415" s="296"/>
      <c r="AI415" s="288" t="s">
        <v>201</v>
      </c>
      <c r="AJ415" s="292" t="s">
        <v>120</v>
      </c>
      <c r="AK415" s="288"/>
      <c r="AL415" s="288" t="s">
        <v>200</v>
      </c>
      <c r="AM415" s="292"/>
      <c r="AN415" s="288"/>
      <c r="AO415" s="288"/>
      <c r="AP415" s="297"/>
      <c r="AQ415" s="288"/>
      <c r="AR415" s="292"/>
      <c r="AS415" s="288"/>
      <c r="AT415" s="289"/>
      <c r="AU415" s="289">
        <v>43453.3789159722</v>
      </c>
      <c r="AV415" s="289"/>
      <c r="AW415" s="289"/>
      <c r="AX415" s="289"/>
      <c r="AY415" s="289"/>
      <c r="AZ415" s="298">
        <v>43172</v>
      </c>
      <c r="BA415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5" s="300">
        <f>COUNTIFS(_05preva_view43[Site ID],_05preva_view43[[#This Row],[Site ID]],_05preva_view43[Prevalidation Status],"Under Prevalidation")</f>
        <v>0</v>
      </c>
      <c r="BC415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5" s="302" t="str">
        <f>CONCATENATE(_05preva_view43[[#This Row],[Site ID]]," (",_05preva_view43[[#This Row],[tenant id]],") Application",IF(_05preva_view43[[#This Row],[Colo Rev]]&gt;0," Rev "&amp;_05preva_view43[[#This Row],[Colo Rev]],""),".xlsx")</f>
        <v>ANMD_0224 (MAW2259) Application.xlsx</v>
      </c>
      <c r="BE415" s="64">
        <f t="shared" ca="1" si="8"/>
        <v>50</v>
      </c>
      <c r="BF415" s="104" t="str">
        <f ca="1">LEFT(CELL("filename",A400),_05preva_view43[[#This Row],[Find Process &amp; Database]]-1)</f>
        <v>D:\OneDrive - apollo-towers.com\Apollo Towers\00-</v>
      </c>
      <c r="BG415" s="104" t="str">
        <f ca="1">_05preva_view43[Folder Path1]&amp;"Process &amp; Database\Documentation\Colo Applications"</f>
        <v>D:\OneDrive - apollo-towers.com\Apollo Towers\00-Process &amp; Database\Documentation\Colo Applications</v>
      </c>
      <c r="BH415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5" s="63" t="str">
        <f ca="1">_05preva_view43[[#This Row],[Folder Path3]]&amp;_05preva_view43[[#This Row],[File Name]]</f>
        <v>D:\OneDrive - apollo-towers.com\Apollo Towers\00-Process &amp; Database\Documentation\Colo Applications\Colo App OML\ANMD_0224 (MAW2259) Application.xlsx</v>
      </c>
      <c r="BJ415" s="104"/>
      <c r="BK415" s="3"/>
      <c r="BL415" s="3"/>
      <c r="CJ415" s="5"/>
      <c r="CK415" s="5"/>
      <c r="CL415" s="3"/>
      <c r="CN415" s="5"/>
      <c r="CR415" s="3"/>
      <c r="CS415" s="3"/>
      <c r="CT415" s="5"/>
      <c r="CV415" s="3"/>
      <c r="DR415" s="5"/>
      <c r="DT415" s="3"/>
      <c r="EF415" s="7"/>
      <c r="EG415" s="7"/>
      <c r="EJ415" s="4"/>
      <c r="EK415" s="4"/>
      <c r="EU415" s="2"/>
      <c r="EV415" s="2"/>
    </row>
    <row r="416" spans="1:152">
      <c r="A416" s="287">
        <v>28</v>
      </c>
      <c r="B416" s="288" t="s">
        <v>202</v>
      </c>
      <c r="C416" s="288" t="s">
        <v>116</v>
      </c>
      <c r="D416" s="288" t="s">
        <v>153</v>
      </c>
      <c r="E416" s="288" t="s">
        <v>203</v>
      </c>
      <c r="F416" s="288" t="s">
        <v>40</v>
      </c>
      <c r="G416" s="288" t="s">
        <v>1288</v>
      </c>
      <c r="H416" s="288" t="s">
        <v>1285</v>
      </c>
      <c r="I416" s="288" t="s">
        <v>118</v>
      </c>
      <c r="J416" s="288"/>
      <c r="K416" s="289">
        <v>43172</v>
      </c>
      <c r="L416" s="290"/>
      <c r="M416" s="290"/>
      <c r="N416" s="288"/>
      <c r="O416" s="288" t="s">
        <v>119</v>
      </c>
      <c r="P416" s="291"/>
      <c r="Q416" s="291"/>
      <c r="R416" s="288" t="s">
        <v>24</v>
      </c>
      <c r="S416" s="288"/>
      <c r="T416" s="292" t="s">
        <v>120</v>
      </c>
      <c r="U416" s="288" t="s">
        <v>121</v>
      </c>
      <c r="V416" s="292" t="s">
        <v>120</v>
      </c>
      <c r="W416" s="288"/>
      <c r="X416" s="292" t="s">
        <v>120</v>
      </c>
      <c r="Y416" s="288"/>
      <c r="Z416" s="293" t="s">
        <v>120</v>
      </c>
      <c r="AA416" s="294"/>
      <c r="AB416" s="294"/>
      <c r="AC416" s="295"/>
      <c r="AD416" s="288"/>
      <c r="AE416" s="292" t="s">
        <v>120</v>
      </c>
      <c r="AF416" s="289"/>
      <c r="AG416" s="296"/>
      <c r="AH416" s="296"/>
      <c r="AI416" s="288" t="s">
        <v>204</v>
      </c>
      <c r="AJ416" s="292" t="s">
        <v>120</v>
      </c>
      <c r="AK416" s="288" t="s">
        <v>123</v>
      </c>
      <c r="AL416" s="288"/>
      <c r="AM416" s="292"/>
      <c r="AN416" s="288"/>
      <c r="AO416" s="288"/>
      <c r="AP416" s="297"/>
      <c r="AQ416" s="288"/>
      <c r="AR416" s="292"/>
      <c r="AS416" s="288"/>
      <c r="AT416" s="289"/>
      <c r="AU416" s="289">
        <v>43453.378916898102</v>
      </c>
      <c r="AV416" s="289"/>
      <c r="AW416" s="289"/>
      <c r="AX416" s="289"/>
      <c r="AY416" s="289"/>
      <c r="AZ416" s="298">
        <v>43172</v>
      </c>
      <c r="BA416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6" s="300">
        <f>COUNTIFS(_05preva_view43[Site ID],_05preva_view43[[#This Row],[Site ID]],_05preva_view43[Prevalidation Status],"Under Prevalidation")</f>
        <v>0</v>
      </c>
      <c r="BC416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6" s="302" t="str">
        <f>CONCATENATE(_05preva_view43[[#This Row],[Site ID]]," (",_05preva_view43[[#This Row],[tenant id]],") Application",IF(_05preva_view43[[#This Row],[Colo Rev]]&gt;0," Rev "&amp;_05preva_view43[[#This Row],[Colo Rev]],""),".xlsx")</f>
        <v>ASMO_0163 (MOW6065) Application.xlsx</v>
      </c>
      <c r="BE416" s="64">
        <f t="shared" ca="1" si="8"/>
        <v>50</v>
      </c>
      <c r="BF416" s="104" t="str">
        <f ca="1">LEFT(CELL("filename",A401),_05preva_view43[[#This Row],[Find Process &amp; Database]]-1)</f>
        <v>D:\OneDrive - apollo-towers.com\Apollo Towers\00-</v>
      </c>
      <c r="BG416" s="104" t="str">
        <f ca="1">_05preva_view43[Folder Path1]&amp;"Process &amp; Database\Documentation\Colo Applications"</f>
        <v>D:\OneDrive - apollo-towers.com\Apollo Towers\00-Process &amp; Database\Documentation\Colo Applications</v>
      </c>
      <c r="BH416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6" s="63" t="str">
        <f ca="1">_05preva_view43[[#This Row],[Folder Path3]]&amp;_05preva_view43[[#This Row],[File Name]]</f>
        <v>D:\OneDrive - apollo-towers.com\Apollo Towers\00-Process &amp; Database\Documentation\Colo Applications\Colo App OML\ASMO_0163 (MOW6065) Application.xlsx</v>
      </c>
      <c r="BJ416" s="104"/>
      <c r="BK416" s="3"/>
      <c r="BL416" s="3"/>
      <c r="CJ416" s="5"/>
      <c r="CK416" s="5"/>
      <c r="CL416" s="3"/>
      <c r="CN416" s="5"/>
      <c r="CR416" s="3"/>
      <c r="CS416" s="3"/>
      <c r="CT416" s="5"/>
      <c r="CV416" s="3"/>
      <c r="DR416" s="5"/>
      <c r="DT416" s="3"/>
      <c r="EF416" s="7"/>
      <c r="EG416" s="7"/>
      <c r="EJ416" s="4"/>
      <c r="EK416" s="4"/>
      <c r="EU416" s="2"/>
      <c r="EV416" s="2"/>
    </row>
    <row r="417" spans="1:152">
      <c r="A417" s="287">
        <v>30</v>
      </c>
      <c r="B417" s="288" t="s">
        <v>209</v>
      </c>
      <c r="C417" s="288" t="s">
        <v>116</v>
      </c>
      <c r="D417" s="288" t="s">
        <v>153</v>
      </c>
      <c r="E417" s="288" t="s">
        <v>210</v>
      </c>
      <c r="F417" s="288" t="s">
        <v>40</v>
      </c>
      <c r="G417" s="288" t="s">
        <v>118</v>
      </c>
      <c r="H417" s="288"/>
      <c r="I417" s="288" t="s">
        <v>118</v>
      </c>
      <c r="J417" s="288"/>
      <c r="K417" s="289">
        <v>43172</v>
      </c>
      <c r="L417" s="290"/>
      <c r="M417" s="290"/>
      <c r="N417" s="288"/>
      <c r="O417" s="288" t="s">
        <v>119</v>
      </c>
      <c r="P417" s="291"/>
      <c r="Q417" s="291"/>
      <c r="R417" s="288" t="s">
        <v>24</v>
      </c>
      <c r="S417" s="288"/>
      <c r="T417" s="292" t="s">
        <v>120</v>
      </c>
      <c r="U417" s="288" t="s">
        <v>121</v>
      </c>
      <c r="V417" s="292" t="s">
        <v>125</v>
      </c>
      <c r="W417" s="288" t="s">
        <v>212</v>
      </c>
      <c r="X417" s="292" t="s">
        <v>120</v>
      </c>
      <c r="Y417" s="288"/>
      <c r="Z417" s="293" t="s">
        <v>125</v>
      </c>
      <c r="AA417" s="294"/>
      <c r="AB417" s="294"/>
      <c r="AC417" s="295"/>
      <c r="AD417" s="288" t="s">
        <v>205</v>
      </c>
      <c r="AE417" s="292" t="s">
        <v>125</v>
      </c>
      <c r="AF417" s="289"/>
      <c r="AG417" s="296"/>
      <c r="AH417" s="296"/>
      <c r="AI417" s="288" t="s">
        <v>211</v>
      </c>
      <c r="AJ417" s="292" t="s">
        <v>120</v>
      </c>
      <c r="AK417" s="288" t="s">
        <v>123</v>
      </c>
      <c r="AL417" s="288"/>
      <c r="AM417" s="292"/>
      <c r="AN417" s="288"/>
      <c r="AO417" s="288"/>
      <c r="AP417" s="297"/>
      <c r="AQ417" s="288"/>
      <c r="AR417" s="292"/>
      <c r="AS417" s="288"/>
      <c r="AT417" s="289"/>
      <c r="AU417" s="289"/>
      <c r="AV417" s="289"/>
      <c r="AW417" s="289"/>
      <c r="AX417" s="289"/>
      <c r="AY417" s="289"/>
      <c r="AZ417" s="298"/>
      <c r="BA417" s="299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7" s="300">
        <f>COUNTIFS(_05preva_view43[Site ID],_05preva_view43[[#This Row],[Site ID]],_05preva_view43[Prevalidation Status],"Under Prevalidation")</f>
        <v>0</v>
      </c>
      <c r="BC417" s="301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7" s="302" t="str">
        <f>CONCATENATE(_05preva_view43[[#This Row],[Site ID]]," (",_05preva_view43[[#This Row],[tenant id]],") Application",IF(_05preva_view43[[#This Row],[Colo Rev]]&gt;0," Rev "&amp;_05preva_view43[[#This Row],[Colo Rev]],""),".xlsx")</f>
        <v>AYYN_0611 (YAW4436) Application.xlsx</v>
      </c>
      <c r="BE417" s="64">
        <f t="shared" ca="1" si="8"/>
        <v>50</v>
      </c>
      <c r="BF417" s="104" t="str">
        <f ca="1">LEFT(CELL("filename",A402),_05preva_view43[[#This Row],[Find Process &amp; Database]]-1)</f>
        <v>D:\OneDrive - apollo-towers.com\Apollo Towers\00-</v>
      </c>
      <c r="BG417" s="104" t="str">
        <f ca="1">_05preva_view43[Folder Path1]&amp;"Process &amp; Database\Documentation\Colo Applications"</f>
        <v>D:\OneDrive - apollo-towers.com\Apollo Towers\00-Process &amp; Database\Documentation\Colo Applications</v>
      </c>
      <c r="BH417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7" s="63" t="str">
        <f ca="1">_05preva_view43[[#This Row],[Folder Path3]]&amp;_05preva_view43[[#This Row],[File Name]]</f>
        <v>D:\OneDrive - apollo-towers.com\Apollo Towers\00-Process &amp; Database\Documentation\Colo Applications\Colo App OML\AYYN_0611 (YAW4436) Application.xlsx</v>
      </c>
      <c r="BJ417" s="104"/>
      <c r="BK417" s="3"/>
      <c r="BL417" s="3"/>
      <c r="CJ417" s="5"/>
      <c r="CK417" s="5"/>
      <c r="CL417" s="3"/>
      <c r="CN417" s="5"/>
      <c r="CR417" s="3"/>
      <c r="CS417" s="3"/>
      <c r="CT417" s="5"/>
      <c r="CV417" s="3"/>
      <c r="DR417" s="5"/>
      <c r="DT417" s="3"/>
      <c r="EF417" s="7"/>
      <c r="EG417" s="7"/>
      <c r="EJ417" s="4"/>
      <c r="EK417" s="4"/>
      <c r="EU417" s="2"/>
      <c r="EV417" s="2"/>
    </row>
    <row r="418" spans="1:152">
      <c r="A418" s="303">
        <v>32</v>
      </c>
      <c r="B418" s="304" t="s">
        <v>214</v>
      </c>
      <c r="C418" s="304" t="s">
        <v>116</v>
      </c>
      <c r="D418" s="304" t="s">
        <v>127</v>
      </c>
      <c r="E418" s="304" t="s">
        <v>215</v>
      </c>
      <c r="F418" s="304" t="s">
        <v>40</v>
      </c>
      <c r="G418" s="304" t="s">
        <v>1288</v>
      </c>
      <c r="H418" s="304" t="s">
        <v>1285</v>
      </c>
      <c r="I418" s="304" t="s">
        <v>118</v>
      </c>
      <c r="J418" s="304"/>
      <c r="K418" s="305">
        <v>43172</v>
      </c>
      <c r="L418" s="306"/>
      <c r="M418" s="306"/>
      <c r="N418" s="304"/>
      <c r="O418" s="304" t="s">
        <v>119</v>
      </c>
      <c r="P418" s="307"/>
      <c r="Q418" s="307"/>
      <c r="R418" s="304" t="s">
        <v>24</v>
      </c>
      <c r="S418" s="304"/>
      <c r="T418" s="308" t="s">
        <v>120</v>
      </c>
      <c r="U418" s="304" t="s">
        <v>121</v>
      </c>
      <c r="V418" s="308" t="s">
        <v>120</v>
      </c>
      <c r="W418" s="304"/>
      <c r="X418" s="308" t="s">
        <v>120</v>
      </c>
      <c r="Y418" s="304"/>
      <c r="Z418" s="309" t="s">
        <v>120</v>
      </c>
      <c r="AA418" s="310"/>
      <c r="AB418" s="310"/>
      <c r="AC418" s="311"/>
      <c r="AD418" s="304" t="s">
        <v>216</v>
      </c>
      <c r="AE418" s="308" t="s">
        <v>120</v>
      </c>
      <c r="AF418" s="305"/>
      <c r="AG418" s="312"/>
      <c r="AH418" s="312"/>
      <c r="AI418" s="304" t="s">
        <v>217</v>
      </c>
      <c r="AJ418" s="308" t="s">
        <v>120</v>
      </c>
      <c r="AK418" s="304" t="s">
        <v>123</v>
      </c>
      <c r="AL418" s="304"/>
      <c r="AM418" s="308"/>
      <c r="AN418" s="304"/>
      <c r="AO418" s="304"/>
      <c r="AP418" s="313"/>
      <c r="AQ418" s="304"/>
      <c r="AR418" s="308"/>
      <c r="AS418" s="304"/>
      <c r="AT418" s="305"/>
      <c r="AU418" s="305">
        <v>43453.378922338001</v>
      </c>
      <c r="AV418" s="305"/>
      <c r="AW418" s="305"/>
      <c r="AX418" s="305"/>
      <c r="AY418" s="305"/>
      <c r="AZ418" s="314">
        <v>43172</v>
      </c>
      <c r="BA418" s="315" t="str">
        <f ca="1">IF(_05preva_view43[[#This Row],[Prevalidation Status]]="Under Prevalidation",NOW()-_05preva_view43[[#This Row],[Request Date]],IF(_05preva_view43[[#This Row],[Close Date]]&gt;_05preva_view43[[#This Row],[Request Date]],_05preva_view43[[#This Row],[Close Date]]-_05preva_view43[[#This Row],[Request Date]],"Not  Calculated"))</f>
        <v>Not  Calculated</v>
      </c>
      <c r="BB418" s="316">
        <f>COUNTIFS(_05preva_view43[Site ID],_05preva_view43[[#This Row],[Site ID]],_05preva_view43[Prevalidation Status],"Under Prevalidation")</f>
        <v>0</v>
      </c>
      <c r="BC418" s="317" t="str">
        <f ca="1">HYPERLINK(CheckPath(_05preva_view43[[#This Row],[File Path]],_05preva_view43[[#This Row],[File Path]],_05preva_view43[[#This Row],[Folder Path3]]),CheckPath(_05preva_view43[[#This Row],[File Path]],"Open File","No File"))</f>
        <v>No File</v>
      </c>
      <c r="BD418" s="318" t="str">
        <f>CONCATENATE(_05preva_view43[[#This Row],[Site ID]]," (",_05preva_view43[[#This Row],[tenant id]],") Application",IF(_05preva_view43[[#This Row],[Colo Rev]]&gt;0," Rev "&amp;_05preva_view43[[#This Row],[Colo Rev]],""),".xlsx")</f>
        <v>ANSG_0380 (SAW0729) Application.xlsx</v>
      </c>
      <c r="BE418" s="64">
        <f t="shared" ca="1" si="8"/>
        <v>50</v>
      </c>
      <c r="BF418" s="104" t="str">
        <f ca="1">LEFT(CELL("filename",A403),_05preva_view43[[#This Row],[Find Process &amp; Database]]-1)</f>
        <v>D:\OneDrive - apollo-towers.com\Apollo Towers\00-</v>
      </c>
      <c r="BG418" s="104" t="str">
        <f ca="1">_05preva_view43[Folder Path1]&amp;"Process &amp; Database\Documentation\Colo Applications"</f>
        <v>D:\OneDrive - apollo-towers.com\Apollo Towers\00-Process &amp; Database\Documentation\Colo Applications</v>
      </c>
      <c r="BH418" s="104" t="str">
        <f ca="1">_05preva_view43[Folder Path2]&amp;"\Colo App "&amp;_05preva_view43[[#This Row],[Operator]]&amp;"\"</f>
        <v>D:\OneDrive - apollo-towers.com\Apollo Towers\00-Process &amp; Database\Documentation\Colo Applications\Colo App OML\</v>
      </c>
      <c r="BI418" s="63" t="str">
        <f ca="1">_05preva_view43[[#This Row],[Folder Path3]]&amp;_05preva_view43[[#This Row],[File Name]]</f>
        <v>D:\OneDrive - apollo-towers.com\Apollo Towers\00-Process &amp; Database\Documentation\Colo Applications\Colo App OML\ANSG_0380 (SAW0729) Application.xlsx</v>
      </c>
      <c r="BJ418" s="104"/>
      <c r="BK418" s="3"/>
      <c r="BL418" s="3"/>
      <c r="CJ418" s="5"/>
      <c r="CK418" s="5"/>
      <c r="CL418" s="3"/>
      <c r="CN418" s="5"/>
      <c r="CR418" s="3"/>
      <c r="CS418" s="3"/>
      <c r="CT418" s="5"/>
      <c r="CV418" s="3"/>
      <c r="DR418" s="5"/>
      <c r="DT418" s="3"/>
      <c r="EF418" s="7"/>
      <c r="EG418" s="7"/>
      <c r="EJ418" s="4"/>
      <c r="EK418" s="4"/>
      <c r="EU418" s="2"/>
      <c r="EV418" s="2"/>
    </row>
    <row r="419" spans="1:152">
      <c r="BK419" s="3"/>
      <c r="BL419" s="3"/>
      <c r="CJ419" s="5"/>
      <c r="CK419" s="5"/>
      <c r="CL419" s="3"/>
      <c r="CN419" s="5"/>
      <c r="CR419" s="3"/>
      <c r="CS419" s="3"/>
      <c r="CT419" s="5"/>
      <c r="CV419" s="3"/>
      <c r="DR419" s="5"/>
      <c r="DT419" s="3"/>
      <c r="EF419" s="7"/>
      <c r="EG419" s="7"/>
      <c r="EJ419" s="4"/>
      <c r="EK419" s="4"/>
      <c r="EU419" s="2"/>
      <c r="EV419" s="2"/>
    </row>
    <row r="420" spans="1:152">
      <c r="BK420" s="3"/>
      <c r="BL420" s="3"/>
      <c r="CJ420" s="5"/>
      <c r="CK420" s="5"/>
      <c r="CL420" s="3"/>
      <c r="CN420" s="5"/>
      <c r="CR420" s="3"/>
      <c r="CS420" s="3"/>
      <c r="CT420" s="5"/>
      <c r="CV420" s="3"/>
      <c r="DR420" s="5"/>
      <c r="DT420" s="3"/>
      <c r="EF420" s="7"/>
      <c r="EG420" s="7"/>
      <c r="EJ420" s="4"/>
      <c r="EK420" s="4"/>
      <c r="EU420" s="2"/>
      <c r="EV420" s="2"/>
    </row>
    <row r="421" spans="1:152">
      <c r="BK421" s="3"/>
      <c r="BL421" s="3"/>
      <c r="CJ421" s="5"/>
      <c r="CK421" s="5"/>
      <c r="CL421" s="3"/>
      <c r="CN421" s="5"/>
      <c r="CR421" s="3"/>
      <c r="CS421" s="3"/>
      <c r="CT421" s="5"/>
      <c r="CV421" s="3"/>
      <c r="DR421" s="5"/>
      <c r="DT421" s="3"/>
      <c r="EF421" s="7"/>
      <c r="EG421" s="7"/>
      <c r="EJ421" s="4"/>
      <c r="EK421" s="4"/>
      <c r="EU421" s="2"/>
      <c r="EV421" s="2"/>
    </row>
    <row r="422" spans="1:152">
      <c r="BK422" s="3"/>
      <c r="BL422" s="3"/>
      <c r="CJ422" s="5"/>
      <c r="CK422" s="5"/>
      <c r="CL422" s="3"/>
      <c r="CN422" s="5"/>
      <c r="CR422" s="3"/>
      <c r="CS422" s="3"/>
      <c r="CT422" s="5"/>
      <c r="CV422" s="3"/>
      <c r="DR422" s="5"/>
      <c r="DT422" s="3"/>
      <c r="EF422" s="7"/>
      <c r="EG422" s="7"/>
      <c r="EJ422" s="4"/>
      <c r="EK422" s="4"/>
      <c r="EU422" s="2"/>
      <c r="EV422" s="2"/>
    </row>
    <row r="423" spans="1:152">
      <c r="BK423" s="3"/>
      <c r="BL423" s="3"/>
      <c r="CJ423" s="5"/>
      <c r="CK423" s="5"/>
      <c r="CL423" s="3"/>
      <c r="CN423" s="5"/>
      <c r="CR423" s="3"/>
      <c r="CS423" s="3"/>
      <c r="CT423" s="5"/>
      <c r="CV423" s="3"/>
      <c r="DR423" s="5"/>
      <c r="DT423" s="3"/>
      <c r="EF423" s="7"/>
      <c r="EG423" s="7"/>
      <c r="EJ423" s="4"/>
      <c r="EK423" s="4"/>
      <c r="EU423" s="2"/>
      <c r="EV423" s="2"/>
    </row>
    <row r="424" spans="1:152">
      <c r="BK424" s="3"/>
      <c r="BL424" s="3"/>
      <c r="CJ424" s="5"/>
      <c r="CK424" s="5"/>
      <c r="CL424" s="3"/>
      <c r="CN424" s="5"/>
      <c r="CR424" s="3"/>
      <c r="CS424" s="3"/>
      <c r="CT424" s="5"/>
      <c r="CV424" s="3"/>
      <c r="DR424" s="5"/>
      <c r="DT424" s="3"/>
      <c r="EF424" s="7"/>
      <c r="EG424" s="7"/>
      <c r="EJ424" s="4"/>
      <c r="EK424" s="4"/>
      <c r="EU424" s="2"/>
      <c r="EV424" s="2"/>
    </row>
    <row r="425" spans="1:152">
      <c r="BK425" s="3"/>
      <c r="BL425" s="3"/>
      <c r="CJ425" s="5"/>
      <c r="CK425" s="5"/>
      <c r="CL425" s="3"/>
      <c r="CN425" s="5"/>
      <c r="CR425" s="3"/>
      <c r="CS425" s="3"/>
      <c r="CT425" s="5"/>
      <c r="CV425" s="3"/>
      <c r="DR425" s="5"/>
      <c r="DT425" s="3"/>
      <c r="EF425" s="7"/>
      <c r="EG425" s="7"/>
      <c r="EJ425" s="4"/>
      <c r="EK425" s="4"/>
      <c r="EU425" s="2"/>
      <c r="EV425" s="2"/>
    </row>
    <row r="426" spans="1:152">
      <c r="BK426" s="3"/>
      <c r="BL426" s="3"/>
      <c r="CJ426" s="5"/>
      <c r="CK426" s="5"/>
      <c r="CL426" s="3"/>
      <c r="CN426" s="5"/>
      <c r="CR426" s="3"/>
      <c r="CS426" s="3"/>
      <c r="CT426" s="5"/>
      <c r="CV426" s="3"/>
      <c r="DR426" s="5"/>
      <c r="DT426" s="3"/>
      <c r="EF426" s="7"/>
      <c r="EG426" s="7"/>
      <c r="EJ426" s="4"/>
      <c r="EK426" s="4"/>
      <c r="EU426" s="2"/>
      <c r="EV426" s="2"/>
    </row>
    <row r="427" spans="1:152">
      <c r="BK427" s="3"/>
      <c r="BL427" s="3"/>
      <c r="CJ427" s="5"/>
      <c r="CK427" s="5"/>
      <c r="CL427" s="3"/>
      <c r="CN427" s="5"/>
      <c r="CR427" s="3"/>
      <c r="CS427" s="3"/>
      <c r="CT427" s="5"/>
      <c r="CV427" s="3"/>
      <c r="DR427" s="5"/>
      <c r="DT427" s="3"/>
      <c r="EF427" s="7"/>
      <c r="EG427" s="7"/>
      <c r="EJ427" s="4"/>
      <c r="EK427" s="4"/>
      <c r="EU427" s="2"/>
      <c r="EV427" s="2"/>
    </row>
    <row r="428" spans="1:152">
      <c r="BK428" s="3"/>
      <c r="BL428" s="3"/>
      <c r="CJ428" s="5"/>
      <c r="CK428" s="5"/>
      <c r="CL428" s="3"/>
      <c r="CN428" s="5"/>
      <c r="CR428" s="3"/>
      <c r="CS428" s="3"/>
      <c r="CT428" s="5"/>
      <c r="CV428" s="3"/>
      <c r="DR428" s="5"/>
      <c r="DT428" s="3"/>
      <c r="EF428" s="7"/>
      <c r="EG428" s="7"/>
      <c r="EJ428" s="4"/>
      <c r="EK428" s="4"/>
      <c r="EU428" s="2"/>
      <c r="EV428" s="2"/>
    </row>
    <row r="429" spans="1:152">
      <c r="BK429" s="3"/>
      <c r="BL429" s="3"/>
      <c r="CJ429" s="5"/>
      <c r="CK429" s="5"/>
      <c r="CL429" s="3"/>
      <c r="CN429" s="5"/>
      <c r="CR429" s="3"/>
      <c r="CS429" s="3"/>
      <c r="CT429" s="5"/>
      <c r="CV429" s="3"/>
      <c r="DR429" s="5"/>
      <c r="DT429" s="3"/>
      <c r="EF429" s="7"/>
      <c r="EG429" s="7"/>
      <c r="EJ429" s="4"/>
      <c r="EK429" s="4"/>
      <c r="EU429" s="2"/>
      <c r="EV429" s="2"/>
    </row>
    <row r="430" spans="1:152">
      <c r="BK430" s="3"/>
      <c r="BL430" s="3"/>
      <c r="CJ430" s="5"/>
      <c r="CK430" s="5"/>
      <c r="CL430" s="3"/>
      <c r="CN430" s="5"/>
      <c r="CR430" s="3"/>
      <c r="CS430" s="3"/>
      <c r="CT430" s="5"/>
      <c r="CV430" s="3"/>
      <c r="DR430" s="5"/>
      <c r="DT430" s="3"/>
      <c r="EF430" s="7"/>
      <c r="EG430" s="7"/>
      <c r="EJ430" s="4"/>
      <c r="EK430" s="4"/>
      <c r="EU430" s="2"/>
      <c r="EV430" s="2"/>
    </row>
    <row r="431" spans="1:152">
      <c r="BK431" s="3"/>
      <c r="BL431" s="3"/>
      <c r="CJ431" s="5"/>
      <c r="CK431" s="5"/>
      <c r="CL431" s="3"/>
      <c r="CN431" s="5"/>
      <c r="CR431" s="3"/>
      <c r="CS431" s="3"/>
      <c r="CT431" s="5"/>
      <c r="CV431" s="3"/>
      <c r="DR431" s="5"/>
      <c r="DT431" s="3"/>
      <c r="EF431" s="7"/>
      <c r="EG431" s="7"/>
      <c r="EJ431" s="4"/>
      <c r="EK431" s="4"/>
      <c r="EU431" s="2"/>
      <c r="EV431" s="2"/>
    </row>
    <row r="432" spans="1:152">
      <c r="BK432" s="3"/>
      <c r="BL432" s="3"/>
      <c r="CJ432" s="5"/>
      <c r="CK432" s="5"/>
      <c r="CL432" s="3"/>
      <c r="CN432" s="5"/>
      <c r="CR432" s="3"/>
      <c r="CS432" s="3"/>
      <c r="CT432" s="5"/>
      <c r="CV432" s="3"/>
      <c r="DR432" s="5"/>
      <c r="DT432" s="3"/>
      <c r="EF432" s="7"/>
      <c r="EG432" s="7"/>
      <c r="EJ432" s="4"/>
      <c r="EK432" s="4"/>
      <c r="EU432" s="2"/>
      <c r="EV432" s="2"/>
    </row>
    <row r="433" spans="63:152">
      <c r="BK433" s="3"/>
      <c r="BL433" s="3"/>
      <c r="CJ433" s="5"/>
      <c r="CK433" s="5"/>
      <c r="CL433" s="3"/>
      <c r="CN433" s="5"/>
      <c r="CR433" s="3"/>
      <c r="CS433" s="3"/>
      <c r="CT433" s="5"/>
      <c r="CV433" s="3"/>
      <c r="DR433" s="5"/>
      <c r="DT433" s="3"/>
      <c r="EF433" s="7"/>
      <c r="EG433" s="7"/>
      <c r="EJ433" s="4"/>
      <c r="EK433" s="4"/>
      <c r="EU433" s="2"/>
      <c r="EV433" s="2"/>
    </row>
    <row r="434" spans="63:152">
      <c r="BK434" s="3"/>
      <c r="BL434" s="3"/>
      <c r="CJ434" s="5"/>
      <c r="CK434" s="5"/>
      <c r="CL434" s="3"/>
      <c r="CN434" s="5"/>
      <c r="CR434" s="3"/>
      <c r="CS434" s="3"/>
      <c r="CT434" s="5"/>
      <c r="CV434" s="3"/>
      <c r="DR434" s="5"/>
      <c r="DT434" s="3"/>
      <c r="EF434" s="7"/>
      <c r="EG434" s="7"/>
      <c r="EJ434" s="4"/>
      <c r="EK434" s="4"/>
      <c r="EU434" s="2"/>
      <c r="EV434" s="2"/>
    </row>
    <row r="435" spans="63:152">
      <c r="BK435" s="3"/>
      <c r="BL435" s="3"/>
      <c r="CJ435" s="5"/>
      <c r="CK435" s="5"/>
      <c r="CL435" s="3"/>
      <c r="CN435" s="5"/>
      <c r="CR435" s="3"/>
      <c r="CS435" s="3"/>
      <c r="CT435" s="5"/>
      <c r="CV435" s="3"/>
      <c r="DR435" s="5"/>
      <c r="DT435" s="3"/>
      <c r="EF435" s="7"/>
      <c r="EG435" s="7"/>
      <c r="EJ435" s="4"/>
      <c r="EK435" s="4"/>
      <c r="EU435" s="2"/>
      <c r="EV435" s="2"/>
    </row>
    <row r="436" spans="63:152">
      <c r="BK436" s="3"/>
      <c r="BL436" s="3"/>
      <c r="CJ436" s="5"/>
      <c r="CK436" s="5"/>
      <c r="CL436" s="3"/>
      <c r="CN436" s="5"/>
      <c r="CR436" s="3"/>
      <c r="CS436" s="3"/>
      <c r="CT436" s="5"/>
      <c r="CV436" s="3"/>
      <c r="DR436" s="5"/>
      <c r="DT436" s="3"/>
      <c r="EF436" s="7"/>
      <c r="EG436" s="7"/>
      <c r="EJ436" s="4"/>
      <c r="EK436" s="4"/>
      <c r="EU436" s="2"/>
      <c r="EV436" s="2"/>
    </row>
    <row r="437" spans="63:152">
      <c r="BK437" s="3"/>
      <c r="BL437" s="3"/>
      <c r="CJ437" s="5"/>
      <c r="CK437" s="5"/>
      <c r="CL437" s="3"/>
      <c r="CN437" s="5"/>
      <c r="CR437" s="3"/>
      <c r="CS437" s="3"/>
      <c r="CT437" s="5"/>
      <c r="CV437" s="3"/>
      <c r="DR437" s="5"/>
      <c r="DT437" s="3"/>
      <c r="EF437" s="7"/>
      <c r="EG437" s="7"/>
      <c r="EJ437" s="4"/>
      <c r="EK437" s="4"/>
      <c r="EU437" s="2"/>
      <c r="EV437" s="2"/>
    </row>
    <row r="438" spans="63:152">
      <c r="BK438" s="3"/>
      <c r="BL438" s="3"/>
      <c r="CJ438" s="5"/>
      <c r="CK438" s="5"/>
      <c r="CL438" s="3"/>
      <c r="CN438" s="5"/>
      <c r="CR438" s="3"/>
      <c r="CS438" s="3"/>
      <c r="CT438" s="5"/>
      <c r="CV438" s="3"/>
      <c r="DR438" s="5"/>
      <c r="DT438" s="3"/>
      <c r="EF438" s="7"/>
      <c r="EG438" s="7"/>
      <c r="EJ438" s="4"/>
      <c r="EK438" s="4"/>
      <c r="EU438" s="2"/>
      <c r="EV438" s="2"/>
    </row>
    <row r="439" spans="63:152">
      <c r="BK439" s="3"/>
      <c r="BL439" s="3"/>
      <c r="CJ439" s="5"/>
      <c r="CK439" s="5"/>
      <c r="CL439" s="3"/>
      <c r="CN439" s="5"/>
      <c r="CR439" s="3"/>
      <c r="CS439" s="3"/>
      <c r="CT439" s="5"/>
      <c r="CV439" s="3"/>
      <c r="DR439" s="5"/>
      <c r="DT439" s="3"/>
      <c r="EF439" s="7"/>
      <c r="EG439" s="7"/>
      <c r="EJ439" s="4"/>
      <c r="EK439" s="4"/>
      <c r="EU439" s="2"/>
      <c r="EV439" s="2"/>
    </row>
    <row r="440" spans="63:152">
      <c r="BK440" s="3"/>
      <c r="BL440" s="3"/>
      <c r="CJ440" s="5"/>
      <c r="CK440" s="5"/>
      <c r="CL440" s="3"/>
      <c r="CN440" s="5"/>
      <c r="CR440" s="3"/>
      <c r="CS440" s="3"/>
      <c r="CT440" s="5"/>
      <c r="CV440" s="3"/>
      <c r="DR440" s="5"/>
      <c r="DT440" s="3"/>
      <c r="EF440" s="7"/>
      <c r="EG440" s="7"/>
      <c r="EJ440" s="4"/>
      <c r="EK440" s="4"/>
      <c r="EU440" s="2"/>
      <c r="EV440" s="2"/>
    </row>
    <row r="441" spans="63:152">
      <c r="BK441" s="3"/>
      <c r="BL441" s="3"/>
      <c r="CJ441" s="5"/>
      <c r="CK441" s="5"/>
      <c r="CL441" s="3"/>
      <c r="CN441" s="5"/>
      <c r="CR441" s="3"/>
      <c r="CS441" s="3"/>
      <c r="CT441" s="5"/>
      <c r="CV441" s="3"/>
      <c r="DR441" s="5"/>
      <c r="DT441" s="3"/>
      <c r="EF441" s="7"/>
      <c r="EG441" s="7"/>
      <c r="EJ441" s="4"/>
      <c r="EK441" s="4"/>
      <c r="EU441" s="2"/>
      <c r="EV441" s="2"/>
    </row>
    <row r="442" spans="63:152">
      <c r="BK442" s="3"/>
      <c r="BL442" s="3"/>
      <c r="CJ442" s="5"/>
      <c r="CK442" s="5"/>
      <c r="CL442" s="3"/>
      <c r="CN442" s="5"/>
      <c r="CR442" s="3"/>
      <c r="CS442" s="3"/>
      <c r="CT442" s="5"/>
      <c r="CV442" s="3"/>
      <c r="DR442" s="5"/>
      <c r="DT442" s="3"/>
      <c r="EF442" s="7"/>
      <c r="EG442" s="7"/>
      <c r="EJ442" s="4"/>
      <c r="EK442" s="4"/>
      <c r="EU442" s="2"/>
      <c r="EV442" s="2"/>
    </row>
    <row r="443" spans="63:152">
      <c r="BK443" s="3"/>
      <c r="BL443" s="3"/>
      <c r="CJ443" s="5"/>
      <c r="CK443" s="5"/>
      <c r="CL443" s="3"/>
      <c r="CN443" s="5"/>
      <c r="CR443" s="3"/>
      <c r="CS443" s="3"/>
      <c r="CT443" s="5"/>
      <c r="CV443" s="3"/>
      <c r="DR443" s="5"/>
      <c r="DT443" s="3"/>
      <c r="EF443" s="7"/>
      <c r="EG443" s="7"/>
      <c r="EJ443" s="4"/>
      <c r="EK443" s="4"/>
      <c r="EU443" s="2"/>
      <c r="EV443" s="2"/>
    </row>
    <row r="444" spans="63:152">
      <c r="BK444" s="3"/>
      <c r="BL444" s="3"/>
      <c r="CJ444" s="5"/>
      <c r="CK444" s="5"/>
      <c r="CL444" s="3"/>
      <c r="CN444" s="5"/>
      <c r="CR444" s="3"/>
      <c r="CS444" s="3"/>
      <c r="CT444" s="5"/>
      <c r="CV444" s="3"/>
      <c r="DR444" s="5"/>
      <c r="DT444" s="3"/>
      <c r="EF444" s="7"/>
      <c r="EG444" s="7"/>
      <c r="EJ444" s="4"/>
      <c r="EK444" s="4"/>
      <c r="EU444" s="2"/>
      <c r="EV444" s="2"/>
    </row>
    <row r="445" spans="63:152">
      <c r="BK445" s="3"/>
      <c r="BL445" s="3"/>
      <c r="CJ445" s="5"/>
      <c r="CK445" s="5"/>
      <c r="CL445" s="3"/>
      <c r="CN445" s="5"/>
      <c r="CR445" s="3"/>
      <c r="CS445" s="3"/>
      <c r="CT445" s="5"/>
      <c r="CV445" s="3"/>
      <c r="DR445" s="5"/>
      <c r="DT445" s="3"/>
      <c r="EF445" s="7"/>
      <c r="EG445" s="7"/>
      <c r="EJ445" s="4"/>
      <c r="EK445" s="4"/>
      <c r="EU445" s="2"/>
      <c r="EV445" s="2"/>
    </row>
    <row r="446" spans="63:152">
      <c r="BK446" s="3"/>
      <c r="BL446" s="3"/>
      <c r="CJ446" s="5"/>
      <c r="CK446" s="5"/>
      <c r="CL446" s="3"/>
      <c r="CN446" s="5"/>
      <c r="CR446" s="3"/>
      <c r="CS446" s="3"/>
      <c r="CT446" s="5"/>
      <c r="CV446" s="3"/>
      <c r="DR446" s="5"/>
      <c r="DT446" s="3"/>
      <c r="EF446" s="7"/>
      <c r="EG446" s="7"/>
      <c r="EJ446" s="4"/>
      <c r="EK446" s="4"/>
      <c r="EU446" s="2"/>
      <c r="EV446" s="2"/>
    </row>
    <row r="447" spans="63:152">
      <c r="BK447" s="3"/>
      <c r="BL447" s="3"/>
      <c r="CJ447" s="5"/>
      <c r="CK447" s="5"/>
      <c r="CL447" s="3"/>
      <c r="CN447" s="5"/>
      <c r="CR447" s="3"/>
      <c r="CS447" s="3"/>
      <c r="CT447" s="5"/>
      <c r="CV447" s="3"/>
      <c r="DR447" s="5"/>
      <c r="DT447" s="3"/>
      <c r="EF447" s="7"/>
      <c r="EG447" s="7"/>
      <c r="EJ447" s="4"/>
      <c r="EK447" s="4"/>
      <c r="EU447" s="2"/>
      <c r="EV447" s="2"/>
    </row>
    <row r="448" spans="63:152">
      <c r="BK448" s="3"/>
      <c r="BL448" s="3"/>
      <c r="CJ448" s="5"/>
      <c r="CK448" s="5"/>
      <c r="CL448" s="3"/>
      <c r="CN448" s="5"/>
      <c r="CR448" s="3"/>
      <c r="CS448" s="3"/>
      <c r="CT448" s="5"/>
      <c r="CV448" s="3"/>
      <c r="DR448" s="5"/>
      <c r="DT448" s="3"/>
      <c r="EF448" s="7"/>
      <c r="EG448" s="7"/>
      <c r="EJ448" s="4"/>
      <c r="EK448" s="4"/>
      <c r="EU448" s="2"/>
      <c r="EV448" s="2"/>
    </row>
    <row r="449" spans="63:152">
      <c r="BK449" s="3"/>
      <c r="BL449" s="3"/>
      <c r="CJ449" s="5"/>
      <c r="CK449" s="5"/>
      <c r="CL449" s="3"/>
      <c r="CN449" s="5"/>
      <c r="CR449" s="3"/>
      <c r="CS449" s="3"/>
      <c r="CT449" s="5"/>
      <c r="CV449" s="3"/>
      <c r="DR449" s="5"/>
      <c r="DT449" s="3"/>
      <c r="EF449" s="7"/>
      <c r="EG449" s="7"/>
      <c r="EJ449" s="4"/>
      <c r="EK449" s="4"/>
      <c r="EU449" s="2"/>
      <c r="EV449" s="2"/>
    </row>
    <row r="450" spans="63:152">
      <c r="BK450" s="3"/>
      <c r="BL450" s="3"/>
      <c r="CJ450" s="5"/>
      <c r="CK450" s="5"/>
      <c r="CL450" s="3"/>
      <c r="CN450" s="5"/>
      <c r="CR450" s="3"/>
      <c r="CS450" s="3"/>
      <c r="CT450" s="5"/>
      <c r="CV450" s="3"/>
      <c r="DR450" s="5"/>
      <c r="DT450" s="3"/>
      <c r="EF450" s="7"/>
      <c r="EG450" s="7"/>
      <c r="EJ450" s="4"/>
      <c r="EK450" s="4"/>
      <c r="EU450" s="2"/>
      <c r="EV450" s="2"/>
    </row>
    <row r="451" spans="63:152">
      <c r="BK451" s="3"/>
      <c r="BL451" s="3"/>
      <c r="CJ451" s="5"/>
      <c r="CK451" s="5"/>
      <c r="CL451" s="3"/>
      <c r="CN451" s="5"/>
      <c r="CR451" s="3"/>
      <c r="CS451" s="3"/>
      <c r="CT451" s="5"/>
      <c r="CV451" s="3"/>
      <c r="DR451" s="5"/>
      <c r="DT451" s="3"/>
      <c r="EF451" s="7"/>
      <c r="EG451" s="7"/>
      <c r="EJ451" s="4"/>
      <c r="EK451" s="4"/>
      <c r="EU451" s="2"/>
      <c r="EV451" s="2"/>
    </row>
    <row r="452" spans="63:152">
      <c r="BK452" s="3"/>
      <c r="BL452" s="3"/>
      <c r="CJ452" s="5"/>
      <c r="CK452" s="5"/>
      <c r="CL452" s="3"/>
      <c r="CN452" s="5"/>
      <c r="CR452" s="3"/>
      <c r="CS452" s="3"/>
      <c r="CT452" s="5"/>
      <c r="CV452" s="3"/>
      <c r="DR452" s="5"/>
      <c r="DT452" s="3"/>
      <c r="EF452" s="7"/>
      <c r="EG452" s="7"/>
      <c r="EJ452" s="4"/>
      <c r="EK452" s="4"/>
      <c r="EU452" s="2"/>
      <c r="EV452" s="2"/>
    </row>
    <row r="453" spans="63:152">
      <c r="BK453" s="3"/>
      <c r="BL453" s="3"/>
      <c r="CJ453" s="5"/>
      <c r="CK453" s="5"/>
      <c r="CL453" s="3"/>
      <c r="CN453" s="5"/>
      <c r="CR453" s="3"/>
      <c r="CS453" s="3"/>
      <c r="CT453" s="5"/>
      <c r="CV453" s="3"/>
      <c r="DR453" s="5"/>
      <c r="DT453" s="3"/>
      <c r="EF453" s="7"/>
      <c r="EG453" s="7"/>
      <c r="EJ453" s="4"/>
      <c r="EK453" s="4"/>
      <c r="EU453" s="2"/>
      <c r="EV453" s="2"/>
    </row>
    <row r="454" spans="63:152">
      <c r="BK454" s="3"/>
      <c r="BL454" s="3"/>
      <c r="CJ454" s="5"/>
      <c r="CK454" s="5"/>
      <c r="CL454" s="3"/>
      <c r="CN454" s="5"/>
      <c r="CR454" s="3"/>
      <c r="CS454" s="3"/>
      <c r="CT454" s="5"/>
      <c r="CV454" s="3"/>
      <c r="DR454" s="5"/>
      <c r="DT454" s="3"/>
      <c r="EF454" s="7"/>
      <c r="EG454" s="7"/>
      <c r="EJ454" s="4"/>
      <c r="EK454" s="4"/>
      <c r="EU454" s="2"/>
      <c r="EV454" s="2"/>
    </row>
    <row r="455" spans="63:152">
      <c r="BK455" s="3"/>
      <c r="BL455" s="3"/>
      <c r="CJ455" s="5"/>
      <c r="CK455" s="5"/>
      <c r="CL455" s="3"/>
      <c r="CN455" s="5"/>
      <c r="CR455" s="3"/>
      <c r="CS455" s="3"/>
      <c r="CT455" s="5"/>
      <c r="CV455" s="3"/>
      <c r="DR455" s="5"/>
      <c r="DT455" s="3"/>
      <c r="EF455" s="7"/>
      <c r="EG455" s="7"/>
      <c r="EJ455" s="4"/>
      <c r="EK455" s="4"/>
      <c r="EU455" s="2"/>
      <c r="EV455" s="2"/>
    </row>
    <row r="456" spans="63:152">
      <c r="BK456" s="3"/>
      <c r="BL456" s="3"/>
      <c r="CJ456" s="5"/>
      <c r="CK456" s="5"/>
      <c r="CL456" s="3"/>
      <c r="CN456" s="5"/>
      <c r="CR456" s="3"/>
      <c r="CS456" s="3"/>
      <c r="CT456" s="5"/>
      <c r="CV456" s="3"/>
      <c r="DR456" s="5"/>
      <c r="DT456" s="3"/>
      <c r="EF456" s="7"/>
      <c r="EG456" s="7"/>
      <c r="EJ456" s="4"/>
      <c r="EK456" s="4"/>
      <c r="EU456" s="2"/>
      <c r="EV456" s="2"/>
    </row>
    <row r="457" spans="63:152">
      <c r="BK457" s="3"/>
      <c r="BL457" s="3"/>
      <c r="CJ457" s="5"/>
      <c r="CK457" s="5"/>
      <c r="CL457" s="3"/>
      <c r="CN457" s="5"/>
      <c r="CR457" s="3"/>
      <c r="CS457" s="3"/>
      <c r="CT457" s="5"/>
      <c r="CV457" s="3"/>
      <c r="DR457" s="5"/>
      <c r="DT457" s="3"/>
      <c r="EF457" s="7"/>
      <c r="EG457" s="7"/>
      <c r="EJ457" s="4"/>
      <c r="EK457" s="4"/>
      <c r="EU457" s="2"/>
      <c r="EV457" s="2"/>
    </row>
    <row r="458" spans="63:152">
      <c r="BK458" s="3"/>
      <c r="BL458" s="3"/>
      <c r="CJ458" s="5"/>
      <c r="CK458" s="5"/>
      <c r="CL458" s="3"/>
      <c r="CN458" s="5"/>
      <c r="CR458" s="3"/>
      <c r="CS458" s="3"/>
      <c r="CT458" s="5"/>
      <c r="CV458" s="3"/>
      <c r="DR458" s="5"/>
      <c r="DT458" s="3"/>
      <c r="EF458" s="7"/>
      <c r="EG458" s="7"/>
      <c r="EJ458" s="4"/>
      <c r="EK458" s="4"/>
      <c r="EU458" s="2"/>
      <c r="EV458" s="2"/>
    </row>
    <row r="459" spans="63:152">
      <c r="BK459" s="3"/>
      <c r="BL459" s="3"/>
      <c r="CJ459" s="5"/>
      <c r="CK459" s="5"/>
      <c r="CL459" s="3"/>
      <c r="CN459" s="5"/>
      <c r="CR459" s="3"/>
      <c r="CS459" s="3"/>
      <c r="CT459" s="5"/>
      <c r="CV459" s="3"/>
      <c r="DR459" s="5"/>
      <c r="DT459" s="3"/>
      <c r="EF459" s="7"/>
      <c r="EG459" s="7"/>
      <c r="EJ459" s="4"/>
      <c r="EK459" s="4"/>
      <c r="EU459" s="2"/>
      <c r="EV459" s="2"/>
    </row>
    <row r="460" spans="63:152">
      <c r="BK460" s="3"/>
      <c r="BL460" s="3"/>
      <c r="CJ460" s="5"/>
      <c r="CK460" s="5"/>
      <c r="CL460" s="3"/>
      <c r="CN460" s="5"/>
      <c r="CR460" s="3"/>
      <c r="CS460" s="3"/>
      <c r="CT460" s="5"/>
      <c r="CV460" s="3"/>
      <c r="DR460" s="5"/>
      <c r="DT460" s="3"/>
      <c r="EF460" s="7"/>
      <c r="EG460" s="7"/>
      <c r="EJ460" s="4"/>
      <c r="EK460" s="4"/>
      <c r="EU460" s="2"/>
      <c r="EV460" s="2"/>
    </row>
    <row r="461" spans="63:152">
      <c r="BK461" s="3"/>
      <c r="BL461" s="3"/>
      <c r="CJ461" s="5"/>
      <c r="CK461" s="5"/>
      <c r="CL461" s="3"/>
      <c r="CN461" s="5"/>
      <c r="CR461" s="3"/>
      <c r="CS461" s="3"/>
      <c r="CT461" s="5"/>
      <c r="CV461" s="3"/>
      <c r="DR461" s="5"/>
      <c r="DT461" s="3"/>
      <c r="EF461" s="7"/>
      <c r="EG461" s="7"/>
      <c r="EJ461" s="4"/>
      <c r="EK461" s="4"/>
      <c r="EU461" s="2"/>
      <c r="EV461" s="2"/>
    </row>
    <row r="462" spans="63:152">
      <c r="BK462" s="3"/>
      <c r="BL462" s="3"/>
      <c r="CJ462" s="5"/>
      <c r="CK462" s="5"/>
      <c r="CL462" s="3"/>
      <c r="CN462" s="5"/>
      <c r="CR462" s="3"/>
      <c r="CS462" s="3"/>
      <c r="CT462" s="5"/>
      <c r="CV462" s="3"/>
      <c r="DR462" s="5"/>
      <c r="DT462" s="3"/>
      <c r="EF462" s="7"/>
      <c r="EG462" s="7"/>
      <c r="EJ462" s="4"/>
      <c r="EK462" s="4"/>
      <c r="EU462" s="2"/>
      <c r="EV462" s="2"/>
    </row>
    <row r="463" spans="63:152">
      <c r="BK463" s="3"/>
      <c r="BL463" s="3"/>
      <c r="CJ463" s="5"/>
      <c r="CK463" s="5"/>
      <c r="CL463" s="3"/>
      <c r="CN463" s="5"/>
      <c r="CR463" s="3"/>
      <c r="CS463" s="3"/>
      <c r="CT463" s="5"/>
      <c r="CV463" s="3"/>
      <c r="DR463" s="5"/>
      <c r="DT463" s="3"/>
      <c r="EF463" s="7"/>
      <c r="EG463" s="7"/>
      <c r="EJ463" s="4"/>
      <c r="EK463" s="4"/>
      <c r="EU463" s="2"/>
      <c r="EV463" s="2"/>
    </row>
    <row r="464" spans="63:152">
      <c r="BK464" s="3"/>
      <c r="BL464" s="3"/>
      <c r="CJ464" s="5"/>
      <c r="CK464" s="5"/>
      <c r="CL464" s="3"/>
      <c r="CN464" s="5"/>
      <c r="CR464" s="3"/>
      <c r="CS464" s="3"/>
      <c r="CT464" s="5"/>
      <c r="CV464" s="3"/>
      <c r="DR464" s="5"/>
      <c r="DT464" s="3"/>
      <c r="EF464" s="7"/>
      <c r="EG464" s="7"/>
      <c r="EJ464" s="4"/>
      <c r="EK464" s="4"/>
      <c r="EU464" s="2"/>
      <c r="EV464" s="2"/>
    </row>
    <row r="465" spans="63:152">
      <c r="BK465" s="3"/>
      <c r="BL465" s="3"/>
      <c r="CJ465" s="5"/>
      <c r="CK465" s="5"/>
      <c r="CL465" s="3"/>
      <c r="CN465" s="5"/>
      <c r="CR465" s="3"/>
      <c r="CS465" s="3"/>
      <c r="CT465" s="5"/>
      <c r="CV465" s="3"/>
      <c r="DR465" s="5"/>
      <c r="DT465" s="3"/>
      <c r="EF465" s="7"/>
      <c r="EG465" s="7"/>
      <c r="EJ465" s="4"/>
      <c r="EK465" s="4"/>
      <c r="EU465" s="2"/>
      <c r="EV465" s="2"/>
    </row>
    <row r="466" spans="63:152">
      <c r="BK466" s="3"/>
      <c r="BL466" s="3"/>
      <c r="CJ466" s="5"/>
      <c r="CK466" s="5"/>
      <c r="CL466" s="3"/>
      <c r="CN466" s="5"/>
      <c r="CR466" s="3"/>
      <c r="CS466" s="3"/>
      <c r="CT466" s="5"/>
      <c r="CV466" s="3"/>
      <c r="DR466" s="5"/>
      <c r="DT466" s="3"/>
      <c r="EF466" s="7"/>
      <c r="EG466" s="7"/>
      <c r="EJ466" s="4"/>
      <c r="EK466" s="4"/>
      <c r="EU466" s="2"/>
      <c r="EV466" s="2"/>
    </row>
    <row r="467" spans="63:152">
      <c r="BK467" s="3"/>
      <c r="BL467" s="3"/>
      <c r="CJ467" s="5"/>
      <c r="CK467" s="5"/>
      <c r="CL467" s="3"/>
      <c r="CN467" s="5"/>
      <c r="CR467" s="3"/>
      <c r="CS467" s="3"/>
      <c r="CT467" s="5"/>
      <c r="CV467" s="3"/>
      <c r="DR467" s="5"/>
      <c r="DT467" s="3"/>
      <c r="EF467" s="7"/>
      <c r="EG467" s="7"/>
      <c r="EJ467" s="4"/>
      <c r="EK467" s="4"/>
      <c r="EU467" s="2"/>
      <c r="EV467" s="2"/>
    </row>
    <row r="468" spans="63:152">
      <c r="BK468" s="3"/>
      <c r="BL468" s="3"/>
      <c r="CJ468" s="5"/>
      <c r="CK468" s="5"/>
      <c r="CL468" s="3"/>
      <c r="CN468" s="5"/>
      <c r="CR468" s="3"/>
      <c r="CS468" s="3"/>
      <c r="CT468" s="5"/>
      <c r="CV468" s="3"/>
      <c r="DR468" s="5"/>
      <c r="DT468" s="3"/>
      <c r="EF468" s="7"/>
      <c r="EG468" s="7"/>
      <c r="EJ468" s="4"/>
      <c r="EK468" s="4"/>
      <c r="EU468" s="2"/>
      <c r="EV468" s="2"/>
    </row>
    <row r="469" spans="63:152">
      <c r="BK469" s="3"/>
      <c r="BL469" s="3"/>
      <c r="CJ469" s="5"/>
      <c r="CK469" s="5"/>
      <c r="CL469" s="3"/>
      <c r="CN469" s="5"/>
      <c r="CR469" s="3"/>
      <c r="CS469" s="3"/>
      <c r="CT469" s="5"/>
      <c r="CV469" s="3"/>
      <c r="DR469" s="5"/>
      <c r="DT469" s="3"/>
      <c r="EF469" s="7"/>
      <c r="EG469" s="7"/>
      <c r="EJ469" s="4"/>
      <c r="EK469" s="4"/>
      <c r="EU469" s="2"/>
      <c r="EV469" s="2"/>
    </row>
    <row r="470" spans="63:152">
      <c r="BK470" s="3"/>
      <c r="BL470" s="3"/>
      <c r="CJ470" s="5"/>
      <c r="CK470" s="5"/>
      <c r="CL470" s="3"/>
      <c r="CN470" s="5"/>
      <c r="CR470" s="3"/>
      <c r="CS470" s="3"/>
      <c r="CT470" s="5"/>
      <c r="CV470" s="3"/>
      <c r="DR470" s="5"/>
      <c r="DT470" s="3"/>
      <c r="EF470" s="7"/>
      <c r="EG470" s="7"/>
      <c r="EJ470" s="4"/>
      <c r="EK470" s="4"/>
      <c r="EU470" s="2"/>
      <c r="EV470" s="2"/>
    </row>
    <row r="471" spans="63:152">
      <c r="BK471" s="3"/>
      <c r="BL471" s="3"/>
      <c r="CJ471" s="5"/>
      <c r="CK471" s="5"/>
      <c r="CL471" s="3"/>
      <c r="CN471" s="5"/>
      <c r="CR471" s="3"/>
      <c r="CS471" s="3"/>
      <c r="CT471" s="5"/>
      <c r="CV471" s="3"/>
      <c r="DR471" s="5"/>
      <c r="DT471" s="3"/>
      <c r="EF471" s="7"/>
      <c r="EG471" s="7"/>
      <c r="EJ471" s="4"/>
      <c r="EK471" s="4"/>
      <c r="EU471" s="2"/>
      <c r="EV471" s="2"/>
    </row>
    <row r="472" spans="63:152">
      <c r="BK472" s="3"/>
      <c r="BL472" s="3"/>
      <c r="CJ472" s="5"/>
      <c r="CK472" s="5"/>
      <c r="CL472" s="3"/>
      <c r="CN472" s="5"/>
      <c r="CR472" s="3"/>
      <c r="CS472" s="3"/>
      <c r="CT472" s="5"/>
      <c r="CV472" s="3"/>
      <c r="DR472" s="5"/>
      <c r="DT472" s="3"/>
      <c r="EF472" s="7"/>
      <c r="EG472" s="7"/>
      <c r="EJ472" s="4"/>
      <c r="EK472" s="4"/>
      <c r="EU472" s="2"/>
      <c r="EV472" s="2"/>
    </row>
    <row r="473" spans="63:152">
      <c r="BK473" s="3"/>
      <c r="BL473" s="3"/>
      <c r="CJ473" s="5"/>
      <c r="CK473" s="5"/>
      <c r="CL473" s="3"/>
      <c r="CN473" s="5"/>
      <c r="CR473" s="3"/>
      <c r="CS473" s="3"/>
      <c r="CT473" s="5"/>
      <c r="CV473" s="3"/>
      <c r="DR473" s="5"/>
      <c r="DT473" s="3"/>
      <c r="EF473" s="7"/>
      <c r="EG473" s="7"/>
      <c r="EJ473" s="4"/>
      <c r="EK473" s="4"/>
      <c r="EU473" s="2"/>
      <c r="EV473" s="2"/>
    </row>
    <row r="474" spans="63:152">
      <c r="BK474" s="3"/>
      <c r="BL474" s="3"/>
      <c r="CJ474" s="5"/>
      <c r="CK474" s="5"/>
      <c r="CL474" s="3"/>
      <c r="CN474" s="5"/>
      <c r="CR474" s="3"/>
      <c r="CS474" s="3"/>
      <c r="CT474" s="5"/>
      <c r="CV474" s="3"/>
      <c r="DR474" s="5"/>
      <c r="DT474" s="3"/>
      <c r="EF474" s="7"/>
      <c r="EG474" s="7"/>
      <c r="EJ474" s="4"/>
      <c r="EK474" s="4"/>
      <c r="EU474" s="2"/>
      <c r="EV474" s="2"/>
    </row>
    <row r="475" spans="63:152">
      <c r="BK475" s="3"/>
      <c r="BL475" s="3"/>
      <c r="CJ475" s="5"/>
      <c r="CK475" s="5"/>
      <c r="CL475" s="3"/>
      <c r="CN475" s="5"/>
      <c r="CR475" s="3"/>
      <c r="CS475" s="3"/>
      <c r="CT475" s="5"/>
      <c r="CV475" s="3"/>
      <c r="DR475" s="5"/>
      <c r="DT475" s="3"/>
      <c r="EF475" s="7"/>
      <c r="EG475" s="7"/>
      <c r="EJ475" s="4"/>
      <c r="EK475" s="4"/>
      <c r="EU475" s="2"/>
      <c r="EV475" s="2"/>
    </row>
    <row r="476" spans="63:152">
      <c r="BK476" s="3"/>
      <c r="BL476" s="3"/>
      <c r="CJ476" s="5"/>
      <c r="CK476" s="5"/>
      <c r="CL476" s="3"/>
      <c r="CN476" s="5"/>
      <c r="CR476" s="3"/>
      <c r="CS476" s="3"/>
      <c r="CT476" s="5"/>
      <c r="CV476" s="3"/>
      <c r="DR476" s="5"/>
      <c r="DT476" s="3"/>
      <c r="EF476" s="7"/>
      <c r="EG476" s="7"/>
      <c r="EJ476" s="4"/>
      <c r="EK476" s="4"/>
      <c r="EU476" s="2"/>
      <c r="EV476" s="2"/>
    </row>
    <row r="477" spans="63:152">
      <c r="BK477" s="3"/>
      <c r="BL477" s="3"/>
      <c r="CJ477" s="5"/>
      <c r="CK477" s="5"/>
      <c r="CL477" s="3"/>
      <c r="CN477" s="5"/>
      <c r="CR477" s="3"/>
      <c r="CS477" s="3"/>
      <c r="CT477" s="5"/>
      <c r="CV477" s="3"/>
      <c r="DR477" s="5"/>
      <c r="DT477" s="3"/>
      <c r="EF477" s="7"/>
      <c r="EG477" s="7"/>
      <c r="EJ477" s="4"/>
      <c r="EK477" s="4"/>
      <c r="EU477" s="2"/>
      <c r="EV477" s="2"/>
    </row>
    <row r="478" spans="63:152">
      <c r="BK478" s="3"/>
      <c r="BL478" s="3"/>
      <c r="CJ478" s="5"/>
      <c r="CK478" s="5"/>
      <c r="CL478" s="3"/>
      <c r="CN478" s="5"/>
      <c r="CR478" s="3"/>
      <c r="CS478" s="3"/>
      <c r="CT478" s="5"/>
      <c r="CV478" s="3"/>
      <c r="DR478" s="5"/>
      <c r="DT478" s="3"/>
      <c r="EF478" s="7"/>
      <c r="EG478" s="7"/>
      <c r="EJ478" s="4"/>
      <c r="EK478" s="4"/>
      <c r="EU478" s="2"/>
      <c r="EV478" s="2"/>
    </row>
    <row r="479" spans="63:152">
      <c r="BK479" s="3"/>
      <c r="BL479" s="3"/>
      <c r="CJ479" s="5"/>
      <c r="CK479" s="5"/>
      <c r="CL479" s="3"/>
      <c r="CN479" s="5"/>
      <c r="CR479" s="3"/>
      <c r="CS479" s="3"/>
      <c r="CT479" s="5"/>
      <c r="CV479" s="3"/>
      <c r="DR479" s="5"/>
      <c r="DT479" s="3"/>
      <c r="EF479" s="7"/>
      <c r="EG479" s="7"/>
      <c r="EJ479" s="4"/>
      <c r="EK479" s="4"/>
      <c r="EU479" s="2"/>
      <c r="EV479" s="2"/>
    </row>
    <row r="480" spans="63:152">
      <c r="BK480" s="3"/>
      <c r="BL480" s="3"/>
      <c r="CJ480" s="5"/>
      <c r="CK480" s="5"/>
      <c r="CL480" s="3"/>
      <c r="CN480" s="5"/>
      <c r="CR480" s="3"/>
      <c r="CS480" s="3"/>
      <c r="CT480" s="5"/>
      <c r="CV480" s="3"/>
      <c r="DR480" s="5"/>
      <c r="DT480" s="3"/>
      <c r="EF480" s="7"/>
      <c r="EG480" s="7"/>
      <c r="EJ480" s="4"/>
      <c r="EK480" s="4"/>
      <c r="EU480" s="2"/>
      <c r="EV480" s="2"/>
    </row>
    <row r="481" spans="63:152">
      <c r="BK481" s="3"/>
      <c r="BL481" s="3"/>
      <c r="CJ481" s="5"/>
      <c r="CK481" s="5"/>
      <c r="CL481" s="3"/>
      <c r="CN481" s="5"/>
      <c r="CR481" s="3"/>
      <c r="CS481" s="3"/>
      <c r="CT481" s="5"/>
      <c r="CV481" s="3"/>
      <c r="DR481" s="5"/>
      <c r="DT481" s="3"/>
      <c r="EF481" s="7"/>
      <c r="EG481" s="7"/>
      <c r="EJ481" s="4"/>
      <c r="EK481" s="4"/>
      <c r="EU481" s="2"/>
      <c r="EV481" s="2"/>
    </row>
    <row r="482" spans="63:152">
      <c r="BK482" s="3"/>
      <c r="BL482" s="3"/>
      <c r="CJ482" s="5"/>
      <c r="CK482" s="5"/>
      <c r="CL482" s="3"/>
      <c r="CN482" s="5"/>
      <c r="CR482" s="3"/>
      <c r="CS482" s="3"/>
      <c r="CT482" s="5"/>
      <c r="CV482" s="3"/>
      <c r="DR482" s="5"/>
      <c r="DT482" s="3"/>
      <c r="EF482" s="7"/>
      <c r="EG482" s="7"/>
      <c r="EJ482" s="4"/>
      <c r="EK482" s="4"/>
      <c r="EU482" s="2"/>
      <c r="EV482" s="2"/>
    </row>
    <row r="483" spans="63:152">
      <c r="BK483" s="3"/>
      <c r="BL483" s="3"/>
      <c r="CJ483" s="5"/>
      <c r="CK483" s="5"/>
      <c r="CL483" s="3"/>
      <c r="CN483" s="5"/>
      <c r="CR483" s="3"/>
      <c r="CS483" s="3"/>
      <c r="CT483" s="5"/>
      <c r="CV483" s="3"/>
      <c r="DR483" s="5"/>
      <c r="DT483" s="3"/>
      <c r="EF483" s="7"/>
      <c r="EG483" s="7"/>
      <c r="EJ483" s="4"/>
      <c r="EK483" s="4"/>
      <c r="EU483" s="2"/>
      <c r="EV483" s="2"/>
    </row>
    <row r="484" spans="63:152">
      <c r="BK484" s="3"/>
      <c r="BL484" s="3"/>
      <c r="CJ484" s="5"/>
      <c r="CK484" s="5"/>
      <c r="CL484" s="3"/>
      <c r="CN484" s="5"/>
      <c r="CR484" s="3"/>
      <c r="CS484" s="3"/>
      <c r="CT484" s="5"/>
      <c r="CV484" s="3"/>
      <c r="DR484" s="5"/>
      <c r="DT484" s="3"/>
      <c r="EF484" s="7"/>
      <c r="EG484" s="7"/>
      <c r="EJ484" s="4"/>
      <c r="EK484" s="4"/>
      <c r="EU484" s="2"/>
      <c r="EV484" s="2"/>
    </row>
    <row r="485" spans="63:152">
      <c r="BK485" s="3"/>
      <c r="BL485" s="3"/>
      <c r="CJ485" s="5"/>
      <c r="CK485" s="5"/>
      <c r="CL485" s="3"/>
      <c r="CN485" s="5"/>
      <c r="CR485" s="3"/>
      <c r="CS485" s="3"/>
      <c r="CT485" s="5"/>
      <c r="CV485" s="3"/>
      <c r="DR485" s="5"/>
      <c r="DT485" s="3"/>
      <c r="EF485" s="7"/>
      <c r="EG485" s="7"/>
      <c r="EJ485" s="4"/>
      <c r="EK485" s="4"/>
      <c r="EU485" s="2"/>
      <c r="EV485" s="2"/>
    </row>
    <row r="486" spans="63:152">
      <c r="BK486" s="3"/>
      <c r="BL486" s="3"/>
      <c r="CJ486" s="5"/>
      <c r="CK486" s="5"/>
      <c r="CL486" s="3"/>
      <c r="CN486" s="5"/>
      <c r="CR486" s="3"/>
      <c r="CS486" s="3"/>
      <c r="CT486" s="5"/>
      <c r="CV486" s="3"/>
      <c r="DR486" s="5"/>
      <c r="DT486" s="3"/>
      <c r="EF486" s="7"/>
      <c r="EG486" s="7"/>
      <c r="EJ486" s="4"/>
      <c r="EK486" s="4"/>
      <c r="EU486" s="2"/>
      <c r="EV486" s="2"/>
    </row>
    <row r="487" spans="63:152">
      <c r="BK487" s="3"/>
      <c r="BL487" s="3"/>
      <c r="CJ487" s="5"/>
      <c r="CK487" s="5"/>
      <c r="CL487" s="3"/>
      <c r="CN487" s="5"/>
      <c r="CR487" s="3"/>
      <c r="CS487" s="3"/>
      <c r="CT487" s="5"/>
      <c r="CV487" s="3"/>
      <c r="DR487" s="5"/>
      <c r="DT487" s="3"/>
      <c r="EF487" s="7"/>
      <c r="EG487" s="7"/>
      <c r="EJ487" s="4"/>
      <c r="EK487" s="4"/>
      <c r="EU487" s="2"/>
      <c r="EV487" s="2"/>
    </row>
    <row r="488" spans="63:152">
      <c r="BK488" s="3"/>
      <c r="BL488" s="3"/>
      <c r="CJ488" s="5"/>
      <c r="CK488" s="5"/>
      <c r="CL488" s="3"/>
      <c r="CN488" s="5"/>
      <c r="CR488" s="3"/>
      <c r="CS488" s="3"/>
      <c r="CT488" s="5"/>
      <c r="CV488" s="3"/>
      <c r="DR488" s="5"/>
      <c r="DT488" s="3"/>
      <c r="EF488" s="7"/>
      <c r="EG488" s="7"/>
      <c r="EJ488" s="4"/>
      <c r="EK488" s="4"/>
      <c r="EU488" s="2"/>
      <c r="EV488" s="2"/>
    </row>
    <row r="489" spans="63:152">
      <c r="BK489" s="3"/>
      <c r="BL489" s="3"/>
      <c r="CJ489" s="5"/>
      <c r="CK489" s="5"/>
      <c r="CL489" s="3"/>
      <c r="CN489" s="5"/>
      <c r="CR489" s="3"/>
      <c r="CS489" s="3"/>
      <c r="CT489" s="5"/>
      <c r="CV489" s="3"/>
      <c r="DR489" s="5"/>
      <c r="DT489" s="3"/>
      <c r="EF489" s="7"/>
      <c r="EG489" s="7"/>
      <c r="EJ489" s="4"/>
      <c r="EK489" s="4"/>
      <c r="EU489" s="2"/>
      <c r="EV489" s="2"/>
    </row>
    <row r="490" spans="63:152">
      <c r="BK490" s="3"/>
      <c r="BL490" s="3"/>
      <c r="CJ490" s="5"/>
      <c r="CK490" s="5"/>
      <c r="CL490" s="3"/>
      <c r="CN490" s="5"/>
      <c r="CR490" s="3"/>
      <c r="CS490" s="3"/>
      <c r="CT490" s="5"/>
      <c r="CV490" s="3"/>
      <c r="DR490" s="5"/>
      <c r="DT490" s="3"/>
      <c r="EF490" s="7"/>
      <c r="EG490" s="7"/>
      <c r="EJ490" s="4"/>
      <c r="EK490" s="4"/>
      <c r="EU490" s="2"/>
      <c r="EV490" s="2"/>
    </row>
    <row r="491" spans="63:152">
      <c r="BK491" s="3"/>
      <c r="BL491" s="3"/>
      <c r="CJ491" s="5"/>
      <c r="CK491" s="5"/>
      <c r="CL491" s="3"/>
      <c r="CN491" s="5"/>
      <c r="CR491" s="3"/>
      <c r="CS491" s="3"/>
      <c r="CT491" s="5"/>
      <c r="CV491" s="3"/>
      <c r="DR491" s="5"/>
      <c r="DT491" s="3"/>
      <c r="EF491" s="7"/>
      <c r="EG491" s="7"/>
      <c r="EJ491" s="4"/>
      <c r="EK491" s="4"/>
      <c r="EU491" s="2"/>
      <c r="EV491" s="2"/>
    </row>
    <row r="492" spans="63:152">
      <c r="BK492" s="3"/>
      <c r="BL492" s="3"/>
      <c r="CJ492" s="5"/>
      <c r="CK492" s="5"/>
      <c r="CL492" s="3"/>
      <c r="CN492" s="5"/>
      <c r="CR492" s="3"/>
      <c r="CS492" s="3"/>
      <c r="CT492" s="5"/>
      <c r="CV492" s="3"/>
      <c r="DR492" s="5"/>
      <c r="DT492" s="3"/>
      <c r="EF492" s="7"/>
      <c r="EG492" s="7"/>
      <c r="EJ492" s="4"/>
      <c r="EK492" s="4"/>
      <c r="EU492" s="2"/>
      <c r="EV492" s="2"/>
    </row>
    <row r="493" spans="63:152">
      <c r="BK493" s="3"/>
      <c r="BL493" s="3"/>
      <c r="CJ493" s="5"/>
      <c r="CK493" s="5"/>
      <c r="CL493" s="3"/>
      <c r="CN493" s="5"/>
      <c r="CR493" s="3"/>
      <c r="CS493" s="3"/>
      <c r="CT493" s="5"/>
      <c r="CV493" s="3"/>
      <c r="DR493" s="5"/>
      <c r="DT493" s="3"/>
      <c r="EF493" s="7"/>
      <c r="EG493" s="7"/>
      <c r="EJ493" s="4"/>
      <c r="EK493" s="4"/>
      <c r="EU493" s="2"/>
      <c r="EV493" s="2"/>
    </row>
    <row r="494" spans="63:152">
      <c r="BK494" s="3"/>
      <c r="BL494" s="3"/>
      <c r="CJ494" s="5"/>
      <c r="CK494" s="5"/>
      <c r="CL494" s="3"/>
      <c r="CN494" s="5"/>
      <c r="CR494" s="3"/>
      <c r="CS494" s="3"/>
      <c r="CT494" s="5"/>
      <c r="CV494" s="3"/>
      <c r="DR494" s="5"/>
      <c r="DT494" s="3"/>
      <c r="EF494" s="7"/>
      <c r="EG494" s="7"/>
      <c r="EJ494" s="4"/>
      <c r="EK494" s="4"/>
      <c r="EU494" s="2"/>
      <c r="EV494" s="2"/>
    </row>
    <row r="495" spans="63:152">
      <c r="BK495" s="3"/>
      <c r="BL495" s="3"/>
      <c r="CJ495" s="5"/>
      <c r="CK495" s="5"/>
      <c r="CL495" s="3"/>
      <c r="CN495" s="5"/>
      <c r="CR495" s="3"/>
      <c r="CS495" s="3"/>
      <c r="CT495" s="5"/>
      <c r="CV495" s="3"/>
      <c r="DR495" s="5"/>
      <c r="DT495" s="3"/>
      <c r="EF495" s="7"/>
      <c r="EG495" s="7"/>
      <c r="EJ495" s="4"/>
      <c r="EK495" s="4"/>
      <c r="EU495" s="2"/>
      <c r="EV495" s="2"/>
    </row>
    <row r="496" spans="63:152">
      <c r="BK496" s="3"/>
      <c r="BL496" s="3"/>
      <c r="CJ496" s="5"/>
      <c r="CK496" s="5"/>
      <c r="CL496" s="3"/>
      <c r="CN496" s="5"/>
      <c r="CR496" s="3"/>
      <c r="CS496" s="3"/>
      <c r="CT496" s="5"/>
      <c r="CV496" s="3"/>
      <c r="DR496" s="5"/>
      <c r="DT496" s="3"/>
      <c r="EF496" s="7"/>
      <c r="EG496" s="7"/>
      <c r="EJ496" s="4"/>
      <c r="EK496" s="4"/>
      <c r="EU496" s="2"/>
      <c r="EV496" s="2"/>
    </row>
    <row r="497" spans="63:152">
      <c r="BK497" s="3"/>
      <c r="BL497" s="3"/>
      <c r="CJ497" s="5"/>
      <c r="CK497" s="5"/>
      <c r="CL497" s="3"/>
      <c r="CN497" s="5"/>
      <c r="CR497" s="3"/>
      <c r="CS497" s="3"/>
      <c r="CT497" s="5"/>
      <c r="CV497" s="3"/>
      <c r="DR497" s="5"/>
      <c r="DT497" s="3"/>
      <c r="EF497" s="7"/>
      <c r="EG497" s="7"/>
      <c r="EJ497" s="4"/>
      <c r="EK497" s="4"/>
      <c r="EU497" s="2"/>
      <c r="EV497" s="2"/>
    </row>
    <row r="498" spans="63:152">
      <c r="BK498" s="3"/>
      <c r="BL498" s="3"/>
      <c r="CJ498" s="5"/>
      <c r="CK498" s="5"/>
      <c r="CL498" s="3"/>
      <c r="CN498" s="5"/>
      <c r="CR498" s="3"/>
      <c r="CS498" s="3"/>
      <c r="CT498" s="5"/>
      <c r="CV498" s="3"/>
      <c r="DR498" s="5"/>
      <c r="DT498" s="3"/>
      <c r="EF498" s="7"/>
      <c r="EG498" s="7"/>
      <c r="EJ498" s="4"/>
      <c r="EK498" s="4"/>
      <c r="EU498" s="2"/>
      <c r="EV498" s="2"/>
    </row>
    <row r="499" spans="63:152">
      <c r="BK499" s="3"/>
      <c r="BL499" s="3"/>
      <c r="CJ499" s="5"/>
      <c r="CK499" s="5"/>
      <c r="CL499" s="3"/>
      <c r="CN499" s="5"/>
      <c r="CR499" s="3"/>
      <c r="CS499" s="3"/>
      <c r="CT499" s="5"/>
      <c r="CV499" s="3"/>
      <c r="DR499" s="5"/>
      <c r="DT499" s="3"/>
      <c r="EF499" s="7"/>
      <c r="EG499" s="7"/>
      <c r="EJ499" s="4"/>
      <c r="EK499" s="4"/>
      <c r="EU499" s="2"/>
      <c r="EV499" s="2"/>
    </row>
    <row r="500" spans="63:152">
      <c r="BK500" s="3"/>
      <c r="BL500" s="3"/>
      <c r="CJ500" s="5"/>
      <c r="CK500" s="5"/>
      <c r="CL500" s="3"/>
      <c r="CN500" s="5"/>
      <c r="CR500" s="3"/>
      <c r="CS500" s="3"/>
      <c r="CT500" s="5"/>
      <c r="CV500" s="3"/>
      <c r="DR500" s="5"/>
      <c r="DT500" s="3"/>
      <c r="EF500" s="7"/>
      <c r="EG500" s="7"/>
      <c r="EJ500" s="4"/>
      <c r="EK500" s="4"/>
      <c r="EU500" s="2"/>
      <c r="EV500" s="2"/>
    </row>
    <row r="501" spans="63:152">
      <c r="BK501" s="3"/>
      <c r="BL501" s="3"/>
      <c r="CJ501" s="5"/>
      <c r="CK501" s="5"/>
      <c r="CL501" s="3"/>
      <c r="CN501" s="5"/>
      <c r="CR501" s="3"/>
      <c r="CS501" s="3"/>
      <c r="CT501" s="5"/>
      <c r="CV501" s="3"/>
      <c r="DR501" s="5"/>
      <c r="DT501" s="3"/>
      <c r="EF501" s="7"/>
      <c r="EG501" s="7"/>
      <c r="EJ501" s="4"/>
      <c r="EK501" s="4"/>
      <c r="EU501" s="2"/>
      <c r="EV501" s="2"/>
    </row>
    <row r="502" spans="63:152">
      <c r="BK502" s="3"/>
      <c r="BL502" s="3"/>
      <c r="CJ502" s="5"/>
      <c r="CK502" s="5"/>
      <c r="CL502" s="3"/>
      <c r="CN502" s="5"/>
      <c r="CR502" s="3"/>
      <c r="CS502" s="3"/>
      <c r="CT502" s="5"/>
      <c r="CV502" s="3"/>
      <c r="DR502" s="5"/>
      <c r="DT502" s="3"/>
      <c r="EF502" s="7"/>
      <c r="EG502" s="7"/>
      <c r="EJ502" s="4"/>
      <c r="EK502" s="4"/>
      <c r="EU502" s="2"/>
      <c r="EV502" s="2"/>
    </row>
    <row r="503" spans="63:152">
      <c r="BK503" s="3"/>
      <c r="BL503" s="3"/>
      <c r="CJ503" s="5"/>
      <c r="CK503" s="5"/>
      <c r="CL503" s="3"/>
      <c r="CN503" s="5"/>
      <c r="CR503" s="3"/>
      <c r="CS503" s="3"/>
      <c r="CT503" s="5"/>
      <c r="CV503" s="3"/>
      <c r="DR503" s="5"/>
      <c r="DT503" s="3"/>
      <c r="EF503" s="7"/>
      <c r="EG503" s="7"/>
      <c r="EJ503" s="4"/>
      <c r="EK503" s="4"/>
      <c r="EU503" s="2"/>
      <c r="EV503" s="2"/>
    </row>
    <row r="504" spans="63:152">
      <c r="BK504" s="3"/>
      <c r="BL504" s="3"/>
      <c r="CJ504" s="5"/>
      <c r="CK504" s="5"/>
      <c r="CL504" s="3"/>
      <c r="CN504" s="5"/>
      <c r="CR504" s="3"/>
      <c r="CS504" s="3"/>
      <c r="CT504" s="5"/>
      <c r="CV504" s="3"/>
      <c r="DR504" s="5"/>
      <c r="DT504" s="3"/>
      <c r="EF504" s="7"/>
      <c r="EG504" s="7"/>
      <c r="EJ504" s="4"/>
      <c r="EK504" s="4"/>
      <c r="EU504" s="2"/>
      <c r="EV504" s="2"/>
    </row>
    <row r="505" spans="63:152">
      <c r="BK505" s="3"/>
      <c r="BL505" s="3"/>
      <c r="CJ505" s="5"/>
      <c r="CK505" s="5"/>
      <c r="CL505" s="3"/>
      <c r="CN505" s="5"/>
      <c r="CR505" s="3"/>
      <c r="CS505" s="3"/>
      <c r="CT505" s="5"/>
      <c r="CV505" s="3"/>
      <c r="DR505" s="5"/>
      <c r="DT505" s="3"/>
      <c r="EF505" s="7"/>
      <c r="EG505" s="7"/>
      <c r="EJ505" s="4"/>
      <c r="EK505" s="4"/>
      <c r="EU505" s="2"/>
      <c r="EV505" s="2"/>
    </row>
    <row r="506" spans="63:152">
      <c r="BK506" s="3"/>
      <c r="BL506" s="3"/>
      <c r="CJ506" s="5"/>
      <c r="CK506" s="5"/>
      <c r="CL506" s="3"/>
      <c r="CN506" s="5"/>
      <c r="CR506" s="3"/>
      <c r="CS506" s="3"/>
      <c r="CT506" s="5"/>
      <c r="CV506" s="3"/>
      <c r="DR506" s="5"/>
      <c r="DT506" s="3"/>
      <c r="EF506" s="7"/>
      <c r="EG506" s="7"/>
      <c r="EJ506" s="4"/>
      <c r="EK506" s="4"/>
      <c r="EU506" s="2"/>
      <c r="EV506" s="2"/>
    </row>
    <row r="507" spans="63:152">
      <c r="BK507" s="3"/>
      <c r="BL507" s="3"/>
      <c r="CJ507" s="5"/>
      <c r="CK507" s="5"/>
      <c r="CL507" s="3"/>
      <c r="CN507" s="5"/>
      <c r="CR507" s="3"/>
      <c r="CS507" s="3"/>
      <c r="CT507" s="5"/>
      <c r="CV507" s="3"/>
      <c r="DR507" s="5"/>
      <c r="DT507" s="3"/>
      <c r="EF507" s="7"/>
      <c r="EG507" s="7"/>
      <c r="EJ507" s="4"/>
      <c r="EK507" s="4"/>
      <c r="EU507" s="2"/>
      <c r="EV507" s="2"/>
    </row>
    <row r="508" spans="63:152">
      <c r="BK508" s="3"/>
      <c r="BL508" s="3"/>
      <c r="CJ508" s="5"/>
      <c r="CK508" s="5"/>
      <c r="CL508" s="3"/>
      <c r="CN508" s="5"/>
      <c r="CR508" s="3"/>
      <c r="CS508" s="3"/>
      <c r="CT508" s="5"/>
      <c r="CV508" s="3"/>
      <c r="DR508" s="5"/>
      <c r="DT508" s="3"/>
      <c r="EF508" s="7"/>
      <c r="EG508" s="7"/>
      <c r="EJ508" s="4"/>
      <c r="EK508" s="4"/>
      <c r="EU508" s="2"/>
      <c r="EV508" s="2"/>
    </row>
    <row r="509" spans="63:152">
      <c r="BK509" s="3"/>
      <c r="BL509" s="3"/>
      <c r="CJ509" s="5"/>
      <c r="CK509" s="5"/>
      <c r="CL509" s="3"/>
      <c r="CN509" s="5"/>
      <c r="CR509" s="3"/>
      <c r="CS509" s="3"/>
      <c r="CT509" s="5"/>
      <c r="CV509" s="3"/>
      <c r="DR509" s="5"/>
      <c r="DT509" s="3"/>
      <c r="EF509" s="7"/>
      <c r="EG509" s="7"/>
      <c r="EJ509" s="4"/>
      <c r="EK509" s="4"/>
      <c r="EU509" s="2"/>
      <c r="EV509" s="2"/>
    </row>
    <row r="510" spans="63:152">
      <c r="BK510" s="3"/>
      <c r="BL510" s="3"/>
      <c r="CJ510" s="5"/>
      <c r="CK510" s="5"/>
      <c r="CL510" s="3"/>
      <c r="CN510" s="5"/>
      <c r="CR510" s="3"/>
      <c r="CS510" s="3"/>
      <c r="CT510" s="5"/>
      <c r="CV510" s="3"/>
      <c r="DR510" s="5"/>
      <c r="DT510" s="3"/>
      <c r="EF510" s="7"/>
      <c r="EG510" s="7"/>
      <c r="EJ510" s="4"/>
      <c r="EK510" s="4"/>
      <c r="EU510" s="2"/>
      <c r="EV510" s="2"/>
    </row>
    <row r="511" spans="63:152">
      <c r="BK511" s="3"/>
      <c r="BL511" s="3"/>
      <c r="CJ511" s="5"/>
      <c r="CK511" s="5"/>
      <c r="CL511" s="3"/>
      <c r="CN511" s="5"/>
      <c r="CR511" s="3"/>
      <c r="CS511" s="3"/>
      <c r="CT511" s="5"/>
      <c r="CV511" s="3"/>
      <c r="DR511" s="5"/>
      <c r="DT511" s="3"/>
      <c r="EF511" s="7"/>
      <c r="EG511" s="7"/>
      <c r="EJ511" s="4"/>
      <c r="EK511" s="4"/>
      <c r="EU511" s="2"/>
      <c r="EV511" s="2"/>
    </row>
    <row r="512" spans="63:152">
      <c r="BK512" s="3"/>
      <c r="BL512" s="3"/>
      <c r="CJ512" s="5"/>
      <c r="CK512" s="5"/>
      <c r="CL512" s="3"/>
      <c r="CN512" s="5"/>
      <c r="CR512" s="3"/>
      <c r="CS512" s="3"/>
      <c r="CT512" s="5"/>
      <c r="CV512" s="3"/>
      <c r="DR512" s="5"/>
      <c r="DT512" s="3"/>
      <c r="EF512" s="7"/>
      <c r="EG512" s="7"/>
      <c r="EJ512" s="4"/>
      <c r="EK512" s="4"/>
      <c r="EU512" s="2"/>
      <c r="EV512" s="2"/>
    </row>
    <row r="513" spans="63:152">
      <c r="BK513" s="3"/>
      <c r="BL513" s="3"/>
      <c r="CJ513" s="5"/>
      <c r="CK513" s="5"/>
      <c r="CL513" s="3"/>
      <c r="CN513" s="5"/>
      <c r="CR513" s="3"/>
      <c r="CS513" s="3"/>
      <c r="CT513" s="5"/>
      <c r="CV513" s="3"/>
      <c r="DR513" s="5"/>
      <c r="DT513" s="3"/>
      <c r="EF513" s="7"/>
      <c r="EG513" s="7"/>
      <c r="EJ513" s="4"/>
      <c r="EK513" s="4"/>
      <c r="EU513" s="2"/>
      <c r="EV513" s="2"/>
    </row>
    <row r="514" spans="63:152">
      <c r="BK514" s="3"/>
      <c r="BL514" s="3"/>
      <c r="CJ514" s="5"/>
      <c r="CK514" s="5"/>
      <c r="CL514" s="3"/>
      <c r="CN514" s="5"/>
      <c r="CR514" s="3"/>
      <c r="CS514" s="3"/>
      <c r="CT514" s="5"/>
      <c r="CV514" s="3"/>
      <c r="DR514" s="5"/>
      <c r="DT514" s="3"/>
      <c r="EF514" s="7"/>
      <c r="EG514" s="7"/>
      <c r="EJ514" s="4"/>
      <c r="EK514" s="4"/>
      <c r="EU514" s="2"/>
      <c r="EV514" s="2"/>
    </row>
    <row r="515" spans="63:152">
      <c r="BK515" s="3"/>
      <c r="BL515" s="3"/>
      <c r="CJ515" s="5"/>
      <c r="CK515" s="5"/>
      <c r="CL515" s="3"/>
      <c r="CN515" s="5"/>
      <c r="CR515" s="3"/>
      <c r="CS515" s="3"/>
      <c r="CT515" s="5"/>
      <c r="CV515" s="3"/>
      <c r="DR515" s="5"/>
      <c r="DT515" s="3"/>
      <c r="EF515" s="7"/>
      <c r="EG515" s="7"/>
      <c r="EJ515" s="4"/>
      <c r="EK515" s="4"/>
      <c r="EU515" s="2"/>
      <c r="EV515" s="2"/>
    </row>
    <row r="516" spans="63:152">
      <c r="BK516" s="3"/>
      <c r="BL516" s="3"/>
      <c r="CJ516" s="5"/>
      <c r="CK516" s="5"/>
      <c r="CL516" s="3"/>
      <c r="CN516" s="5"/>
      <c r="CR516" s="3"/>
      <c r="CS516" s="3"/>
      <c r="CT516" s="5"/>
      <c r="CV516" s="3"/>
      <c r="DR516" s="5"/>
      <c r="DT516" s="3"/>
      <c r="EF516" s="7"/>
      <c r="EG516" s="7"/>
      <c r="EJ516" s="4"/>
      <c r="EK516" s="4"/>
      <c r="EU516" s="2"/>
      <c r="EV516" s="2"/>
    </row>
    <row r="517" spans="63:152">
      <c r="BK517" s="3"/>
      <c r="BL517" s="3"/>
      <c r="CJ517" s="5"/>
      <c r="CK517" s="5"/>
      <c r="CL517" s="3"/>
      <c r="CN517" s="5"/>
      <c r="CR517" s="3"/>
      <c r="CS517" s="3"/>
      <c r="CT517" s="5"/>
      <c r="CV517" s="3"/>
      <c r="DR517" s="5"/>
      <c r="DT517" s="3"/>
      <c r="EF517" s="7"/>
      <c r="EG517" s="7"/>
      <c r="EJ517" s="4"/>
      <c r="EK517" s="4"/>
      <c r="EU517" s="2"/>
      <c r="EV517" s="2"/>
    </row>
    <row r="518" spans="63:152">
      <c r="BK518" s="3"/>
      <c r="BL518" s="3"/>
      <c r="CJ518" s="5"/>
      <c r="CK518" s="5"/>
      <c r="CL518" s="3"/>
      <c r="CN518" s="5"/>
      <c r="CR518" s="3"/>
      <c r="CS518" s="3"/>
      <c r="CT518" s="5"/>
      <c r="CV518" s="3"/>
      <c r="DR518" s="5"/>
      <c r="DT518" s="3"/>
      <c r="EF518" s="7"/>
      <c r="EG518" s="7"/>
      <c r="EJ518" s="4"/>
      <c r="EK518" s="4"/>
      <c r="EU518" s="2"/>
      <c r="EV518" s="2"/>
    </row>
    <row r="519" spans="63:152">
      <c r="BK519" s="3"/>
      <c r="BL519" s="3"/>
      <c r="CJ519" s="5"/>
      <c r="CK519" s="5"/>
      <c r="CL519" s="3"/>
      <c r="CN519" s="5"/>
      <c r="CR519" s="3"/>
      <c r="CS519" s="3"/>
      <c r="CT519" s="5"/>
      <c r="CV519" s="3"/>
      <c r="DR519" s="5"/>
      <c r="DT519" s="3"/>
      <c r="EF519" s="7"/>
      <c r="EG519" s="7"/>
      <c r="EJ519" s="4"/>
      <c r="EK519" s="4"/>
      <c r="EU519" s="2"/>
      <c r="EV519" s="2"/>
    </row>
    <row r="520" spans="63:152">
      <c r="BK520" s="3"/>
      <c r="BL520" s="3"/>
      <c r="CJ520" s="5"/>
      <c r="CK520" s="5"/>
      <c r="CL520" s="3"/>
      <c r="CN520" s="5"/>
      <c r="CR520" s="3"/>
      <c r="CS520" s="3"/>
      <c r="CT520" s="5"/>
      <c r="CV520" s="3"/>
      <c r="DR520" s="5"/>
      <c r="DT520" s="3"/>
      <c r="EF520" s="7"/>
      <c r="EG520" s="7"/>
      <c r="EJ520" s="4"/>
      <c r="EK520" s="4"/>
      <c r="EU520" s="2"/>
      <c r="EV520" s="2"/>
    </row>
    <row r="521" spans="63:152">
      <c r="BK521" s="3"/>
      <c r="BL521" s="3"/>
      <c r="CJ521" s="5"/>
      <c r="CK521" s="5"/>
      <c r="CL521" s="3"/>
      <c r="CN521" s="5"/>
      <c r="CR521" s="3"/>
      <c r="CS521" s="3"/>
      <c r="CT521" s="5"/>
      <c r="CV521" s="3"/>
      <c r="DR521" s="5"/>
      <c r="DT521" s="3"/>
      <c r="EF521" s="7"/>
      <c r="EG521" s="7"/>
      <c r="EJ521" s="4"/>
      <c r="EK521" s="4"/>
      <c r="EU521" s="2"/>
      <c r="EV521" s="2"/>
    </row>
    <row r="522" spans="63:152">
      <c r="BK522" s="3"/>
      <c r="BL522" s="3"/>
      <c r="CJ522" s="5"/>
      <c r="CK522" s="5"/>
      <c r="CL522" s="3"/>
      <c r="CN522" s="5"/>
      <c r="CR522" s="3"/>
      <c r="CS522" s="3"/>
      <c r="CT522" s="5"/>
      <c r="CV522" s="3"/>
      <c r="DR522" s="5"/>
      <c r="DT522" s="3"/>
      <c r="EF522" s="7"/>
      <c r="EG522" s="7"/>
      <c r="EJ522" s="4"/>
      <c r="EK522" s="4"/>
      <c r="EU522" s="2"/>
      <c r="EV522" s="2"/>
    </row>
    <row r="523" spans="63:152">
      <c r="BK523" s="3"/>
      <c r="BL523" s="3"/>
      <c r="CJ523" s="5"/>
      <c r="CK523" s="5"/>
      <c r="CL523" s="3"/>
      <c r="CN523" s="5"/>
      <c r="CR523" s="3"/>
      <c r="CS523" s="3"/>
      <c r="CT523" s="5"/>
      <c r="CV523" s="3"/>
      <c r="DR523" s="5"/>
      <c r="DT523" s="3"/>
      <c r="EF523" s="7"/>
      <c r="EG523" s="7"/>
      <c r="EJ523" s="4"/>
      <c r="EK523" s="4"/>
      <c r="EU523" s="2"/>
      <c r="EV523" s="2"/>
    </row>
    <row r="524" spans="63:152">
      <c r="BK524" s="3"/>
      <c r="BL524" s="3"/>
      <c r="CJ524" s="5"/>
      <c r="CK524" s="5"/>
      <c r="CL524" s="3"/>
      <c r="CN524" s="5"/>
      <c r="CR524" s="3"/>
      <c r="CS524" s="3"/>
      <c r="CT524" s="5"/>
      <c r="CV524" s="3"/>
      <c r="DR524" s="5"/>
      <c r="DT524" s="3"/>
      <c r="EF524" s="7"/>
      <c r="EG524" s="7"/>
      <c r="EJ524" s="4"/>
      <c r="EK524" s="4"/>
      <c r="EU524" s="2"/>
      <c r="EV524" s="2"/>
    </row>
  </sheetData>
  <sheetProtection insertColumns="0" insertRows="0" insertHyperlinks="0" deleteRows="0" sort="0" autoFilter="0" pivotTables="0"/>
  <conditionalFormatting sqref="AJ16:AJ418 AE16:AE418 X16:X418 V16:V418 T16:T418 Z16:AB418">
    <cfRule type="cellIs" dxfId="68" priority="6" operator="equal">
      <formula>"Review"</formula>
    </cfRule>
  </conditionalFormatting>
  <conditionalFormatting sqref="AR16:AR418 AP16:AP418 AM16:AM418 AJ16:AJ418 AE16:AE418 X16:X418 V16:V418 T16:T418 Z16:AB418">
    <cfRule type="cellIs" dxfId="67" priority="7" operator="equal">
      <formula>"Not Required"</formula>
    </cfRule>
    <cfRule type="cellIs" dxfId="66" priority="9" operator="equal">
      <formula>"Rejected"</formula>
    </cfRule>
  </conditionalFormatting>
  <conditionalFormatting sqref="AR16:AR418 AP16:AP418 AM16:AM418 AJ16:AJ418 AE16:AE418 X16:X418 V16:V418 T16:T418 Z16:AB418">
    <cfRule type="cellIs" dxfId="65" priority="10" operator="equal">
      <formula>"OK"</formula>
    </cfRule>
  </conditionalFormatting>
  <conditionalFormatting sqref="BB16:BB418">
    <cfRule type="cellIs" dxfId="64" priority="4" operator="lessThanOrEqual">
      <formula>1</formula>
    </cfRule>
    <cfRule type="cellIs" dxfId="63" priority="5" operator="greaterThan">
      <formula>1</formula>
    </cfRule>
  </conditionalFormatting>
  <conditionalFormatting sqref="AJ16:AJ418 AE16:AE418 Z16:Z418 X16:X418 V16:V418 T16:T418">
    <cfRule type="cellIs" dxfId="62" priority="1" operator="equal">
      <formula>"OK with Flag"</formula>
    </cfRule>
  </conditionalFormatting>
  <conditionalFormatting sqref="BA16:BA418">
    <cfRule type="colorScale" priority="1466">
      <colorScale>
        <cfvo type="min"/>
        <cfvo type="num" val="20"/>
        <cfvo type="num" val="50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D13" xr:uid="{00000000-0002-0000-0200-000003000000}">
      <formula1>$F$8:$J$8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1BEA-1EFF-41D8-A4CA-6AA5BD592042}">
  <sheetPr>
    <tabColor rgb="FFFFFF00"/>
  </sheetPr>
  <dimension ref="A3:B15"/>
  <sheetViews>
    <sheetView workbookViewId="0">
      <selection activeCell="D34" sqref="D34"/>
    </sheetView>
  </sheetViews>
  <sheetFormatPr defaultRowHeight="14.5"/>
  <cols>
    <col min="1" max="1" width="12.6328125" bestFit="1" customWidth="1"/>
    <col min="2" max="2" width="14.1796875" style="1" bestFit="1" customWidth="1"/>
  </cols>
  <sheetData>
    <row r="3" spans="1:2">
      <c r="A3" s="109" t="s">
        <v>1498</v>
      </c>
      <c r="B3" s="1" t="s">
        <v>1467</v>
      </c>
    </row>
    <row r="4" spans="1:2">
      <c r="A4" s="110" t="s">
        <v>24</v>
      </c>
      <c r="B4" s="1">
        <v>400</v>
      </c>
    </row>
    <row r="5" spans="1:2">
      <c r="A5" s="110" t="s">
        <v>1466</v>
      </c>
      <c r="B5" s="1">
        <v>400</v>
      </c>
    </row>
    <row r="6" spans="1:2">
      <c r="B6"/>
    </row>
    <row r="7" spans="1:2">
      <c r="B7"/>
    </row>
    <row r="8" spans="1:2">
      <c r="B8"/>
    </row>
    <row r="9" spans="1:2">
      <c r="B9"/>
    </row>
    <row r="10" spans="1:2">
      <c r="B10"/>
    </row>
    <row r="15" spans="1:2" ht="13.5" customHeight="1"/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.xml>�� 
</file>

<file path=customXml/itemProps1.xml><?xml version="1.0" encoding="utf-8"?>
<ds:datastoreItem xmlns:ds="http://schemas.openxmlformats.org/officeDocument/2006/customXml" ds:itemID="{07729D1E-69B8-481A-980F-13E1DB8646B5}">
  <ds:schemaRefs>
    <ds:schemaRef ds:uri="7a19e65e-9de7-40b1-ad12-4e6965d24380"/>
    <ds:schemaRef ds:uri="http://purl.org/dc/elements/1.1/"/>
    <ds:schemaRef ds:uri="http://www.w3.org/XML/1998/namespace"/>
    <ds:schemaRef ds:uri="http://schemas.microsoft.com/office/2006/documentManagement/types"/>
    <ds:schemaRef ds:uri="a390e121-60b8-4fd2-9983-43b87f4d3957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E783F6B9-E25C-45FE-9394-2D05B9923858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AF68036-B111-4B4B-A4C7-E14E2942DCD7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Handover Notice</vt:lpstr>
      <vt:lpstr>Validation</vt:lpstr>
      <vt:lpstr>Pivot Graph1</vt:lpstr>
      <vt:lpstr>'Handover Notice'!Print_Area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cp:lastPrinted>2019-01-28T10:27:03Z</cp:lastPrinted>
  <dcterms:created xsi:type="dcterms:W3CDTF">2018-03-13T03:44:43Z</dcterms:created>
  <dcterms:modified xsi:type="dcterms:W3CDTF">2019-01-28T11:35:52Z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{AAF68036-B111-4B4B-A4C7-E14E2942DCD7}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