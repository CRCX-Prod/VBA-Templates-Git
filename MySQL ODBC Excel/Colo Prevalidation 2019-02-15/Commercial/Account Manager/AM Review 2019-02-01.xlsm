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Commercial\Account Manager\"/>
    </mc:Choice>
  </mc:AlternateContent>
  <xr:revisionPtr revIDLastSave="22" documentId="8_{20663D99-B2EA-421E-815E-F42E8B626F90}" xr6:coauthVersionLast="40" xr6:coauthVersionMax="40" xr10:uidLastSave="{5E84E9C2-69F2-40B2-A839-4F4CA4DEDE8E}"/>
  <bookViews>
    <workbookView xWindow="28680" yWindow="-120" windowWidth="29040" windowHeight="16440" tabRatio="710" firstSheet="2" activeTab="2" xr2:uid="{00000000-000D-0000-FFFF-FFFF00000000}"/>
  </bookViews>
  <sheets>
    <sheet name="Main" sheetId="19" state="hidden" r:id="rId1"/>
    <sheet name="Space Dashboard" sheetId="78" state="hidden" r:id="rId2"/>
    <sheet name="Validation" sheetId="70" r:id="rId3"/>
    <sheet name="File Extension" sheetId="80" r:id="rId4"/>
  </sheets>
  <functionGroups builtInGroupCount="19"/>
  <definedNames>
    <definedName name="_xlnm._FilterDatabase" localSheetId="3" hidden="1">'File Extension'!#REF!</definedName>
    <definedName name="_xlnm._FilterDatabase" localSheetId="2" hidden="1">Validation!#REF!</definedName>
    <definedName name="ExternalData_1" localSheetId="0" hidden="1">Main!#REF!</definedName>
    <definedName name="ExternalData_2" localSheetId="0" hidden="1">Main!#REF!</definedName>
    <definedName name="Version">Main!$F$6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5" i="70" l="1"/>
  <c r="V4" i="70"/>
  <c r="AQ14" i="70"/>
  <c r="AD14" i="70" l="1"/>
  <c r="AC14" i="70"/>
  <c r="AB14" i="70"/>
  <c r="AA14" i="70"/>
  <c r="Z14" i="70"/>
  <c r="Q4" i="70" l="1"/>
  <c r="Q5" i="70" s="1"/>
  <c r="I14" i="80" l="1"/>
  <c r="H14" i="80"/>
  <c r="G14" i="80"/>
  <c r="F14" i="80"/>
  <c r="E14" i="80"/>
  <c r="D14" i="80"/>
  <c r="C14" i="80"/>
  <c r="B14" i="80"/>
  <c r="A4" i="80"/>
  <c r="B8" i="80" l="1"/>
  <c r="B7" i="80" s="1"/>
  <c r="A7" i="70"/>
  <c r="U4" i="70" l="1"/>
  <c r="U5" i="70" s="1"/>
  <c r="T5" i="70" l="1"/>
  <c r="I9" i="70" l="1"/>
  <c r="H9" i="70"/>
  <c r="G9" i="70"/>
  <c r="F9" i="70"/>
  <c r="E9" i="70"/>
  <c r="J9" i="70" l="1"/>
  <c r="C13" i="70" s="1"/>
  <c r="B8" i="70" l="1"/>
  <c r="B7" i="70" s="1"/>
  <c r="AR14" i="70"/>
  <c r="AS14" i="70"/>
  <c r="AT14" i="70"/>
  <c r="AU14" i="70"/>
  <c r="AV14" i="70"/>
  <c r="AW14" i="70"/>
  <c r="AX14" i="70"/>
  <c r="L4" i="70" l="1"/>
  <c r="L5" i="70" s="1"/>
  <c r="L14" i="70"/>
  <c r="K14" i="70"/>
  <c r="AE14" i="70" l="1"/>
  <c r="AF14" i="70"/>
  <c r="AG14" i="70"/>
  <c r="S4" i="70" l="1"/>
  <c r="S5" i="70" s="1"/>
  <c r="R4" i="70" l="1"/>
  <c r="R5" i="70" s="1"/>
  <c r="P4" i="70" l="1"/>
  <c r="P5" i="70" s="1"/>
  <c r="O4" i="70" l="1"/>
  <c r="O5" i="70" s="1"/>
  <c r="N4" i="70"/>
  <c r="N5" i="70" s="1"/>
  <c r="M4" i="70"/>
  <c r="M5" i="70" s="1"/>
  <c r="K4" i="70"/>
  <c r="K5" i="70" s="1"/>
  <c r="J4" i="70"/>
  <c r="J5" i="70" s="1"/>
  <c r="I4" i="70"/>
  <c r="I5" i="70" s="1"/>
  <c r="H4" i="70"/>
  <c r="H5" i="70" s="1"/>
  <c r="G4" i="70"/>
  <c r="G5" i="70" s="1"/>
  <c r="C14" i="70"/>
  <c r="D14" i="70"/>
  <c r="E14" i="70"/>
  <c r="F14" i="70"/>
  <c r="G14" i="70"/>
  <c r="H14" i="70"/>
  <c r="I14" i="70"/>
  <c r="J14" i="70"/>
  <c r="M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AH14" i="70"/>
  <c r="AI14" i="70"/>
  <c r="AJ14" i="70"/>
  <c r="AK14" i="70"/>
  <c r="AL14" i="70"/>
  <c r="AM14" i="70"/>
  <c r="AN14" i="70"/>
  <c r="AO14" i="70"/>
  <c r="AP14" i="70"/>
  <c r="B14" i="70"/>
  <c r="E15" i="78" l="1"/>
  <c r="E14" i="78"/>
  <c r="E13" i="78"/>
  <c r="E12" i="78"/>
  <c r="E11" i="78"/>
  <c r="E10" i="78"/>
  <c r="E9" i="78"/>
  <c r="C6" i="78"/>
  <c r="C15" i="78"/>
  <c r="C14" i="78"/>
  <c r="C13" i="78"/>
  <c r="C12" i="78"/>
  <c r="C11" i="78"/>
  <c r="C10" i="78"/>
  <c r="C9" i="78"/>
  <c r="R4" i="78"/>
  <c r="R6" i="78" s="1"/>
  <c r="P4" i="78"/>
  <c r="P6" i="78" s="1"/>
  <c r="N4" i="78"/>
  <c r="N9" i="78" s="1"/>
  <c r="L4" i="78"/>
  <c r="L14" i="78" s="1"/>
  <c r="J4" i="78"/>
  <c r="J6" i="78" s="1"/>
  <c r="H4" i="78"/>
  <c r="Q4" i="78"/>
  <c r="Q6" i="78" s="1"/>
  <c r="O4" i="78"/>
  <c r="O6" i="78" s="1"/>
  <c r="M4" i="78"/>
  <c r="M6" i="78" s="1"/>
  <c r="K4" i="78"/>
  <c r="K11" i="78" s="1"/>
  <c r="I4" i="78"/>
  <c r="G4" i="78"/>
  <c r="G13" i="78" s="1"/>
  <c r="I6" i="78" l="1"/>
  <c r="H9" i="78"/>
  <c r="Q15" i="78"/>
  <c r="H14" i="78"/>
  <c r="P10" i="78"/>
  <c r="I15" i="78"/>
  <c r="O13" i="78"/>
  <c r="L10" i="78"/>
  <c r="P14" i="78"/>
  <c r="K13" i="78"/>
  <c r="H10" i="78"/>
  <c r="N12" i="78"/>
  <c r="G12" i="78"/>
  <c r="G9" i="78"/>
  <c r="Q11" i="78"/>
  <c r="O9" i="78"/>
  <c r="J12" i="78"/>
  <c r="M11" i="78"/>
  <c r="I11" i="78"/>
  <c r="K9" i="78"/>
  <c r="L6" i="78"/>
  <c r="G15" i="78"/>
  <c r="G11" i="78"/>
  <c r="P15" i="78"/>
  <c r="L15" i="78"/>
  <c r="H15" i="78"/>
  <c r="O14" i="78"/>
  <c r="K14" i="78"/>
  <c r="R13" i="78"/>
  <c r="N13" i="78"/>
  <c r="J13" i="78"/>
  <c r="Q12" i="78"/>
  <c r="M12" i="78"/>
  <c r="I12" i="78"/>
  <c r="P11" i="78"/>
  <c r="L11" i="78"/>
  <c r="H11" i="78"/>
  <c r="O10" i="78"/>
  <c r="K10" i="78"/>
  <c r="R9" i="78"/>
  <c r="J9" i="78"/>
  <c r="M15" i="78"/>
  <c r="R12" i="78"/>
  <c r="N6" i="78"/>
  <c r="G14" i="78"/>
  <c r="G10" i="78"/>
  <c r="O15" i="78"/>
  <c r="K15" i="78"/>
  <c r="R14" i="78"/>
  <c r="N14" i="78"/>
  <c r="J14" i="78"/>
  <c r="Q13" i="78"/>
  <c r="M13" i="78"/>
  <c r="I13" i="78"/>
  <c r="P12" i="78"/>
  <c r="L12" i="78"/>
  <c r="H12" i="78"/>
  <c r="O11" i="78"/>
  <c r="R10" i="78"/>
  <c r="N10" i="78"/>
  <c r="J10" i="78"/>
  <c r="Q9" i="78"/>
  <c r="M9" i="78"/>
  <c r="I9" i="78"/>
  <c r="K6" i="78"/>
  <c r="R15" i="78"/>
  <c r="N15" i="78"/>
  <c r="J15" i="78"/>
  <c r="Q14" i="78"/>
  <c r="M14" i="78"/>
  <c r="I14" i="78"/>
  <c r="P13" i="78"/>
  <c r="L13" i="78"/>
  <c r="H13" i="78"/>
  <c r="O12" i="78"/>
  <c r="K12" i="78"/>
  <c r="R11" i="78"/>
  <c r="N11" i="78"/>
  <c r="J11" i="78"/>
  <c r="Q10" i="78"/>
  <c r="M10" i="78"/>
  <c r="I10" i="78"/>
  <c r="P9" i="78"/>
  <c r="L9" i="78"/>
  <c r="H6" i="78"/>
  <c r="G6" i="78"/>
  <c r="O16" i="78" l="1"/>
  <c r="N16" i="78"/>
  <c r="K16" i="78"/>
  <c r="P16" i="78"/>
  <c r="Q16" i="78"/>
  <c r="J16" i="78"/>
  <c r="R16" i="78"/>
  <c r="M16" i="78"/>
  <c r="H16" i="78"/>
  <c r="G16" i="78"/>
  <c r="I16" i="78"/>
  <c r="L16" i="78"/>
  <c r="M18" i="78"/>
  <c r="M20" i="78"/>
  <c r="M22" i="78"/>
  <c r="M24" i="78"/>
  <c r="M26" i="78"/>
  <c r="M28" i="78"/>
  <c r="M30" i="78"/>
  <c r="M32" i="78"/>
  <c r="M34" i="78"/>
  <c r="M36" i="78"/>
  <c r="M38" i="78"/>
  <c r="M40" i="78"/>
  <c r="M42" i="78"/>
  <c r="M44" i="78"/>
  <c r="M46" i="78"/>
  <c r="M48" i="78"/>
  <c r="M50" i="78"/>
  <c r="M19" i="78"/>
  <c r="M21" i="78"/>
  <c r="M23" i="78"/>
  <c r="M25" i="78"/>
  <c r="M27" i="78"/>
  <c r="M29" i="78"/>
  <c r="M31" i="78"/>
  <c r="M33" i="78"/>
  <c r="M35" i="78"/>
  <c r="M37" i="78"/>
  <c r="M39" i="78"/>
  <c r="M41" i="78"/>
  <c r="M43" i="78"/>
  <c r="M45" i="78"/>
  <c r="M47" i="78"/>
  <c r="M49" i="78"/>
  <c r="M51" i="78"/>
  <c r="M52" i="78"/>
  <c r="M54" i="78"/>
  <c r="M56" i="78"/>
  <c r="M58" i="78"/>
  <c r="M60" i="78"/>
  <c r="M62" i="78"/>
  <c r="M64" i="78"/>
  <c r="M66" i="78"/>
  <c r="M68" i="78"/>
  <c r="M70" i="78"/>
  <c r="M72" i="78"/>
  <c r="M74" i="78"/>
  <c r="M76" i="78"/>
  <c r="M53" i="78"/>
  <c r="M55" i="78"/>
  <c r="M57" i="78"/>
  <c r="M59" i="78"/>
  <c r="M61" i="78"/>
  <c r="M63" i="78"/>
  <c r="M65" i="78"/>
  <c r="M67" i="78"/>
  <c r="M69" i="78"/>
  <c r="M71" i="78"/>
  <c r="M73" i="78"/>
  <c r="M75" i="78"/>
  <c r="M77" i="78"/>
  <c r="J18" i="78"/>
  <c r="J20" i="78"/>
  <c r="J22" i="78"/>
  <c r="J24" i="78"/>
  <c r="J26" i="78"/>
  <c r="J28" i="78"/>
  <c r="J30" i="78"/>
  <c r="J32" i="78"/>
  <c r="J34" i="78"/>
  <c r="J36" i="78"/>
  <c r="J38" i="78"/>
  <c r="J40" i="78"/>
  <c r="J42" i="78"/>
  <c r="J44" i="78"/>
  <c r="J46" i="78"/>
  <c r="J48" i="78"/>
  <c r="J50" i="78"/>
  <c r="J23" i="78"/>
  <c r="J31" i="78"/>
  <c r="J39" i="78"/>
  <c r="J47" i="78"/>
  <c r="J25" i="78"/>
  <c r="J33" i="78"/>
  <c r="J41" i="78"/>
  <c r="J49" i="78"/>
  <c r="J52" i="78"/>
  <c r="J54" i="78"/>
  <c r="J56" i="78"/>
  <c r="J58" i="78"/>
  <c r="J60" i="78"/>
  <c r="J62" i="78"/>
  <c r="J64" i="78"/>
  <c r="J66" i="78"/>
  <c r="J68" i="78"/>
  <c r="J70" i="78"/>
  <c r="J72" i="78"/>
  <c r="J74" i="78"/>
  <c r="J76" i="78"/>
  <c r="J19" i="78"/>
  <c r="J27" i="78"/>
  <c r="J35" i="78"/>
  <c r="J43" i="78"/>
  <c r="J45" i="78"/>
  <c r="J51" i="78"/>
  <c r="J53" i="78"/>
  <c r="J61" i="78"/>
  <c r="J69" i="78"/>
  <c r="J21" i="78"/>
  <c r="J55" i="78"/>
  <c r="J63" i="78"/>
  <c r="J71" i="78"/>
  <c r="J77" i="78"/>
  <c r="J37" i="78"/>
  <c r="J59" i="78"/>
  <c r="J67" i="78"/>
  <c r="J75" i="78"/>
  <c r="J29" i="78"/>
  <c r="J57" i="78"/>
  <c r="J65" i="78"/>
  <c r="J73" i="78"/>
  <c r="Q18" i="78"/>
  <c r="Q20" i="78"/>
  <c r="Q22" i="78"/>
  <c r="Q24" i="78"/>
  <c r="Q26" i="78"/>
  <c r="Q28" i="78"/>
  <c r="Q30" i="78"/>
  <c r="Q32" i="78"/>
  <c r="Q34" i="78"/>
  <c r="Q36" i="78"/>
  <c r="Q38" i="78"/>
  <c r="Q40" i="78"/>
  <c r="Q42" i="78"/>
  <c r="Q44" i="78"/>
  <c r="Q46" i="78"/>
  <c r="Q48" i="78"/>
  <c r="Q50" i="78"/>
  <c r="Q19" i="78"/>
  <c r="Q21" i="78"/>
  <c r="Q23" i="78"/>
  <c r="Q25" i="78"/>
  <c r="Q27" i="78"/>
  <c r="Q29" i="78"/>
  <c r="Q31" i="78"/>
  <c r="Q33" i="78"/>
  <c r="Q35" i="78"/>
  <c r="Q37" i="78"/>
  <c r="Q39" i="78"/>
  <c r="Q41" i="78"/>
  <c r="Q43" i="78"/>
  <c r="Q45" i="78"/>
  <c r="Q47" i="78"/>
  <c r="Q49" i="78"/>
  <c r="Q51" i="78"/>
  <c r="Q52" i="78"/>
  <c r="Q54" i="78"/>
  <c r="Q56" i="78"/>
  <c r="Q58" i="78"/>
  <c r="Q60" i="78"/>
  <c r="Q62" i="78"/>
  <c r="Q64" i="78"/>
  <c r="Q66" i="78"/>
  <c r="Q68" i="78"/>
  <c r="Q70" i="78"/>
  <c r="Q72" i="78"/>
  <c r="Q74" i="78"/>
  <c r="Q76" i="78"/>
  <c r="Q53" i="78"/>
  <c r="Q55" i="78"/>
  <c r="Q57" i="78"/>
  <c r="Q59" i="78"/>
  <c r="Q61" i="78"/>
  <c r="Q63" i="78"/>
  <c r="Q65" i="78"/>
  <c r="Q67" i="78"/>
  <c r="Q69" i="78"/>
  <c r="Q71" i="78"/>
  <c r="Q73" i="78"/>
  <c r="Q75" i="78"/>
  <c r="Q77" i="78"/>
  <c r="N18" i="78"/>
  <c r="N20" i="78"/>
  <c r="N22" i="78"/>
  <c r="N24" i="78"/>
  <c r="N26" i="78"/>
  <c r="N28" i="78"/>
  <c r="N30" i="78"/>
  <c r="N32" i="78"/>
  <c r="N34" i="78"/>
  <c r="N36" i="78"/>
  <c r="N38" i="78"/>
  <c r="N40" i="78"/>
  <c r="N42" i="78"/>
  <c r="N44" i="78"/>
  <c r="N46" i="78"/>
  <c r="N48" i="78"/>
  <c r="N50" i="78"/>
  <c r="N21" i="78"/>
  <c r="N29" i="78"/>
  <c r="N37" i="78"/>
  <c r="N45" i="78"/>
  <c r="N23" i="78"/>
  <c r="N31" i="78"/>
  <c r="N39" i="78"/>
  <c r="N47" i="78"/>
  <c r="N51" i="78"/>
  <c r="N52" i="78"/>
  <c r="N54" i="78"/>
  <c r="N56" i="78"/>
  <c r="N58" i="78"/>
  <c r="N60" i="78"/>
  <c r="N62" i="78"/>
  <c r="N64" i="78"/>
  <c r="N66" i="78"/>
  <c r="N68" i="78"/>
  <c r="N70" i="78"/>
  <c r="N72" i="78"/>
  <c r="N74" i="78"/>
  <c r="N76" i="78"/>
  <c r="N25" i="78"/>
  <c r="N33" i="78"/>
  <c r="N41" i="78"/>
  <c r="N49" i="78"/>
  <c r="N19" i="78"/>
  <c r="N59" i="78"/>
  <c r="N67" i="78"/>
  <c r="N75" i="78"/>
  <c r="N77" i="78"/>
  <c r="N27" i="78"/>
  <c r="N53" i="78"/>
  <c r="N61" i="78"/>
  <c r="N69" i="78"/>
  <c r="N43" i="78"/>
  <c r="N57" i="78"/>
  <c r="N65" i="78"/>
  <c r="N73" i="78"/>
  <c r="N35" i="78"/>
  <c r="N55" i="78"/>
  <c r="N63" i="78"/>
  <c r="N71" i="78"/>
  <c r="K19" i="78"/>
  <c r="K21" i="78"/>
  <c r="K23" i="78"/>
  <c r="K25" i="78"/>
  <c r="K27" i="78"/>
  <c r="K29" i="78"/>
  <c r="K31" i="78"/>
  <c r="K33" i="78"/>
  <c r="K35" i="78"/>
  <c r="K37" i="78"/>
  <c r="K39" i="78"/>
  <c r="K41" i="78"/>
  <c r="K43" i="78"/>
  <c r="K45" i="78"/>
  <c r="K47" i="78"/>
  <c r="K49" i="78"/>
  <c r="K51" i="78"/>
  <c r="K18" i="78"/>
  <c r="K20" i="78"/>
  <c r="K22" i="78"/>
  <c r="K24" i="78"/>
  <c r="K26" i="78"/>
  <c r="K28" i="78"/>
  <c r="K30" i="78"/>
  <c r="K32" i="78"/>
  <c r="K34" i="78"/>
  <c r="K36" i="78"/>
  <c r="K38" i="78"/>
  <c r="K40" i="78"/>
  <c r="K42" i="78"/>
  <c r="K44" i="78"/>
  <c r="K46" i="78"/>
  <c r="K48" i="78"/>
  <c r="K50" i="78"/>
  <c r="K53" i="78"/>
  <c r="K55" i="78"/>
  <c r="K57" i="78"/>
  <c r="K59" i="78"/>
  <c r="K61" i="78"/>
  <c r="K63" i="78"/>
  <c r="K65" i="78"/>
  <c r="K67" i="78"/>
  <c r="K69" i="78"/>
  <c r="K71" i="78"/>
  <c r="K73" i="78"/>
  <c r="K75" i="78"/>
  <c r="K77" i="78"/>
  <c r="K52" i="78"/>
  <c r="K54" i="78"/>
  <c r="K56" i="78"/>
  <c r="K58" i="78"/>
  <c r="K60" i="78"/>
  <c r="K62" i="78"/>
  <c r="K64" i="78"/>
  <c r="K66" i="78"/>
  <c r="K68" i="78"/>
  <c r="K70" i="78"/>
  <c r="K72" i="78"/>
  <c r="K74" i="78"/>
  <c r="K76" i="78"/>
  <c r="L19" i="78"/>
  <c r="L21" i="78"/>
  <c r="L23" i="78"/>
  <c r="L25" i="78"/>
  <c r="L27" i="78"/>
  <c r="L29" i="78"/>
  <c r="L31" i="78"/>
  <c r="L33" i="78"/>
  <c r="L35" i="78"/>
  <c r="L37" i="78"/>
  <c r="L39" i="78"/>
  <c r="L41" i="78"/>
  <c r="L43" i="78"/>
  <c r="L45" i="78"/>
  <c r="L47" i="78"/>
  <c r="L49" i="78"/>
  <c r="L18" i="78"/>
  <c r="L26" i="78"/>
  <c r="L34" i="78"/>
  <c r="L42" i="78"/>
  <c r="L50" i="78"/>
  <c r="L51" i="78"/>
  <c r="L20" i="78"/>
  <c r="L28" i="78"/>
  <c r="L36" i="78"/>
  <c r="L44" i="78"/>
  <c r="L53" i="78"/>
  <c r="L55" i="78"/>
  <c r="L57" i="78"/>
  <c r="L59" i="78"/>
  <c r="L61" i="78"/>
  <c r="L63" i="78"/>
  <c r="L65" i="78"/>
  <c r="L67" i="78"/>
  <c r="L69" i="78"/>
  <c r="L71" i="78"/>
  <c r="L73" i="78"/>
  <c r="L75" i="78"/>
  <c r="L22" i="78"/>
  <c r="L30" i="78"/>
  <c r="L38" i="78"/>
  <c r="L46" i="78"/>
  <c r="L32" i="78"/>
  <c r="L56" i="78"/>
  <c r="L64" i="78"/>
  <c r="L72" i="78"/>
  <c r="L40" i="78"/>
  <c r="L58" i="78"/>
  <c r="L66" i="78"/>
  <c r="L74" i="78"/>
  <c r="L24" i="78"/>
  <c r="L54" i="78"/>
  <c r="L62" i="78"/>
  <c r="L70" i="78"/>
  <c r="L48" i="78"/>
  <c r="L52" i="78"/>
  <c r="L60" i="78"/>
  <c r="L68" i="78"/>
  <c r="L76" i="78"/>
  <c r="L77" i="78"/>
  <c r="R18" i="78"/>
  <c r="R20" i="78"/>
  <c r="R22" i="78"/>
  <c r="R24" i="78"/>
  <c r="R26" i="78"/>
  <c r="R28" i="78"/>
  <c r="R30" i="78"/>
  <c r="R32" i="78"/>
  <c r="R34" i="78"/>
  <c r="R36" i="78"/>
  <c r="R38" i="78"/>
  <c r="R40" i="78"/>
  <c r="R42" i="78"/>
  <c r="R44" i="78"/>
  <c r="R46" i="78"/>
  <c r="R48" i="78"/>
  <c r="R19" i="78"/>
  <c r="R27" i="78"/>
  <c r="R35" i="78"/>
  <c r="R43" i="78"/>
  <c r="R21" i="78"/>
  <c r="R29" i="78"/>
  <c r="R37" i="78"/>
  <c r="R45" i="78"/>
  <c r="R52" i="78"/>
  <c r="R54" i="78"/>
  <c r="R56" i="78"/>
  <c r="R58" i="78"/>
  <c r="R60" i="78"/>
  <c r="R62" i="78"/>
  <c r="R64" i="78"/>
  <c r="R66" i="78"/>
  <c r="R68" i="78"/>
  <c r="R70" i="78"/>
  <c r="R72" i="78"/>
  <c r="R74" i="78"/>
  <c r="R23" i="78"/>
  <c r="R31" i="78"/>
  <c r="R39" i="78"/>
  <c r="R47" i="78"/>
  <c r="R50" i="78"/>
  <c r="R25" i="78"/>
  <c r="R57" i="78"/>
  <c r="R65" i="78"/>
  <c r="R73" i="78"/>
  <c r="R76" i="78"/>
  <c r="R77" i="78"/>
  <c r="R33" i="78"/>
  <c r="R51" i="78"/>
  <c r="R59" i="78"/>
  <c r="R67" i="78"/>
  <c r="R75" i="78"/>
  <c r="R49" i="78"/>
  <c r="R55" i="78"/>
  <c r="R63" i="78"/>
  <c r="R71" i="78"/>
  <c r="R41" i="78"/>
  <c r="R53" i="78"/>
  <c r="R61" i="78"/>
  <c r="R69" i="78"/>
  <c r="O19" i="78"/>
  <c r="O21" i="78"/>
  <c r="O23" i="78"/>
  <c r="O25" i="78"/>
  <c r="O27" i="78"/>
  <c r="O29" i="78"/>
  <c r="O31" i="78"/>
  <c r="O33" i="78"/>
  <c r="O35" i="78"/>
  <c r="O37" i="78"/>
  <c r="O39" i="78"/>
  <c r="O41" i="78"/>
  <c r="O43" i="78"/>
  <c r="O45" i="78"/>
  <c r="O47" i="78"/>
  <c r="O49" i="78"/>
  <c r="O51" i="78"/>
  <c r="O18" i="78"/>
  <c r="O20" i="78"/>
  <c r="O22" i="78"/>
  <c r="O24" i="78"/>
  <c r="O26" i="78"/>
  <c r="O28" i="78"/>
  <c r="O30" i="78"/>
  <c r="O32" i="78"/>
  <c r="O34" i="78"/>
  <c r="O36" i="78"/>
  <c r="O38" i="78"/>
  <c r="O40" i="78"/>
  <c r="O42" i="78"/>
  <c r="O44" i="78"/>
  <c r="O46" i="78"/>
  <c r="O48" i="78"/>
  <c r="O50" i="78"/>
  <c r="O53" i="78"/>
  <c r="O55" i="78"/>
  <c r="O57" i="78"/>
  <c r="O59" i="78"/>
  <c r="O61" i="78"/>
  <c r="O63" i="78"/>
  <c r="O65" i="78"/>
  <c r="O67" i="78"/>
  <c r="O69" i="78"/>
  <c r="O71" i="78"/>
  <c r="O73" i="78"/>
  <c r="O75" i="78"/>
  <c r="O52" i="78"/>
  <c r="O54" i="78"/>
  <c r="O56" i="78"/>
  <c r="O58" i="78"/>
  <c r="O60" i="78"/>
  <c r="O62" i="78"/>
  <c r="O64" i="78"/>
  <c r="O66" i="78"/>
  <c r="O68" i="78"/>
  <c r="O70" i="78"/>
  <c r="O72" i="78"/>
  <c r="O74" i="78"/>
  <c r="O76" i="78"/>
  <c r="O77" i="78"/>
  <c r="P19" i="78"/>
  <c r="P21" i="78"/>
  <c r="P23" i="78"/>
  <c r="P25" i="78"/>
  <c r="P27" i="78"/>
  <c r="P29" i="78"/>
  <c r="P31" i="78"/>
  <c r="P33" i="78"/>
  <c r="P35" i="78"/>
  <c r="P37" i="78"/>
  <c r="P39" i="78"/>
  <c r="P41" i="78"/>
  <c r="P43" i="78"/>
  <c r="P45" i="78"/>
  <c r="P47" i="78"/>
  <c r="P49" i="78"/>
  <c r="P24" i="78"/>
  <c r="P32" i="78"/>
  <c r="P40" i="78"/>
  <c r="P48" i="78"/>
  <c r="P18" i="78"/>
  <c r="P26" i="78"/>
  <c r="P34" i="78"/>
  <c r="P42" i="78"/>
  <c r="P50" i="78"/>
  <c r="P53" i="78"/>
  <c r="P55" i="78"/>
  <c r="P57" i="78"/>
  <c r="P59" i="78"/>
  <c r="P61" i="78"/>
  <c r="P63" i="78"/>
  <c r="P65" i="78"/>
  <c r="P67" i="78"/>
  <c r="P69" i="78"/>
  <c r="P71" i="78"/>
  <c r="P73" i="78"/>
  <c r="P75" i="78"/>
  <c r="P20" i="78"/>
  <c r="P28" i="78"/>
  <c r="P36" i="78"/>
  <c r="P44" i="78"/>
  <c r="P51" i="78"/>
  <c r="P38" i="78"/>
  <c r="P54" i="78"/>
  <c r="P62" i="78"/>
  <c r="P70" i="78"/>
  <c r="P46" i="78"/>
  <c r="P56" i="78"/>
  <c r="P64" i="78"/>
  <c r="P72" i="78"/>
  <c r="P30" i="78"/>
  <c r="P52" i="78"/>
  <c r="P60" i="78"/>
  <c r="P68" i="78"/>
  <c r="P76" i="78"/>
  <c r="P22" i="78"/>
  <c r="P58" i="78"/>
  <c r="P66" i="78"/>
  <c r="P74" i="78"/>
  <c r="P77" i="78"/>
  <c r="I18" i="78"/>
  <c r="I20" i="78"/>
  <c r="I22" i="78"/>
  <c r="I24" i="78"/>
  <c r="I26" i="78"/>
  <c r="I28" i="78"/>
  <c r="I30" i="78"/>
  <c r="I32" i="78"/>
  <c r="I34" i="78"/>
  <c r="I36" i="78"/>
  <c r="I38" i="78"/>
  <c r="I40" i="78"/>
  <c r="I42" i="78"/>
  <c r="I44" i="78"/>
  <c r="I46" i="78"/>
  <c r="I48" i="78"/>
  <c r="I50" i="78"/>
  <c r="I19" i="78"/>
  <c r="I21" i="78"/>
  <c r="I23" i="78"/>
  <c r="I25" i="78"/>
  <c r="I27" i="78"/>
  <c r="I29" i="78"/>
  <c r="I31" i="78"/>
  <c r="I33" i="78"/>
  <c r="I35" i="78"/>
  <c r="I37" i="78"/>
  <c r="I39" i="78"/>
  <c r="I41" i="78"/>
  <c r="I43" i="78"/>
  <c r="I45" i="78"/>
  <c r="I47" i="78"/>
  <c r="I49" i="78"/>
  <c r="I51" i="78"/>
  <c r="I52" i="78"/>
  <c r="I54" i="78"/>
  <c r="I56" i="78"/>
  <c r="I58" i="78"/>
  <c r="I60" i="78"/>
  <c r="I62" i="78"/>
  <c r="I64" i="78"/>
  <c r="I66" i="78"/>
  <c r="I68" i="78"/>
  <c r="I70" i="78"/>
  <c r="I72" i="78"/>
  <c r="I74" i="78"/>
  <c r="I76" i="78"/>
  <c r="I53" i="78"/>
  <c r="I55" i="78"/>
  <c r="I57" i="78"/>
  <c r="I59" i="78"/>
  <c r="I61" i="78"/>
  <c r="I63" i="78"/>
  <c r="I65" i="78"/>
  <c r="I67" i="78"/>
  <c r="I69" i="78"/>
  <c r="I71" i="78"/>
  <c r="I73" i="78"/>
  <c r="I75" i="78"/>
  <c r="I77" i="78"/>
  <c r="G19" i="78"/>
  <c r="G23" i="78"/>
  <c r="G27" i="78"/>
  <c r="G31" i="78"/>
  <c r="G35" i="78"/>
  <c r="G39" i="78"/>
  <c r="G43" i="78"/>
  <c r="G47" i="78"/>
  <c r="G51" i="78"/>
  <c r="G55" i="78"/>
  <c r="G59" i="78"/>
  <c r="G63" i="78"/>
  <c r="G67" i="78"/>
  <c r="G71" i="78"/>
  <c r="G75" i="78"/>
  <c r="G18" i="78"/>
  <c r="G20" i="78"/>
  <c r="G24" i="78"/>
  <c r="G28" i="78"/>
  <c r="G32" i="78"/>
  <c r="G36" i="78"/>
  <c r="G40" i="78"/>
  <c r="G44" i="78"/>
  <c r="G48" i="78"/>
  <c r="G52" i="78"/>
  <c r="G56" i="78"/>
  <c r="G60" i="78"/>
  <c r="G64" i="78"/>
  <c r="G68" i="78"/>
  <c r="G72" i="78"/>
  <c r="G76" i="78"/>
  <c r="G22" i="78"/>
  <c r="G26" i="78"/>
  <c r="G30" i="78"/>
  <c r="G34" i="78"/>
  <c r="G38" i="78"/>
  <c r="G42" i="78"/>
  <c r="G46" i="78"/>
  <c r="G50" i="78"/>
  <c r="G54" i="78"/>
  <c r="G58" i="78"/>
  <c r="G62" i="78"/>
  <c r="G66" i="78"/>
  <c r="G70" i="78"/>
  <c r="G74" i="78"/>
  <c r="G21" i="78"/>
  <c r="G25" i="78"/>
  <c r="G29" i="78"/>
  <c r="G33" i="78"/>
  <c r="G37" i="78"/>
  <c r="G41" i="78"/>
  <c r="G45" i="78"/>
  <c r="G49" i="78"/>
  <c r="G53" i="78"/>
  <c r="G57" i="78"/>
  <c r="G61" i="78"/>
  <c r="G65" i="78"/>
  <c r="G69" i="78"/>
  <c r="G73" i="78"/>
  <c r="G77" i="78"/>
  <c r="H22" i="78"/>
  <c r="H26" i="78"/>
  <c r="H30" i="78"/>
  <c r="H34" i="78"/>
  <c r="H38" i="78"/>
  <c r="H42" i="78"/>
  <c r="H46" i="78"/>
  <c r="H50" i="78"/>
  <c r="H54" i="78"/>
  <c r="H58" i="78"/>
  <c r="H62" i="78"/>
  <c r="H66" i="78"/>
  <c r="H70" i="78"/>
  <c r="H74" i="78"/>
  <c r="H19" i="78"/>
  <c r="H23" i="78"/>
  <c r="H27" i="78"/>
  <c r="H31" i="78"/>
  <c r="H35" i="78"/>
  <c r="H39" i="78"/>
  <c r="H43" i="78"/>
  <c r="H47" i="78"/>
  <c r="H51" i="78"/>
  <c r="H55" i="78"/>
  <c r="H59" i="78"/>
  <c r="H63" i="78"/>
  <c r="H67" i="78"/>
  <c r="H71" i="78"/>
  <c r="H75" i="78"/>
  <c r="H18" i="78"/>
  <c r="H21" i="78"/>
  <c r="H25" i="78"/>
  <c r="H29" i="78"/>
  <c r="H33" i="78"/>
  <c r="H37" i="78"/>
  <c r="H41" i="78"/>
  <c r="H45" i="78"/>
  <c r="H49" i="78"/>
  <c r="H53" i="78"/>
  <c r="H57" i="78"/>
  <c r="H61" i="78"/>
  <c r="H65" i="78"/>
  <c r="H69" i="78"/>
  <c r="H73" i="78"/>
  <c r="H77" i="78"/>
  <c r="H20" i="78"/>
  <c r="H24" i="78"/>
  <c r="H28" i="78"/>
  <c r="H32" i="78"/>
  <c r="H36" i="78"/>
  <c r="H40" i="78"/>
  <c r="H44" i="78"/>
  <c r="H48" i="78"/>
  <c r="H52" i="78"/>
  <c r="H56" i="78"/>
  <c r="H60" i="78"/>
  <c r="H64" i="78"/>
  <c r="H68" i="78"/>
  <c r="H72" i="78"/>
  <c r="H76" i="78"/>
  <c r="F4" i="70" l="1"/>
  <c r="F5" i="70" s="1"/>
  <c r="E4" i="70" l="1"/>
  <c r="E5" i="70" s="1"/>
  <c r="D4" i="70"/>
  <c r="D5" i="70" s="1"/>
  <c r="C4" i="70" l="1"/>
  <c r="C5" i="70" s="1"/>
  <c r="B4" i="70"/>
  <c r="B5" i="70" s="1"/>
  <c r="A4" i="7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4" authorId="0" shapeId="0" xr:uid="{7FB48BC2-C44F-48E8-B39A-D7B4817B7039}">
      <text>
        <r>
          <rPr>
            <b/>
            <sz val="9"/>
            <color indexed="81"/>
            <rFont val="Tahoma"/>
            <family val="2"/>
          </rPr>
          <t>Charles:</t>
        </r>
        <r>
          <rPr>
            <sz val="9"/>
            <color indexed="81"/>
            <rFont val="Tahoma"/>
            <family val="2"/>
          </rPr>
          <t xml:space="preserve">
Manual Input</t>
        </r>
      </text>
    </comment>
  </commentList>
</comments>
</file>

<file path=xl/sharedStrings.xml><?xml version="1.0" encoding="utf-8"?>
<sst xmlns="http://schemas.openxmlformats.org/spreadsheetml/2006/main" count="229" uniqueCount="171">
  <si>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</si>
  <si>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</si>
  <si>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</si>
  <si>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</si>
  <si>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</si>
  <si>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</si>
  <si>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</si>
  <si>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</si>
  <si>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</si>
  <si>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</si>
  <si>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</si>
  <si>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</si>
  <si>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</si>
  <si>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</si>
  <si>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</si>
  <si>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</si>
  <si>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</si>
  <si>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</si>
  <si>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</si>
  <si>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</si>
  <si>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</si>
  <si>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</si>
  <si>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</si>
  <si>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</si>
  <si>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</si>
  <si>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</si>
  <si>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</si>
  <si>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</si>
  <si>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</si>
  <si>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</si>
  <si>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</si>
  <si>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</si>
  <si>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</si>
  <si>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</si>
  <si>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PM</t>
  </si>
  <si>
    <t>Mytel</t>
  </si>
  <si>
    <t>MPT</t>
  </si>
  <si>
    <t>Legacy</t>
  </si>
  <si>
    <t>04Id_Project</t>
  </si>
  <si>
    <t>Telenor</t>
  </si>
  <si>
    <t>OP2</t>
  </si>
  <si>
    <t>1-01-09012-005</t>
  </si>
  <si>
    <t>Site ID</t>
  </si>
  <si>
    <t>OML</t>
  </si>
  <si>
    <t>Amara</t>
  </si>
  <si>
    <t>Tenant Lookup</t>
  </si>
  <si>
    <t>Lower_1</t>
  </si>
  <si>
    <t>Upper_1</t>
  </si>
  <si>
    <t>Lower_2</t>
  </si>
  <si>
    <t>Upper_2</t>
  </si>
  <si>
    <t>Lower_3</t>
  </si>
  <si>
    <t>Upper_3</t>
  </si>
  <si>
    <t>Antenna_Loading</t>
  </si>
  <si>
    <t>Antenna_Loading_Contract</t>
  </si>
  <si>
    <t>Lower_1_Contract</t>
  </si>
  <si>
    <t>Upper_1_Contract</t>
  </si>
  <si>
    <t>Lower_2_Contract</t>
  </si>
  <si>
    <t>Upper_2_Contract</t>
  </si>
  <si>
    <t>Lower_3_Contract</t>
  </si>
  <si>
    <t>Upper_3_Contract</t>
  </si>
  <si>
    <t>Contract</t>
  </si>
  <si>
    <t>Actual</t>
  </si>
  <si>
    <t>Tenant</t>
  </si>
  <si>
    <t>Field</t>
  </si>
  <si>
    <t>Column</t>
  </si>
  <si>
    <t>Antenna Loading</t>
  </si>
  <si>
    <t>Lower Space 1</t>
  </si>
  <si>
    <t>Upper Space 1</t>
  </si>
  <si>
    <t>Lower Space 2</t>
  </si>
  <si>
    <t>Upper Space 2</t>
  </si>
  <si>
    <t>Upper Space 3</t>
  </si>
  <si>
    <t>Lower Space 3</t>
  </si>
  <si>
    <t>Total Space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</si>
  <si>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</si>
  <si>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</si>
  <si>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</si>
  <si>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</si>
  <si>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</si>
  <si>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</si>
  <si>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</si>
  <si>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Tenant ID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</si>
  <si>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</si>
  <si>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</si>
  <si>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</si>
  <si>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</si>
  <si>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</si>
  <si>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</si>
  <si>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</si>
  <si>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</si>
  <si>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</si>
  <si>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</si>
  <si>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</si>
  <si>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</si>
  <si>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</si>
  <si>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</t>
  </si>
  <si>
    <t>RM Remarks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</si>
  <si>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</si>
  <si>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</si>
  <si>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</si>
  <si>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</si>
  <si>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</si>
  <si>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</si>
  <si>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</si>
  <si>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</si>
  <si>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</si>
  <si>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</si>
  <si>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</si>
  <si>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</si>
  <si>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</si>
  <si>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</si>
  <si>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</si>
  <si>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</si>
  <si>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</si>
  <si>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Account Manager</t>
  </si>
  <si>
    <t>Colo Application</t>
  </si>
  <si>
    <t>Folder Path1</t>
  </si>
  <si>
    <t>Folder Path2</t>
  </si>
  <si>
    <t>Folder Path3</t>
  </si>
  <si>
    <t>AM</t>
  </si>
  <si>
    <t>AM Remarks</t>
  </si>
  <si>
    <t>File Name</t>
  </si>
  <si>
    <t>File Path</t>
  </si>
  <si>
    <t>Find Process &amp; Database</t>
  </si>
  <si>
    <t>Power Forecast after Colo Approval</t>
  </si>
  <si>
    <t>Average Power</t>
  </si>
  <si>
    <t>Peak Power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</si>
  <si>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</si>
  <si>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</si>
  <si>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</si>
  <si>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</si>
  <si>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</si>
  <si>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</si>
  <si>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</si>
  <si>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</si>
  <si>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</si>
  <si>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</si>
  <si>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LandLord Validation Time</t>
  </si>
  <si>
    <t>Community Validation Time</t>
  </si>
  <si>
    <t>Structural Validation Time</t>
  </si>
  <si>
    <t>Power Validation Time</t>
  </si>
  <si>
    <t>Ground Space Validation Time</t>
  </si>
  <si>
    <t>Tower Space Validation Time</t>
  </si>
  <si>
    <t>Prevalidation Leadtime</t>
  </si>
  <si>
    <t>Status Filter</t>
  </si>
  <si>
    <t>Scope</t>
  </si>
  <si>
    <t>Count Validated</t>
  </si>
  <si>
    <t xml:space="preserve"> </t>
  </si>
  <si>
    <t>Power_Time</t>
  </si>
  <si>
    <t>CW_Time</t>
  </si>
  <si>
    <t>Validation Time Logic</t>
  </si>
  <si>
    <t>Close_Date</t>
  </si>
  <si>
    <t>Close Date</t>
  </si>
  <si>
    <t>Extension</t>
  </si>
  <si>
    <t>.xlsx</t>
  </si>
  <si>
    <t>.xlsb</t>
  </si>
  <si>
    <t>Operator_Id</t>
  </si>
  <si>
    <t>Colo_App_Extension</t>
  </si>
  <si>
    <t>02operator</t>
  </si>
  <si>
    <t>.pdf</t>
  </si>
  <si>
    <t>File Extension</t>
  </si>
  <si>
    <t>Review</t>
  </si>
  <si>
    <t>Not Required</t>
  </si>
  <si>
    <t>Rejected</t>
  </si>
  <si>
    <t>Approved by Management</t>
  </si>
  <si>
    <t>OK</t>
  </si>
  <si>
    <t>Tower_Strengthening</t>
  </si>
  <si>
    <t>Foundation_Retrofit</t>
  </si>
  <si>
    <t>Tower Strengthening</t>
  </si>
  <si>
    <t>Foundation Retrofit</t>
  </si>
  <si>
    <t>Entity</t>
  </si>
  <si>
    <t>Planned RFI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</si>
</sst>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&quot;v&quot;0"/>
    <numFmt numFmtId="301" formatCode="0.0#\ &quot;m&quot;"/>
    <numFmt numFmtId="302" formatCode="0.0#\ &quot;kW&quot;"/>
    <numFmt numFmtId="303" formatCode="0.0#"/>
    <numFmt numFmtId="304" formatCode="0\ &quot;Days&quot;"/>
    <numFmt numFmtId="305" formatCode="[$-F400]h:mm:ss\ AM/PM"/>
    <numFmt numFmtId="306" formatCode="&quot;CAR-&quot;0000"/>
    <numFmt numFmtId="307" formatCode="&quot;CAR&quot;0000"/>
    <numFmt numFmtId="310" formatCode="yyyy/mm/dd;@"/>
  </numFmts>
  <fonts count="26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63" fillId="0" borderId="0" applyNumberFormat="0" applyFill="0" applyBorder="0" applyAlignment="0" applyProtection="0"/>
  </cellStyleXfs>
  <cellXfs count="162">
    <xf numFmtId="164" fontId="0" fillId="0" borderId="0" xfId="0"/>
    <xf numFmtId="0" fontId="0" fillId="0" borderId="0" xfId="0" applyNumberFormat="1"/>
    <xf numFmtId="300" fontId="0" fillId="0" borderId="0" xfId="0" applyNumberFormat="1"/>
    <xf numFmtId="0" fontId="0" fillId="90" borderId="0" xfId="0" applyNumberFormat="1" applyFill="1"/>
    <xf numFmtId="0" fontId="198" fillId="90" borderId="0" xfId="33833" applyNumberFormat="1" applyFont="1" applyFill="1" applyAlignment="1" applyProtection="1">
      <alignment vertical="center" wrapText="1"/>
    </xf>
    <xf numFmtId="0" fontId="6" fillId="90" borderId="0" xfId="33833" applyNumberFormat="1" applyFont="1" applyFill="1" applyAlignment="1" applyProtection="1">
      <alignment vertical="center"/>
    </xf>
    <xf numFmtId="0" fontId="198" fillId="90" borderId="0" xfId="0" applyNumberFormat="1" applyFont="1" applyFill="1"/>
    <xf numFmtId="0" fontId="198" fillId="93" borderId="0" xfId="0" applyNumberFormat="1" applyFont="1" applyFill="1"/>
    <xf numFmtId="0" fontId="0" fillId="0" borderId="0" xfId="0" applyNumberFormat="1" applyAlignment="1"/>
    <xf numFmtId="301" fontId="0" fillId="0" borderId="73" xfId="0" applyNumberFormat="1" applyBorder="1" applyAlignment="1"/>
    <xf numFmtId="0" fontId="0" fillId="91" borderId="73" xfId="0" applyNumberFormat="1" applyFill="1" applyBorder="1" applyAlignment="1">
      <alignment horizontal="center"/>
    </xf>
    <xf numFmtId="0" fontId="0" fillId="92" borderId="73" xfId="0" applyNumberFormat="1" applyFill="1" applyBorder="1" applyAlignment="1">
      <alignment horizontal="center"/>
    </xf>
    <xf numFmtId="0" fontId="198" fillId="0" borderId="73" xfId="0" applyNumberFormat="1" applyFont="1" applyBorder="1"/>
    <xf numFmtId="0" fontId="198" fillId="0" borderId="73" xfId="0" applyNumberFormat="1" applyFont="1" applyBorder="1" applyAlignment="1">
      <alignment horizontal="left"/>
    </xf>
    <xf numFmtId="0" fontId="198" fillId="0" borderId="0" xfId="0" applyNumberFormat="1" applyFont="1"/>
    <xf numFmtId="303" fontId="0" fillId="0" borderId="73" xfId="0" applyNumberFormat="1" applyBorder="1" applyAlignment="1"/>
    <xf numFmtId="301" fontId="0" fillId="0" borderId="48" xfId="0" applyNumberFormat="1" applyFill="1" applyBorder="1" applyAlignment="1"/>
    <xf numFmtId="301" fontId="0" fillId="0" borderId="13" xfId="0" applyNumberFormat="1" applyFill="1" applyBorder="1" applyAlignment="1"/>
    <xf numFmtId="301" fontId="0" fillId="0" borderId="75" xfId="0" applyNumberFormat="1" applyFill="1" applyBorder="1" applyAlignment="1"/>
    <xf numFmtId="301" fontId="0" fillId="0" borderId="77" xfId="0" applyNumberFormat="1" applyFill="1" applyBorder="1" applyAlignmen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73" xfId="0" applyNumberFormat="1" applyBorder="1" applyAlignment="1" applyProtection="1">
      <protection locked="0"/>
    </xf>
    <xf numFmtId="0" fontId="0" fillId="0" borderId="73" xfId="0" applyNumberFormat="1" applyBorder="1" applyAlignment="1" applyProtection="1">
      <alignment horizontal="center"/>
      <protection locked="0"/>
    </xf>
    <xf numFmtId="0" fontId="0" fillId="0" borderId="78" xfId="0" applyNumberFormat="1" applyBorder="1" applyAlignment="1" applyProtection="1">
      <protection locked="0"/>
    </xf>
    <xf numFmtId="0" fontId="0" fillId="0" borderId="78" xfId="0" applyNumberFormat="1" applyBorder="1" applyAlignment="1" applyProtection="1">
      <alignment horizontal="center"/>
      <protection locked="0"/>
    </xf>
    <xf numFmtId="14" fontId="0" fillId="0" borderId="73" xfId="0" applyNumberFormat="1" applyBorder="1" applyAlignment="1" applyProtection="1">
      <protection locked="0"/>
    </xf>
    <xf numFmtId="302" fontId="0" fillId="0" borderId="73" xfId="0" applyNumberFormat="1" applyBorder="1" applyAlignment="1" applyProtection="1">
      <protection locked="0"/>
    </xf>
    <xf numFmtId="301" fontId="0" fillId="0" borderId="73" xfId="0" applyNumberFormat="1" applyBorder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8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8" xfId="0" applyNumberFormat="1" applyFont="1" applyFill="1" applyBorder="1" applyAlignment="1" applyProtection="1"/>
    <xf numFmtId="164" fontId="255" fillId="0" borderId="78" xfId="0" applyFont="1" applyFill="1" applyBorder="1" applyAlignment="1" applyProtection="1"/>
    <xf numFmtId="164" fontId="254" fillId="0" borderId="78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9" fillId="0" borderId="0" xfId="0" applyNumberFormat="1" applyFont="1" applyAlignment="1" applyProtection="1">
      <alignment horizontal="center" vertical="center"/>
    </xf>
    <xf numFmtId="0" fontId="259" fillId="0" borderId="0" xfId="0" applyNumberFormat="1" applyFont="1" applyBorder="1" applyAlignment="1" applyProtection="1">
      <alignment horizontal="center" vertical="center"/>
    </xf>
    <xf numFmtId="0" fontId="259" fillId="0" borderId="0" xfId="0" applyNumberFormat="1" applyFont="1" applyFill="1" applyAlignment="1" applyProtection="1">
      <alignment horizontal="center" vertical="center"/>
    </xf>
    <xf numFmtId="164" fontId="254" fillId="89" borderId="73" xfId="0" applyFont="1" applyFill="1" applyBorder="1" applyAlignment="1" applyProtection="1">
      <alignment horizontal="center" vertical="center" wrapText="1"/>
    </xf>
    <xf numFmtId="164" fontId="254" fillId="100" borderId="73" xfId="0" applyFont="1" applyFill="1" applyBorder="1" applyAlignment="1" applyProtection="1">
      <alignment horizontal="center" vertical="center" wrapText="1"/>
    </xf>
    <xf numFmtId="164" fontId="254" fillId="100" borderId="78" xfId="0" applyFont="1" applyFill="1" applyBorder="1" applyAlignment="1" applyProtection="1">
      <alignment horizontal="center" vertical="center" wrapText="1"/>
    </xf>
    <xf numFmtId="164" fontId="254" fillId="101" borderId="73" xfId="0" applyFont="1" applyFill="1" applyBorder="1" applyAlignment="1" applyProtection="1">
      <alignment horizontal="center" vertical="center" wrapText="1"/>
    </xf>
    <xf numFmtId="164" fontId="254" fillId="101" borderId="78" xfId="0" applyFont="1" applyFill="1" applyBorder="1" applyAlignment="1" applyProtection="1">
      <alignment horizontal="center" vertical="center" wrapText="1"/>
    </xf>
    <xf numFmtId="164" fontId="254" fillId="88" borderId="73" xfId="0" applyFont="1" applyFill="1" applyBorder="1" applyAlignment="1" applyProtection="1">
      <alignment horizontal="center" vertical="center" wrapText="1"/>
    </xf>
    <xf numFmtId="164" fontId="258" fillId="94" borderId="73" xfId="0" applyFont="1" applyFill="1" applyBorder="1" applyAlignment="1" applyProtection="1">
      <alignment horizontal="left" vertical="center" textRotation="90" wrapText="1"/>
    </xf>
    <xf numFmtId="164" fontId="254" fillId="94" borderId="73" xfId="0" applyFont="1" applyFill="1" applyBorder="1" applyAlignment="1" applyProtection="1">
      <alignment horizontal="center" vertical="center" wrapText="1"/>
    </xf>
    <xf numFmtId="164" fontId="258" fillId="95" borderId="73" xfId="0" applyFont="1" applyFill="1" applyBorder="1" applyAlignment="1" applyProtection="1">
      <alignment horizontal="left" vertical="center" textRotation="90" wrapText="1"/>
    </xf>
    <xf numFmtId="164" fontId="254" fillId="95" borderId="73" xfId="0" applyFont="1" applyFill="1" applyBorder="1" applyAlignment="1" applyProtection="1">
      <alignment horizontal="center" vertical="center" wrapText="1"/>
    </xf>
    <xf numFmtId="164" fontId="258" fillId="96" borderId="73" xfId="0" applyFont="1" applyFill="1" applyBorder="1" applyAlignment="1" applyProtection="1">
      <alignment horizontal="left" vertical="center" textRotation="90" wrapText="1"/>
    </xf>
    <xf numFmtId="164" fontId="254" fillId="96" borderId="73" xfId="0" applyFont="1" applyFill="1" applyBorder="1" applyAlignment="1" applyProtection="1">
      <alignment horizontal="center" vertical="center" wrapText="1"/>
    </xf>
    <xf numFmtId="164" fontId="258" fillId="97" borderId="73" xfId="0" applyFont="1" applyFill="1" applyBorder="1" applyAlignment="1" applyProtection="1">
      <alignment horizontal="left" vertical="center" textRotation="90" wrapText="1"/>
    </xf>
    <xf numFmtId="164" fontId="254" fillId="97" borderId="73" xfId="0" applyFont="1" applyFill="1" applyBorder="1" applyAlignment="1" applyProtection="1">
      <alignment horizontal="center" vertical="center" wrapText="1"/>
    </xf>
    <xf numFmtId="164" fontId="258" fillId="98" borderId="73" xfId="0" applyFont="1" applyFill="1" applyBorder="1" applyAlignment="1" applyProtection="1">
      <alignment horizontal="left" vertical="center" textRotation="90" wrapText="1"/>
    </xf>
    <xf numFmtId="164" fontId="254" fillId="98" borderId="73" xfId="0" applyFont="1" applyFill="1" applyBorder="1" applyAlignment="1" applyProtection="1">
      <alignment horizontal="center" vertical="center" wrapText="1"/>
    </xf>
    <xf numFmtId="164" fontId="258" fillId="99" borderId="73" xfId="0" applyFont="1" applyFill="1" applyBorder="1" applyAlignment="1" applyProtection="1">
      <alignment horizontal="left" vertical="center" textRotation="90" wrapText="1"/>
    </xf>
    <xf numFmtId="164" fontId="254" fillId="99" borderId="73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9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254" fillId="88" borderId="78" xfId="0" applyNumberFormat="1" applyFont="1" applyFill="1" applyBorder="1" applyAlignment="1" applyProtection="1">
      <alignment horizontal="center" vertical="center" wrapText="1"/>
    </xf>
    <xf numFmtId="164" fontId="254" fillId="98" borderId="78" xfId="0" applyFont="1" applyFill="1" applyBorder="1" applyAlignment="1" applyProtection="1">
      <alignment horizontal="center" vertical="center" wrapText="1"/>
    </xf>
    <xf numFmtId="0" fontId="0" fillId="102" borderId="78" xfId="0" applyNumberFormat="1" applyFill="1" applyBorder="1"/>
    <xf numFmtId="14" fontId="0" fillId="102" borderId="78" xfId="0" applyNumberFormat="1" applyFill="1" applyBorder="1"/>
    <xf numFmtId="164" fontId="0" fillId="102" borderId="78" xfId="0" applyFill="1" applyBorder="1"/>
    <xf numFmtId="302" fontId="0" fillId="0" borderId="78" xfId="0" applyNumberFormat="1" applyBorder="1" applyAlignment="1" applyProtection="1">
      <protection locked="0"/>
    </xf>
    <xf numFmtId="164" fontId="254" fillId="0" borderId="0" xfId="0" applyFont="1" applyFill="1" applyBorder="1" applyAlignment="1" applyProtection="1"/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105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106" borderId="13" xfId="0" applyFont="1" applyFill="1" applyBorder="1" applyAlignment="1" applyProtection="1">
      <alignment horizontal="center" vertical="center" wrapText="1"/>
    </xf>
    <xf numFmtId="164" fontId="254" fillId="88" borderId="13" xfId="0" applyFont="1" applyFill="1" applyBorder="1" applyAlignment="1" applyProtection="1">
      <alignment horizontal="center" vertical="center" wrapText="1"/>
    </xf>
    <xf numFmtId="305" fontId="198" fillId="0" borderId="79" xfId="0" applyNumberFormat="1" applyFont="1" applyBorder="1" applyAlignment="1" applyProtection="1">
      <alignment horizontal="center"/>
    </xf>
    <xf numFmtId="14" fontId="0" fillId="107" borderId="0" xfId="0" applyNumberFormat="1" applyFill="1" applyAlignment="1" applyProtection="1"/>
    <xf numFmtId="0" fontId="0" fillId="107" borderId="0" xfId="0" applyNumberFormat="1" applyFill="1" applyAlignment="1" applyProtection="1"/>
    <xf numFmtId="164" fontId="0" fillId="107" borderId="0" xfId="0" applyFill="1" applyAlignment="1" applyProtection="1"/>
    <xf numFmtId="0" fontId="0" fillId="108" borderId="0" xfId="0" applyNumberFormat="1" applyFill="1" applyAlignment="1" applyProtection="1"/>
    <xf numFmtId="164" fontId="254" fillId="109" borderId="13" xfId="0" applyFont="1" applyFill="1" applyBorder="1" applyAlignment="1" applyProtection="1">
      <alignment horizontal="center" vertical="center" wrapText="1"/>
    </xf>
    <xf numFmtId="164" fontId="255" fillId="0" borderId="0" xfId="0" applyFont="1" applyFill="1" applyBorder="1" applyAlignment="1" applyProtection="1"/>
    <xf numFmtId="164" fontId="260" fillId="90" borderId="0" xfId="0" applyFont="1" applyFill="1" applyBorder="1" applyAlignment="1" applyProtection="1"/>
    <xf numFmtId="0" fontId="254" fillId="90" borderId="70" xfId="0" applyNumberFormat="1" applyFont="1" applyFill="1" applyBorder="1" applyAlignment="1" applyProtection="1"/>
    <xf numFmtId="0" fontId="254" fillId="0" borderId="48" xfId="0" applyNumberFormat="1" applyFont="1" applyBorder="1" applyAlignment="1" applyProtection="1">
      <alignment horizontal="left"/>
    </xf>
    <xf numFmtId="0" fontId="254" fillId="90" borderId="48" xfId="0" applyNumberFormat="1" applyFont="1" applyFill="1" applyBorder="1" applyAlignment="1" applyProtection="1"/>
    <xf numFmtId="0" fontId="0" fillId="90" borderId="48" xfId="0" applyNumberFormat="1" applyFill="1" applyBorder="1" applyAlignment="1" applyProtection="1">
      <alignment horizontal="left"/>
    </xf>
    <xf numFmtId="0" fontId="0" fillId="90" borderId="48" xfId="0" applyNumberFormat="1" applyFill="1" applyBorder="1" applyAlignment="1" applyProtection="1"/>
    <xf numFmtId="0" fontId="0" fillId="90" borderId="13" xfId="0" applyNumberFormat="1" applyFill="1" applyBorder="1" applyAlignment="1" applyProtection="1"/>
    <xf numFmtId="0" fontId="0" fillId="0" borderId="73" xfId="0" applyNumberFormat="1" applyBorder="1" applyAlignment="1" applyProtection="1">
      <alignment shrinkToFit="1"/>
    </xf>
    <xf numFmtId="302" fontId="0" fillId="0" borderId="73" xfId="0" applyNumberFormat="1" applyBorder="1" applyAlignment="1" applyProtection="1">
      <alignment shrinkToFit="1"/>
    </xf>
    <xf numFmtId="0" fontId="0" fillId="0" borderId="78" xfId="0" applyNumberFormat="1" applyBorder="1" applyAlignment="1" applyProtection="1">
      <alignment shrinkToFit="1"/>
    </xf>
    <xf numFmtId="0" fontId="0" fillId="0" borderId="73" xfId="0" applyNumberFormat="1" applyBorder="1" applyAlignment="1" applyProtection="1"/>
    <xf numFmtId="304" fontId="0" fillId="0" borderId="79" xfId="0" applyNumberFormat="1" applyBorder="1" applyAlignment="1" applyProtection="1">
      <alignment horizontal="center"/>
    </xf>
    <xf numFmtId="0" fontId="0" fillId="0" borderId="73" xfId="0" applyNumberFormat="1" applyBorder="1" applyAlignment="1" applyProtection="1">
      <alignment wrapText="1" shrinkToFit="1"/>
    </xf>
    <xf numFmtId="306" fontId="0" fillId="0" borderId="73" xfId="0" applyNumberFormat="1" applyBorder="1" applyAlignment="1" applyProtection="1">
      <protection locked="0"/>
    </xf>
    <xf numFmtId="0" fontId="263" fillId="0" borderId="48" xfId="33834" applyNumberFormat="1" applyBorder="1" applyAlignment="1" applyProtection="1">
      <alignment horizontal="center"/>
    </xf>
    <xf numFmtId="306" fontId="0" fillId="0" borderId="15" xfId="0" applyNumberFormat="1" applyBorder="1" applyAlignment="1" applyProtection="1">
      <protection locked="0"/>
    </xf>
    <xf numFmtId="0" fontId="0" fillId="0" borderId="15" xfId="0" applyNumberFormat="1" applyBorder="1" applyAlignment="1" applyProtection="1">
      <protection locked="0"/>
    </xf>
    <xf numFmtId="164" fontId="0" fillId="87" borderId="0" xfId="0" applyFill="1" applyBorder="1" applyAlignment="1" applyProtection="1"/>
    <xf numFmtId="0" fontId="0" fillId="0" borderId="79" xfId="0" applyNumberFormat="1" applyBorder="1" applyAlignment="1" applyProtection="1"/>
    <xf numFmtId="0" fontId="0" fillId="0" borderId="79" xfId="0" applyNumberFormat="1" applyBorder="1" applyAlignment="1" applyProtection="1">
      <alignment shrinkToFit="1"/>
    </xf>
    <xf numFmtId="164" fontId="0" fillId="0" borderId="79" xfId="0" applyFill="1" applyBorder="1" applyAlignment="1" applyProtection="1"/>
    <xf numFmtId="164" fontId="254" fillId="97" borderId="79" xfId="0" applyFont="1" applyFill="1" applyBorder="1" applyAlignment="1" applyProtection="1">
      <alignment horizontal="center" vertical="center" wrapText="1"/>
    </xf>
    <xf numFmtId="307" fontId="0" fillId="0" borderId="73" xfId="0" applyNumberFormat="1" applyBorder="1" applyAlignment="1" applyProtection="1">
      <alignment horizontal="center"/>
      <protection locked="0"/>
    </xf>
    <xf numFmtId="0" fontId="0" fillId="0" borderId="73" xfId="0" applyNumberFormat="1" applyBorder="1" applyAlignment="1">
      <alignment horizontal="center"/>
    </xf>
    <xf numFmtId="0" fontId="0" fillId="0" borderId="7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310" fontId="0" fillId="0" borderId="79" xfId="0" applyNumberFormat="1" applyBorder="1" applyAlignment="1" applyProtection="1"/>
    <xf numFmtId="310" fontId="0" fillId="0" borderId="78" xfId="0" applyNumberFormat="1" applyBorder="1" applyAlignment="1" applyProtection="1">
      <protection locked="0"/>
    </xf>
    <xf numFmtId="164" fontId="254" fillId="109" borderId="73" xfId="0" applyFont="1" applyFill="1" applyBorder="1" applyAlignment="1" applyProtection="1">
      <alignment horizontal="center" vertical="center" wrapText="1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89">
    <dxf>
      <font>
        <color theme="6"/>
      </font>
      <fill>
        <patternFill>
          <bgColor theme="6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4"/>
      </font>
      <fill>
        <patternFill>
          <bgColor theme="4"/>
        </patternFill>
      </fill>
    </dxf>
    <dxf>
      <font>
        <color theme="6"/>
      </font>
      <fill>
        <patternFill>
          <bgColor theme="6"/>
        </patternFill>
      </fill>
    </dxf>
    <dxf>
      <font>
        <color theme="9"/>
      </font>
      <fill>
        <patternFill>
          <bgColor theme="9"/>
        </patternFill>
      </fill>
    </dxf>
    <dxf>
      <font>
        <color theme="5"/>
      </font>
      <fill>
        <patternFill>
          <bgColor theme="5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10" formatCode="yyyy/mm/dd;@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310" formatCode="yyyy/mm/dd;@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310" formatCode="yyyy/mm/dd;@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310" formatCode="yyyy/mm/dd;@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310" formatCode="yyyy/mm/dd;@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310" formatCode="yyyy/mm/dd;@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310" formatCode="yyyy/mm/dd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6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strike val="0"/>
        <outline val="0"/>
        <shadow val="0"/>
        <u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4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/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2" formatCode="0.0#\ &quot;kW&quot;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1" formatCode="0.0#\ &quot;m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  <protection locked="0" hidden="0"/>
    </dxf>
    <dxf>
      <numFmt numFmtId="302" formatCode="0.0#\ &quot;kW&quot;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yyyy/mm/dd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7" formatCode="&quot;CAR&quot;0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88"/>
      <tableStyleElement type="headerRow" dxfId="87"/>
    </tableStyle>
    <tableStyle name="Slicer Style 1" pivot="0" table="0" count="1" xr9:uid="{00000000-0011-0000-FFFF-FFFF01000000}">
      <tableStyleElement type="wholeTable" dxfId="86"/>
    </tableStyle>
    <tableStyle name="Slicer Style New" pivot="0" table="0" count="10" xr9:uid="{00000000-0011-0000-FFFF-FFFF02000000}">
      <tableStyleElement type="wholeTable" dxfId="85"/>
      <tableStyleElement type="headerRow" dxfId="84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146050</xdr:rowOff>
        </xdr:from>
        <xdr:to>
          <xdr:col>4</xdr:col>
          <xdr:colOff>76200</xdr:colOff>
          <xdr:row>4</xdr:row>
          <xdr:rowOff>107950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723900</xdr:colOff>
          <xdr:row>11</xdr:row>
          <xdr:rowOff>142875</xdr:rowOff>
        </xdr:from>
        <xdr:to>
          <xdr:col>8</xdr:col>
          <xdr:colOff>171450</xdr:colOff>
          <xdr:row>13</xdr:row>
          <xdr:rowOff>25400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11</xdr:row>
          <xdr:rowOff>152400</xdr:rowOff>
        </xdr:from>
        <xdr:to>
          <xdr:col>6</xdr:col>
          <xdr:colOff>400050</xdr:colOff>
          <xdr:row>13</xdr:row>
          <xdr:rowOff>44450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Validation" displayName="Validation" ref="A15:BJ16" insertRow="1" totalsRowShown="0" headerRowDxfId="83" dataDxfId="81" headerRowBorderDxfId="82" tableBorderDxfId="80" totalsRowBorderDxfId="79">
  <autoFilter ref="A15:BJ16" xr:uid="{00000000-0009-0000-0100-000004000000}"/>
  <tableColumns count="62">
    <tableColumn id="72" xr3:uid="{00000000-0010-0000-0000-000048000000}" name="Request ID" dataDxfId="78"/>
    <tableColumn id="73" xr3:uid="{00000000-0010-0000-0000-000049000000}" name="Site ID" dataDxfId="77"/>
    <tableColumn id="9" xr3:uid="{00000000-0010-0000-0000-000009000000}" name="Entity" dataDxfId="76"/>
    <tableColumn id="74" xr3:uid="{00000000-0010-0000-0000-00004A000000}" name="Tenant ID" dataDxfId="75"/>
    <tableColumn id="1" xr3:uid="{00000000-0010-0000-0000-000001000000}" name="Tenant Category" dataDxfId="74"/>
    <tableColumn id="2" xr3:uid="{00000000-0010-0000-0000-000002000000}" name="Tenant Status" dataDxfId="73"/>
    <tableColumn id="75" xr3:uid="{00000000-0010-0000-0000-00004B000000}" name="Scope" dataDxfId="72"/>
    <tableColumn id="4" xr3:uid="{00000000-0010-0000-0000-000004000000}" name="Operator" dataDxfId="71"/>
    <tableColumn id="3" xr3:uid="{00000000-0010-0000-0000-000003000000}" name="Colo Rev" dataDxfId="70"/>
    <tableColumn id="76" xr3:uid="{00000000-0010-0000-0000-00004C000000}" name="Request Date" dataDxfId="69"/>
    <tableColumn id="77" xr3:uid="{00000000-0010-0000-0000-00004D000000}" name="Average Power Requested" dataDxfId="68"/>
    <tableColumn id="14" xr3:uid="{00000000-0010-0000-0000-00000E000000}" name="Peak Power Requested" dataDxfId="67"/>
    <tableColumn id="78" xr3:uid="{00000000-0010-0000-0000-00004E000000}" name="Capacity Requested" dataDxfId="66"/>
    <tableColumn id="79" xr3:uid="{00000000-0010-0000-0000-00004F000000}" name="Capacity Model" dataDxfId="65"/>
    <tableColumn id="80" xr3:uid="{00000000-0010-0000-0000-000050000000}" name="Lower Space Requested" dataDxfId="64"/>
    <tableColumn id="81" xr3:uid="{00000000-0010-0000-0000-000051000000}" name="Upper Space Requested" dataDxfId="63"/>
    <tableColumn id="82" xr3:uid="{00000000-0010-0000-0000-000052000000}" name="Prevalidation Status" dataDxfId="62"/>
    <tableColumn id="83" xr3:uid="{00000000-0010-0000-0000-000053000000}" name="General Remark" dataDxfId="61"/>
    <tableColumn id="84" xr3:uid="{00000000-0010-0000-0000-000054000000}" name="LandLord" dataDxfId="10"/>
    <tableColumn id="85" xr3:uid="{00000000-0010-0000-0000-000055000000}" name="LandLord Remarks" dataDxfId="60"/>
    <tableColumn id="86" xr3:uid="{00000000-0010-0000-0000-000056000000}" name="Community" dataDxfId="11"/>
    <tableColumn id="87" xr3:uid="{00000000-0010-0000-0000-000057000000}" name="Community Remarks" dataDxfId="59"/>
    <tableColumn id="88" xr3:uid="{00000000-0010-0000-0000-000058000000}" name="Tower Space" dataDxfId="13"/>
    <tableColumn id="89" xr3:uid="{00000000-0010-0000-0000-000059000000}" name="Tower Space Remarks" dataDxfId="58"/>
    <tableColumn id="90" xr3:uid="{00000000-0010-0000-0000-00005A000000}" name="Structural" dataDxfId="12"/>
    <tableColumn id="91" xr3:uid="{00000000-0010-0000-0000-00005B000000}" name="Tower Strengthening" dataDxfId="57"/>
    <tableColumn id="28" xr3:uid="{352ADE86-A142-42C9-9FAD-910870F24860}" name="Foundation Retrofit" dataDxfId="56"/>
    <tableColumn id="27" xr3:uid="{65AFC8C9-EAEA-4D61-A64A-2383EA5E9A20}" name="Tower Extension" dataDxfId="55"/>
    <tableColumn id="92" xr3:uid="{00000000-0010-0000-0000-00005C000000}" name="Structural Remarks" dataDxfId="54"/>
    <tableColumn id="93" xr3:uid="{00000000-0010-0000-0000-00005D000000}" name="Power" dataDxfId="14"/>
    <tableColumn id="94" xr3:uid="{00000000-0010-0000-0000-00005E000000}" name="Power Forecast after Colo Approval" dataDxfId="53"/>
    <tableColumn id="95" xr3:uid="{00000000-0010-0000-0000-00005F000000}" name="Average Power" dataDxfId="52"/>
    <tableColumn id="11" xr3:uid="{00000000-0010-0000-0000-00000B000000}" name="Peak Power" dataDxfId="51"/>
    <tableColumn id="96" xr3:uid="{00000000-0010-0000-0000-000060000000}" name="Power Remarks" dataDxfId="50"/>
    <tableColumn id="97" xr3:uid="{00000000-0010-0000-0000-000061000000}" name="Ground Space" dataDxfId="15"/>
    <tableColumn id="98" xr3:uid="{00000000-0010-0000-0000-000062000000}" name="Slab Extension Needed" dataDxfId="49"/>
    <tableColumn id="99" xr3:uid="{00000000-0010-0000-0000-000063000000}" name="Ground Space Remarks" dataDxfId="48"/>
    <tableColumn id="100" xr3:uid="{00000000-0010-0000-0000-000064000000}" name="RM" dataDxfId="47"/>
    <tableColumn id="101" xr3:uid="{00000000-0010-0000-0000-000065000000}" name="RM Remarks" dataDxfId="46"/>
    <tableColumn id="102" xr3:uid="{00000000-0010-0000-0000-000066000000}" name="PM" dataDxfId="45"/>
    <tableColumn id="104" xr3:uid="{00000000-0010-0000-0000-000068000000}" name="PM Remarks" dataDxfId="44"/>
    <tableColumn id="105" xr3:uid="{00000000-0010-0000-0000-000069000000}" name="AM" dataDxfId="43"/>
    <tableColumn id="23" xr3:uid="{7ED9B6C2-C088-4D13-B7CA-78809A6250DE}" name="Planned RFI" dataDxfId="22"/>
    <tableColumn id="106" xr3:uid="{00000000-0010-0000-0000-00006A000000}" name="AM Remarks" dataDxfId="42"/>
    <tableColumn id="17" xr3:uid="{00000000-0010-0000-0000-000011000000}" name="LandLord Validation Time" dataDxfId="21"/>
    <tableColumn id="16" xr3:uid="{00000000-0010-0000-0000-000010000000}" name="Community Validation Time" dataDxfId="20"/>
    <tableColumn id="20" xr3:uid="{00000000-0010-0000-0000-000014000000}" name="Tower Space Validation Time" dataDxfId="19"/>
    <tableColumn id="19" xr3:uid="{00000000-0010-0000-0000-000013000000}" name="Structural Validation Time" dataDxfId="18"/>
    <tableColumn id="18" xr3:uid="{00000000-0010-0000-0000-000012000000}" name="Power Validation Time" dataDxfId="17"/>
    <tableColumn id="15" xr3:uid="{00000000-0010-0000-0000-00000F000000}" name="Ground Space Validation Time" dataDxfId="16"/>
    <tableColumn id="24" xr3:uid="{7FEA273B-76E7-4805-9261-6F9D5E42A42E}" name="Close Date" dataDxfId="41"/>
    <tableColumn id="21" xr3:uid="{00000000-0010-0000-0000-000015000000}" name="Prevalidation Leadtime" dataDxfId="40">
      <calculatedColumnFormula>IF(Validation[[#This Row],[Prevalidation Status]]="Under Prevalidation",NOW()-Validation[[#This Row],[Request Date]],IF(ROUNDDOWN(Validation[[#This Row],[Close Date]],0)&gt;Validation[[#This Row],[Request Date]],Validation[[#This Row],[Close Date]]-Validation[[#This Row],[Request Date]],"Not  Calculated"))</calculatedColumnFormula>
    </tableColumn>
    <tableColumn id="5" xr3:uid="{00000000-0010-0000-0000-000005000000}" name="Colo Application" dataDxfId="39">
      <calculatedColumnFormula>HYPERLINK(CheckPath(Validation[[#This Row],[File Path]],Validation[[#This Row],[File Path]],Validation[[#This Row],[Folder Path3]]),CheckPath(Validation[[#This Row],[File Path]],"Open File","No File"))</calculatedColumnFormula>
    </tableColumn>
    <tableColumn id="13" xr3:uid="{00000000-0010-0000-0000-00000D000000}" name="File Name" dataDxfId="38">
      <calculatedColumnFormula>CONCATENATE(Validation[[#This Row],[Site ID]]," (",Validation[[#This Row],[Tenant ID]],") Application",IF(Validation[[#This Row],[Colo Rev]]&gt;0," Rev "&amp;Validation[[#This Row],[Colo Rev]],""),Validation[[#This Row],[Extension]])</calculatedColumnFormula>
    </tableColumn>
    <tableColumn id="6" xr3:uid="{00000000-0010-0000-0000-000006000000}" name="Find Process &amp; Database" dataDxfId="37">
      <calculatedColumnFormula>FIND("Process &amp; Database\",CELL("filename",$A$1))</calculatedColumnFormula>
    </tableColumn>
    <tableColumn id="7" xr3:uid="{00000000-0010-0000-0000-000007000000}" name="Folder Path1" dataDxfId="36">
      <calculatedColumnFormula>LEFT(CELL("filename",A1),Validation[[#This Row],[Find Process &amp; Database]]-1)</calculatedColumnFormula>
    </tableColumn>
    <tableColumn id="8" xr3:uid="{00000000-0010-0000-0000-000008000000}" name="Folder Path2" dataDxfId="35">
      <calculatedColumnFormula>Validation[Folder Path1]&amp;"Process &amp; Database\Documentation\Colo Applications"</calculatedColumnFormula>
    </tableColumn>
    <tableColumn id="10" xr3:uid="{00000000-0010-0000-0000-00000A000000}" name="Folder Path3" dataDxfId="34">
      <calculatedColumnFormula>Validation[Folder Path2]&amp;"\Colo App "&amp;Validation[[#This Row],[Operator]]&amp;"\"</calculatedColumnFormula>
    </tableColumn>
    <tableColumn id="12" xr3:uid="{00000000-0010-0000-0000-00000C000000}" name="File Path" dataDxfId="33">
      <calculatedColumnFormula>Validation[[#This Row],[Folder Path3]]&amp;Validation[[#This Row],[File Name]]</calculatedColumnFormula>
    </tableColumn>
    <tableColumn id="26" xr3:uid="{EA277739-896A-4227-AFB3-69F348EBE304}" name="Extension" dataDxfId="32">
      <calculatedColumnFormula>VLOOKUP(Validation[[#This Row],[Operator]],FileExtension[],2,FALSE)</calculatedColumnFormula>
    </tableColumn>
    <tableColumn id="22" xr3:uid="{00000000-0010-0000-0000-000016000000}" name="Count Validated" dataDxfId="31">
      <calculatedColumnFormula>SUMIF(Validation[[#This Row],[LandLord]:[Ground Space]],"OK",$S$9:$AI$9)+SUMIF(Validation[[#This Row],[LandLord]:[Ground Space]],"Not Required",$S$9:$AI$9)+SUMIF(Validation[[#This Row],[LandLord]:[Ground Space]],"OK with Flag",$S$9:$AI$9)</calculatedColumnFormula>
    </tableColumn>
    <tableColumn id="25" xr3:uid="{9AF95BDD-EB10-469E-AA4E-1F125FCC445D}" name="Validation Time Logic" dataDxfId="30">
      <calculatedColumnFormula>IF(OR(Validation[[#This Row],[Prevalidation Status]]="Prevalidated",Validation[[#This Row],[Prevalidation Status]]="Prevalidation Rejected",Validation[[#This Row],[Prevalidation Status]]="Dropped by Operator"),IF(Validation[[#This Row],[Close Date]]=0,NOW(),Validation[[#This Row],[Close Date]]),"")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624FB-63B2-4629-886E-7575D596170D}" name="FileExtension" displayName="FileExtension" ref="A15:B20" totalsRowShown="0" headerRowDxfId="29" dataDxfId="27" headerRowBorderDxfId="28" tableBorderDxfId="26" totalsRowBorderDxfId="25">
  <autoFilter ref="A15:B20" xr:uid="{00000000-0009-0000-0100-000004000000}"/>
  <tableColumns count="2">
    <tableColumn id="72" xr3:uid="{4C492CAA-9957-498F-88B0-C99C19E83B1A}" name="Operator_Id" dataDxfId="24"/>
    <tableColumn id="73" xr3:uid="{3DEB3284-FB9E-4F96-AC29-5400FB0778F1}" name="Colo_App_Extension" dataDxfId="2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6" tint="0.39997558519241921"/>
  </sheetPr>
  <dimension ref="A6:H28"/>
  <sheetViews>
    <sheetView showGridLines="0" showRowColHeaders="0" zoomScale="106" zoomScaleNormal="106" workbookViewId="0">
      <selection activeCell="A4" sqref="A4"/>
    </sheetView>
  </sheetViews>
  <sheetFormatPr defaultColWidth="0" defaultRowHeight="14.5"/>
  <cols>
    <col min="1" max="3" width="9.1796875" customWidth="1"/>
    <col min="4" max="4" width="13.26953125" bestFit="1" customWidth="1"/>
    <col min="5" max="5" width="18.54296875" style="1" bestFit="1" customWidth="1"/>
    <col min="6" max="6" width="8.81640625" bestFit="1" customWidth="1"/>
    <col min="7" max="7" width="7.26953125" bestFit="1" customWidth="1"/>
    <col min="8" max="8" width="11.26953125" hidden="1" customWidth="1"/>
    <col min="9" max="16384" width="9.1796875" hidden="1"/>
  </cols>
  <sheetData>
    <row r="6" spans="5:6">
      <c r="F6" s="2">
        <v>7</v>
      </c>
    </row>
    <row r="7" spans="5:6" ht="20.25" customHeight="1"/>
    <row r="9" spans="5:6">
      <c r="E9"/>
    </row>
    <row r="10" spans="5:6">
      <c r="E10"/>
    </row>
    <row r="11" spans="5:6">
      <c r="E11"/>
    </row>
    <row r="12" spans="5:6">
      <c r="E12"/>
    </row>
    <row r="13" spans="5:6">
      <c r="E13"/>
    </row>
    <row r="14" spans="5:6">
      <c r="E14"/>
    </row>
    <row r="15" spans="5:6">
      <c r="E15"/>
    </row>
    <row r="16" spans="5:6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</sheetData>
  <sheetProtection selectLockedCells="1" sort="0" autoFilter="0" pivotTables="0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Form">
                <anchor>
                  <from>
                    <xdr:col>1</xdr:col>
                    <xdr:colOff>266700</xdr:colOff>
                    <xdr:row>1</xdr:row>
                    <xdr:rowOff>146050</xdr:rowOff>
                  </from>
                  <to>
                    <xdr:col>4</xdr:col>
                    <xdr:colOff>76200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R77"/>
  <sheetViews>
    <sheetView showGridLines="0" workbookViewId="0">
      <selection activeCell="G16" sqref="G16"/>
    </sheetView>
  </sheetViews>
  <sheetFormatPr defaultColWidth="9.1796875" defaultRowHeight="14.5"/>
  <cols>
    <col min="1" max="1" width="9.1796875" style="1"/>
    <col min="2" max="2" width="9.1796875" style="3" hidden="1" customWidth="1"/>
    <col min="3" max="3" width="10.453125" style="3" hidden="1" customWidth="1"/>
    <col min="4" max="4" width="19.54296875" style="3" hidden="1" customWidth="1"/>
    <col min="5" max="5" width="10.453125" style="3" hidden="1" customWidth="1"/>
    <col min="6" max="6" width="16" style="1" bestFit="1" customWidth="1"/>
    <col min="7" max="16384" width="9.1796875" style="1"/>
  </cols>
  <sheetData>
    <row r="2" spans="2:18">
      <c r="F2" s="1" t="s">
        <v>42</v>
      </c>
      <c r="G2" s="158" t="s">
        <v>41</v>
      </c>
      <c r="H2" s="158"/>
    </row>
    <row r="4" spans="2:18" s="3" customFormat="1" hidden="1">
      <c r="F4" s="4" t="s">
        <v>45</v>
      </c>
      <c r="G4" s="5" t="e">
        <f>SUMIFS(#REF!,#REF!,$G$2,#REF!,G$5)</f>
        <v>#REF!</v>
      </c>
      <c r="H4" s="5" t="e">
        <f>SUMIFS(#REF!,#REF!,$G$2,#REF!,G$5)</f>
        <v>#REF!</v>
      </c>
      <c r="I4" s="5" t="e">
        <f>SUMIFS(#REF!,#REF!,$G$2,#REF!,I$5)</f>
        <v>#REF!</v>
      </c>
      <c r="J4" s="5" t="e">
        <f>SUMIFS(#REF!,#REF!,$G$2,#REF!,I$5)</f>
        <v>#REF!</v>
      </c>
      <c r="K4" s="5" t="e">
        <f>SUMIFS(#REF!,#REF!,$G$2,#REF!,K$5)</f>
        <v>#REF!</v>
      </c>
      <c r="L4" s="5" t="e">
        <f>SUMIFS(#REF!,#REF!,$G$2,#REF!,K$5)</f>
        <v>#REF!</v>
      </c>
      <c r="M4" s="5" t="e">
        <f>SUMIFS(#REF!,#REF!,$G$2,#REF!,M$5)</f>
        <v>#REF!</v>
      </c>
      <c r="N4" s="5" t="e">
        <f>SUMIFS(#REF!,#REF!,$G$2,#REF!,M$5)</f>
        <v>#REF!</v>
      </c>
      <c r="O4" s="5" t="e">
        <f>SUMIFS(#REF!,#REF!,$G$2,#REF!,O$5)</f>
        <v>#REF!</v>
      </c>
      <c r="P4" s="5" t="e">
        <f>SUMIFS(#REF!,#REF!,$G$2,#REF!,O$5)</f>
        <v>#REF!</v>
      </c>
      <c r="Q4" s="5" t="e">
        <f>SUMIFS(#REF!,#REF!,$G$2,#REF!,Q$5)</f>
        <v>#REF!</v>
      </c>
      <c r="R4" s="5" t="e">
        <f>SUMIFS(#REF!,#REF!,$G$2,#REF!,Q$5)</f>
        <v>#REF!</v>
      </c>
    </row>
    <row r="5" spans="2:18">
      <c r="F5" s="12" t="s">
        <v>62</v>
      </c>
      <c r="G5" s="153" t="s">
        <v>43</v>
      </c>
      <c r="H5" s="153"/>
      <c r="I5" s="153" t="s">
        <v>36</v>
      </c>
      <c r="J5" s="153"/>
      <c r="K5" s="153" t="s">
        <v>39</v>
      </c>
      <c r="L5" s="153"/>
      <c r="M5" s="153" t="s">
        <v>35</v>
      </c>
      <c r="N5" s="153"/>
      <c r="O5" s="153" t="s">
        <v>44</v>
      </c>
      <c r="P5" s="153"/>
      <c r="Q5" s="153" t="s">
        <v>40</v>
      </c>
      <c r="R5" s="153"/>
    </row>
    <row r="6" spans="2:18">
      <c r="B6" s="3" t="s">
        <v>23</v>
      </c>
      <c r="C6" s="3" t="e">
        <f>MATCH(B6,#REF!,0)</f>
        <v>#REF!</v>
      </c>
      <c r="F6" s="13" t="s">
        <v>23</v>
      </c>
      <c r="G6" s="153" t="str">
        <f>IFERROR(VLOOKUP(G$4,#REF!,$C6,FALSE),"")</f>
        <v/>
      </c>
      <c r="H6" s="153" t="e">
        <f>VLOOKUP(H$4,#REF!,$C6,FALSE)</f>
        <v>#REF!</v>
      </c>
      <c r="I6" s="153" t="str">
        <f>IFERROR(VLOOKUP(I$4,#REF!,$C6,FALSE),"")</f>
        <v/>
      </c>
      <c r="J6" s="153" t="e">
        <f>VLOOKUP(J$4,#REF!,$C6,FALSE)</f>
        <v>#REF!</v>
      </c>
      <c r="K6" s="153" t="str">
        <f>IFERROR(VLOOKUP(K$4,#REF!,$C6,FALSE),"")</f>
        <v/>
      </c>
      <c r="L6" s="153" t="e">
        <f>VLOOKUP(L$4,#REF!,$C6,FALSE)</f>
        <v>#REF!</v>
      </c>
      <c r="M6" s="153" t="str">
        <f>IFERROR(VLOOKUP(M$4,#REF!,$C6,FALSE),"")</f>
        <v/>
      </c>
      <c r="N6" s="153" t="e">
        <f>VLOOKUP(N$4,#REF!,$C6,FALSE)</f>
        <v>#REF!</v>
      </c>
      <c r="O6" s="153" t="str">
        <f>IFERROR(VLOOKUP(O$4,#REF!,$C6,FALSE),"")</f>
        <v/>
      </c>
      <c r="P6" s="153" t="e">
        <f>VLOOKUP(P$4,#REF!,$C6,FALSE)</f>
        <v>#REF!</v>
      </c>
      <c r="Q6" s="153" t="str">
        <f>IFERROR(VLOOKUP(Q$4,#REF!,$C6,FALSE),"")</f>
        <v/>
      </c>
      <c r="R6" s="153" t="e">
        <f>VLOOKUP(R$4,#REF!,$C6,FALSE)</f>
        <v>#REF!</v>
      </c>
    </row>
    <row r="7" spans="2:18">
      <c r="F7" s="14"/>
    </row>
    <row r="8" spans="2:18">
      <c r="B8" s="6" t="s">
        <v>63</v>
      </c>
      <c r="C8" s="6" t="s">
        <v>64</v>
      </c>
      <c r="D8" s="7" t="s">
        <v>60</v>
      </c>
      <c r="F8" s="12"/>
      <c r="G8" s="10" t="s">
        <v>60</v>
      </c>
      <c r="H8" s="11" t="s">
        <v>61</v>
      </c>
      <c r="I8" s="10" t="s">
        <v>60</v>
      </c>
      <c r="J8" s="11" t="s">
        <v>61</v>
      </c>
      <c r="K8" s="10" t="s">
        <v>60</v>
      </c>
      <c r="L8" s="11" t="s">
        <v>61</v>
      </c>
      <c r="M8" s="10" t="s">
        <v>60</v>
      </c>
      <c r="N8" s="11" t="s">
        <v>61</v>
      </c>
      <c r="O8" s="10" t="s">
        <v>60</v>
      </c>
      <c r="P8" s="11" t="s">
        <v>61</v>
      </c>
      <c r="Q8" s="10" t="s">
        <v>60</v>
      </c>
      <c r="R8" s="11" t="s">
        <v>61</v>
      </c>
    </row>
    <row r="9" spans="2:18">
      <c r="B9" s="3" t="s">
        <v>52</v>
      </c>
      <c r="C9" s="3" t="e">
        <f>MATCH(B9,#REF!,0)</f>
        <v>#REF!</v>
      </c>
      <c r="D9" s="3" t="s">
        <v>53</v>
      </c>
      <c r="E9" s="3" t="e">
        <f>MATCH(D9,#REF!,0)</f>
        <v>#REF!</v>
      </c>
      <c r="F9" s="12" t="s">
        <v>65</v>
      </c>
      <c r="G9" s="15" t="str">
        <f>IFERROR(IF(G$8="Contract",VLOOKUP(G$4,#REF!,$E9,FALSE),VLOOKUP(G$4,#REF!,$C9,FALSE)),"")</f>
        <v/>
      </c>
      <c r="H9" s="15" t="str">
        <f>IFERROR(IF(H$8="Contract",VLOOKUP(H$4,#REF!,$E9,FALSE),VLOOKUP(H$4,#REF!,$C9,FALSE)),"")</f>
        <v/>
      </c>
      <c r="I9" s="15" t="str">
        <f>IFERROR(IF(I$8="Contract",VLOOKUP(I$4,#REF!,$E9,FALSE),VLOOKUP(I$4,#REF!,$C9,FALSE)),"")</f>
        <v/>
      </c>
      <c r="J9" s="15" t="str">
        <f>IFERROR(IF(J$8="Contract",VLOOKUP(J$4,#REF!,$E9,FALSE),VLOOKUP(J$4,#REF!,$C9,FALSE)),"")</f>
        <v/>
      </c>
      <c r="K9" s="15" t="str">
        <f>IFERROR(IF(K$8="Contract",VLOOKUP(K$4,#REF!,$E9,FALSE),VLOOKUP(K$4,#REF!,$C9,FALSE)),"")</f>
        <v/>
      </c>
      <c r="L9" s="15" t="str">
        <f>IFERROR(IF(L$8="Contract",VLOOKUP(L$4,#REF!,$E9,FALSE),VLOOKUP(L$4,#REF!,$C9,FALSE)),"")</f>
        <v/>
      </c>
      <c r="M9" s="15" t="str">
        <f>IFERROR(IF(M$8="Contract",VLOOKUP(M$4,#REF!,$E9,FALSE),VLOOKUP(M$4,#REF!,$C9,FALSE)),"")</f>
        <v/>
      </c>
      <c r="N9" s="15" t="str">
        <f>IFERROR(IF(N$8="Contract",VLOOKUP(N$4,#REF!,$E9,FALSE),VLOOKUP(N$4,#REF!,$C9,FALSE)),"")</f>
        <v/>
      </c>
      <c r="O9" s="15" t="str">
        <f>IFERROR(IF(O$8="Contract",VLOOKUP(O$4,#REF!,$E9,FALSE),VLOOKUP(O$4,#REF!,$C9,FALSE)),"")</f>
        <v/>
      </c>
      <c r="P9" s="15" t="str">
        <f>IFERROR(IF(P$8="Contract",VLOOKUP(P$4,#REF!,$E9,FALSE),VLOOKUP(P$4,#REF!,$C9,FALSE)),"")</f>
        <v/>
      </c>
      <c r="Q9" s="15" t="str">
        <f>IFERROR(IF(Q$8="Contract",VLOOKUP(Q$4,#REF!,$E9,FALSE),VLOOKUP(Q$4,#REF!,$C9,FALSE)),"")</f>
        <v/>
      </c>
      <c r="R9" s="15" t="str">
        <f>IFERROR(IF(R$8="Contract",VLOOKUP(R$4,#REF!,$E9,FALSE),VLOOKUP(R$4,#REF!,$C9,FALSE)),"")</f>
        <v/>
      </c>
    </row>
    <row r="10" spans="2:18">
      <c r="B10" s="3" t="s">
        <v>46</v>
      </c>
      <c r="C10" s="3" t="e">
        <f>MATCH(B10,#REF!,0)</f>
        <v>#REF!</v>
      </c>
      <c r="D10" s="3" t="s">
        <v>54</v>
      </c>
      <c r="E10" s="3" t="e">
        <f>MATCH(D10,#REF!,0)</f>
        <v>#REF!</v>
      </c>
      <c r="F10" s="12" t="s">
        <v>66</v>
      </c>
      <c r="G10" s="9" t="str">
        <f>IFERROR(IF(G$8="Contract",VLOOKUP(G$4,#REF!,$E10,FALSE),VLOOKUP(G$4,#REF!,$C10,FALSE)),"")</f>
        <v/>
      </c>
      <c r="H10" s="9" t="str">
        <f>IFERROR(IF(H$8="Contract",VLOOKUP(H$4,#REF!,$E10,FALSE),VLOOKUP(H$4,#REF!,$C10,FALSE)),"")</f>
        <v/>
      </c>
      <c r="I10" s="9" t="str">
        <f>IFERROR(IF(I$8="Contract",VLOOKUP(I$4,#REF!,$E10,FALSE),VLOOKUP(I$4,#REF!,$C10,FALSE)),"")</f>
        <v/>
      </c>
      <c r="J10" s="9" t="str">
        <f>IFERROR(IF(J$8="Contract",VLOOKUP(J$4,#REF!,$E10,FALSE),VLOOKUP(J$4,#REF!,$C10,FALSE)),"")</f>
        <v/>
      </c>
      <c r="K10" s="9" t="str">
        <f>IFERROR(IF(K$8="Contract",VLOOKUP(K$4,#REF!,$E10,FALSE),VLOOKUP(K$4,#REF!,$C10,FALSE)),"")</f>
        <v/>
      </c>
      <c r="L10" s="9" t="str">
        <f>IFERROR(IF(L$8="Contract",VLOOKUP(L$4,#REF!,$E10,FALSE),VLOOKUP(L$4,#REF!,$C10,FALSE)),"")</f>
        <v/>
      </c>
      <c r="M10" s="9" t="str">
        <f>IFERROR(IF(M$8="Contract",VLOOKUP(M$4,#REF!,$E10,FALSE),VLOOKUP(M$4,#REF!,$C10,FALSE)),"")</f>
        <v/>
      </c>
      <c r="N10" s="9" t="str">
        <f>IFERROR(IF(N$8="Contract",VLOOKUP(N$4,#REF!,$E10,FALSE),VLOOKUP(N$4,#REF!,$C10,FALSE)),"")</f>
        <v/>
      </c>
      <c r="O10" s="9" t="str">
        <f>IFERROR(IF(O$8="Contract",VLOOKUP(O$4,#REF!,$E10,FALSE),VLOOKUP(O$4,#REF!,$C10,FALSE)),"")</f>
        <v/>
      </c>
      <c r="P10" s="9" t="str">
        <f>IFERROR(IF(P$8="Contract",VLOOKUP(P$4,#REF!,$E10,FALSE),VLOOKUP(P$4,#REF!,$C10,FALSE)),"")</f>
        <v/>
      </c>
      <c r="Q10" s="9" t="str">
        <f>IFERROR(IF(Q$8="Contract",VLOOKUP(Q$4,#REF!,$E10,FALSE),VLOOKUP(Q$4,#REF!,$C10,FALSE)),"")</f>
        <v/>
      </c>
      <c r="R10" s="9" t="str">
        <f>IFERROR(IF(R$8="Contract",VLOOKUP(R$4,#REF!,$E10,FALSE),VLOOKUP(R$4,#REF!,$C10,FALSE)),"")</f>
        <v/>
      </c>
    </row>
    <row r="11" spans="2:18">
      <c r="B11" s="3" t="s">
        <v>47</v>
      </c>
      <c r="C11" s="3" t="e">
        <f>MATCH(B11,#REF!,0)</f>
        <v>#REF!</v>
      </c>
      <c r="D11" s="3" t="s">
        <v>55</v>
      </c>
      <c r="E11" s="3" t="e">
        <f>MATCH(D11,#REF!,0)</f>
        <v>#REF!</v>
      </c>
      <c r="F11" s="12" t="s">
        <v>67</v>
      </c>
      <c r="G11" s="9" t="str">
        <f>IFERROR(IF(G$8="Contract",VLOOKUP(G$4,#REF!,$E11,FALSE),VLOOKUP(G$4,#REF!,$C11,FALSE)),"")</f>
        <v/>
      </c>
      <c r="H11" s="9" t="str">
        <f>IFERROR(IF(H$8="Contract",VLOOKUP(H$4,#REF!,$E11,FALSE),VLOOKUP(H$4,#REF!,$C11,FALSE)),"")</f>
        <v/>
      </c>
      <c r="I11" s="9" t="str">
        <f>IFERROR(IF(I$8="Contract",VLOOKUP(I$4,#REF!,$E11,FALSE),VLOOKUP(I$4,#REF!,$C11,FALSE)),"")</f>
        <v/>
      </c>
      <c r="J11" s="9" t="str">
        <f>IFERROR(IF(J$8="Contract",VLOOKUP(J$4,#REF!,$E11,FALSE),VLOOKUP(J$4,#REF!,$C11,FALSE)),"")</f>
        <v/>
      </c>
      <c r="K11" s="9" t="str">
        <f>IFERROR(IF(K$8="Contract",VLOOKUP(K$4,#REF!,$E11,FALSE),VLOOKUP(K$4,#REF!,$C11,FALSE)),"")</f>
        <v/>
      </c>
      <c r="L11" s="9" t="str">
        <f>IFERROR(IF(L$8="Contract",VLOOKUP(L$4,#REF!,$E11,FALSE),VLOOKUP(L$4,#REF!,$C11,FALSE)),"")</f>
        <v/>
      </c>
      <c r="M11" s="9" t="str">
        <f>IFERROR(IF(M$8="Contract",VLOOKUP(M$4,#REF!,$E11,FALSE),VLOOKUP(M$4,#REF!,$C11,FALSE)),"")</f>
        <v/>
      </c>
      <c r="N11" s="9" t="str">
        <f>IFERROR(IF(N$8="Contract",VLOOKUP(N$4,#REF!,$E11,FALSE),VLOOKUP(N$4,#REF!,$C11,FALSE)),"")</f>
        <v/>
      </c>
      <c r="O11" s="9" t="str">
        <f>IFERROR(IF(O$8="Contract",VLOOKUP(O$4,#REF!,$E11,FALSE),VLOOKUP(O$4,#REF!,$C11,FALSE)),"")</f>
        <v/>
      </c>
      <c r="P11" s="9" t="str">
        <f>IFERROR(IF(P$8="Contract",VLOOKUP(P$4,#REF!,$E11,FALSE),VLOOKUP(P$4,#REF!,$C11,FALSE)),"")</f>
        <v/>
      </c>
      <c r="Q11" s="9" t="str">
        <f>IFERROR(IF(Q$8="Contract",VLOOKUP(Q$4,#REF!,$E11,FALSE),VLOOKUP(Q$4,#REF!,$C11,FALSE)),"")</f>
        <v/>
      </c>
      <c r="R11" s="9" t="str">
        <f>IFERROR(IF(R$8="Contract",VLOOKUP(R$4,#REF!,$E11,FALSE),VLOOKUP(R$4,#REF!,$C11,FALSE)),"")</f>
        <v/>
      </c>
    </row>
    <row r="12" spans="2:18">
      <c r="B12" s="3" t="s">
        <v>48</v>
      </c>
      <c r="C12" s="3" t="e">
        <f>MATCH(B12,#REF!,0)</f>
        <v>#REF!</v>
      </c>
      <c r="D12" s="3" t="s">
        <v>56</v>
      </c>
      <c r="E12" s="3" t="e">
        <f>MATCH(D12,#REF!,0)</f>
        <v>#REF!</v>
      </c>
      <c r="F12" s="12" t="s">
        <v>68</v>
      </c>
      <c r="G12" s="9" t="str">
        <f>IFERROR(IF(G$8="Contract",VLOOKUP(G$4,#REF!,$E12,FALSE),VLOOKUP(G$4,#REF!,$C12,FALSE)),"")</f>
        <v/>
      </c>
      <c r="H12" s="9" t="str">
        <f>IFERROR(IF(H$8="Contract",VLOOKUP(H$4,#REF!,$E12,FALSE),VLOOKUP(H$4,#REF!,$C12,FALSE)),"")</f>
        <v/>
      </c>
      <c r="I12" s="9" t="str">
        <f>IFERROR(IF(I$8="Contract",VLOOKUP(I$4,#REF!,$E12,FALSE),VLOOKUP(I$4,#REF!,$C12,FALSE)),"")</f>
        <v/>
      </c>
      <c r="J12" s="9" t="str">
        <f>IFERROR(IF(J$8="Contract",VLOOKUP(J$4,#REF!,$E12,FALSE),VLOOKUP(J$4,#REF!,$C12,FALSE)),"")</f>
        <v/>
      </c>
      <c r="K12" s="9" t="str">
        <f>IFERROR(IF(K$8="Contract",VLOOKUP(K$4,#REF!,$E12,FALSE),VLOOKUP(K$4,#REF!,$C12,FALSE)),"")</f>
        <v/>
      </c>
      <c r="L12" s="9" t="str">
        <f>IFERROR(IF(L$8="Contract",VLOOKUP(L$4,#REF!,$E12,FALSE),VLOOKUP(L$4,#REF!,$C12,FALSE)),"")</f>
        <v/>
      </c>
      <c r="M12" s="9" t="str">
        <f>IFERROR(IF(M$8="Contract",VLOOKUP(M$4,#REF!,$E12,FALSE),VLOOKUP(M$4,#REF!,$C12,FALSE)),"")</f>
        <v/>
      </c>
      <c r="N12" s="9" t="str">
        <f>IFERROR(IF(N$8="Contract",VLOOKUP(N$4,#REF!,$E12,FALSE),VLOOKUP(N$4,#REF!,$C12,FALSE)),"")</f>
        <v/>
      </c>
      <c r="O12" s="9" t="str">
        <f>IFERROR(IF(O$8="Contract",VLOOKUP(O$4,#REF!,$E12,FALSE),VLOOKUP(O$4,#REF!,$C12,FALSE)),"")</f>
        <v/>
      </c>
      <c r="P12" s="9" t="str">
        <f>IFERROR(IF(P$8="Contract",VLOOKUP(P$4,#REF!,$E12,FALSE),VLOOKUP(P$4,#REF!,$C12,FALSE)),"")</f>
        <v/>
      </c>
      <c r="Q12" s="9" t="str">
        <f>IFERROR(IF(Q$8="Contract",VLOOKUP(Q$4,#REF!,$E12,FALSE),VLOOKUP(Q$4,#REF!,$C12,FALSE)),"")</f>
        <v/>
      </c>
      <c r="R12" s="9" t="str">
        <f>IFERROR(IF(R$8="Contract",VLOOKUP(R$4,#REF!,$E12,FALSE),VLOOKUP(R$4,#REF!,$C12,FALSE)),"")</f>
        <v/>
      </c>
    </row>
    <row r="13" spans="2:18">
      <c r="B13" s="3" t="s">
        <v>49</v>
      </c>
      <c r="C13" s="3" t="e">
        <f>MATCH(B13,#REF!,0)</f>
        <v>#REF!</v>
      </c>
      <c r="D13" s="3" t="s">
        <v>57</v>
      </c>
      <c r="E13" s="3" t="e">
        <f>MATCH(D13,#REF!,0)</f>
        <v>#REF!</v>
      </c>
      <c r="F13" s="12" t="s">
        <v>69</v>
      </c>
      <c r="G13" s="9" t="str">
        <f>IFERROR(IF(G$8="Contract",VLOOKUP(G$4,#REF!,$E13,FALSE),VLOOKUP(G$4,#REF!,$C13,FALSE)),"")</f>
        <v/>
      </c>
      <c r="H13" s="9" t="str">
        <f>IFERROR(IF(H$8="Contract",VLOOKUP(H$4,#REF!,$E13,FALSE),VLOOKUP(H$4,#REF!,$C13,FALSE)),"")</f>
        <v/>
      </c>
      <c r="I13" s="9" t="str">
        <f>IFERROR(IF(I$8="Contract",VLOOKUP(I$4,#REF!,$E13,FALSE),VLOOKUP(I$4,#REF!,$C13,FALSE)),"")</f>
        <v/>
      </c>
      <c r="J13" s="9" t="str">
        <f>IFERROR(IF(J$8="Contract",VLOOKUP(J$4,#REF!,$E13,FALSE),VLOOKUP(J$4,#REF!,$C13,FALSE)),"")</f>
        <v/>
      </c>
      <c r="K13" s="9" t="str">
        <f>IFERROR(IF(K$8="Contract",VLOOKUP(K$4,#REF!,$E13,FALSE),VLOOKUP(K$4,#REF!,$C13,FALSE)),"")</f>
        <v/>
      </c>
      <c r="L13" s="9" t="str">
        <f>IFERROR(IF(L$8="Contract",VLOOKUP(L$4,#REF!,$E13,FALSE),VLOOKUP(L$4,#REF!,$C13,FALSE)),"")</f>
        <v/>
      </c>
      <c r="M13" s="9" t="str">
        <f>IFERROR(IF(M$8="Contract",VLOOKUP(M$4,#REF!,$E13,FALSE),VLOOKUP(M$4,#REF!,$C13,FALSE)),"")</f>
        <v/>
      </c>
      <c r="N13" s="9" t="str">
        <f>IFERROR(IF(N$8="Contract",VLOOKUP(N$4,#REF!,$E13,FALSE),VLOOKUP(N$4,#REF!,$C13,FALSE)),"")</f>
        <v/>
      </c>
      <c r="O13" s="9" t="str">
        <f>IFERROR(IF(O$8="Contract",VLOOKUP(O$4,#REF!,$E13,FALSE),VLOOKUP(O$4,#REF!,$C13,FALSE)),"")</f>
        <v/>
      </c>
      <c r="P13" s="9" t="str">
        <f>IFERROR(IF(P$8="Contract",VLOOKUP(P$4,#REF!,$E13,FALSE),VLOOKUP(P$4,#REF!,$C13,FALSE)),"")</f>
        <v/>
      </c>
      <c r="Q13" s="9" t="str">
        <f>IFERROR(IF(Q$8="Contract",VLOOKUP(Q$4,#REF!,$E13,FALSE),VLOOKUP(Q$4,#REF!,$C13,FALSE)),"")</f>
        <v/>
      </c>
      <c r="R13" s="9" t="str">
        <f>IFERROR(IF(R$8="Contract",VLOOKUP(R$4,#REF!,$E13,FALSE),VLOOKUP(R$4,#REF!,$C13,FALSE)),"")</f>
        <v/>
      </c>
    </row>
    <row r="14" spans="2:18">
      <c r="B14" s="3" t="s">
        <v>50</v>
      </c>
      <c r="C14" s="3" t="e">
        <f>MATCH(B14,#REF!,0)</f>
        <v>#REF!</v>
      </c>
      <c r="D14" s="3" t="s">
        <v>58</v>
      </c>
      <c r="E14" s="3" t="e">
        <f>MATCH(D14,#REF!,0)</f>
        <v>#REF!</v>
      </c>
      <c r="F14" s="12" t="s">
        <v>71</v>
      </c>
      <c r="G14" s="9" t="str">
        <f>IFERROR(IF(G$8="Contract",VLOOKUP(G$4,#REF!,$E14,FALSE),VLOOKUP(G$4,#REF!,$C14,FALSE)),"")</f>
        <v/>
      </c>
      <c r="H14" s="9" t="str">
        <f>IFERROR(IF(H$8="Contract",VLOOKUP(H$4,#REF!,$E14,FALSE),VLOOKUP(H$4,#REF!,$C14,FALSE)),"")</f>
        <v/>
      </c>
      <c r="I14" s="9" t="str">
        <f>IFERROR(IF(I$8="Contract",VLOOKUP(I$4,#REF!,$E14,FALSE),VLOOKUP(I$4,#REF!,$C14,FALSE)),"")</f>
        <v/>
      </c>
      <c r="J14" s="9" t="str">
        <f>IFERROR(IF(J$8="Contract",VLOOKUP(J$4,#REF!,$E14,FALSE),VLOOKUP(J$4,#REF!,$C14,FALSE)),"")</f>
        <v/>
      </c>
      <c r="K14" s="9" t="str">
        <f>IFERROR(IF(K$8="Contract",VLOOKUP(K$4,#REF!,$E14,FALSE),VLOOKUP(K$4,#REF!,$C14,FALSE)),"")</f>
        <v/>
      </c>
      <c r="L14" s="9" t="str">
        <f>IFERROR(IF(L$8="Contract",VLOOKUP(L$4,#REF!,$E14,FALSE),VLOOKUP(L$4,#REF!,$C14,FALSE)),"")</f>
        <v/>
      </c>
      <c r="M14" s="9" t="str">
        <f>IFERROR(IF(M$8="Contract",VLOOKUP(M$4,#REF!,$E14,FALSE),VLOOKUP(M$4,#REF!,$C14,FALSE)),"")</f>
        <v/>
      </c>
      <c r="N14" s="9" t="str">
        <f>IFERROR(IF(N$8="Contract",VLOOKUP(N$4,#REF!,$E14,FALSE),VLOOKUP(N$4,#REF!,$C14,FALSE)),"")</f>
        <v/>
      </c>
      <c r="O14" s="9" t="str">
        <f>IFERROR(IF(O$8="Contract",VLOOKUP(O$4,#REF!,$E14,FALSE),VLOOKUP(O$4,#REF!,$C14,FALSE)),"")</f>
        <v/>
      </c>
      <c r="P14" s="9" t="str">
        <f>IFERROR(IF(P$8="Contract",VLOOKUP(P$4,#REF!,$E14,FALSE),VLOOKUP(P$4,#REF!,$C14,FALSE)),"")</f>
        <v/>
      </c>
      <c r="Q14" s="9" t="str">
        <f>IFERROR(IF(Q$8="Contract",VLOOKUP(Q$4,#REF!,$E14,FALSE),VLOOKUP(Q$4,#REF!,$C14,FALSE)),"")</f>
        <v/>
      </c>
      <c r="R14" s="9" t="str">
        <f>IFERROR(IF(R$8="Contract",VLOOKUP(R$4,#REF!,$E14,FALSE),VLOOKUP(R$4,#REF!,$C14,FALSE)),"")</f>
        <v/>
      </c>
    </row>
    <row r="15" spans="2:18">
      <c r="B15" s="3" t="s">
        <v>51</v>
      </c>
      <c r="C15" s="3" t="e">
        <f>MATCH(B15,#REF!,0)</f>
        <v>#REF!</v>
      </c>
      <c r="D15" s="3" t="s">
        <v>59</v>
      </c>
      <c r="E15" s="3" t="e">
        <f>MATCH(D15,#REF!,0)</f>
        <v>#REF!</v>
      </c>
      <c r="F15" s="12" t="s">
        <v>70</v>
      </c>
      <c r="G15" s="9" t="str">
        <f>IFERROR(IF(G$8="Contract",VLOOKUP(G$4,#REF!,$E15,FALSE),VLOOKUP(G$4,#REF!,$C15,FALSE)),"")</f>
        <v/>
      </c>
      <c r="H15" s="9" t="str">
        <f>IFERROR(IF(H$8="Contract",VLOOKUP(H$4,#REF!,$E15,FALSE),VLOOKUP(H$4,#REF!,$C15,FALSE)),"")</f>
        <v/>
      </c>
      <c r="I15" s="9" t="str">
        <f>IFERROR(IF(I$8="Contract",VLOOKUP(I$4,#REF!,$E15,FALSE),VLOOKUP(I$4,#REF!,$C15,FALSE)),"")</f>
        <v/>
      </c>
      <c r="J15" s="9" t="str">
        <f>IFERROR(IF(J$8="Contract",VLOOKUP(J$4,#REF!,$E15,FALSE),VLOOKUP(J$4,#REF!,$C15,FALSE)),"")</f>
        <v/>
      </c>
      <c r="K15" s="9" t="str">
        <f>IFERROR(IF(K$8="Contract",VLOOKUP(K$4,#REF!,$E15,FALSE),VLOOKUP(K$4,#REF!,$C15,FALSE)),"")</f>
        <v/>
      </c>
      <c r="L15" s="9" t="str">
        <f>IFERROR(IF(L$8="Contract",VLOOKUP(L$4,#REF!,$E15,FALSE),VLOOKUP(L$4,#REF!,$C15,FALSE)),"")</f>
        <v/>
      </c>
      <c r="M15" s="9" t="str">
        <f>IFERROR(IF(M$8="Contract",VLOOKUP(M$4,#REF!,$E15,FALSE),VLOOKUP(M$4,#REF!,$C15,FALSE)),"")</f>
        <v/>
      </c>
      <c r="N15" s="9" t="str">
        <f>IFERROR(IF(N$8="Contract",VLOOKUP(N$4,#REF!,$E15,FALSE),VLOOKUP(N$4,#REF!,$C15,FALSE)),"")</f>
        <v/>
      </c>
      <c r="O15" s="9" t="str">
        <f>IFERROR(IF(O$8="Contract",VLOOKUP(O$4,#REF!,$E15,FALSE),VLOOKUP(O$4,#REF!,$C15,FALSE)),"")</f>
        <v/>
      </c>
      <c r="P15" s="9" t="str">
        <f>IFERROR(IF(P$8="Contract",VLOOKUP(P$4,#REF!,$E15,FALSE),VLOOKUP(P$4,#REF!,$C15,FALSE)),"")</f>
        <v/>
      </c>
      <c r="Q15" s="9" t="str">
        <f>IFERROR(IF(Q$8="Contract",VLOOKUP(Q$4,#REF!,$E15,FALSE),VLOOKUP(Q$4,#REF!,$C15,FALSE)),"")</f>
        <v/>
      </c>
      <c r="R15" s="9" t="str">
        <f>IFERROR(IF(R$8="Contract",VLOOKUP(R$4,#REF!,$E15,FALSE),VLOOKUP(R$4,#REF!,$C15,FALSE)),"")</f>
        <v/>
      </c>
    </row>
    <row r="16" spans="2:18">
      <c r="F16" s="12" t="s">
        <v>72</v>
      </c>
      <c r="G16" s="9" t="str">
        <f>IFERROR(G15-G14+G13-G12+G11-G10,"")</f>
        <v/>
      </c>
      <c r="H16" s="9" t="str">
        <f t="shared" ref="H16:R16" si="0">IFERROR(H15-H14+H13-H12+H11-H10,"")</f>
        <v/>
      </c>
      <c r="I16" s="9" t="str">
        <f t="shared" si="0"/>
        <v/>
      </c>
      <c r="J16" s="9" t="str">
        <f t="shared" si="0"/>
        <v/>
      </c>
      <c r="K16" s="9" t="str">
        <f t="shared" si="0"/>
        <v/>
      </c>
      <c r="L16" s="9" t="str">
        <f t="shared" si="0"/>
        <v/>
      </c>
      <c r="M16" s="9" t="str">
        <f t="shared" si="0"/>
        <v/>
      </c>
      <c r="N16" s="9" t="str">
        <f t="shared" si="0"/>
        <v/>
      </c>
      <c r="O16" s="9" t="str">
        <f t="shared" si="0"/>
        <v/>
      </c>
      <c r="P16" s="9" t="str">
        <f t="shared" si="0"/>
        <v/>
      </c>
      <c r="Q16" s="9" t="str">
        <f t="shared" si="0"/>
        <v/>
      </c>
      <c r="R16" s="9" t="str">
        <f t="shared" si="0"/>
        <v/>
      </c>
    </row>
    <row r="17" spans="1:18">
      <c r="A17" s="8"/>
      <c r="B17" s="7"/>
      <c r="F17" s="158">
        <v>60</v>
      </c>
    </row>
    <row r="18" spans="1:18" ht="6" customHeight="1">
      <c r="A18" s="8"/>
      <c r="E18" s="3">
        <v>60</v>
      </c>
      <c r="F18" s="158"/>
      <c r="G18" s="16" t="b">
        <f t="shared" ref="G18:R27" si="1">IF(OR(AND($E18&gt;=G$12,$E18&lt;=G$13),AND($E18&gt;=G$10,$E18&lt;=G$11),AND($E18&gt;=G$14,$E18&lt;=G$15)),TRUE,FALSE)</f>
        <v>0</v>
      </c>
      <c r="H18" s="16" t="b">
        <f t="shared" si="1"/>
        <v>0</v>
      </c>
      <c r="I18" s="16" t="b">
        <f t="shared" si="1"/>
        <v>0</v>
      </c>
      <c r="J18" s="16" t="b">
        <f t="shared" si="1"/>
        <v>0</v>
      </c>
      <c r="K18" s="16" t="b">
        <f t="shared" si="1"/>
        <v>0</v>
      </c>
      <c r="L18" s="16" t="b">
        <f t="shared" si="1"/>
        <v>0</v>
      </c>
      <c r="M18" s="16" t="b">
        <f t="shared" si="1"/>
        <v>0</v>
      </c>
      <c r="N18" s="16" t="b">
        <f t="shared" si="1"/>
        <v>0</v>
      </c>
      <c r="O18" s="16" t="b">
        <f t="shared" si="1"/>
        <v>0</v>
      </c>
      <c r="P18" s="16" t="b">
        <f t="shared" si="1"/>
        <v>0</v>
      </c>
      <c r="Q18" s="16" t="b">
        <f t="shared" si="1"/>
        <v>0</v>
      </c>
      <c r="R18" s="16" t="b">
        <f t="shared" si="1"/>
        <v>0</v>
      </c>
    </row>
    <row r="19" spans="1:18" ht="6" customHeight="1">
      <c r="A19" s="8"/>
      <c r="E19" s="3">
        <v>59</v>
      </c>
      <c r="F19" s="154">
        <v>50</v>
      </c>
      <c r="G19" s="18" t="b">
        <f t="shared" si="1"/>
        <v>0</v>
      </c>
      <c r="H19" s="18" t="b">
        <f t="shared" si="1"/>
        <v>0</v>
      </c>
      <c r="I19" s="18" t="b">
        <f t="shared" si="1"/>
        <v>0</v>
      </c>
      <c r="J19" s="18" t="b">
        <f t="shared" si="1"/>
        <v>0</v>
      </c>
      <c r="K19" s="18" t="b">
        <f t="shared" si="1"/>
        <v>0</v>
      </c>
      <c r="L19" s="18" t="b">
        <f t="shared" si="1"/>
        <v>0</v>
      </c>
      <c r="M19" s="18" t="b">
        <f t="shared" si="1"/>
        <v>0</v>
      </c>
      <c r="N19" s="18" t="b">
        <f t="shared" si="1"/>
        <v>0</v>
      </c>
      <c r="O19" s="18" t="b">
        <f t="shared" si="1"/>
        <v>0</v>
      </c>
      <c r="P19" s="18" t="b">
        <f t="shared" si="1"/>
        <v>0</v>
      </c>
      <c r="Q19" s="18" t="b">
        <f t="shared" si="1"/>
        <v>0</v>
      </c>
      <c r="R19" s="18" t="b">
        <f t="shared" si="1"/>
        <v>0</v>
      </c>
    </row>
    <row r="20" spans="1:18" ht="6" customHeight="1">
      <c r="A20" s="8"/>
      <c r="E20" s="3">
        <v>58</v>
      </c>
      <c r="F20" s="155"/>
      <c r="G20" s="16" t="b">
        <f t="shared" si="1"/>
        <v>0</v>
      </c>
      <c r="H20" s="16" t="b">
        <f t="shared" si="1"/>
        <v>0</v>
      </c>
      <c r="I20" s="16" t="b">
        <f t="shared" si="1"/>
        <v>0</v>
      </c>
      <c r="J20" s="16" t="b">
        <f t="shared" si="1"/>
        <v>0</v>
      </c>
      <c r="K20" s="16" t="b">
        <f t="shared" si="1"/>
        <v>0</v>
      </c>
      <c r="L20" s="16" t="b">
        <f t="shared" si="1"/>
        <v>0</v>
      </c>
      <c r="M20" s="16" t="b">
        <f t="shared" si="1"/>
        <v>0</v>
      </c>
      <c r="N20" s="16" t="b">
        <f t="shared" si="1"/>
        <v>0</v>
      </c>
      <c r="O20" s="16" t="b">
        <f t="shared" si="1"/>
        <v>0</v>
      </c>
      <c r="P20" s="16" t="b">
        <f t="shared" si="1"/>
        <v>0</v>
      </c>
      <c r="Q20" s="16" t="b">
        <f t="shared" si="1"/>
        <v>0</v>
      </c>
      <c r="R20" s="16" t="b">
        <f t="shared" si="1"/>
        <v>0</v>
      </c>
    </row>
    <row r="21" spans="1:18" ht="6" customHeight="1">
      <c r="A21" s="8"/>
      <c r="E21" s="3">
        <v>57</v>
      </c>
      <c r="F21" s="155"/>
      <c r="G21" s="16" t="b">
        <f t="shared" si="1"/>
        <v>0</v>
      </c>
      <c r="H21" s="16" t="b">
        <f t="shared" si="1"/>
        <v>0</v>
      </c>
      <c r="I21" s="16" t="b">
        <f t="shared" si="1"/>
        <v>0</v>
      </c>
      <c r="J21" s="16" t="b">
        <f t="shared" si="1"/>
        <v>0</v>
      </c>
      <c r="K21" s="16" t="b">
        <f t="shared" si="1"/>
        <v>0</v>
      </c>
      <c r="L21" s="16" t="b">
        <f t="shared" si="1"/>
        <v>0</v>
      </c>
      <c r="M21" s="16" t="b">
        <f t="shared" si="1"/>
        <v>0</v>
      </c>
      <c r="N21" s="16" t="b">
        <f t="shared" si="1"/>
        <v>0</v>
      </c>
      <c r="O21" s="16" t="b">
        <f t="shared" si="1"/>
        <v>0</v>
      </c>
      <c r="P21" s="16" t="b">
        <f t="shared" si="1"/>
        <v>0</v>
      </c>
      <c r="Q21" s="16" t="b">
        <f t="shared" si="1"/>
        <v>0</v>
      </c>
      <c r="R21" s="16" t="b">
        <f t="shared" si="1"/>
        <v>0</v>
      </c>
    </row>
    <row r="22" spans="1:18" ht="6" customHeight="1">
      <c r="A22" s="8"/>
      <c r="E22" s="3">
        <v>56</v>
      </c>
      <c r="F22" s="155"/>
      <c r="G22" s="16" t="b">
        <f t="shared" si="1"/>
        <v>0</v>
      </c>
      <c r="H22" s="16" t="b">
        <f t="shared" si="1"/>
        <v>0</v>
      </c>
      <c r="I22" s="16" t="b">
        <f t="shared" si="1"/>
        <v>0</v>
      </c>
      <c r="J22" s="16" t="b">
        <f t="shared" si="1"/>
        <v>0</v>
      </c>
      <c r="K22" s="16" t="b">
        <f t="shared" si="1"/>
        <v>0</v>
      </c>
      <c r="L22" s="16" t="b">
        <f t="shared" si="1"/>
        <v>0</v>
      </c>
      <c r="M22" s="16" t="b">
        <f t="shared" si="1"/>
        <v>0</v>
      </c>
      <c r="N22" s="16" t="b">
        <f t="shared" si="1"/>
        <v>0</v>
      </c>
      <c r="O22" s="16" t="b">
        <f t="shared" si="1"/>
        <v>0</v>
      </c>
      <c r="P22" s="16" t="b">
        <f t="shared" si="1"/>
        <v>0</v>
      </c>
      <c r="Q22" s="16" t="b">
        <f t="shared" si="1"/>
        <v>0</v>
      </c>
      <c r="R22" s="16" t="b">
        <f t="shared" si="1"/>
        <v>0</v>
      </c>
    </row>
    <row r="23" spans="1:18" ht="6" customHeight="1">
      <c r="A23" s="8"/>
      <c r="E23" s="3">
        <v>55</v>
      </c>
      <c r="F23" s="155"/>
      <c r="G23" s="16" t="b">
        <f t="shared" si="1"/>
        <v>0</v>
      </c>
      <c r="H23" s="16" t="b">
        <f t="shared" si="1"/>
        <v>0</v>
      </c>
      <c r="I23" s="16" t="b">
        <f t="shared" si="1"/>
        <v>0</v>
      </c>
      <c r="J23" s="16" t="b">
        <f t="shared" si="1"/>
        <v>0</v>
      </c>
      <c r="K23" s="16" t="b">
        <f t="shared" si="1"/>
        <v>0</v>
      </c>
      <c r="L23" s="16" t="b">
        <f t="shared" si="1"/>
        <v>0</v>
      </c>
      <c r="M23" s="16" t="b">
        <f t="shared" si="1"/>
        <v>0</v>
      </c>
      <c r="N23" s="16" t="b">
        <f t="shared" si="1"/>
        <v>0</v>
      </c>
      <c r="O23" s="16" t="b">
        <f t="shared" si="1"/>
        <v>0</v>
      </c>
      <c r="P23" s="16" t="b">
        <f t="shared" si="1"/>
        <v>0</v>
      </c>
      <c r="Q23" s="16" t="b">
        <f t="shared" si="1"/>
        <v>0</v>
      </c>
      <c r="R23" s="16" t="b">
        <f t="shared" si="1"/>
        <v>0</v>
      </c>
    </row>
    <row r="24" spans="1:18" ht="6" customHeight="1">
      <c r="A24" s="8"/>
      <c r="E24" s="3">
        <v>54</v>
      </c>
      <c r="F24" s="155"/>
      <c r="G24" s="16" t="b">
        <f t="shared" si="1"/>
        <v>0</v>
      </c>
      <c r="H24" s="16" t="b">
        <f t="shared" si="1"/>
        <v>0</v>
      </c>
      <c r="I24" s="16" t="b">
        <f t="shared" si="1"/>
        <v>0</v>
      </c>
      <c r="J24" s="16" t="b">
        <f t="shared" si="1"/>
        <v>0</v>
      </c>
      <c r="K24" s="16" t="b">
        <f t="shared" si="1"/>
        <v>0</v>
      </c>
      <c r="L24" s="16" t="b">
        <f t="shared" si="1"/>
        <v>0</v>
      </c>
      <c r="M24" s="16" t="b">
        <f t="shared" si="1"/>
        <v>0</v>
      </c>
      <c r="N24" s="16" t="b">
        <f t="shared" si="1"/>
        <v>0</v>
      </c>
      <c r="O24" s="16" t="b">
        <f t="shared" si="1"/>
        <v>0</v>
      </c>
      <c r="P24" s="16" t="b">
        <f t="shared" si="1"/>
        <v>0</v>
      </c>
      <c r="Q24" s="16" t="b">
        <f t="shared" si="1"/>
        <v>0</v>
      </c>
      <c r="R24" s="16" t="b">
        <f t="shared" si="1"/>
        <v>0</v>
      </c>
    </row>
    <row r="25" spans="1:18" ht="6" customHeight="1">
      <c r="A25" s="8"/>
      <c r="E25" s="3">
        <v>53</v>
      </c>
      <c r="F25" s="155"/>
      <c r="G25" s="16" t="b">
        <f t="shared" si="1"/>
        <v>0</v>
      </c>
      <c r="H25" s="16" t="b">
        <f t="shared" si="1"/>
        <v>0</v>
      </c>
      <c r="I25" s="16" t="b">
        <f t="shared" si="1"/>
        <v>0</v>
      </c>
      <c r="J25" s="16" t="b">
        <f t="shared" si="1"/>
        <v>0</v>
      </c>
      <c r="K25" s="16" t="b">
        <f t="shared" si="1"/>
        <v>0</v>
      </c>
      <c r="L25" s="16" t="b">
        <f t="shared" si="1"/>
        <v>0</v>
      </c>
      <c r="M25" s="16" t="b">
        <f t="shared" si="1"/>
        <v>0</v>
      </c>
      <c r="N25" s="16" t="b">
        <f t="shared" si="1"/>
        <v>0</v>
      </c>
      <c r="O25" s="16" t="b">
        <f t="shared" si="1"/>
        <v>0</v>
      </c>
      <c r="P25" s="16" t="b">
        <f t="shared" si="1"/>
        <v>0</v>
      </c>
      <c r="Q25" s="16" t="b">
        <f t="shared" si="1"/>
        <v>0</v>
      </c>
      <c r="R25" s="16" t="b">
        <f t="shared" si="1"/>
        <v>0</v>
      </c>
    </row>
    <row r="26" spans="1:18" ht="6" customHeight="1">
      <c r="A26" s="8"/>
      <c r="E26" s="3">
        <v>52</v>
      </c>
      <c r="F26" s="155"/>
      <c r="G26" s="16" t="b">
        <f t="shared" si="1"/>
        <v>0</v>
      </c>
      <c r="H26" s="16" t="b">
        <f t="shared" si="1"/>
        <v>0</v>
      </c>
      <c r="I26" s="16" t="b">
        <f t="shared" si="1"/>
        <v>0</v>
      </c>
      <c r="J26" s="16" t="b">
        <f t="shared" si="1"/>
        <v>0</v>
      </c>
      <c r="K26" s="16" t="b">
        <f t="shared" si="1"/>
        <v>0</v>
      </c>
      <c r="L26" s="16" t="b">
        <f t="shared" si="1"/>
        <v>0</v>
      </c>
      <c r="M26" s="16" t="b">
        <f t="shared" si="1"/>
        <v>0</v>
      </c>
      <c r="N26" s="16" t="b">
        <f t="shared" si="1"/>
        <v>0</v>
      </c>
      <c r="O26" s="16" t="b">
        <f t="shared" si="1"/>
        <v>0</v>
      </c>
      <c r="P26" s="16" t="b">
        <f t="shared" si="1"/>
        <v>0</v>
      </c>
      <c r="Q26" s="16" t="b">
        <f t="shared" si="1"/>
        <v>0</v>
      </c>
      <c r="R26" s="16" t="b">
        <f t="shared" si="1"/>
        <v>0</v>
      </c>
    </row>
    <row r="27" spans="1:18" ht="6" customHeight="1">
      <c r="A27" s="8"/>
      <c r="E27" s="3">
        <v>51</v>
      </c>
      <c r="F27" s="155"/>
      <c r="G27" s="16" t="b">
        <f t="shared" si="1"/>
        <v>0</v>
      </c>
      <c r="H27" s="16" t="b">
        <f t="shared" si="1"/>
        <v>0</v>
      </c>
      <c r="I27" s="16" t="b">
        <f t="shared" si="1"/>
        <v>0</v>
      </c>
      <c r="J27" s="16" t="b">
        <f t="shared" si="1"/>
        <v>0</v>
      </c>
      <c r="K27" s="16" t="b">
        <f t="shared" si="1"/>
        <v>0</v>
      </c>
      <c r="L27" s="16" t="b">
        <f t="shared" si="1"/>
        <v>0</v>
      </c>
      <c r="M27" s="16" t="b">
        <f t="shared" si="1"/>
        <v>0</v>
      </c>
      <c r="N27" s="16" t="b">
        <f t="shared" si="1"/>
        <v>0</v>
      </c>
      <c r="O27" s="16" t="b">
        <f t="shared" si="1"/>
        <v>0</v>
      </c>
      <c r="P27" s="16" t="b">
        <f t="shared" si="1"/>
        <v>0</v>
      </c>
      <c r="Q27" s="16" t="b">
        <f t="shared" si="1"/>
        <v>0</v>
      </c>
      <c r="R27" s="16" t="b">
        <f t="shared" si="1"/>
        <v>0</v>
      </c>
    </row>
    <row r="28" spans="1:18" ht="6" customHeight="1">
      <c r="A28" s="8"/>
      <c r="E28" s="3">
        <v>50</v>
      </c>
      <c r="F28" s="156"/>
      <c r="G28" s="19" t="b">
        <f t="shared" ref="G28:R37" si="2">IF(OR(AND($E28&gt;=G$12,$E28&lt;=G$13),AND($E28&gt;=G$10,$E28&lt;=G$11),AND($E28&gt;=G$14,$E28&lt;=G$15)),TRUE,FALSE)</f>
        <v>0</v>
      </c>
      <c r="H28" s="19" t="b">
        <f t="shared" si="2"/>
        <v>0</v>
      </c>
      <c r="I28" s="19" t="b">
        <f t="shared" si="2"/>
        <v>0</v>
      </c>
      <c r="J28" s="19" t="b">
        <f t="shared" si="2"/>
        <v>0</v>
      </c>
      <c r="K28" s="19" t="b">
        <f t="shared" si="2"/>
        <v>0</v>
      </c>
      <c r="L28" s="19" t="b">
        <f t="shared" si="2"/>
        <v>0</v>
      </c>
      <c r="M28" s="19" t="b">
        <f t="shared" si="2"/>
        <v>0</v>
      </c>
      <c r="N28" s="19" t="b">
        <f t="shared" si="2"/>
        <v>0</v>
      </c>
      <c r="O28" s="19" t="b">
        <f t="shared" si="2"/>
        <v>0</v>
      </c>
      <c r="P28" s="19" t="b">
        <f t="shared" si="2"/>
        <v>0</v>
      </c>
      <c r="Q28" s="19" t="b">
        <f t="shared" si="2"/>
        <v>0</v>
      </c>
      <c r="R28" s="19" t="b">
        <f t="shared" si="2"/>
        <v>0</v>
      </c>
    </row>
    <row r="29" spans="1:18" ht="6" customHeight="1">
      <c r="A29" s="8"/>
      <c r="E29" s="3">
        <v>49</v>
      </c>
      <c r="F29" s="154">
        <v>40</v>
      </c>
      <c r="G29" s="18" t="b">
        <f t="shared" si="2"/>
        <v>0</v>
      </c>
      <c r="H29" s="18" t="b">
        <f t="shared" si="2"/>
        <v>0</v>
      </c>
      <c r="I29" s="18" t="b">
        <f t="shared" si="2"/>
        <v>0</v>
      </c>
      <c r="J29" s="18" t="b">
        <f t="shared" si="2"/>
        <v>0</v>
      </c>
      <c r="K29" s="18" t="b">
        <f t="shared" si="2"/>
        <v>0</v>
      </c>
      <c r="L29" s="18" t="b">
        <f t="shared" si="2"/>
        <v>0</v>
      </c>
      <c r="M29" s="18" t="b">
        <f t="shared" si="2"/>
        <v>0</v>
      </c>
      <c r="N29" s="18" t="b">
        <f t="shared" si="2"/>
        <v>0</v>
      </c>
      <c r="O29" s="18" t="b">
        <f t="shared" si="2"/>
        <v>0</v>
      </c>
      <c r="P29" s="18" t="b">
        <f t="shared" si="2"/>
        <v>0</v>
      </c>
      <c r="Q29" s="18" t="b">
        <f t="shared" si="2"/>
        <v>0</v>
      </c>
      <c r="R29" s="18" t="b">
        <f t="shared" si="2"/>
        <v>0</v>
      </c>
    </row>
    <row r="30" spans="1:18" ht="6" customHeight="1">
      <c r="A30" s="8"/>
      <c r="E30" s="3">
        <v>48</v>
      </c>
      <c r="F30" s="155"/>
      <c r="G30" s="16" t="b">
        <f t="shared" si="2"/>
        <v>0</v>
      </c>
      <c r="H30" s="16" t="b">
        <f t="shared" si="2"/>
        <v>0</v>
      </c>
      <c r="I30" s="16" t="b">
        <f t="shared" si="2"/>
        <v>0</v>
      </c>
      <c r="J30" s="16" t="b">
        <f t="shared" si="2"/>
        <v>0</v>
      </c>
      <c r="K30" s="16" t="b">
        <f t="shared" si="2"/>
        <v>0</v>
      </c>
      <c r="L30" s="16" t="b">
        <f t="shared" si="2"/>
        <v>0</v>
      </c>
      <c r="M30" s="16" t="b">
        <f t="shared" si="2"/>
        <v>0</v>
      </c>
      <c r="N30" s="16" t="b">
        <f t="shared" si="2"/>
        <v>0</v>
      </c>
      <c r="O30" s="16" t="b">
        <f t="shared" si="2"/>
        <v>0</v>
      </c>
      <c r="P30" s="16" t="b">
        <f t="shared" si="2"/>
        <v>0</v>
      </c>
      <c r="Q30" s="16" t="b">
        <f t="shared" si="2"/>
        <v>0</v>
      </c>
      <c r="R30" s="16" t="b">
        <f t="shared" si="2"/>
        <v>0</v>
      </c>
    </row>
    <row r="31" spans="1:18" ht="6" customHeight="1">
      <c r="A31" s="8"/>
      <c r="E31" s="3">
        <v>47</v>
      </c>
      <c r="F31" s="155"/>
      <c r="G31" s="16" t="b">
        <f t="shared" si="2"/>
        <v>0</v>
      </c>
      <c r="H31" s="16" t="b">
        <f t="shared" si="2"/>
        <v>0</v>
      </c>
      <c r="I31" s="16" t="b">
        <f t="shared" si="2"/>
        <v>0</v>
      </c>
      <c r="J31" s="16" t="b">
        <f t="shared" si="2"/>
        <v>0</v>
      </c>
      <c r="K31" s="16" t="b">
        <f t="shared" si="2"/>
        <v>0</v>
      </c>
      <c r="L31" s="16" t="b">
        <f t="shared" si="2"/>
        <v>0</v>
      </c>
      <c r="M31" s="16" t="b">
        <f t="shared" si="2"/>
        <v>0</v>
      </c>
      <c r="N31" s="16" t="b">
        <f t="shared" si="2"/>
        <v>0</v>
      </c>
      <c r="O31" s="16" t="b">
        <f t="shared" si="2"/>
        <v>0</v>
      </c>
      <c r="P31" s="16" t="b">
        <f t="shared" si="2"/>
        <v>0</v>
      </c>
      <c r="Q31" s="16" t="b">
        <f t="shared" si="2"/>
        <v>0</v>
      </c>
      <c r="R31" s="16" t="b">
        <f t="shared" si="2"/>
        <v>0</v>
      </c>
    </row>
    <row r="32" spans="1:18" ht="6" customHeight="1">
      <c r="A32" s="8"/>
      <c r="E32" s="3">
        <v>46</v>
      </c>
      <c r="F32" s="155"/>
      <c r="G32" s="16" t="b">
        <f t="shared" si="2"/>
        <v>0</v>
      </c>
      <c r="H32" s="16" t="b">
        <f t="shared" si="2"/>
        <v>0</v>
      </c>
      <c r="I32" s="16" t="b">
        <f t="shared" si="2"/>
        <v>0</v>
      </c>
      <c r="J32" s="16" t="b">
        <f t="shared" si="2"/>
        <v>0</v>
      </c>
      <c r="K32" s="16" t="b">
        <f t="shared" si="2"/>
        <v>0</v>
      </c>
      <c r="L32" s="16" t="b">
        <f t="shared" si="2"/>
        <v>0</v>
      </c>
      <c r="M32" s="16" t="b">
        <f t="shared" si="2"/>
        <v>0</v>
      </c>
      <c r="N32" s="16" t="b">
        <f t="shared" si="2"/>
        <v>0</v>
      </c>
      <c r="O32" s="16" t="b">
        <f t="shared" si="2"/>
        <v>0</v>
      </c>
      <c r="P32" s="16" t="b">
        <f t="shared" si="2"/>
        <v>0</v>
      </c>
      <c r="Q32" s="16" t="b">
        <f t="shared" si="2"/>
        <v>0</v>
      </c>
      <c r="R32" s="16" t="b">
        <f t="shared" si="2"/>
        <v>0</v>
      </c>
    </row>
    <row r="33" spans="1:18" ht="6" customHeight="1">
      <c r="A33" s="8"/>
      <c r="E33" s="3">
        <v>45</v>
      </c>
      <c r="F33" s="155"/>
      <c r="G33" s="16" t="b">
        <f t="shared" si="2"/>
        <v>0</v>
      </c>
      <c r="H33" s="16" t="b">
        <f t="shared" si="2"/>
        <v>0</v>
      </c>
      <c r="I33" s="16" t="b">
        <f t="shared" si="2"/>
        <v>0</v>
      </c>
      <c r="J33" s="16" t="b">
        <f t="shared" si="2"/>
        <v>0</v>
      </c>
      <c r="K33" s="16" t="b">
        <f t="shared" si="2"/>
        <v>0</v>
      </c>
      <c r="L33" s="16" t="b">
        <f t="shared" si="2"/>
        <v>0</v>
      </c>
      <c r="M33" s="16" t="b">
        <f t="shared" si="2"/>
        <v>0</v>
      </c>
      <c r="N33" s="16" t="b">
        <f t="shared" si="2"/>
        <v>0</v>
      </c>
      <c r="O33" s="16" t="b">
        <f t="shared" si="2"/>
        <v>0</v>
      </c>
      <c r="P33" s="16" t="b">
        <f t="shared" si="2"/>
        <v>0</v>
      </c>
      <c r="Q33" s="16" t="b">
        <f t="shared" si="2"/>
        <v>0</v>
      </c>
      <c r="R33" s="16" t="b">
        <f t="shared" si="2"/>
        <v>0</v>
      </c>
    </row>
    <row r="34" spans="1:18" ht="6" customHeight="1">
      <c r="A34" s="8"/>
      <c r="E34" s="3">
        <v>44</v>
      </c>
      <c r="F34" s="155"/>
      <c r="G34" s="16" t="b">
        <f t="shared" si="2"/>
        <v>0</v>
      </c>
      <c r="H34" s="16" t="b">
        <f t="shared" si="2"/>
        <v>0</v>
      </c>
      <c r="I34" s="16" t="b">
        <f t="shared" si="2"/>
        <v>0</v>
      </c>
      <c r="J34" s="16" t="b">
        <f t="shared" si="2"/>
        <v>0</v>
      </c>
      <c r="K34" s="16" t="b">
        <f t="shared" si="2"/>
        <v>0</v>
      </c>
      <c r="L34" s="16" t="b">
        <f t="shared" si="2"/>
        <v>0</v>
      </c>
      <c r="M34" s="16" t="b">
        <f t="shared" si="2"/>
        <v>0</v>
      </c>
      <c r="N34" s="16" t="b">
        <f t="shared" si="2"/>
        <v>0</v>
      </c>
      <c r="O34" s="16" t="b">
        <f t="shared" si="2"/>
        <v>0</v>
      </c>
      <c r="P34" s="16" t="b">
        <f t="shared" si="2"/>
        <v>0</v>
      </c>
      <c r="Q34" s="16" t="b">
        <f t="shared" si="2"/>
        <v>0</v>
      </c>
      <c r="R34" s="16" t="b">
        <f t="shared" si="2"/>
        <v>0</v>
      </c>
    </row>
    <row r="35" spans="1:18" ht="6" customHeight="1">
      <c r="A35" s="8"/>
      <c r="E35" s="3">
        <v>43</v>
      </c>
      <c r="F35" s="155"/>
      <c r="G35" s="16" t="b">
        <f t="shared" si="2"/>
        <v>0</v>
      </c>
      <c r="H35" s="16" t="b">
        <f t="shared" si="2"/>
        <v>0</v>
      </c>
      <c r="I35" s="16" t="b">
        <f t="shared" si="2"/>
        <v>0</v>
      </c>
      <c r="J35" s="16" t="b">
        <f t="shared" si="2"/>
        <v>0</v>
      </c>
      <c r="K35" s="16" t="b">
        <f t="shared" si="2"/>
        <v>0</v>
      </c>
      <c r="L35" s="16" t="b">
        <f t="shared" si="2"/>
        <v>0</v>
      </c>
      <c r="M35" s="16" t="b">
        <f t="shared" si="2"/>
        <v>0</v>
      </c>
      <c r="N35" s="16" t="b">
        <f t="shared" si="2"/>
        <v>0</v>
      </c>
      <c r="O35" s="16" t="b">
        <f t="shared" si="2"/>
        <v>0</v>
      </c>
      <c r="P35" s="16" t="b">
        <f t="shared" si="2"/>
        <v>0</v>
      </c>
      <c r="Q35" s="16" t="b">
        <f t="shared" si="2"/>
        <v>0</v>
      </c>
      <c r="R35" s="16" t="b">
        <f t="shared" si="2"/>
        <v>0</v>
      </c>
    </row>
    <row r="36" spans="1:18" ht="6" customHeight="1">
      <c r="A36" s="8"/>
      <c r="E36" s="3">
        <v>42</v>
      </c>
      <c r="F36" s="155"/>
      <c r="G36" s="16" t="b">
        <f t="shared" si="2"/>
        <v>0</v>
      </c>
      <c r="H36" s="16" t="b">
        <f t="shared" si="2"/>
        <v>0</v>
      </c>
      <c r="I36" s="16" t="b">
        <f t="shared" si="2"/>
        <v>0</v>
      </c>
      <c r="J36" s="16" t="b">
        <f t="shared" si="2"/>
        <v>0</v>
      </c>
      <c r="K36" s="16" t="b">
        <f t="shared" si="2"/>
        <v>0</v>
      </c>
      <c r="L36" s="16" t="b">
        <f t="shared" si="2"/>
        <v>0</v>
      </c>
      <c r="M36" s="16" t="b">
        <f t="shared" si="2"/>
        <v>0</v>
      </c>
      <c r="N36" s="16" t="b">
        <f t="shared" si="2"/>
        <v>0</v>
      </c>
      <c r="O36" s="16" t="b">
        <f t="shared" si="2"/>
        <v>0</v>
      </c>
      <c r="P36" s="16" t="b">
        <f t="shared" si="2"/>
        <v>0</v>
      </c>
      <c r="Q36" s="16" t="b">
        <f t="shared" si="2"/>
        <v>0</v>
      </c>
      <c r="R36" s="16" t="b">
        <f t="shared" si="2"/>
        <v>0</v>
      </c>
    </row>
    <row r="37" spans="1:18" ht="6" customHeight="1">
      <c r="A37" s="8"/>
      <c r="E37" s="3">
        <v>41</v>
      </c>
      <c r="F37" s="155"/>
      <c r="G37" s="16" t="b">
        <f t="shared" si="2"/>
        <v>0</v>
      </c>
      <c r="H37" s="16" t="b">
        <f t="shared" si="2"/>
        <v>0</v>
      </c>
      <c r="I37" s="16" t="b">
        <f t="shared" si="2"/>
        <v>0</v>
      </c>
      <c r="J37" s="16" t="b">
        <f t="shared" si="2"/>
        <v>0</v>
      </c>
      <c r="K37" s="16" t="b">
        <f t="shared" si="2"/>
        <v>0</v>
      </c>
      <c r="L37" s="16" t="b">
        <f t="shared" si="2"/>
        <v>0</v>
      </c>
      <c r="M37" s="16" t="b">
        <f t="shared" si="2"/>
        <v>0</v>
      </c>
      <c r="N37" s="16" t="b">
        <f t="shared" si="2"/>
        <v>0</v>
      </c>
      <c r="O37" s="16" t="b">
        <f t="shared" si="2"/>
        <v>0</v>
      </c>
      <c r="P37" s="16" t="b">
        <f t="shared" si="2"/>
        <v>0</v>
      </c>
      <c r="Q37" s="16" t="b">
        <f t="shared" si="2"/>
        <v>0</v>
      </c>
      <c r="R37" s="16" t="b">
        <f t="shared" si="2"/>
        <v>0</v>
      </c>
    </row>
    <row r="38" spans="1:18" ht="6" customHeight="1">
      <c r="A38" s="8"/>
      <c r="E38" s="3">
        <v>40</v>
      </c>
      <c r="F38" s="156"/>
      <c r="G38" s="19" t="b">
        <f t="shared" ref="G38:R47" si="3">IF(OR(AND($E38&gt;=G$12,$E38&lt;=G$13),AND($E38&gt;=G$10,$E38&lt;=G$11),AND($E38&gt;=G$14,$E38&lt;=G$15)),TRUE,FALSE)</f>
        <v>0</v>
      </c>
      <c r="H38" s="19" t="b">
        <f t="shared" si="3"/>
        <v>0</v>
      </c>
      <c r="I38" s="19" t="b">
        <f t="shared" si="3"/>
        <v>0</v>
      </c>
      <c r="J38" s="19" t="b">
        <f t="shared" si="3"/>
        <v>0</v>
      </c>
      <c r="K38" s="19" t="b">
        <f t="shared" si="3"/>
        <v>0</v>
      </c>
      <c r="L38" s="19" t="b">
        <f t="shared" si="3"/>
        <v>0</v>
      </c>
      <c r="M38" s="19" t="b">
        <f t="shared" si="3"/>
        <v>0</v>
      </c>
      <c r="N38" s="19" t="b">
        <f t="shared" si="3"/>
        <v>0</v>
      </c>
      <c r="O38" s="19" t="b">
        <f t="shared" si="3"/>
        <v>0</v>
      </c>
      <c r="P38" s="19" t="b">
        <f t="shared" si="3"/>
        <v>0</v>
      </c>
      <c r="Q38" s="19" t="b">
        <f t="shared" si="3"/>
        <v>0</v>
      </c>
      <c r="R38" s="19" t="b">
        <f t="shared" si="3"/>
        <v>0</v>
      </c>
    </row>
    <row r="39" spans="1:18" ht="6" customHeight="1">
      <c r="A39" s="8"/>
      <c r="E39" s="3">
        <v>39</v>
      </c>
      <c r="F39" s="154">
        <v>30</v>
      </c>
      <c r="G39" s="18" t="b">
        <f t="shared" si="3"/>
        <v>0</v>
      </c>
      <c r="H39" s="18" t="b">
        <f t="shared" si="3"/>
        <v>0</v>
      </c>
      <c r="I39" s="18" t="b">
        <f t="shared" si="3"/>
        <v>0</v>
      </c>
      <c r="J39" s="18" t="b">
        <f t="shared" si="3"/>
        <v>0</v>
      </c>
      <c r="K39" s="18" t="b">
        <f t="shared" si="3"/>
        <v>0</v>
      </c>
      <c r="L39" s="18" t="b">
        <f t="shared" si="3"/>
        <v>0</v>
      </c>
      <c r="M39" s="18" t="b">
        <f t="shared" si="3"/>
        <v>0</v>
      </c>
      <c r="N39" s="18" t="b">
        <f t="shared" si="3"/>
        <v>0</v>
      </c>
      <c r="O39" s="18" t="b">
        <f t="shared" si="3"/>
        <v>0</v>
      </c>
      <c r="P39" s="18" t="b">
        <f t="shared" si="3"/>
        <v>0</v>
      </c>
      <c r="Q39" s="18" t="b">
        <f t="shared" si="3"/>
        <v>0</v>
      </c>
      <c r="R39" s="18" t="b">
        <f t="shared" si="3"/>
        <v>0</v>
      </c>
    </row>
    <row r="40" spans="1:18" ht="6" customHeight="1">
      <c r="A40" s="8"/>
      <c r="E40" s="3">
        <v>38</v>
      </c>
      <c r="F40" s="155"/>
      <c r="G40" s="16" t="b">
        <f t="shared" si="3"/>
        <v>0</v>
      </c>
      <c r="H40" s="16" t="b">
        <f t="shared" si="3"/>
        <v>0</v>
      </c>
      <c r="I40" s="16" t="b">
        <f t="shared" si="3"/>
        <v>0</v>
      </c>
      <c r="J40" s="16" t="b">
        <f t="shared" si="3"/>
        <v>0</v>
      </c>
      <c r="K40" s="16" t="b">
        <f t="shared" si="3"/>
        <v>0</v>
      </c>
      <c r="L40" s="16" t="b">
        <f t="shared" si="3"/>
        <v>0</v>
      </c>
      <c r="M40" s="16" t="b">
        <f t="shared" si="3"/>
        <v>0</v>
      </c>
      <c r="N40" s="16" t="b">
        <f t="shared" si="3"/>
        <v>0</v>
      </c>
      <c r="O40" s="16" t="b">
        <f t="shared" si="3"/>
        <v>0</v>
      </c>
      <c r="P40" s="16" t="b">
        <f t="shared" si="3"/>
        <v>0</v>
      </c>
      <c r="Q40" s="16" t="b">
        <f t="shared" si="3"/>
        <v>0</v>
      </c>
      <c r="R40" s="16" t="b">
        <f t="shared" si="3"/>
        <v>0</v>
      </c>
    </row>
    <row r="41" spans="1:18" ht="6" customHeight="1">
      <c r="A41" s="8"/>
      <c r="E41" s="3">
        <v>37</v>
      </c>
      <c r="F41" s="155"/>
      <c r="G41" s="16" t="b">
        <f t="shared" si="3"/>
        <v>0</v>
      </c>
      <c r="H41" s="16" t="b">
        <f t="shared" si="3"/>
        <v>0</v>
      </c>
      <c r="I41" s="16" t="b">
        <f t="shared" si="3"/>
        <v>0</v>
      </c>
      <c r="J41" s="16" t="b">
        <f t="shared" si="3"/>
        <v>0</v>
      </c>
      <c r="K41" s="16" t="b">
        <f t="shared" si="3"/>
        <v>0</v>
      </c>
      <c r="L41" s="16" t="b">
        <f t="shared" si="3"/>
        <v>0</v>
      </c>
      <c r="M41" s="16" t="b">
        <f t="shared" si="3"/>
        <v>0</v>
      </c>
      <c r="N41" s="16" t="b">
        <f t="shared" si="3"/>
        <v>0</v>
      </c>
      <c r="O41" s="16" t="b">
        <f t="shared" si="3"/>
        <v>0</v>
      </c>
      <c r="P41" s="16" t="b">
        <f t="shared" si="3"/>
        <v>0</v>
      </c>
      <c r="Q41" s="16" t="b">
        <f t="shared" si="3"/>
        <v>0</v>
      </c>
      <c r="R41" s="16" t="b">
        <f t="shared" si="3"/>
        <v>0</v>
      </c>
    </row>
    <row r="42" spans="1:18" ht="6" customHeight="1">
      <c r="A42" s="8"/>
      <c r="E42" s="3">
        <v>36</v>
      </c>
      <c r="F42" s="155"/>
      <c r="G42" s="16" t="b">
        <f t="shared" si="3"/>
        <v>0</v>
      </c>
      <c r="H42" s="16" t="b">
        <f t="shared" si="3"/>
        <v>0</v>
      </c>
      <c r="I42" s="16" t="b">
        <f t="shared" si="3"/>
        <v>0</v>
      </c>
      <c r="J42" s="16" t="b">
        <f t="shared" si="3"/>
        <v>0</v>
      </c>
      <c r="K42" s="16" t="b">
        <f t="shared" si="3"/>
        <v>0</v>
      </c>
      <c r="L42" s="16" t="b">
        <f t="shared" si="3"/>
        <v>0</v>
      </c>
      <c r="M42" s="16" t="b">
        <f t="shared" si="3"/>
        <v>0</v>
      </c>
      <c r="N42" s="16" t="b">
        <f t="shared" si="3"/>
        <v>0</v>
      </c>
      <c r="O42" s="16" t="b">
        <f t="shared" si="3"/>
        <v>0</v>
      </c>
      <c r="P42" s="16" t="b">
        <f t="shared" si="3"/>
        <v>0</v>
      </c>
      <c r="Q42" s="16" t="b">
        <f t="shared" si="3"/>
        <v>0</v>
      </c>
      <c r="R42" s="16" t="b">
        <f t="shared" si="3"/>
        <v>0</v>
      </c>
    </row>
    <row r="43" spans="1:18" ht="6" customHeight="1">
      <c r="A43" s="8"/>
      <c r="E43" s="3">
        <v>35</v>
      </c>
      <c r="F43" s="155"/>
      <c r="G43" s="16" t="b">
        <f t="shared" si="3"/>
        <v>0</v>
      </c>
      <c r="H43" s="16" t="b">
        <f t="shared" si="3"/>
        <v>0</v>
      </c>
      <c r="I43" s="16" t="b">
        <f t="shared" si="3"/>
        <v>0</v>
      </c>
      <c r="J43" s="16" t="b">
        <f t="shared" si="3"/>
        <v>0</v>
      </c>
      <c r="K43" s="16" t="b">
        <f t="shared" si="3"/>
        <v>0</v>
      </c>
      <c r="L43" s="16" t="b">
        <f t="shared" si="3"/>
        <v>0</v>
      </c>
      <c r="M43" s="16" t="b">
        <f t="shared" si="3"/>
        <v>0</v>
      </c>
      <c r="N43" s="16" t="b">
        <f t="shared" si="3"/>
        <v>0</v>
      </c>
      <c r="O43" s="16" t="b">
        <f t="shared" si="3"/>
        <v>0</v>
      </c>
      <c r="P43" s="16" t="b">
        <f t="shared" si="3"/>
        <v>0</v>
      </c>
      <c r="Q43" s="16" t="b">
        <f t="shared" si="3"/>
        <v>0</v>
      </c>
      <c r="R43" s="16" t="b">
        <f t="shared" si="3"/>
        <v>0</v>
      </c>
    </row>
    <row r="44" spans="1:18" ht="6" customHeight="1">
      <c r="A44" s="8"/>
      <c r="E44" s="3">
        <v>34</v>
      </c>
      <c r="F44" s="155"/>
      <c r="G44" s="16" t="b">
        <f t="shared" si="3"/>
        <v>0</v>
      </c>
      <c r="H44" s="16" t="b">
        <f t="shared" si="3"/>
        <v>0</v>
      </c>
      <c r="I44" s="16" t="b">
        <f t="shared" si="3"/>
        <v>0</v>
      </c>
      <c r="J44" s="16" t="b">
        <f t="shared" si="3"/>
        <v>0</v>
      </c>
      <c r="K44" s="16" t="b">
        <f t="shared" si="3"/>
        <v>0</v>
      </c>
      <c r="L44" s="16" t="b">
        <f t="shared" si="3"/>
        <v>0</v>
      </c>
      <c r="M44" s="16" t="b">
        <f t="shared" si="3"/>
        <v>0</v>
      </c>
      <c r="N44" s="16" t="b">
        <f t="shared" si="3"/>
        <v>0</v>
      </c>
      <c r="O44" s="16" t="b">
        <f t="shared" si="3"/>
        <v>0</v>
      </c>
      <c r="P44" s="16" t="b">
        <f t="shared" si="3"/>
        <v>0</v>
      </c>
      <c r="Q44" s="16" t="b">
        <f t="shared" si="3"/>
        <v>0</v>
      </c>
      <c r="R44" s="16" t="b">
        <f t="shared" si="3"/>
        <v>0</v>
      </c>
    </row>
    <row r="45" spans="1:18" ht="6" customHeight="1">
      <c r="A45" s="8"/>
      <c r="E45" s="3">
        <v>33</v>
      </c>
      <c r="F45" s="155"/>
      <c r="G45" s="16" t="b">
        <f t="shared" si="3"/>
        <v>0</v>
      </c>
      <c r="H45" s="16" t="b">
        <f t="shared" si="3"/>
        <v>0</v>
      </c>
      <c r="I45" s="16" t="b">
        <f t="shared" si="3"/>
        <v>0</v>
      </c>
      <c r="J45" s="16" t="b">
        <f t="shared" si="3"/>
        <v>0</v>
      </c>
      <c r="K45" s="16" t="b">
        <f t="shared" si="3"/>
        <v>0</v>
      </c>
      <c r="L45" s="16" t="b">
        <f t="shared" si="3"/>
        <v>0</v>
      </c>
      <c r="M45" s="16" t="b">
        <f t="shared" si="3"/>
        <v>0</v>
      </c>
      <c r="N45" s="16" t="b">
        <f t="shared" si="3"/>
        <v>0</v>
      </c>
      <c r="O45" s="16" t="b">
        <f t="shared" si="3"/>
        <v>0</v>
      </c>
      <c r="P45" s="16" t="b">
        <f t="shared" si="3"/>
        <v>0</v>
      </c>
      <c r="Q45" s="16" t="b">
        <f t="shared" si="3"/>
        <v>0</v>
      </c>
      <c r="R45" s="16" t="b">
        <f t="shared" si="3"/>
        <v>0</v>
      </c>
    </row>
    <row r="46" spans="1:18" ht="6" customHeight="1">
      <c r="A46" s="8"/>
      <c r="E46" s="3">
        <v>32</v>
      </c>
      <c r="F46" s="155"/>
      <c r="G46" s="16" t="b">
        <f t="shared" si="3"/>
        <v>0</v>
      </c>
      <c r="H46" s="16" t="b">
        <f t="shared" si="3"/>
        <v>0</v>
      </c>
      <c r="I46" s="16" t="b">
        <f t="shared" si="3"/>
        <v>0</v>
      </c>
      <c r="J46" s="16" t="b">
        <f t="shared" si="3"/>
        <v>0</v>
      </c>
      <c r="K46" s="16" t="b">
        <f t="shared" si="3"/>
        <v>0</v>
      </c>
      <c r="L46" s="16" t="b">
        <f t="shared" si="3"/>
        <v>0</v>
      </c>
      <c r="M46" s="16" t="b">
        <f t="shared" si="3"/>
        <v>0</v>
      </c>
      <c r="N46" s="16" t="b">
        <f t="shared" si="3"/>
        <v>0</v>
      </c>
      <c r="O46" s="16" t="b">
        <f t="shared" si="3"/>
        <v>0</v>
      </c>
      <c r="P46" s="16" t="b">
        <f t="shared" si="3"/>
        <v>0</v>
      </c>
      <c r="Q46" s="16" t="b">
        <f t="shared" si="3"/>
        <v>0</v>
      </c>
      <c r="R46" s="16" t="b">
        <f t="shared" si="3"/>
        <v>0</v>
      </c>
    </row>
    <row r="47" spans="1:18" ht="6" customHeight="1">
      <c r="A47" s="8"/>
      <c r="E47" s="3">
        <v>31</v>
      </c>
      <c r="F47" s="155"/>
      <c r="G47" s="16" t="b">
        <f t="shared" si="3"/>
        <v>0</v>
      </c>
      <c r="H47" s="16" t="b">
        <f t="shared" si="3"/>
        <v>0</v>
      </c>
      <c r="I47" s="16" t="b">
        <f t="shared" si="3"/>
        <v>0</v>
      </c>
      <c r="J47" s="16" t="b">
        <f t="shared" si="3"/>
        <v>0</v>
      </c>
      <c r="K47" s="16" t="b">
        <f t="shared" si="3"/>
        <v>0</v>
      </c>
      <c r="L47" s="16" t="b">
        <f t="shared" si="3"/>
        <v>0</v>
      </c>
      <c r="M47" s="16" t="b">
        <f t="shared" si="3"/>
        <v>0</v>
      </c>
      <c r="N47" s="16" t="b">
        <f t="shared" si="3"/>
        <v>0</v>
      </c>
      <c r="O47" s="16" t="b">
        <f t="shared" si="3"/>
        <v>0</v>
      </c>
      <c r="P47" s="16" t="b">
        <f t="shared" si="3"/>
        <v>0</v>
      </c>
      <c r="Q47" s="16" t="b">
        <f t="shared" si="3"/>
        <v>0</v>
      </c>
      <c r="R47" s="16" t="b">
        <f t="shared" si="3"/>
        <v>0</v>
      </c>
    </row>
    <row r="48" spans="1:18" ht="6" customHeight="1">
      <c r="A48" s="8"/>
      <c r="E48" s="3">
        <v>30</v>
      </c>
      <c r="F48" s="156"/>
      <c r="G48" s="19" t="b">
        <f t="shared" ref="G48:R57" si="4">IF(OR(AND($E48&gt;=G$12,$E48&lt;=G$13),AND($E48&gt;=G$10,$E48&lt;=G$11),AND($E48&gt;=G$14,$E48&lt;=G$15)),TRUE,FALSE)</f>
        <v>0</v>
      </c>
      <c r="H48" s="19" t="b">
        <f t="shared" si="4"/>
        <v>0</v>
      </c>
      <c r="I48" s="19" t="b">
        <f t="shared" si="4"/>
        <v>0</v>
      </c>
      <c r="J48" s="19" t="b">
        <f t="shared" si="4"/>
        <v>0</v>
      </c>
      <c r="K48" s="19" t="b">
        <f t="shared" si="4"/>
        <v>0</v>
      </c>
      <c r="L48" s="19" t="b">
        <f t="shared" si="4"/>
        <v>0</v>
      </c>
      <c r="M48" s="19" t="b">
        <f t="shared" si="4"/>
        <v>0</v>
      </c>
      <c r="N48" s="19" t="b">
        <f t="shared" si="4"/>
        <v>0</v>
      </c>
      <c r="O48" s="19" t="b">
        <f t="shared" si="4"/>
        <v>0</v>
      </c>
      <c r="P48" s="19" t="b">
        <f t="shared" si="4"/>
        <v>0</v>
      </c>
      <c r="Q48" s="19" t="b">
        <f t="shared" si="4"/>
        <v>0</v>
      </c>
      <c r="R48" s="19" t="b">
        <f t="shared" si="4"/>
        <v>0</v>
      </c>
    </row>
    <row r="49" spans="1:18" ht="6" customHeight="1">
      <c r="A49" s="8"/>
      <c r="E49" s="3">
        <v>29</v>
      </c>
      <c r="F49" s="154">
        <v>20</v>
      </c>
      <c r="G49" s="18" t="b">
        <f t="shared" si="4"/>
        <v>0</v>
      </c>
      <c r="H49" s="18" t="b">
        <f t="shared" si="4"/>
        <v>0</v>
      </c>
      <c r="I49" s="18" t="b">
        <f t="shared" si="4"/>
        <v>0</v>
      </c>
      <c r="J49" s="18" t="b">
        <f t="shared" si="4"/>
        <v>0</v>
      </c>
      <c r="K49" s="18" t="b">
        <f t="shared" si="4"/>
        <v>0</v>
      </c>
      <c r="L49" s="18" t="b">
        <f t="shared" si="4"/>
        <v>0</v>
      </c>
      <c r="M49" s="18" t="b">
        <f t="shared" si="4"/>
        <v>0</v>
      </c>
      <c r="N49" s="18" t="b">
        <f t="shared" si="4"/>
        <v>0</v>
      </c>
      <c r="O49" s="18" t="b">
        <f t="shared" si="4"/>
        <v>0</v>
      </c>
      <c r="P49" s="18" t="b">
        <f t="shared" si="4"/>
        <v>0</v>
      </c>
      <c r="Q49" s="18" t="b">
        <f t="shared" si="4"/>
        <v>0</v>
      </c>
      <c r="R49" s="18" t="b">
        <f t="shared" si="4"/>
        <v>0</v>
      </c>
    </row>
    <row r="50" spans="1:18" ht="6" customHeight="1">
      <c r="A50" s="8"/>
      <c r="E50" s="3">
        <v>28</v>
      </c>
      <c r="F50" s="155"/>
      <c r="G50" s="16" t="b">
        <f t="shared" si="4"/>
        <v>0</v>
      </c>
      <c r="H50" s="16" t="b">
        <f t="shared" si="4"/>
        <v>0</v>
      </c>
      <c r="I50" s="16" t="b">
        <f t="shared" si="4"/>
        <v>0</v>
      </c>
      <c r="J50" s="16" t="b">
        <f t="shared" si="4"/>
        <v>0</v>
      </c>
      <c r="K50" s="16" t="b">
        <f t="shared" si="4"/>
        <v>0</v>
      </c>
      <c r="L50" s="16" t="b">
        <f t="shared" si="4"/>
        <v>0</v>
      </c>
      <c r="M50" s="16" t="b">
        <f t="shared" si="4"/>
        <v>0</v>
      </c>
      <c r="N50" s="16" t="b">
        <f t="shared" si="4"/>
        <v>0</v>
      </c>
      <c r="O50" s="16" t="b">
        <f t="shared" si="4"/>
        <v>0</v>
      </c>
      <c r="P50" s="16" t="b">
        <f t="shared" si="4"/>
        <v>0</v>
      </c>
      <c r="Q50" s="16" t="b">
        <f t="shared" si="4"/>
        <v>0</v>
      </c>
      <c r="R50" s="16" t="b">
        <f t="shared" si="4"/>
        <v>0</v>
      </c>
    </row>
    <row r="51" spans="1:18" ht="6" customHeight="1">
      <c r="A51" s="8"/>
      <c r="E51" s="3">
        <v>27</v>
      </c>
      <c r="F51" s="155"/>
      <c r="G51" s="16" t="b">
        <f t="shared" si="4"/>
        <v>0</v>
      </c>
      <c r="H51" s="16" t="b">
        <f t="shared" si="4"/>
        <v>0</v>
      </c>
      <c r="I51" s="16" t="b">
        <f t="shared" si="4"/>
        <v>0</v>
      </c>
      <c r="J51" s="16" t="b">
        <f t="shared" si="4"/>
        <v>0</v>
      </c>
      <c r="K51" s="16" t="b">
        <f t="shared" si="4"/>
        <v>0</v>
      </c>
      <c r="L51" s="16" t="b">
        <f t="shared" si="4"/>
        <v>0</v>
      </c>
      <c r="M51" s="16" t="b">
        <f t="shared" si="4"/>
        <v>0</v>
      </c>
      <c r="N51" s="16" t="b">
        <f t="shared" si="4"/>
        <v>0</v>
      </c>
      <c r="O51" s="16" t="b">
        <f t="shared" si="4"/>
        <v>0</v>
      </c>
      <c r="P51" s="16" t="b">
        <f t="shared" si="4"/>
        <v>0</v>
      </c>
      <c r="Q51" s="16" t="b">
        <f t="shared" si="4"/>
        <v>0</v>
      </c>
      <c r="R51" s="16" t="b">
        <f t="shared" si="4"/>
        <v>0</v>
      </c>
    </row>
    <row r="52" spans="1:18" ht="6" customHeight="1">
      <c r="A52" s="8"/>
      <c r="E52" s="3">
        <v>26</v>
      </c>
      <c r="F52" s="155"/>
      <c r="G52" s="16" t="b">
        <f t="shared" si="4"/>
        <v>0</v>
      </c>
      <c r="H52" s="16" t="b">
        <f t="shared" si="4"/>
        <v>0</v>
      </c>
      <c r="I52" s="16" t="b">
        <f t="shared" si="4"/>
        <v>0</v>
      </c>
      <c r="J52" s="16" t="b">
        <f t="shared" si="4"/>
        <v>0</v>
      </c>
      <c r="K52" s="16" t="b">
        <f t="shared" si="4"/>
        <v>0</v>
      </c>
      <c r="L52" s="16" t="b">
        <f t="shared" si="4"/>
        <v>0</v>
      </c>
      <c r="M52" s="16" t="b">
        <f t="shared" si="4"/>
        <v>0</v>
      </c>
      <c r="N52" s="16" t="b">
        <f t="shared" si="4"/>
        <v>0</v>
      </c>
      <c r="O52" s="16" t="b">
        <f t="shared" si="4"/>
        <v>0</v>
      </c>
      <c r="P52" s="16" t="b">
        <f t="shared" si="4"/>
        <v>0</v>
      </c>
      <c r="Q52" s="16" t="b">
        <f t="shared" si="4"/>
        <v>0</v>
      </c>
      <c r="R52" s="16" t="b">
        <f t="shared" si="4"/>
        <v>0</v>
      </c>
    </row>
    <row r="53" spans="1:18" ht="6" customHeight="1">
      <c r="A53" s="8"/>
      <c r="E53" s="3">
        <v>25</v>
      </c>
      <c r="F53" s="155"/>
      <c r="G53" s="16" t="b">
        <f t="shared" si="4"/>
        <v>0</v>
      </c>
      <c r="H53" s="16" t="b">
        <f t="shared" si="4"/>
        <v>0</v>
      </c>
      <c r="I53" s="16" t="b">
        <f t="shared" si="4"/>
        <v>0</v>
      </c>
      <c r="J53" s="16" t="b">
        <f t="shared" si="4"/>
        <v>0</v>
      </c>
      <c r="K53" s="16" t="b">
        <f t="shared" si="4"/>
        <v>0</v>
      </c>
      <c r="L53" s="16" t="b">
        <f t="shared" si="4"/>
        <v>0</v>
      </c>
      <c r="M53" s="16" t="b">
        <f t="shared" si="4"/>
        <v>0</v>
      </c>
      <c r="N53" s="16" t="b">
        <f t="shared" si="4"/>
        <v>0</v>
      </c>
      <c r="O53" s="16" t="b">
        <f t="shared" si="4"/>
        <v>0</v>
      </c>
      <c r="P53" s="16" t="b">
        <f t="shared" si="4"/>
        <v>0</v>
      </c>
      <c r="Q53" s="16" t="b">
        <f t="shared" si="4"/>
        <v>0</v>
      </c>
      <c r="R53" s="16" t="b">
        <f t="shared" si="4"/>
        <v>0</v>
      </c>
    </row>
    <row r="54" spans="1:18" ht="6" customHeight="1">
      <c r="A54" s="8"/>
      <c r="E54" s="3">
        <v>24</v>
      </c>
      <c r="F54" s="155"/>
      <c r="G54" s="16" t="b">
        <f t="shared" si="4"/>
        <v>0</v>
      </c>
      <c r="H54" s="16" t="b">
        <f t="shared" si="4"/>
        <v>0</v>
      </c>
      <c r="I54" s="16" t="b">
        <f t="shared" si="4"/>
        <v>0</v>
      </c>
      <c r="J54" s="16" t="b">
        <f t="shared" si="4"/>
        <v>0</v>
      </c>
      <c r="K54" s="16" t="b">
        <f t="shared" si="4"/>
        <v>0</v>
      </c>
      <c r="L54" s="16" t="b">
        <f t="shared" si="4"/>
        <v>0</v>
      </c>
      <c r="M54" s="16" t="b">
        <f t="shared" si="4"/>
        <v>0</v>
      </c>
      <c r="N54" s="16" t="b">
        <f t="shared" si="4"/>
        <v>0</v>
      </c>
      <c r="O54" s="16" t="b">
        <f t="shared" si="4"/>
        <v>0</v>
      </c>
      <c r="P54" s="16" t="b">
        <f t="shared" si="4"/>
        <v>0</v>
      </c>
      <c r="Q54" s="16" t="b">
        <f t="shared" si="4"/>
        <v>0</v>
      </c>
      <c r="R54" s="16" t="b">
        <f t="shared" si="4"/>
        <v>0</v>
      </c>
    </row>
    <row r="55" spans="1:18" ht="6" customHeight="1">
      <c r="A55" s="8"/>
      <c r="E55" s="3">
        <v>23</v>
      </c>
      <c r="F55" s="155"/>
      <c r="G55" s="16" t="b">
        <f t="shared" si="4"/>
        <v>0</v>
      </c>
      <c r="H55" s="16" t="b">
        <f t="shared" si="4"/>
        <v>0</v>
      </c>
      <c r="I55" s="16" t="b">
        <f t="shared" si="4"/>
        <v>0</v>
      </c>
      <c r="J55" s="16" t="b">
        <f t="shared" si="4"/>
        <v>0</v>
      </c>
      <c r="K55" s="16" t="b">
        <f t="shared" si="4"/>
        <v>0</v>
      </c>
      <c r="L55" s="16" t="b">
        <f t="shared" si="4"/>
        <v>0</v>
      </c>
      <c r="M55" s="16" t="b">
        <f t="shared" si="4"/>
        <v>0</v>
      </c>
      <c r="N55" s="16" t="b">
        <f t="shared" si="4"/>
        <v>0</v>
      </c>
      <c r="O55" s="16" t="b">
        <f t="shared" si="4"/>
        <v>0</v>
      </c>
      <c r="P55" s="16" t="b">
        <f t="shared" si="4"/>
        <v>0</v>
      </c>
      <c r="Q55" s="16" t="b">
        <f t="shared" si="4"/>
        <v>0</v>
      </c>
      <c r="R55" s="16" t="b">
        <f t="shared" si="4"/>
        <v>0</v>
      </c>
    </row>
    <row r="56" spans="1:18" ht="6" customHeight="1">
      <c r="A56" s="8"/>
      <c r="E56" s="3">
        <v>22</v>
      </c>
      <c r="F56" s="155"/>
      <c r="G56" s="16" t="b">
        <f t="shared" si="4"/>
        <v>0</v>
      </c>
      <c r="H56" s="16" t="b">
        <f t="shared" si="4"/>
        <v>0</v>
      </c>
      <c r="I56" s="16" t="b">
        <f t="shared" si="4"/>
        <v>0</v>
      </c>
      <c r="J56" s="16" t="b">
        <f t="shared" si="4"/>
        <v>0</v>
      </c>
      <c r="K56" s="16" t="b">
        <f t="shared" si="4"/>
        <v>0</v>
      </c>
      <c r="L56" s="16" t="b">
        <f t="shared" si="4"/>
        <v>0</v>
      </c>
      <c r="M56" s="16" t="b">
        <f t="shared" si="4"/>
        <v>0</v>
      </c>
      <c r="N56" s="16" t="b">
        <f t="shared" si="4"/>
        <v>0</v>
      </c>
      <c r="O56" s="16" t="b">
        <f t="shared" si="4"/>
        <v>0</v>
      </c>
      <c r="P56" s="16" t="b">
        <f t="shared" si="4"/>
        <v>0</v>
      </c>
      <c r="Q56" s="16" t="b">
        <f t="shared" si="4"/>
        <v>0</v>
      </c>
      <c r="R56" s="16" t="b">
        <f t="shared" si="4"/>
        <v>0</v>
      </c>
    </row>
    <row r="57" spans="1:18" ht="6" customHeight="1">
      <c r="A57" s="8"/>
      <c r="E57" s="3">
        <v>21</v>
      </c>
      <c r="F57" s="155"/>
      <c r="G57" s="16" t="b">
        <f t="shared" si="4"/>
        <v>0</v>
      </c>
      <c r="H57" s="16" t="b">
        <f t="shared" si="4"/>
        <v>0</v>
      </c>
      <c r="I57" s="16" t="b">
        <f t="shared" si="4"/>
        <v>0</v>
      </c>
      <c r="J57" s="16" t="b">
        <f t="shared" si="4"/>
        <v>0</v>
      </c>
      <c r="K57" s="16" t="b">
        <f t="shared" si="4"/>
        <v>0</v>
      </c>
      <c r="L57" s="16" t="b">
        <f t="shared" si="4"/>
        <v>0</v>
      </c>
      <c r="M57" s="16" t="b">
        <f t="shared" si="4"/>
        <v>0</v>
      </c>
      <c r="N57" s="16" t="b">
        <f t="shared" si="4"/>
        <v>0</v>
      </c>
      <c r="O57" s="16" t="b">
        <f t="shared" si="4"/>
        <v>0</v>
      </c>
      <c r="P57" s="16" t="b">
        <f t="shared" si="4"/>
        <v>0</v>
      </c>
      <c r="Q57" s="16" t="b">
        <f t="shared" si="4"/>
        <v>0</v>
      </c>
      <c r="R57" s="16" t="b">
        <f t="shared" si="4"/>
        <v>0</v>
      </c>
    </row>
    <row r="58" spans="1:18" ht="6" customHeight="1">
      <c r="A58" s="8"/>
      <c r="E58" s="3">
        <v>20</v>
      </c>
      <c r="F58" s="156"/>
      <c r="G58" s="19" t="b">
        <f t="shared" ref="G58:R67" si="5">IF(OR(AND($E58&gt;=G$12,$E58&lt;=G$13),AND($E58&gt;=G$10,$E58&lt;=G$11),AND($E58&gt;=G$14,$E58&lt;=G$15)),TRUE,FALSE)</f>
        <v>0</v>
      </c>
      <c r="H58" s="19" t="b">
        <f t="shared" si="5"/>
        <v>0</v>
      </c>
      <c r="I58" s="19" t="b">
        <f t="shared" si="5"/>
        <v>0</v>
      </c>
      <c r="J58" s="19" t="b">
        <f t="shared" si="5"/>
        <v>0</v>
      </c>
      <c r="K58" s="19" t="b">
        <f t="shared" si="5"/>
        <v>0</v>
      </c>
      <c r="L58" s="19" t="b">
        <f t="shared" si="5"/>
        <v>0</v>
      </c>
      <c r="M58" s="19" t="b">
        <f t="shared" si="5"/>
        <v>0</v>
      </c>
      <c r="N58" s="19" t="b">
        <f t="shared" si="5"/>
        <v>0</v>
      </c>
      <c r="O58" s="19" t="b">
        <f t="shared" si="5"/>
        <v>0</v>
      </c>
      <c r="P58" s="19" t="b">
        <f t="shared" si="5"/>
        <v>0</v>
      </c>
      <c r="Q58" s="19" t="b">
        <f t="shared" si="5"/>
        <v>0</v>
      </c>
      <c r="R58" s="19" t="b">
        <f t="shared" si="5"/>
        <v>0</v>
      </c>
    </row>
    <row r="59" spans="1:18" ht="6" customHeight="1">
      <c r="A59" s="8"/>
      <c r="E59" s="3">
        <v>19</v>
      </c>
      <c r="F59" s="154">
        <v>10</v>
      </c>
      <c r="G59" s="18" t="b">
        <f t="shared" si="5"/>
        <v>0</v>
      </c>
      <c r="H59" s="18" t="b">
        <f t="shared" si="5"/>
        <v>0</v>
      </c>
      <c r="I59" s="18" t="b">
        <f t="shared" si="5"/>
        <v>0</v>
      </c>
      <c r="J59" s="18" t="b">
        <f t="shared" si="5"/>
        <v>0</v>
      </c>
      <c r="K59" s="18" t="b">
        <f t="shared" si="5"/>
        <v>0</v>
      </c>
      <c r="L59" s="18" t="b">
        <f t="shared" si="5"/>
        <v>0</v>
      </c>
      <c r="M59" s="18" t="b">
        <f t="shared" si="5"/>
        <v>0</v>
      </c>
      <c r="N59" s="18" t="b">
        <f t="shared" si="5"/>
        <v>0</v>
      </c>
      <c r="O59" s="18" t="b">
        <f t="shared" si="5"/>
        <v>0</v>
      </c>
      <c r="P59" s="18" t="b">
        <f t="shared" si="5"/>
        <v>0</v>
      </c>
      <c r="Q59" s="18" t="b">
        <f t="shared" si="5"/>
        <v>0</v>
      </c>
      <c r="R59" s="18" t="b">
        <f t="shared" si="5"/>
        <v>0</v>
      </c>
    </row>
    <row r="60" spans="1:18" ht="6" customHeight="1">
      <c r="A60" s="8"/>
      <c r="E60" s="3">
        <v>18</v>
      </c>
      <c r="F60" s="155"/>
      <c r="G60" s="16" t="b">
        <f t="shared" si="5"/>
        <v>0</v>
      </c>
      <c r="H60" s="16" t="b">
        <f t="shared" si="5"/>
        <v>0</v>
      </c>
      <c r="I60" s="16" t="b">
        <f t="shared" si="5"/>
        <v>0</v>
      </c>
      <c r="J60" s="16" t="b">
        <f t="shared" si="5"/>
        <v>0</v>
      </c>
      <c r="K60" s="16" t="b">
        <f t="shared" si="5"/>
        <v>0</v>
      </c>
      <c r="L60" s="16" t="b">
        <f t="shared" si="5"/>
        <v>0</v>
      </c>
      <c r="M60" s="16" t="b">
        <f t="shared" si="5"/>
        <v>0</v>
      </c>
      <c r="N60" s="16" t="b">
        <f t="shared" si="5"/>
        <v>0</v>
      </c>
      <c r="O60" s="16" t="b">
        <f t="shared" si="5"/>
        <v>0</v>
      </c>
      <c r="P60" s="16" t="b">
        <f t="shared" si="5"/>
        <v>0</v>
      </c>
      <c r="Q60" s="16" t="b">
        <f t="shared" si="5"/>
        <v>0</v>
      </c>
      <c r="R60" s="16" t="b">
        <f t="shared" si="5"/>
        <v>0</v>
      </c>
    </row>
    <row r="61" spans="1:18" ht="6" customHeight="1">
      <c r="A61" s="8"/>
      <c r="E61" s="3">
        <v>17</v>
      </c>
      <c r="F61" s="155"/>
      <c r="G61" s="16" t="b">
        <f t="shared" si="5"/>
        <v>0</v>
      </c>
      <c r="H61" s="16" t="b">
        <f t="shared" si="5"/>
        <v>0</v>
      </c>
      <c r="I61" s="16" t="b">
        <f t="shared" si="5"/>
        <v>0</v>
      </c>
      <c r="J61" s="16" t="b">
        <f t="shared" si="5"/>
        <v>0</v>
      </c>
      <c r="K61" s="16" t="b">
        <f t="shared" si="5"/>
        <v>0</v>
      </c>
      <c r="L61" s="16" t="b">
        <f t="shared" si="5"/>
        <v>0</v>
      </c>
      <c r="M61" s="16" t="b">
        <f t="shared" si="5"/>
        <v>0</v>
      </c>
      <c r="N61" s="16" t="b">
        <f t="shared" si="5"/>
        <v>0</v>
      </c>
      <c r="O61" s="16" t="b">
        <f t="shared" si="5"/>
        <v>0</v>
      </c>
      <c r="P61" s="16" t="b">
        <f t="shared" si="5"/>
        <v>0</v>
      </c>
      <c r="Q61" s="16" t="b">
        <f t="shared" si="5"/>
        <v>0</v>
      </c>
      <c r="R61" s="16" t="b">
        <f t="shared" si="5"/>
        <v>0</v>
      </c>
    </row>
    <row r="62" spans="1:18" ht="6" customHeight="1">
      <c r="A62" s="8"/>
      <c r="E62" s="3">
        <v>16</v>
      </c>
      <c r="F62" s="155"/>
      <c r="G62" s="16" t="b">
        <f t="shared" si="5"/>
        <v>0</v>
      </c>
      <c r="H62" s="16" t="b">
        <f t="shared" si="5"/>
        <v>0</v>
      </c>
      <c r="I62" s="16" t="b">
        <f t="shared" si="5"/>
        <v>0</v>
      </c>
      <c r="J62" s="16" t="b">
        <f t="shared" si="5"/>
        <v>0</v>
      </c>
      <c r="K62" s="16" t="b">
        <f t="shared" si="5"/>
        <v>0</v>
      </c>
      <c r="L62" s="16" t="b">
        <f t="shared" si="5"/>
        <v>0</v>
      </c>
      <c r="M62" s="16" t="b">
        <f t="shared" si="5"/>
        <v>0</v>
      </c>
      <c r="N62" s="16" t="b">
        <f t="shared" si="5"/>
        <v>0</v>
      </c>
      <c r="O62" s="16" t="b">
        <f t="shared" si="5"/>
        <v>0</v>
      </c>
      <c r="P62" s="16" t="b">
        <f t="shared" si="5"/>
        <v>0</v>
      </c>
      <c r="Q62" s="16" t="b">
        <f t="shared" si="5"/>
        <v>0</v>
      </c>
      <c r="R62" s="16" t="b">
        <f t="shared" si="5"/>
        <v>0</v>
      </c>
    </row>
    <row r="63" spans="1:18" ht="6" customHeight="1">
      <c r="A63" s="8"/>
      <c r="E63" s="3">
        <v>15</v>
      </c>
      <c r="F63" s="155"/>
      <c r="G63" s="16" t="b">
        <f t="shared" si="5"/>
        <v>0</v>
      </c>
      <c r="H63" s="16" t="b">
        <f t="shared" si="5"/>
        <v>0</v>
      </c>
      <c r="I63" s="16" t="b">
        <f t="shared" si="5"/>
        <v>0</v>
      </c>
      <c r="J63" s="16" t="b">
        <f t="shared" si="5"/>
        <v>0</v>
      </c>
      <c r="K63" s="16" t="b">
        <f t="shared" si="5"/>
        <v>0</v>
      </c>
      <c r="L63" s="16" t="b">
        <f t="shared" si="5"/>
        <v>0</v>
      </c>
      <c r="M63" s="16" t="b">
        <f t="shared" si="5"/>
        <v>0</v>
      </c>
      <c r="N63" s="16" t="b">
        <f t="shared" si="5"/>
        <v>0</v>
      </c>
      <c r="O63" s="16" t="b">
        <f t="shared" si="5"/>
        <v>0</v>
      </c>
      <c r="P63" s="16" t="b">
        <f t="shared" si="5"/>
        <v>0</v>
      </c>
      <c r="Q63" s="16" t="b">
        <f t="shared" si="5"/>
        <v>0</v>
      </c>
      <c r="R63" s="16" t="b">
        <f t="shared" si="5"/>
        <v>0</v>
      </c>
    </row>
    <row r="64" spans="1:18" ht="6" customHeight="1">
      <c r="A64" s="8"/>
      <c r="E64" s="3">
        <v>14</v>
      </c>
      <c r="F64" s="155"/>
      <c r="G64" s="16" t="b">
        <f t="shared" si="5"/>
        <v>0</v>
      </c>
      <c r="H64" s="16" t="b">
        <f t="shared" si="5"/>
        <v>0</v>
      </c>
      <c r="I64" s="16" t="b">
        <f t="shared" si="5"/>
        <v>0</v>
      </c>
      <c r="J64" s="16" t="b">
        <f t="shared" si="5"/>
        <v>0</v>
      </c>
      <c r="K64" s="16" t="b">
        <f t="shared" si="5"/>
        <v>0</v>
      </c>
      <c r="L64" s="16" t="b">
        <f t="shared" si="5"/>
        <v>0</v>
      </c>
      <c r="M64" s="16" t="b">
        <f t="shared" si="5"/>
        <v>0</v>
      </c>
      <c r="N64" s="16" t="b">
        <f t="shared" si="5"/>
        <v>0</v>
      </c>
      <c r="O64" s="16" t="b">
        <f t="shared" si="5"/>
        <v>0</v>
      </c>
      <c r="P64" s="16" t="b">
        <f t="shared" si="5"/>
        <v>0</v>
      </c>
      <c r="Q64" s="16" t="b">
        <f t="shared" si="5"/>
        <v>0</v>
      </c>
      <c r="R64" s="16" t="b">
        <f t="shared" si="5"/>
        <v>0</v>
      </c>
    </row>
    <row r="65" spans="1:18" ht="6" customHeight="1">
      <c r="A65" s="8"/>
      <c r="E65" s="3">
        <v>13</v>
      </c>
      <c r="F65" s="155"/>
      <c r="G65" s="16" t="b">
        <f t="shared" si="5"/>
        <v>0</v>
      </c>
      <c r="H65" s="16" t="b">
        <f t="shared" si="5"/>
        <v>0</v>
      </c>
      <c r="I65" s="16" t="b">
        <f t="shared" si="5"/>
        <v>0</v>
      </c>
      <c r="J65" s="16" t="b">
        <f t="shared" si="5"/>
        <v>0</v>
      </c>
      <c r="K65" s="16" t="b">
        <f t="shared" si="5"/>
        <v>0</v>
      </c>
      <c r="L65" s="16" t="b">
        <f t="shared" si="5"/>
        <v>0</v>
      </c>
      <c r="M65" s="16" t="b">
        <f t="shared" si="5"/>
        <v>0</v>
      </c>
      <c r="N65" s="16" t="b">
        <f t="shared" si="5"/>
        <v>0</v>
      </c>
      <c r="O65" s="16" t="b">
        <f t="shared" si="5"/>
        <v>0</v>
      </c>
      <c r="P65" s="16" t="b">
        <f t="shared" si="5"/>
        <v>0</v>
      </c>
      <c r="Q65" s="16" t="b">
        <f t="shared" si="5"/>
        <v>0</v>
      </c>
      <c r="R65" s="16" t="b">
        <f t="shared" si="5"/>
        <v>0</v>
      </c>
    </row>
    <row r="66" spans="1:18" ht="6" customHeight="1">
      <c r="A66" s="8"/>
      <c r="E66" s="3">
        <v>12</v>
      </c>
      <c r="F66" s="155"/>
      <c r="G66" s="16" t="b">
        <f t="shared" si="5"/>
        <v>0</v>
      </c>
      <c r="H66" s="16" t="b">
        <f t="shared" si="5"/>
        <v>0</v>
      </c>
      <c r="I66" s="16" t="b">
        <f t="shared" si="5"/>
        <v>0</v>
      </c>
      <c r="J66" s="16" t="b">
        <f t="shared" si="5"/>
        <v>0</v>
      </c>
      <c r="K66" s="16" t="b">
        <f t="shared" si="5"/>
        <v>0</v>
      </c>
      <c r="L66" s="16" t="b">
        <f t="shared" si="5"/>
        <v>0</v>
      </c>
      <c r="M66" s="16" t="b">
        <f t="shared" si="5"/>
        <v>0</v>
      </c>
      <c r="N66" s="16" t="b">
        <f t="shared" si="5"/>
        <v>0</v>
      </c>
      <c r="O66" s="16" t="b">
        <f t="shared" si="5"/>
        <v>0</v>
      </c>
      <c r="P66" s="16" t="b">
        <f t="shared" si="5"/>
        <v>0</v>
      </c>
      <c r="Q66" s="16" t="b">
        <f t="shared" si="5"/>
        <v>0</v>
      </c>
      <c r="R66" s="16" t="b">
        <f t="shared" si="5"/>
        <v>0</v>
      </c>
    </row>
    <row r="67" spans="1:18" ht="6" customHeight="1">
      <c r="A67" s="8"/>
      <c r="E67" s="3">
        <v>11</v>
      </c>
      <c r="F67" s="155"/>
      <c r="G67" s="16" t="b">
        <f t="shared" si="5"/>
        <v>0</v>
      </c>
      <c r="H67" s="16" t="b">
        <f t="shared" si="5"/>
        <v>0</v>
      </c>
      <c r="I67" s="16" t="b">
        <f t="shared" si="5"/>
        <v>0</v>
      </c>
      <c r="J67" s="16" t="b">
        <f t="shared" si="5"/>
        <v>0</v>
      </c>
      <c r="K67" s="16" t="b">
        <f t="shared" si="5"/>
        <v>0</v>
      </c>
      <c r="L67" s="16" t="b">
        <f t="shared" si="5"/>
        <v>0</v>
      </c>
      <c r="M67" s="16" t="b">
        <f t="shared" si="5"/>
        <v>0</v>
      </c>
      <c r="N67" s="16" t="b">
        <f t="shared" si="5"/>
        <v>0</v>
      </c>
      <c r="O67" s="16" t="b">
        <f t="shared" si="5"/>
        <v>0</v>
      </c>
      <c r="P67" s="16" t="b">
        <f t="shared" si="5"/>
        <v>0</v>
      </c>
      <c r="Q67" s="16" t="b">
        <f t="shared" si="5"/>
        <v>0</v>
      </c>
      <c r="R67" s="16" t="b">
        <f t="shared" si="5"/>
        <v>0</v>
      </c>
    </row>
    <row r="68" spans="1:18" ht="6" customHeight="1">
      <c r="A68" s="8"/>
      <c r="E68" s="3">
        <v>10</v>
      </c>
      <c r="F68" s="156"/>
      <c r="G68" s="19" t="b">
        <f t="shared" ref="G68:R77" si="6">IF(OR(AND($E68&gt;=G$12,$E68&lt;=G$13),AND($E68&gt;=G$10,$E68&lt;=G$11),AND($E68&gt;=G$14,$E68&lt;=G$15)),TRUE,FALSE)</f>
        <v>0</v>
      </c>
      <c r="H68" s="19" t="b">
        <f t="shared" si="6"/>
        <v>0</v>
      </c>
      <c r="I68" s="19" t="b">
        <f t="shared" si="6"/>
        <v>0</v>
      </c>
      <c r="J68" s="19" t="b">
        <f t="shared" si="6"/>
        <v>0</v>
      </c>
      <c r="K68" s="19" t="b">
        <f t="shared" si="6"/>
        <v>0</v>
      </c>
      <c r="L68" s="19" t="b">
        <f t="shared" si="6"/>
        <v>0</v>
      </c>
      <c r="M68" s="19" t="b">
        <f t="shared" si="6"/>
        <v>0</v>
      </c>
      <c r="N68" s="19" t="b">
        <f t="shared" si="6"/>
        <v>0</v>
      </c>
      <c r="O68" s="19" t="b">
        <f t="shared" si="6"/>
        <v>0</v>
      </c>
      <c r="P68" s="19" t="b">
        <f t="shared" si="6"/>
        <v>0</v>
      </c>
      <c r="Q68" s="19" t="b">
        <f t="shared" si="6"/>
        <v>0</v>
      </c>
      <c r="R68" s="19" t="b">
        <f t="shared" si="6"/>
        <v>0</v>
      </c>
    </row>
    <row r="69" spans="1:18" ht="6" customHeight="1">
      <c r="A69" s="8"/>
      <c r="E69" s="3">
        <v>9</v>
      </c>
      <c r="F69" s="157">
        <v>0</v>
      </c>
      <c r="G69" s="16" t="b">
        <f t="shared" si="6"/>
        <v>0</v>
      </c>
      <c r="H69" s="16" t="b">
        <f t="shared" si="6"/>
        <v>0</v>
      </c>
      <c r="I69" s="16" t="b">
        <f t="shared" si="6"/>
        <v>0</v>
      </c>
      <c r="J69" s="16" t="b">
        <f t="shared" si="6"/>
        <v>0</v>
      </c>
      <c r="K69" s="16" t="b">
        <f t="shared" si="6"/>
        <v>0</v>
      </c>
      <c r="L69" s="16" t="b">
        <f t="shared" si="6"/>
        <v>0</v>
      </c>
      <c r="M69" s="16" t="b">
        <f t="shared" si="6"/>
        <v>0</v>
      </c>
      <c r="N69" s="16" t="b">
        <f t="shared" si="6"/>
        <v>0</v>
      </c>
      <c r="O69" s="16" t="b">
        <f t="shared" si="6"/>
        <v>0</v>
      </c>
      <c r="P69" s="16" t="b">
        <f t="shared" si="6"/>
        <v>0</v>
      </c>
      <c r="Q69" s="16" t="b">
        <f t="shared" si="6"/>
        <v>0</v>
      </c>
      <c r="R69" s="16" t="b">
        <f t="shared" si="6"/>
        <v>0</v>
      </c>
    </row>
    <row r="70" spans="1:18" ht="6" customHeight="1">
      <c r="A70" s="8"/>
      <c r="E70" s="3">
        <v>8</v>
      </c>
      <c r="F70" s="155"/>
      <c r="G70" s="16" t="b">
        <f t="shared" si="6"/>
        <v>0</v>
      </c>
      <c r="H70" s="16" t="b">
        <f t="shared" si="6"/>
        <v>0</v>
      </c>
      <c r="I70" s="16" t="b">
        <f t="shared" si="6"/>
        <v>0</v>
      </c>
      <c r="J70" s="16" t="b">
        <f t="shared" si="6"/>
        <v>0</v>
      </c>
      <c r="K70" s="16" t="b">
        <f t="shared" si="6"/>
        <v>0</v>
      </c>
      <c r="L70" s="16" t="b">
        <f t="shared" si="6"/>
        <v>0</v>
      </c>
      <c r="M70" s="16" t="b">
        <f t="shared" si="6"/>
        <v>0</v>
      </c>
      <c r="N70" s="16" t="b">
        <f t="shared" si="6"/>
        <v>0</v>
      </c>
      <c r="O70" s="16" t="b">
        <f t="shared" si="6"/>
        <v>0</v>
      </c>
      <c r="P70" s="16" t="b">
        <f t="shared" si="6"/>
        <v>0</v>
      </c>
      <c r="Q70" s="16" t="b">
        <f t="shared" si="6"/>
        <v>0</v>
      </c>
      <c r="R70" s="16" t="b">
        <f t="shared" si="6"/>
        <v>0</v>
      </c>
    </row>
    <row r="71" spans="1:18" ht="6" customHeight="1">
      <c r="A71" s="8"/>
      <c r="E71" s="3">
        <v>7</v>
      </c>
      <c r="F71" s="155"/>
      <c r="G71" s="16" t="b">
        <f t="shared" si="6"/>
        <v>0</v>
      </c>
      <c r="H71" s="16" t="b">
        <f t="shared" si="6"/>
        <v>0</v>
      </c>
      <c r="I71" s="16" t="b">
        <f t="shared" si="6"/>
        <v>0</v>
      </c>
      <c r="J71" s="16" t="b">
        <f t="shared" si="6"/>
        <v>0</v>
      </c>
      <c r="K71" s="16" t="b">
        <f t="shared" si="6"/>
        <v>0</v>
      </c>
      <c r="L71" s="16" t="b">
        <f t="shared" si="6"/>
        <v>0</v>
      </c>
      <c r="M71" s="16" t="b">
        <f t="shared" si="6"/>
        <v>0</v>
      </c>
      <c r="N71" s="16" t="b">
        <f t="shared" si="6"/>
        <v>0</v>
      </c>
      <c r="O71" s="16" t="b">
        <f t="shared" si="6"/>
        <v>0</v>
      </c>
      <c r="P71" s="16" t="b">
        <f t="shared" si="6"/>
        <v>0</v>
      </c>
      <c r="Q71" s="16" t="b">
        <f t="shared" si="6"/>
        <v>0</v>
      </c>
      <c r="R71" s="16" t="b">
        <f t="shared" si="6"/>
        <v>0</v>
      </c>
    </row>
    <row r="72" spans="1:18" ht="6" customHeight="1">
      <c r="A72" s="8"/>
      <c r="E72" s="3">
        <v>6</v>
      </c>
      <c r="F72" s="155"/>
      <c r="G72" s="16" t="b">
        <f t="shared" si="6"/>
        <v>0</v>
      </c>
      <c r="H72" s="16" t="b">
        <f t="shared" si="6"/>
        <v>0</v>
      </c>
      <c r="I72" s="16" t="b">
        <f t="shared" si="6"/>
        <v>0</v>
      </c>
      <c r="J72" s="16" t="b">
        <f t="shared" si="6"/>
        <v>0</v>
      </c>
      <c r="K72" s="16" t="b">
        <f t="shared" si="6"/>
        <v>0</v>
      </c>
      <c r="L72" s="16" t="b">
        <f t="shared" si="6"/>
        <v>0</v>
      </c>
      <c r="M72" s="16" t="b">
        <f t="shared" si="6"/>
        <v>0</v>
      </c>
      <c r="N72" s="16" t="b">
        <f t="shared" si="6"/>
        <v>0</v>
      </c>
      <c r="O72" s="16" t="b">
        <f t="shared" si="6"/>
        <v>0</v>
      </c>
      <c r="P72" s="16" t="b">
        <f t="shared" si="6"/>
        <v>0</v>
      </c>
      <c r="Q72" s="16" t="b">
        <f t="shared" si="6"/>
        <v>0</v>
      </c>
      <c r="R72" s="16" t="b">
        <f t="shared" si="6"/>
        <v>0</v>
      </c>
    </row>
    <row r="73" spans="1:18" ht="6" customHeight="1">
      <c r="A73" s="8"/>
      <c r="E73" s="3">
        <v>5</v>
      </c>
      <c r="F73" s="155"/>
      <c r="G73" s="16" t="b">
        <f t="shared" si="6"/>
        <v>0</v>
      </c>
      <c r="H73" s="16" t="b">
        <f t="shared" si="6"/>
        <v>0</v>
      </c>
      <c r="I73" s="16" t="b">
        <f t="shared" si="6"/>
        <v>0</v>
      </c>
      <c r="J73" s="16" t="b">
        <f t="shared" si="6"/>
        <v>0</v>
      </c>
      <c r="K73" s="16" t="b">
        <f t="shared" si="6"/>
        <v>0</v>
      </c>
      <c r="L73" s="16" t="b">
        <f t="shared" si="6"/>
        <v>0</v>
      </c>
      <c r="M73" s="16" t="b">
        <f t="shared" si="6"/>
        <v>0</v>
      </c>
      <c r="N73" s="16" t="b">
        <f t="shared" si="6"/>
        <v>0</v>
      </c>
      <c r="O73" s="16" t="b">
        <f t="shared" si="6"/>
        <v>0</v>
      </c>
      <c r="P73" s="16" t="b">
        <f t="shared" si="6"/>
        <v>0</v>
      </c>
      <c r="Q73" s="16" t="b">
        <f t="shared" si="6"/>
        <v>0</v>
      </c>
      <c r="R73" s="16" t="b">
        <f t="shared" si="6"/>
        <v>0</v>
      </c>
    </row>
    <row r="74" spans="1:18" ht="6" customHeight="1">
      <c r="A74" s="8"/>
      <c r="E74" s="3">
        <v>4</v>
      </c>
      <c r="F74" s="155"/>
      <c r="G74" s="16" t="b">
        <f t="shared" si="6"/>
        <v>0</v>
      </c>
      <c r="H74" s="16" t="b">
        <f t="shared" si="6"/>
        <v>0</v>
      </c>
      <c r="I74" s="16" t="b">
        <f t="shared" si="6"/>
        <v>0</v>
      </c>
      <c r="J74" s="16" t="b">
        <f t="shared" si="6"/>
        <v>0</v>
      </c>
      <c r="K74" s="16" t="b">
        <f t="shared" si="6"/>
        <v>0</v>
      </c>
      <c r="L74" s="16" t="b">
        <f t="shared" si="6"/>
        <v>0</v>
      </c>
      <c r="M74" s="16" t="b">
        <f t="shared" si="6"/>
        <v>0</v>
      </c>
      <c r="N74" s="16" t="b">
        <f t="shared" si="6"/>
        <v>0</v>
      </c>
      <c r="O74" s="16" t="b">
        <f t="shared" si="6"/>
        <v>0</v>
      </c>
      <c r="P74" s="16" t="b">
        <f t="shared" si="6"/>
        <v>0</v>
      </c>
      <c r="Q74" s="16" t="b">
        <f t="shared" si="6"/>
        <v>0</v>
      </c>
      <c r="R74" s="16" t="b">
        <f t="shared" si="6"/>
        <v>0</v>
      </c>
    </row>
    <row r="75" spans="1:18" ht="6" customHeight="1">
      <c r="A75" s="8"/>
      <c r="E75" s="3">
        <v>3</v>
      </c>
      <c r="F75" s="155"/>
      <c r="G75" s="16" t="b">
        <f t="shared" si="6"/>
        <v>0</v>
      </c>
      <c r="H75" s="16" t="b">
        <f t="shared" si="6"/>
        <v>0</v>
      </c>
      <c r="I75" s="16" t="b">
        <f t="shared" si="6"/>
        <v>0</v>
      </c>
      <c r="J75" s="16" t="b">
        <f t="shared" si="6"/>
        <v>0</v>
      </c>
      <c r="K75" s="16" t="b">
        <f t="shared" si="6"/>
        <v>0</v>
      </c>
      <c r="L75" s="16" t="b">
        <f t="shared" si="6"/>
        <v>0</v>
      </c>
      <c r="M75" s="16" t="b">
        <f t="shared" si="6"/>
        <v>0</v>
      </c>
      <c r="N75" s="16" t="b">
        <f t="shared" si="6"/>
        <v>0</v>
      </c>
      <c r="O75" s="16" t="b">
        <f t="shared" si="6"/>
        <v>0</v>
      </c>
      <c r="P75" s="16" t="b">
        <f t="shared" si="6"/>
        <v>0</v>
      </c>
      <c r="Q75" s="16" t="b">
        <f t="shared" si="6"/>
        <v>0</v>
      </c>
      <c r="R75" s="16" t="b">
        <f t="shared" si="6"/>
        <v>0</v>
      </c>
    </row>
    <row r="76" spans="1:18" ht="6" customHeight="1">
      <c r="A76" s="8"/>
      <c r="E76" s="3">
        <v>2</v>
      </c>
      <c r="F76" s="155"/>
      <c r="G76" s="16" t="b">
        <f t="shared" si="6"/>
        <v>0</v>
      </c>
      <c r="H76" s="16" t="b">
        <f t="shared" si="6"/>
        <v>0</v>
      </c>
      <c r="I76" s="16" t="b">
        <f t="shared" si="6"/>
        <v>0</v>
      </c>
      <c r="J76" s="16" t="b">
        <f t="shared" si="6"/>
        <v>0</v>
      </c>
      <c r="K76" s="16" t="b">
        <f t="shared" si="6"/>
        <v>0</v>
      </c>
      <c r="L76" s="16" t="b">
        <f t="shared" si="6"/>
        <v>0</v>
      </c>
      <c r="M76" s="16" t="b">
        <f t="shared" si="6"/>
        <v>0</v>
      </c>
      <c r="N76" s="16" t="b">
        <f t="shared" si="6"/>
        <v>0</v>
      </c>
      <c r="O76" s="16" t="b">
        <f t="shared" si="6"/>
        <v>0</v>
      </c>
      <c r="P76" s="16" t="b">
        <f t="shared" si="6"/>
        <v>0</v>
      </c>
      <c r="Q76" s="16" t="b">
        <f t="shared" si="6"/>
        <v>0</v>
      </c>
      <c r="R76" s="16" t="b">
        <f t="shared" si="6"/>
        <v>0</v>
      </c>
    </row>
    <row r="77" spans="1:18" ht="6" customHeight="1">
      <c r="A77" s="8"/>
      <c r="E77" s="3">
        <v>1</v>
      </c>
      <c r="F77" s="155"/>
      <c r="G77" s="17" t="b">
        <f t="shared" si="6"/>
        <v>0</v>
      </c>
      <c r="H77" s="17" t="b">
        <f t="shared" si="6"/>
        <v>0</v>
      </c>
      <c r="I77" s="17" t="b">
        <f t="shared" si="6"/>
        <v>0</v>
      </c>
      <c r="J77" s="17" t="b">
        <f t="shared" si="6"/>
        <v>0</v>
      </c>
      <c r="K77" s="17" t="b">
        <f t="shared" si="6"/>
        <v>0</v>
      </c>
      <c r="L77" s="17" t="b">
        <f t="shared" si="6"/>
        <v>0</v>
      </c>
      <c r="M77" s="17" t="b">
        <f t="shared" si="6"/>
        <v>0</v>
      </c>
      <c r="N77" s="17" t="b">
        <f t="shared" si="6"/>
        <v>0</v>
      </c>
      <c r="O77" s="17" t="b">
        <f t="shared" si="6"/>
        <v>0</v>
      </c>
      <c r="P77" s="17" t="b">
        <f t="shared" si="6"/>
        <v>0</v>
      </c>
      <c r="Q77" s="17" t="b">
        <f t="shared" si="6"/>
        <v>0</v>
      </c>
      <c r="R77" s="17" t="b">
        <f t="shared" si="6"/>
        <v>0</v>
      </c>
    </row>
  </sheetData>
  <mergeCells count="20">
    <mergeCell ref="F59:F68"/>
    <mergeCell ref="F69:F77"/>
    <mergeCell ref="G2:H2"/>
    <mergeCell ref="G6:H6"/>
    <mergeCell ref="I6:J6"/>
    <mergeCell ref="F17:F18"/>
    <mergeCell ref="F19:F28"/>
    <mergeCell ref="F29:F38"/>
    <mergeCell ref="F39:F48"/>
    <mergeCell ref="F49:F58"/>
    <mergeCell ref="K6:L6"/>
    <mergeCell ref="M6:N6"/>
    <mergeCell ref="O6:P6"/>
    <mergeCell ref="Q6:R6"/>
    <mergeCell ref="G5:H5"/>
    <mergeCell ref="I5:J5"/>
    <mergeCell ref="K5:L5"/>
    <mergeCell ref="M5:N5"/>
    <mergeCell ref="O5:P5"/>
    <mergeCell ref="Q5:R5"/>
  </mergeCells>
  <conditionalFormatting sqref="G5:R6 G18:R77 G9:R16">
    <cfRule type="containsBlanks" dxfId="9" priority="4">
      <formula>LEN(TRIM(G5))=0</formula>
    </cfRule>
  </conditionalFormatting>
  <conditionalFormatting sqref="G18:R77 G9:R16">
    <cfRule type="cellIs" dxfId="8" priority="3" operator="equal">
      <formula>0</formula>
    </cfRule>
  </conditionalFormatting>
  <conditionalFormatting sqref="G18:R77">
    <cfRule type="cellIs" dxfId="7" priority="1" operator="equal">
      <formula>TRUE</formula>
    </cfRule>
    <cfRule type="cellIs" dxfId="6" priority="2" operator="equal">
      <formula>FALSE</formula>
    </cfRule>
  </conditionalFormatting>
  <dataValidations disablePrompts="1" count="1">
    <dataValidation type="list" allowBlank="1" showInputMessage="1" showErrorMessage="1" sqref="G2" xr:uid="{00000000-0002-0000-0100-000000000000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R16"/>
  <sheetViews>
    <sheetView showGridLines="0" tabSelected="1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3632812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10" width="14.1796875" style="21" customWidth="1" collapsed="1"/>
    <col min="11" max="13" width="14.1796875" style="21" hidden="1" customWidth="1" outlineLevel="1"/>
    <col min="14" max="14" width="11" style="21" hidden="1" customWidth="1" outlineLevel="1"/>
    <col min="15" max="15" width="13.54296875" style="21" hidden="1" customWidth="1" outlineLevel="1"/>
    <col min="16" max="16" width="15.1796875" style="21" hidden="1" customWidth="1" outlineLevel="1"/>
    <col min="17" max="17" width="31.1796875" style="21" customWidth="1" collapsed="1"/>
    <col min="18" max="18" width="39.1796875" style="21" hidden="1" customWidth="1" outlineLevel="1"/>
    <col min="19" max="19" width="5.54296875" style="21" customWidth="1" collapsed="1"/>
    <col min="20" max="20" width="68.7265625" style="21" hidden="1" customWidth="1" outlineLevel="1"/>
    <col min="21" max="21" width="5.7265625" style="21" customWidth="1" collapsed="1"/>
    <col min="22" max="22" width="39" style="21" hidden="1" customWidth="1" outlineLevel="1"/>
    <col min="23" max="23" width="5.7265625" style="21" customWidth="1" collapsed="1"/>
    <col min="24" max="24" width="76.26953125" style="21" hidden="1" customWidth="1" outlineLevel="1"/>
    <col min="25" max="25" width="5.7265625" style="21" customWidth="1" collapsed="1"/>
    <col min="26" max="28" width="14.1796875" style="21" hidden="1" customWidth="1" outlineLevel="1"/>
    <col min="29" max="29" width="54.7265625" style="21" hidden="1" customWidth="1" outlineLevel="1"/>
    <col min="30" max="30" width="5.7265625" style="21" customWidth="1" collapsed="1"/>
    <col min="31" max="31" width="13.453125" style="21" hidden="1" customWidth="1" outlineLevel="1"/>
    <col min="32" max="32" width="11.7265625" style="21" hidden="1" customWidth="1" outlineLevel="1"/>
    <col min="33" max="33" width="11" style="21" hidden="1" customWidth="1" outlineLevel="1"/>
    <col min="34" max="34" width="54.81640625" style="21" hidden="1" customWidth="1" outlineLevel="1"/>
    <col min="35" max="35" width="5.7265625" style="21" customWidth="1" collapsed="1"/>
    <col min="36" max="36" width="15.453125" style="21" hidden="1" customWidth="1" outlineLevel="1"/>
    <col min="37" max="37" width="69.81640625" style="21" hidden="1" customWidth="1" outlineLevel="1"/>
    <col min="38" max="38" width="5.54296875" style="21" customWidth="1" collapsed="1"/>
    <col min="39" max="39" width="22" style="21" hidden="1" customWidth="1" outlineLevel="1"/>
    <col min="40" max="40" width="5.453125" style="21" customWidth="1" collapsed="1"/>
    <col min="41" max="41" width="13.7265625" style="21" hidden="1" customWidth="1" outlineLevel="1"/>
    <col min="42" max="42" width="21.54296875" style="33" customWidth="1" collapsed="1"/>
    <col min="43" max="43" width="21.54296875" style="33" hidden="1" customWidth="1" outlineLevel="1"/>
    <col min="44" max="44" width="43.90625" style="24" hidden="1" customWidth="1" outlineLevel="1"/>
    <col min="45" max="51" width="15.1796875" style="24" hidden="1" customWidth="1" outlineLevel="1"/>
    <col min="52" max="52" width="15.1796875" style="24" customWidth="1"/>
    <col min="53" max="53" width="15.1796875" style="24" customWidth="1" collapsed="1"/>
    <col min="54" max="54" width="46" style="24" hidden="1" customWidth="1" outlineLevel="1"/>
    <col min="55" max="55" width="15.1796875" style="108" hidden="1" customWidth="1"/>
    <col min="56" max="56" width="16.7265625" style="107" hidden="1" customWidth="1"/>
    <col min="57" max="57" width="13.81640625" style="107" hidden="1" customWidth="1"/>
    <col min="58" max="58" width="66.453125" style="107" hidden="1" customWidth="1"/>
    <col min="59" max="61" width="13.81640625" style="107" hidden="1" customWidth="1"/>
    <col min="62" max="62" width="13.81640625" style="21" hidden="1" customWidth="1"/>
    <col min="63" max="85" width="13.81640625" style="21" customWidth="1"/>
    <col min="86" max="86" width="51.1796875" style="23" bestFit="1" customWidth="1"/>
    <col min="87" max="87" width="5.7265625" style="23" customWidth="1"/>
    <col min="88" max="88" width="61.26953125" style="21" customWidth="1"/>
    <col min="89" max="89" width="5.7265625" style="23" customWidth="1" collapsed="1"/>
    <col min="90" max="90" width="18.1796875" style="23" customWidth="1"/>
    <col min="91" max="91" width="58.453125" style="23" customWidth="1"/>
    <col min="92" max="92" width="17" style="23" customWidth="1" collapsed="1"/>
    <col min="93" max="93" width="54.453125" style="23" customWidth="1"/>
    <col min="94" max="94" width="5.7265625" style="21" customWidth="1" collapsed="1"/>
    <col min="95" max="95" width="81.1796875" style="21" customWidth="1"/>
    <col min="96" max="96" width="17" style="23" customWidth="1" collapsed="1"/>
    <col min="97" max="97" width="15.81640625" style="21" customWidth="1"/>
    <col min="98" max="98" width="5.26953125" style="21" customWidth="1"/>
    <col min="99" max="99" width="32" style="21" customWidth="1"/>
    <col min="100" max="100" width="24.1796875" style="21" customWidth="1"/>
    <col min="101" max="101" width="6" style="21" customWidth="1"/>
    <col min="102" max="103" width="24.1796875" style="21" customWidth="1"/>
    <col min="104" max="104" width="5.7265625" style="21" customWidth="1" collapsed="1"/>
    <col min="105" max="105" width="49" style="21" customWidth="1"/>
    <col min="106" max="106" width="5.7265625" style="21" customWidth="1" collapsed="1"/>
    <col min="107" max="107" width="24.1796875" style="21" customWidth="1"/>
    <col min="108" max="108" width="8" style="21" customWidth="1"/>
    <col min="109" max="117" width="38.81640625" style="21" customWidth="1"/>
    <col min="118" max="118" width="24.1796875" style="21" customWidth="1"/>
    <col min="119" max="119" width="35" style="21" customWidth="1"/>
    <col min="120" max="120" width="4.26953125" style="23" customWidth="1" collapsed="1"/>
    <col min="121" max="121" width="31.1796875" style="21" customWidth="1"/>
    <col min="122" max="122" width="4.26953125" style="21" customWidth="1" collapsed="1"/>
    <col min="123" max="123" width="22.1796875" style="21" customWidth="1"/>
    <col min="124" max="124" width="7.7265625" style="21" customWidth="1"/>
    <col min="125" max="127" width="34.81640625" style="21" customWidth="1"/>
    <col min="128" max="128" width="20" style="21" customWidth="1"/>
    <col min="129" max="130" width="22.1796875" style="21" customWidth="1"/>
    <col min="131" max="131" width="13.26953125" style="21" bestFit="1" customWidth="1"/>
    <col min="132" max="132" width="22.1796875" style="21" customWidth="1"/>
    <col min="133" max="133" width="14.1796875" style="21" customWidth="1"/>
    <col min="134" max="137" width="4.26953125" style="32" customWidth="1"/>
    <col min="138" max="138" width="58.453125" style="22" customWidth="1"/>
    <col min="139" max="139" width="10" style="22" customWidth="1"/>
    <col min="140" max="140" width="41.81640625" style="22" customWidth="1"/>
    <col min="141" max="141" width="12.54296875" style="22" customWidth="1"/>
    <col min="142" max="142" width="19.453125" style="22" customWidth="1"/>
    <col min="143" max="143" width="57.453125" style="22" customWidth="1"/>
    <col min="144" max="144" width="22.26953125" style="22" customWidth="1"/>
    <col min="145" max="145" width="30.1796875" style="22" customWidth="1"/>
    <col min="146" max="146" width="47.7265625" style="22" customWidth="1"/>
    <col min="147" max="148" width="9.1796875" style="22"/>
    <col min="149" max="16384" width="9.1796875" style="20"/>
  </cols>
  <sheetData>
    <row r="1" spans="1:148" s="42" customFormat="1" hidden="1">
      <c r="A1" s="34" t="s">
        <v>4</v>
      </c>
      <c r="B1" s="35" t="s">
        <v>108</v>
      </c>
      <c r="C1" s="36"/>
      <c r="D1" s="36"/>
      <c r="E1" s="37"/>
      <c r="F1" s="38"/>
      <c r="G1" s="39"/>
      <c r="H1" s="40"/>
      <c r="I1" s="40"/>
      <c r="J1" s="40"/>
      <c r="K1" s="40"/>
      <c r="L1" s="36"/>
      <c r="M1" s="36"/>
      <c r="N1" s="36"/>
      <c r="O1" s="36"/>
      <c r="P1" s="36"/>
      <c r="Q1" s="36"/>
      <c r="R1" s="36" t="s">
        <v>146</v>
      </c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98"/>
      <c r="BD1" s="98"/>
      <c r="BE1" s="98"/>
      <c r="BF1" s="98"/>
      <c r="BG1" s="98"/>
      <c r="BH1" s="98"/>
      <c r="BI1" s="98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41"/>
      <c r="CU1" s="41"/>
      <c r="CV1" s="41"/>
      <c r="CW1" s="41"/>
    </row>
    <row r="2" spans="1:148" s="42" customFormat="1" hidden="1">
      <c r="A2" s="43" t="s">
        <v>7</v>
      </c>
      <c r="B2" s="40"/>
      <c r="C2" s="36"/>
      <c r="D2" s="36"/>
      <c r="E2" s="44"/>
      <c r="F2" s="45"/>
      <c r="G2" s="45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98"/>
      <c r="BD2" s="98"/>
      <c r="BE2" s="98"/>
      <c r="BF2" s="98"/>
      <c r="BG2" s="98"/>
      <c r="BH2" s="98"/>
      <c r="BI2" s="98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41"/>
      <c r="CU2" s="41"/>
      <c r="CV2" s="41"/>
      <c r="CW2" s="41"/>
    </row>
    <row r="3" spans="1:148" s="42" customFormat="1" hidden="1">
      <c r="A3" s="46" t="s">
        <v>2</v>
      </c>
      <c r="B3" s="47" t="s">
        <v>128</v>
      </c>
      <c r="C3" s="48" t="s">
        <v>103</v>
      </c>
      <c r="D3" s="48" t="s">
        <v>102</v>
      </c>
      <c r="E3" s="47" t="s">
        <v>10</v>
      </c>
      <c r="F3" s="47" t="s">
        <v>9</v>
      </c>
      <c r="G3" s="47" t="s">
        <v>101</v>
      </c>
      <c r="H3" s="47" t="s">
        <v>20</v>
      </c>
      <c r="I3" s="47" t="s">
        <v>99</v>
      </c>
      <c r="J3" s="47" t="s">
        <v>15</v>
      </c>
      <c r="K3" s="47" t="s">
        <v>11</v>
      </c>
      <c r="L3" s="64" t="s">
        <v>129</v>
      </c>
      <c r="M3" s="47" t="s">
        <v>17</v>
      </c>
      <c r="N3" s="47" t="s">
        <v>73</v>
      </c>
      <c r="O3" s="47" t="s">
        <v>75</v>
      </c>
      <c r="P3" s="36" t="s">
        <v>78</v>
      </c>
      <c r="Q3" s="64" t="s">
        <v>79</v>
      </c>
      <c r="R3" s="36" t="s">
        <v>38</v>
      </c>
      <c r="S3" s="64" t="s">
        <v>23</v>
      </c>
      <c r="T3" s="130" t="s">
        <v>150</v>
      </c>
      <c r="U3" s="64" t="s">
        <v>32</v>
      </c>
      <c r="V3" s="64" t="s">
        <v>76</v>
      </c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98"/>
      <c r="BE3" s="98"/>
      <c r="BF3" s="98"/>
      <c r="BG3" s="98"/>
      <c r="BH3" s="98"/>
      <c r="BI3" s="98"/>
      <c r="BJ3" s="98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41"/>
      <c r="CS3" s="41"/>
      <c r="CT3" s="41"/>
      <c r="CU3" s="41"/>
    </row>
    <row r="4" spans="1:148" s="50" customFormat="1" hidden="1">
      <c r="A4" s="49">
        <f>MATCH(A3,10:10,0)</f>
        <v>1</v>
      </c>
      <c r="B4" s="49">
        <f>MATCH(B3,10:10,0)</f>
        <v>11</v>
      </c>
      <c r="C4" s="49">
        <f>MATCH(C3,10:10,0)</f>
        <v>13</v>
      </c>
      <c r="D4" s="49">
        <f>MATCH(D3,10:10,0)</f>
        <v>14</v>
      </c>
      <c r="E4" s="49">
        <f>MATCH(E3,10:10,0)</f>
        <v>15</v>
      </c>
      <c r="F4" s="49">
        <f>MATCH(F3,10:10,0)</f>
        <v>16</v>
      </c>
      <c r="G4" s="49">
        <f>MATCH(G3,10:10,0)</f>
        <v>19</v>
      </c>
      <c r="H4" s="49">
        <f>MATCH(H3,10:10,0)</f>
        <v>21</v>
      </c>
      <c r="I4" s="49">
        <f>MATCH(I3,10:10,0)</f>
        <v>23</v>
      </c>
      <c r="J4" s="49">
        <f>MATCH(J3,10:10,0)</f>
        <v>25</v>
      </c>
      <c r="K4" s="49">
        <f>MATCH(K3,10:10,0)</f>
        <v>30</v>
      </c>
      <c r="L4" s="49">
        <f>MATCH(L3,10:10,0)</f>
        <v>12</v>
      </c>
      <c r="M4" s="49">
        <f>MATCH(M3,10:10,0)</f>
        <v>35</v>
      </c>
      <c r="N4" s="49">
        <f>MATCH(N3,10:10,0)</f>
        <v>38</v>
      </c>
      <c r="O4" s="49">
        <f>MATCH(O3,10:10,0)</f>
        <v>40</v>
      </c>
      <c r="P4" s="49">
        <f>MATCH(P3,10:10,0)</f>
        <v>42</v>
      </c>
      <c r="Q4" s="49">
        <f>MATCH(Q3,10:10,0)</f>
        <v>44</v>
      </c>
      <c r="R4" s="49">
        <f>MATCH(R3,10:10,0)</f>
        <v>7</v>
      </c>
      <c r="S4" s="49">
        <f>MATCH(S3,10:10,0)</f>
        <v>17</v>
      </c>
      <c r="T4" s="131">
        <v>62</v>
      </c>
      <c r="U4" s="49">
        <f>MATCH(U3,10:10,0)</f>
        <v>18</v>
      </c>
      <c r="V4" s="49">
        <f>MATCH(V3,10:10,0)</f>
        <v>43</v>
      </c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99"/>
      <c r="BE4" s="99"/>
      <c r="BF4" s="99"/>
      <c r="BG4" s="99"/>
      <c r="BH4" s="99"/>
      <c r="BI4" s="99"/>
      <c r="BJ4" s="99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1"/>
      <c r="CS4" s="41"/>
      <c r="CT4" s="41"/>
      <c r="CU4" s="41"/>
    </row>
    <row r="5" spans="1:148" s="50" customFormat="1" hidden="1">
      <c r="A5" s="49">
        <v>3648</v>
      </c>
      <c r="B5" s="49" t="e">
        <f>IF(VLOOKUP($A$5,Validation[],B4,FALSE)&lt;&gt;0,VLOOKUP($A$5,Validation[],B4,FALSE),"")</f>
        <v>#N/A</v>
      </c>
      <c r="C5" s="49" t="e">
        <f>IF(VLOOKUP($A$5,Validation[],C4,FALSE)&lt;&gt;0,VLOOKUP($A$5,Validation[],C4,FALSE),"")</f>
        <v>#N/A</v>
      </c>
      <c r="D5" s="49" t="e">
        <f>IF(VLOOKUP($A$5,Validation[],D4,FALSE)&lt;&gt;0,VLOOKUP($A$5,Validation[],D4,FALSE),"")</f>
        <v>#N/A</v>
      </c>
      <c r="E5" s="49" t="e">
        <f>IF(VLOOKUP($A$5,Validation[],E4,FALSE)&lt;&gt;0,VLOOKUP($A$5,Validation[],E4,FALSE),"")</f>
        <v>#N/A</v>
      </c>
      <c r="F5" s="49" t="e">
        <f>IF(VLOOKUP($A$5,Validation[],F4,FALSE)&lt;&gt;0,VLOOKUP($A$5,Validation[],F4,FALSE),"")</f>
        <v>#N/A</v>
      </c>
      <c r="G5" s="49" t="e">
        <f>IF(VLOOKUP($A$5,Validation[],G4,FALSE)&lt;&gt;0,VLOOKUP($A$5,Validation[],G4,FALSE),"")</f>
        <v>#N/A</v>
      </c>
      <c r="H5" s="49" t="e">
        <f>IF(VLOOKUP($A$5,Validation[],H4,FALSE)&lt;&gt;0,VLOOKUP($A$5,Validation[],H4,FALSE),"")</f>
        <v>#N/A</v>
      </c>
      <c r="I5" s="49" t="e">
        <f>IF(VLOOKUP($A$5,Validation[],I4,FALSE)&lt;&gt;0,VLOOKUP($A$5,Validation[],I4,FALSE),"")</f>
        <v>#N/A</v>
      </c>
      <c r="J5" s="49" t="e">
        <f>IF(VLOOKUP($A$5,Validation[],J4,FALSE)&lt;&gt;0,VLOOKUP($A$5,Validation[],J4,FALSE),"")</f>
        <v>#N/A</v>
      </c>
      <c r="K5" s="49" t="e">
        <f>IF(VLOOKUP($A$5,Validation[],K4,FALSE)&lt;&gt;0,VLOOKUP($A$5,Validation[],K4,FALSE),"")</f>
        <v>#N/A</v>
      </c>
      <c r="L5" s="49" t="e">
        <f>IF(VLOOKUP($A$5,Validation[],L4,FALSE)&lt;&gt;0,VLOOKUP($A$5,Validation[],L4,FALSE),"")</f>
        <v>#N/A</v>
      </c>
      <c r="M5" s="49" t="e">
        <f>IF(VLOOKUP($A$5,Validation[],M4,FALSE)&lt;&gt;0,VLOOKUP($A$5,Validation[],M4,FALSE),"")</f>
        <v>#N/A</v>
      </c>
      <c r="N5" s="49" t="e">
        <f>IF(VLOOKUP($A$5,Validation[],N4,FALSE)&lt;&gt;0,VLOOKUP($A$5,Validation[],N4,FALSE),"")</f>
        <v>#N/A</v>
      </c>
      <c r="O5" s="49" t="e">
        <f>IF(VLOOKUP($A$5,Validation[],O4,FALSE)&lt;&gt;0,VLOOKUP($A$5,Validation[],O4,FALSE),"")</f>
        <v>#N/A</v>
      </c>
      <c r="P5" s="49" t="e">
        <f>IF(VLOOKUP($A$5,Validation[],P4,FALSE)&lt;&gt;0,VLOOKUP($A$5,Validation[],P4,FALSE),"")</f>
        <v>#N/A</v>
      </c>
      <c r="Q5" s="49" t="e">
        <f>IF(VLOOKUP($A$5,Validation[],Q4,FALSE)&lt;&gt;0,VLOOKUP($A$5,Validation[],Q4,FALSE),"")</f>
        <v>#N/A</v>
      </c>
      <c r="R5" s="49" t="e">
        <f>IF(VLOOKUP($A$5,Validation[],R4,FALSE)&lt;&gt;0,VLOOKUP($A$5,Validation[],R4,FALSE),"")</f>
        <v>#N/A</v>
      </c>
      <c r="S5" s="49" t="e">
        <f>IF(VLOOKUP($A$5,Validation[],S4,FALSE)&lt;&gt;0,VLOOKUP($A$5,Validation[],S4,FALSE),"")</f>
        <v>#N/A</v>
      </c>
      <c r="T5" s="49" t="e">
        <f>IF(VLOOKUP($A$5,Validation[],T4,FALSE)&lt;&gt;0,VLOOKUP($A$5,Validation[],T4,FALSE),"")</f>
        <v>#N/A</v>
      </c>
      <c r="U5" s="49" t="e">
        <f>IF(VLOOKUP($A$5,Validation[],U4,FALSE)&lt;&gt;0,VLOOKUP($A$5,Validation[],U4,FALSE),"")</f>
        <v>#N/A</v>
      </c>
      <c r="V5" s="49" t="e">
        <f>IF(VLOOKUP($A$5,Validation[],V4,FALSE)&lt;&gt;0,VLOOKUP($A$5,Validation[],V4,FALSE),"")</f>
        <v>#N/A</v>
      </c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99"/>
      <c r="BE5" s="99"/>
      <c r="BF5" s="99"/>
      <c r="BG5" s="99"/>
      <c r="BH5" s="99"/>
      <c r="BI5" s="99"/>
      <c r="BJ5" s="99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1"/>
      <c r="CS5" s="41"/>
      <c r="CT5" s="41"/>
      <c r="CU5" s="41"/>
    </row>
    <row r="6" spans="1:148" s="52" customFormat="1" hidden="1">
      <c r="A6" s="51" t="s">
        <v>5</v>
      </c>
      <c r="E6" s="53"/>
      <c r="F6" s="54"/>
      <c r="G6" s="54"/>
      <c r="AO6" s="55"/>
      <c r="AP6" s="147" t="s">
        <v>163</v>
      </c>
      <c r="AQ6" s="147" t="s">
        <v>164</v>
      </c>
      <c r="AR6" s="147" t="s">
        <v>162</v>
      </c>
      <c r="AS6" s="147" t="s">
        <v>160</v>
      </c>
      <c r="AT6" s="147" t="s">
        <v>161</v>
      </c>
      <c r="AU6" s="55"/>
      <c r="AV6" s="55"/>
      <c r="AW6" s="55"/>
      <c r="AX6" s="55"/>
      <c r="AY6" s="55"/>
      <c r="AZ6" s="55"/>
      <c r="BA6" s="55"/>
      <c r="BB6" s="100"/>
      <c r="BC6" s="100"/>
      <c r="BD6" s="100"/>
      <c r="BE6" s="100"/>
      <c r="BF6" s="100"/>
      <c r="BG6" s="100"/>
      <c r="BH6" s="100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6"/>
      <c r="CT6" s="56"/>
      <c r="CU6" s="56"/>
      <c r="CV6" s="56"/>
    </row>
    <row r="7" spans="1:148" s="52" customFormat="1" hidden="1">
      <c r="A7" s="54" t="str">
        <f>IF(A8&lt;&gt;"","Status","")</f>
        <v>Status</v>
      </c>
      <c r="B7" s="54" t="str">
        <f ca="1">IF(B8&lt;&gt;"","Operator","")</f>
        <v/>
      </c>
      <c r="C7" s="54"/>
      <c r="D7" s="54"/>
      <c r="E7" s="53"/>
      <c r="F7" s="54"/>
      <c r="G7" s="57" t="s">
        <v>24</v>
      </c>
      <c r="H7" s="57" t="s">
        <v>25</v>
      </c>
      <c r="I7" s="57" t="s">
        <v>26</v>
      </c>
      <c r="J7" s="57" t="s">
        <v>27</v>
      </c>
      <c r="K7" s="57"/>
      <c r="L7" s="57"/>
      <c r="M7" s="57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50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100"/>
      <c r="BD7" s="100"/>
      <c r="BE7" s="100"/>
      <c r="BF7" s="100"/>
      <c r="BG7" s="100"/>
      <c r="BH7" s="100"/>
      <c r="BI7" s="100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6"/>
      <c r="CU7" s="56"/>
      <c r="CV7" s="56"/>
      <c r="CW7" s="56"/>
    </row>
    <row r="8" spans="1:148" s="52" customFormat="1" hidden="1">
      <c r="A8" s="58" t="s">
        <v>25</v>
      </c>
      <c r="B8" s="58" t="str">
        <f ca="1">IF($C$13&lt;&gt;"",$C$13,"")</f>
        <v/>
      </c>
      <c r="C8" s="58"/>
      <c r="D8" s="54"/>
      <c r="E8" s="124" t="s">
        <v>39</v>
      </c>
      <c r="F8" s="125" t="s">
        <v>44</v>
      </c>
      <c r="G8" s="125" t="s">
        <v>36</v>
      </c>
      <c r="H8" s="126" t="s">
        <v>35</v>
      </c>
      <c r="I8" s="126" t="s">
        <v>43</v>
      </c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100"/>
      <c r="BD8" s="100"/>
      <c r="BE8" s="100"/>
      <c r="BF8" s="100"/>
      <c r="BG8" s="100"/>
      <c r="BH8" s="100"/>
      <c r="BI8" s="100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6"/>
      <c r="CU8" s="56"/>
      <c r="CV8" s="56"/>
      <c r="CW8" s="56"/>
    </row>
    <row r="9" spans="1:148" s="61" customFormat="1" hidden="1">
      <c r="A9" s="59" t="s">
        <v>6</v>
      </c>
      <c r="B9" s="54"/>
      <c r="C9" s="54"/>
      <c r="D9" s="54"/>
      <c r="E9" s="125" t="str">
        <f ca="1">IFERROR(IF(FIND(E8,CELL("filename"),1)&gt;0,E8,""),"")</f>
        <v/>
      </c>
      <c r="F9" s="125" t="str">
        <f ca="1">IFERROR(IF(FIND(F8,CELL("filename"),1)&gt;0,F8,""),"")</f>
        <v/>
      </c>
      <c r="G9" s="125" t="str">
        <f t="shared" ref="G9:I9" ca="1" si="0">IFERROR(IF(FIND(G8,CELL("filename"),1)&gt;0,G8,""),"")</f>
        <v/>
      </c>
      <c r="H9" s="125" t="str">
        <f t="shared" ca="1" si="0"/>
        <v/>
      </c>
      <c r="I9" s="125" t="str">
        <f t="shared" ca="1" si="0"/>
        <v/>
      </c>
      <c r="J9" s="127" t="str">
        <f ca="1">CONCATENATE(E9,F9,G9,H9,I9)</f>
        <v/>
      </c>
      <c r="K9" s="54"/>
      <c r="L9" s="54"/>
      <c r="M9" s="54"/>
      <c r="N9" s="54"/>
      <c r="O9" s="54"/>
      <c r="P9" s="54"/>
      <c r="Q9" s="54"/>
      <c r="R9" s="54"/>
      <c r="S9" s="60">
        <v>1</v>
      </c>
      <c r="T9" s="54"/>
      <c r="U9" s="60">
        <v>1</v>
      </c>
      <c r="V9" s="54"/>
      <c r="W9" s="60">
        <v>1</v>
      </c>
      <c r="X9" s="54"/>
      <c r="Y9" s="60">
        <v>1</v>
      </c>
      <c r="Z9" s="54"/>
      <c r="AA9" s="54"/>
      <c r="AB9" s="54"/>
      <c r="AC9" s="54"/>
      <c r="AD9" s="60">
        <v>1</v>
      </c>
      <c r="AE9" s="54"/>
      <c r="AF9" s="54"/>
      <c r="AG9" s="54"/>
      <c r="AH9" s="54"/>
      <c r="AI9" s="60">
        <v>1</v>
      </c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C9" s="101"/>
      <c r="BD9" s="101"/>
      <c r="BE9" s="101"/>
      <c r="BF9" s="101"/>
      <c r="BG9" s="101"/>
      <c r="BH9" s="101"/>
      <c r="BI9" s="101"/>
      <c r="CW9" s="56"/>
      <c r="CX9" s="56"/>
      <c r="CY9" s="56"/>
      <c r="CZ9" s="56"/>
    </row>
    <row r="10" spans="1:148" s="36" customFormat="1" hidden="1">
      <c r="A10" s="62" t="s">
        <v>2</v>
      </c>
      <c r="B10" s="63" t="s">
        <v>109</v>
      </c>
      <c r="C10" s="64" t="s">
        <v>37</v>
      </c>
      <c r="D10" s="64" t="s">
        <v>107</v>
      </c>
      <c r="E10" s="48" t="s">
        <v>106</v>
      </c>
      <c r="F10" s="48" t="s">
        <v>105</v>
      </c>
      <c r="G10" s="63" t="s">
        <v>38</v>
      </c>
      <c r="H10" s="64" t="s">
        <v>0</v>
      </c>
      <c r="I10" s="64" t="s">
        <v>104</v>
      </c>
      <c r="J10" s="64" t="s">
        <v>1</v>
      </c>
      <c r="K10" s="64" t="s">
        <v>128</v>
      </c>
      <c r="L10" s="64" t="s">
        <v>129</v>
      </c>
      <c r="M10" s="48" t="s">
        <v>103</v>
      </c>
      <c r="N10" s="48" t="s">
        <v>102</v>
      </c>
      <c r="O10" s="64" t="s">
        <v>10</v>
      </c>
      <c r="P10" s="64" t="s">
        <v>9</v>
      </c>
      <c r="Q10" s="64" t="s">
        <v>23</v>
      </c>
      <c r="R10" s="64" t="s">
        <v>32</v>
      </c>
      <c r="S10" s="64" t="s">
        <v>101</v>
      </c>
      <c r="T10" s="64" t="s">
        <v>100</v>
      </c>
      <c r="U10" s="64" t="s">
        <v>20</v>
      </c>
      <c r="V10" s="64" t="s">
        <v>21</v>
      </c>
      <c r="W10" s="64" t="s">
        <v>99</v>
      </c>
      <c r="X10" s="64" t="s">
        <v>98</v>
      </c>
      <c r="Y10" s="64" t="s">
        <v>15</v>
      </c>
      <c r="Z10" s="48" t="s">
        <v>165</v>
      </c>
      <c r="AA10" s="150" t="s">
        <v>166</v>
      </c>
      <c r="AB10" s="48" t="s">
        <v>97</v>
      </c>
      <c r="AC10" s="64" t="s">
        <v>16</v>
      </c>
      <c r="AD10" s="64" t="s">
        <v>11</v>
      </c>
      <c r="AE10" s="111" t="s">
        <v>13</v>
      </c>
      <c r="AF10" s="112" t="s">
        <v>126</v>
      </c>
      <c r="AG10" s="112" t="s">
        <v>127</v>
      </c>
      <c r="AH10" s="113" t="s">
        <v>12</v>
      </c>
      <c r="AI10" s="64" t="s">
        <v>17</v>
      </c>
      <c r="AJ10" s="64" t="s">
        <v>96</v>
      </c>
      <c r="AK10" s="64" t="s">
        <v>18</v>
      </c>
      <c r="AL10" s="64" t="s">
        <v>73</v>
      </c>
      <c r="AM10" s="64" t="s">
        <v>74</v>
      </c>
      <c r="AN10" s="64" t="s">
        <v>75</v>
      </c>
      <c r="AO10" s="64" t="s">
        <v>77</v>
      </c>
      <c r="AP10" s="64" t="s">
        <v>78</v>
      </c>
      <c r="AQ10" s="64" t="s">
        <v>76</v>
      </c>
      <c r="AR10" s="64" t="s">
        <v>79</v>
      </c>
      <c r="AS10" s="115" t="s">
        <v>132</v>
      </c>
      <c r="AT10" s="115" t="s">
        <v>133</v>
      </c>
      <c r="AU10" s="115" t="s">
        <v>134</v>
      </c>
      <c r="AV10" s="115" t="s">
        <v>135</v>
      </c>
      <c r="AW10" s="115" t="s">
        <v>147</v>
      </c>
      <c r="AX10" s="115" t="s">
        <v>148</v>
      </c>
      <c r="AY10" s="129" t="s">
        <v>150</v>
      </c>
      <c r="AZ10" s="115"/>
      <c r="BC10" s="98"/>
      <c r="BD10" s="98"/>
      <c r="BE10" s="98"/>
      <c r="BF10" s="98"/>
      <c r="BG10" s="98"/>
      <c r="BH10" s="98"/>
      <c r="BI10" s="98"/>
      <c r="CT10" s="41"/>
      <c r="CU10" s="41"/>
      <c r="CV10" s="41"/>
      <c r="CW10" s="41"/>
    </row>
    <row r="11" spans="1:148" s="54" customFormat="1" hidden="1">
      <c r="AP11" s="53"/>
      <c r="BC11" s="102"/>
      <c r="BD11" s="102"/>
      <c r="BE11" s="102"/>
      <c r="BF11" s="102"/>
      <c r="BG11" s="102"/>
      <c r="BH11" s="102"/>
      <c r="BI11" s="102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  <c r="EA11" s="61"/>
      <c r="EB11" s="61"/>
      <c r="EC11" s="56"/>
      <c r="ED11" s="56"/>
      <c r="EE11" s="56"/>
      <c r="EF11" s="56"/>
    </row>
    <row r="12" spans="1:148" s="66" customFormat="1">
      <c r="A12" s="65"/>
      <c r="C12" s="67"/>
      <c r="AM12" s="68"/>
      <c r="AN12" s="65"/>
      <c r="AQ12" s="65"/>
      <c r="BC12" s="103"/>
      <c r="BD12" s="103"/>
      <c r="BE12" s="103"/>
      <c r="BF12" s="103"/>
      <c r="BG12" s="103"/>
      <c r="BH12" s="103"/>
      <c r="BI12" s="103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70"/>
      <c r="DZ12" s="70"/>
      <c r="EA12" s="70"/>
      <c r="EB12" s="70"/>
    </row>
    <row r="13" spans="1:148" s="66" customFormat="1" ht="21">
      <c r="A13" s="71" t="s">
        <v>113</v>
      </c>
      <c r="B13" s="72"/>
      <c r="C13" s="71" t="str">
        <f ca="1">J9</f>
        <v/>
      </c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23" t="s">
        <v>143</v>
      </c>
      <c r="Q13" s="123" t="s">
        <v>25</v>
      </c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71"/>
      <c r="AP13" s="71"/>
      <c r="AQ13" s="67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102"/>
      <c r="BD13" s="103"/>
      <c r="BE13" s="103"/>
      <c r="BF13" s="103"/>
      <c r="BG13" s="103"/>
      <c r="BH13" s="103"/>
      <c r="BI13" s="103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G13" s="67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72"/>
      <c r="DO13" s="72"/>
      <c r="DP13" s="72"/>
      <c r="DQ13" s="72"/>
      <c r="DR13" s="72"/>
      <c r="DS13" s="72"/>
      <c r="DT13" s="72"/>
      <c r="DU13" s="72"/>
      <c r="DV13" s="72"/>
      <c r="DW13" s="72"/>
      <c r="DX13" s="72"/>
      <c r="DY13" s="72"/>
      <c r="DZ13" s="72"/>
      <c r="EA13" s="72"/>
      <c r="EB13" s="72"/>
      <c r="EC13" s="74"/>
      <c r="ED13" s="74"/>
      <c r="EE13" s="74"/>
      <c r="EF13" s="74"/>
    </row>
    <row r="14" spans="1:148" s="77" customFormat="1" ht="15" customHeight="1">
      <c r="A14" s="75"/>
      <c r="B14" s="75" t="str">
        <f>IFERROR(IF(HLOOKUP(B10,$3:$3,1,FALSE)&lt;&gt;"",".",""),"")</f>
        <v/>
      </c>
      <c r="C14" s="75" t="str">
        <f>IFERROR(IF(HLOOKUP(C10,$3:$3,1,FALSE)&lt;&gt;"",".",""),"")</f>
        <v/>
      </c>
      <c r="D14" s="75" t="str">
        <f>IFERROR(IF(HLOOKUP(D10,$3:$3,1,FALSE)&lt;&gt;"",".",""),"")</f>
        <v/>
      </c>
      <c r="E14" s="75" t="str">
        <f>IFERROR(IF(HLOOKUP(E10,$3:$3,1,FALSE)&lt;&gt;"",".",""),"")</f>
        <v/>
      </c>
      <c r="F14" s="75" t="str">
        <f>IFERROR(IF(HLOOKUP(F10,$3:$3,1,FALSE)&lt;&gt;"",".",""),"")</f>
        <v/>
      </c>
      <c r="G14" s="75" t="str">
        <f>IFERROR(IF(HLOOKUP(G10,$3:$3,1,FALSE)&lt;&gt;"",".",""),"")</f>
        <v>.</v>
      </c>
      <c r="H14" s="75" t="str">
        <f>IFERROR(IF(HLOOKUP(H10,$3:$3,1,FALSE)&lt;&gt;"",".",""),"")</f>
        <v/>
      </c>
      <c r="I14" s="75" t="str">
        <f>IFERROR(IF(HLOOKUP(I10,$3:$3,1,FALSE)&lt;&gt;"",".",""),"")</f>
        <v/>
      </c>
      <c r="J14" s="75" t="str">
        <f>IFERROR(IF(HLOOKUP(J10,$3:$3,1,FALSE)&lt;&gt;"",".",""),"")</f>
        <v/>
      </c>
      <c r="K14" s="75" t="str">
        <f>IFERROR(IF(HLOOKUP(K10,$3:$3,1,FALSE)&lt;&gt;"",".",""),"")</f>
        <v>.</v>
      </c>
      <c r="L14" s="75" t="str">
        <f>IFERROR(IF(HLOOKUP(L10,$3:$3,1,FALSE)&lt;&gt;"",".",""),"")</f>
        <v>.</v>
      </c>
      <c r="M14" s="75" t="str">
        <f>IFERROR(IF(HLOOKUP(M10,$3:$3,1,FALSE)&lt;&gt;"",".",""),"")</f>
        <v>.</v>
      </c>
      <c r="N14" s="75" t="str">
        <f>IFERROR(IF(HLOOKUP(N10,$3:$3,1,FALSE)&lt;&gt;"",".",""),"")</f>
        <v>.</v>
      </c>
      <c r="O14" s="75" t="str">
        <f>IFERROR(IF(HLOOKUP(O10,$3:$3,1,FALSE)&lt;&gt;"",".",""),"")</f>
        <v>.</v>
      </c>
      <c r="P14" s="75" t="str">
        <f>IFERROR(IF(HLOOKUP(P10,$3:$3,1,FALSE)&lt;&gt;"",".",""),"")</f>
        <v>.</v>
      </c>
      <c r="Q14" s="75" t="str">
        <f>IFERROR(IF(HLOOKUP(Q10,$3:$3,1,FALSE)&lt;&gt;"",".",""),"")</f>
        <v>.</v>
      </c>
      <c r="R14" s="75" t="str">
        <f>IFERROR(IF(HLOOKUP(R10,$3:$3,1,FALSE)&lt;&gt;"",".",""),"")</f>
        <v>.</v>
      </c>
      <c r="S14" s="75" t="str">
        <f>IFERROR(IF(HLOOKUP(S10,$3:$3,1,FALSE)&lt;&gt;"",".",""),"")</f>
        <v>.</v>
      </c>
      <c r="T14" s="75" t="str">
        <f>IFERROR(IF(HLOOKUP(T10,$3:$3,1,FALSE)&lt;&gt;"",".",""),"")</f>
        <v/>
      </c>
      <c r="U14" s="75" t="str">
        <f>IFERROR(IF(HLOOKUP(U10,$3:$3,1,FALSE)&lt;&gt;"",".",""),"")</f>
        <v>.</v>
      </c>
      <c r="V14" s="75" t="str">
        <f>IFERROR(IF(HLOOKUP(V10,$3:$3,1,FALSE)&lt;&gt;"",".",""),"")</f>
        <v/>
      </c>
      <c r="W14" s="75" t="str">
        <f>IFERROR(IF(HLOOKUP(W10,$3:$3,1,FALSE)&lt;&gt;"",".",""),"")</f>
        <v>.</v>
      </c>
      <c r="X14" s="75" t="str">
        <f>IFERROR(IF(HLOOKUP(X10,$3:$3,1,FALSE)&lt;&gt;"",".",""),"")</f>
        <v/>
      </c>
      <c r="Y14" s="75" t="str">
        <f>IFERROR(IF(HLOOKUP(Y10,$3:$3,1,FALSE)&lt;&gt;"",".",""),"")</f>
        <v>.</v>
      </c>
      <c r="Z14" s="75" t="str">
        <f>IFERROR(IF(HLOOKUP(Z10,$3:$3,1,FALSE)&lt;&gt;"",".",""),"")</f>
        <v/>
      </c>
      <c r="AA14" s="75" t="str">
        <f>IFERROR(IF(HLOOKUP(AA10,$3:$3,1,FALSE)&lt;&gt;"",".",""),"")</f>
        <v/>
      </c>
      <c r="AB14" s="75" t="str">
        <f>IFERROR(IF(HLOOKUP(AB10,$3:$3,1,FALSE)&lt;&gt;"",".",""),"")</f>
        <v/>
      </c>
      <c r="AC14" s="75" t="str">
        <f>IFERROR(IF(HLOOKUP(AC10,$3:$3,1,FALSE)&lt;&gt;"",".",""),"")</f>
        <v/>
      </c>
      <c r="AD14" s="75" t="str">
        <f>IFERROR(IF(HLOOKUP(AD10,$3:$3,1,FALSE)&lt;&gt;"",".",""),"")</f>
        <v>.</v>
      </c>
      <c r="AE14" s="75" t="str">
        <f>IFERROR(IF(HLOOKUP(AE10,$3:$3,1,FALSE)&lt;&gt;"",".",""),"")</f>
        <v/>
      </c>
      <c r="AF14" s="75" t="str">
        <f>IFERROR(IF(HLOOKUP(AF10,$3:$3,1,FALSE)&lt;&gt;"",".",""),"")</f>
        <v/>
      </c>
      <c r="AG14" s="75" t="str">
        <f>IFERROR(IF(HLOOKUP(AG10,$3:$3,1,FALSE)&lt;&gt;"",".",""),"")</f>
        <v/>
      </c>
      <c r="AH14" s="75" t="str">
        <f>IFERROR(IF(HLOOKUP(AH10,$3:$3,1,FALSE)&lt;&gt;"",".",""),"")</f>
        <v/>
      </c>
      <c r="AI14" s="75" t="str">
        <f>IFERROR(IF(HLOOKUP(AI10,$3:$3,1,FALSE)&lt;&gt;"",".",""),"")</f>
        <v>.</v>
      </c>
      <c r="AJ14" s="75" t="str">
        <f>IFERROR(IF(HLOOKUP(AJ10,$3:$3,1,FALSE)&lt;&gt;"",".",""),"")</f>
        <v/>
      </c>
      <c r="AK14" s="75" t="str">
        <f>IFERROR(IF(HLOOKUP(AK10,$3:$3,1,FALSE)&lt;&gt;"",".",""),"")</f>
        <v/>
      </c>
      <c r="AL14" s="75" t="str">
        <f>IFERROR(IF(HLOOKUP(AL10,$3:$3,1,FALSE)&lt;&gt;"",".",""),"")</f>
        <v>.</v>
      </c>
      <c r="AM14" s="75" t="str">
        <f>IFERROR(IF(HLOOKUP(AM10,$3:$3,1,FALSE)&lt;&gt;"",".",""),"")</f>
        <v/>
      </c>
      <c r="AN14" s="75" t="str">
        <f>IFERROR(IF(HLOOKUP(AN10,$3:$3,1,FALSE)&lt;&gt;"",".",""),"")</f>
        <v>.</v>
      </c>
      <c r="AO14" s="75" t="str">
        <f>IFERROR(IF(HLOOKUP(AO10,$3:$3,1,FALSE)&lt;&gt;"",".",""),"")</f>
        <v/>
      </c>
      <c r="AP14" s="75" t="str">
        <f>IFERROR(IF(HLOOKUP(AP10,$3:$3,1,FALSE)&lt;&gt;"",".",""),"")</f>
        <v>.</v>
      </c>
      <c r="AQ14" s="75" t="str">
        <f>IFERROR(IF(HLOOKUP(AQ10,$3:$3,1,FALSE)&lt;&gt;"",".",""),"")</f>
        <v>.</v>
      </c>
      <c r="AR14" s="75" t="str">
        <f>IFERROR(IF(HLOOKUP(AR10,$3:$3,1,FALSE)&lt;&gt;"",".",""),"")</f>
        <v>.</v>
      </c>
      <c r="AS14" s="75" t="str">
        <f>IFERROR(IF(HLOOKUP(AS10,$3:$3,1,FALSE)&lt;&gt;"",".",""),"")</f>
        <v/>
      </c>
      <c r="AT14" s="75" t="str">
        <f>IFERROR(IF(HLOOKUP(AT10,$3:$3,1,FALSE)&lt;&gt;"",".",""),"")</f>
        <v/>
      </c>
      <c r="AU14" s="75" t="str">
        <f>IFERROR(IF(HLOOKUP(AU10,$3:$3,1,FALSE)&lt;&gt;"",".",""),"")</f>
        <v/>
      </c>
      <c r="AV14" s="75" t="str">
        <f>IFERROR(IF(HLOOKUP(AV10,$3:$3,1,FALSE)&lt;&gt;"",".",""),"")</f>
        <v/>
      </c>
      <c r="AW14" s="75" t="str">
        <f>IFERROR(IF(HLOOKUP(AW10,$3:$3,1,FALSE)&lt;&gt;"",".",""),"")</f>
        <v/>
      </c>
      <c r="AX14" s="75" t="str">
        <f>IFERROR(IF(HLOOKUP(AX10,$3:$3,1,FALSE)&lt;&gt;"",".",""),"")</f>
        <v/>
      </c>
      <c r="AY14" s="75"/>
      <c r="AZ14" s="75"/>
      <c r="BA14" s="75"/>
      <c r="BB14" s="75"/>
      <c r="BC14" s="104"/>
      <c r="BD14" s="104"/>
      <c r="BE14" s="104"/>
      <c r="BF14" s="104"/>
      <c r="BG14" s="104"/>
      <c r="BH14" s="104"/>
      <c r="BI14" s="104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6"/>
      <c r="CI14" s="76"/>
      <c r="CJ14" s="76"/>
      <c r="CK14" s="76"/>
      <c r="CL14" s="76"/>
      <c r="CM14" s="76"/>
      <c r="CN14" s="76"/>
      <c r="CO14" s="76"/>
      <c r="CP14" s="76"/>
      <c r="CQ14" s="76"/>
      <c r="CR14" s="76"/>
      <c r="CS14" s="76"/>
      <c r="CT14" s="76"/>
      <c r="CU14" s="76"/>
      <c r="CV14" s="76"/>
      <c r="CW14" s="76"/>
      <c r="CX14" s="76"/>
      <c r="CY14" s="76"/>
      <c r="CZ14" s="76"/>
      <c r="DA14" s="76"/>
      <c r="DB14" s="76"/>
      <c r="DC14" s="76"/>
      <c r="DD14" s="76"/>
      <c r="DE14" s="76"/>
      <c r="DF14" s="76"/>
      <c r="DG14" s="76"/>
      <c r="DH14" s="76"/>
      <c r="DI14" s="76"/>
      <c r="DJ14" s="76"/>
      <c r="DK14" s="76"/>
      <c r="DL14" s="76"/>
      <c r="DM14" s="76"/>
      <c r="DN14" s="76"/>
      <c r="DO14" s="76"/>
      <c r="DP14" s="76"/>
      <c r="DQ14" s="76"/>
      <c r="DR14" s="76"/>
      <c r="DS14" s="76"/>
      <c r="DT14" s="76"/>
      <c r="DU14" s="76"/>
      <c r="DV14" s="76"/>
      <c r="DW14" s="76"/>
      <c r="DX14" s="76"/>
      <c r="DY14" s="76"/>
      <c r="DZ14" s="76"/>
      <c r="EA14" s="76"/>
      <c r="EB14" s="76"/>
      <c r="EC14" s="76"/>
      <c r="ED14" s="76"/>
      <c r="EE14" s="76"/>
      <c r="EF14" s="76"/>
    </row>
    <row r="15" spans="1:148" s="96" customFormat="1" ht="54" customHeight="1">
      <c r="A15" s="78" t="s">
        <v>8</v>
      </c>
      <c r="B15" s="78" t="s">
        <v>42</v>
      </c>
      <c r="C15" s="78" t="s">
        <v>169</v>
      </c>
      <c r="D15" s="79" t="s">
        <v>80</v>
      </c>
      <c r="E15" s="80" t="s">
        <v>110</v>
      </c>
      <c r="F15" s="80" t="s">
        <v>111</v>
      </c>
      <c r="G15" s="81" t="s">
        <v>144</v>
      </c>
      <c r="H15" s="81" t="s">
        <v>0</v>
      </c>
      <c r="I15" s="82" t="s">
        <v>112</v>
      </c>
      <c r="J15" s="81" t="s">
        <v>3</v>
      </c>
      <c r="K15" s="83" t="s">
        <v>130</v>
      </c>
      <c r="L15" s="83" t="s">
        <v>131</v>
      </c>
      <c r="M15" s="83" t="s">
        <v>81</v>
      </c>
      <c r="N15" s="83" t="s">
        <v>82</v>
      </c>
      <c r="O15" s="83" t="s">
        <v>30</v>
      </c>
      <c r="P15" s="83" t="s">
        <v>31</v>
      </c>
      <c r="Q15" s="83" t="s">
        <v>83</v>
      </c>
      <c r="R15" s="83" t="s">
        <v>84</v>
      </c>
      <c r="S15" s="84" t="s">
        <v>85</v>
      </c>
      <c r="T15" s="85" t="s">
        <v>86</v>
      </c>
      <c r="U15" s="86" t="s">
        <v>87</v>
      </c>
      <c r="V15" s="87" t="s">
        <v>22</v>
      </c>
      <c r="W15" s="88" t="s">
        <v>88</v>
      </c>
      <c r="X15" s="89" t="s">
        <v>89</v>
      </c>
      <c r="Y15" s="90" t="s">
        <v>90</v>
      </c>
      <c r="Z15" s="91" t="s">
        <v>167</v>
      </c>
      <c r="AA15" s="151" t="s">
        <v>168</v>
      </c>
      <c r="AB15" s="91" t="s">
        <v>28</v>
      </c>
      <c r="AC15" s="91" t="s">
        <v>91</v>
      </c>
      <c r="AD15" s="92" t="s">
        <v>19</v>
      </c>
      <c r="AE15" s="93" t="s">
        <v>123</v>
      </c>
      <c r="AF15" s="93" t="s">
        <v>124</v>
      </c>
      <c r="AG15" s="110" t="s">
        <v>125</v>
      </c>
      <c r="AH15" s="93" t="s">
        <v>14</v>
      </c>
      <c r="AI15" s="94" t="s">
        <v>92</v>
      </c>
      <c r="AJ15" s="95" t="s">
        <v>29</v>
      </c>
      <c r="AK15" s="95" t="s">
        <v>93</v>
      </c>
      <c r="AL15" s="78" t="s">
        <v>94</v>
      </c>
      <c r="AM15" s="78" t="s">
        <v>95</v>
      </c>
      <c r="AN15" s="78" t="s">
        <v>34</v>
      </c>
      <c r="AO15" s="78" t="s">
        <v>33</v>
      </c>
      <c r="AP15" s="161" t="s">
        <v>118</v>
      </c>
      <c r="AQ15" s="161" t="s">
        <v>170</v>
      </c>
      <c r="AR15" s="161" t="s">
        <v>119</v>
      </c>
      <c r="AS15" s="116" t="s">
        <v>136</v>
      </c>
      <c r="AT15" s="117" t="s">
        <v>137</v>
      </c>
      <c r="AU15" s="118" t="s">
        <v>141</v>
      </c>
      <c r="AV15" s="119" t="s">
        <v>138</v>
      </c>
      <c r="AW15" s="120" t="s">
        <v>139</v>
      </c>
      <c r="AX15" s="121" t="s">
        <v>140</v>
      </c>
      <c r="AY15" s="122" t="s">
        <v>151</v>
      </c>
      <c r="AZ15" s="122" t="s">
        <v>142</v>
      </c>
      <c r="BA15" s="97" t="s">
        <v>114</v>
      </c>
      <c r="BB15" s="109" t="s">
        <v>120</v>
      </c>
      <c r="BC15" s="105" t="s">
        <v>122</v>
      </c>
      <c r="BD15" s="105" t="s">
        <v>115</v>
      </c>
      <c r="BE15" s="106" t="s">
        <v>116</v>
      </c>
      <c r="BF15" s="106" t="s">
        <v>117</v>
      </c>
      <c r="BG15" s="106" t="s">
        <v>121</v>
      </c>
      <c r="BH15" s="106" t="s">
        <v>152</v>
      </c>
      <c r="BI15" s="122" t="s">
        <v>145</v>
      </c>
      <c r="BJ15" s="128" t="s">
        <v>149</v>
      </c>
    </row>
    <row r="16" spans="1:148">
      <c r="A16" s="152"/>
      <c r="B16" s="26"/>
      <c r="C16" s="26"/>
      <c r="D16" s="25"/>
      <c r="E16" s="27"/>
      <c r="F16" s="27"/>
      <c r="G16" s="25"/>
      <c r="H16" s="26"/>
      <c r="I16" s="28"/>
      <c r="J16" s="29"/>
      <c r="K16" s="30"/>
      <c r="L16" s="114"/>
      <c r="M16" s="25"/>
      <c r="N16" s="25"/>
      <c r="O16" s="31"/>
      <c r="P16" s="31"/>
      <c r="Q16" s="25"/>
      <c r="R16" s="25"/>
      <c r="S16" s="137"/>
      <c r="T16" s="142"/>
      <c r="U16" s="137"/>
      <c r="V16" s="137"/>
      <c r="W16" s="137"/>
      <c r="X16" s="137"/>
      <c r="Y16" s="137"/>
      <c r="Z16" s="137"/>
      <c r="AA16" s="149"/>
      <c r="AB16" s="149"/>
      <c r="AC16" s="142"/>
      <c r="AD16" s="137"/>
      <c r="AE16" s="138"/>
      <c r="AF16" s="137"/>
      <c r="AG16" s="139"/>
      <c r="AH16" s="142"/>
      <c r="AI16" s="137"/>
      <c r="AJ16" s="140"/>
      <c r="AK16" s="140"/>
      <c r="AL16" s="137"/>
      <c r="AM16" s="140"/>
      <c r="AN16" s="137"/>
      <c r="AO16" s="140"/>
      <c r="AP16" s="140"/>
      <c r="AQ16" s="159"/>
      <c r="AR16" s="140"/>
      <c r="AS16" s="160"/>
      <c r="AT16" s="160"/>
      <c r="AU16" s="160"/>
      <c r="AV16" s="160"/>
      <c r="AW16" s="160"/>
      <c r="AX16" s="160"/>
      <c r="AY16" s="148"/>
      <c r="AZ16" s="141"/>
      <c r="BA16" s="144"/>
      <c r="BB16" s="132"/>
      <c r="BC16" s="133"/>
      <c r="BD16" s="134"/>
      <c r="BE16" s="135"/>
      <c r="BF16" s="135"/>
      <c r="BG16" s="136"/>
      <c r="BH16" s="136"/>
      <c r="BI16" s="136"/>
      <c r="BJ16" s="136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</row>
  </sheetData>
  <sheetProtection insertColumns="0" insertRows="0" insertHyperlinks="0" deleteRows="0" sort="0" autoFilter="0" pivotTables="0"/>
  <conditionalFormatting sqref="S16 W16 Y16 AD16 AI16 U16">
    <cfRule type="cellIs" dxfId="5" priority="7" operator="equal">
      <formula>"Rejected"</formula>
    </cfRule>
    <cfRule type="cellIs" dxfId="4" priority="8" operator="equal">
      <formula>"OK"</formula>
    </cfRule>
  </conditionalFormatting>
  <conditionalFormatting sqref="S16:AI16 S15:AA15 AC15:AI15">
    <cfRule type="cellIs" dxfId="3" priority="5" operator="equal">
      <formula>"Review"</formula>
    </cfRule>
  </conditionalFormatting>
  <conditionalFormatting sqref="S16 W16 Y16 AD16 AI16 AL16 AN16 U16 AP16:AQ16">
    <cfRule type="cellIs" dxfId="2" priority="4" operator="equal">
      <formula>"Not Required"</formula>
    </cfRule>
  </conditionalFormatting>
  <conditionalFormatting sqref="S16 U16 W16 Y16 AD16 AI16">
    <cfRule type="cellIs" dxfId="1" priority="3" operator="equal">
      <formula>"OK with Flag"</formula>
    </cfRule>
  </conditionalFormatting>
  <conditionalFormatting sqref="AB15">
    <cfRule type="cellIs" dxfId="0" priority="1" operator="equal">
      <formula>"Review"</formula>
    </cfRule>
  </conditionalFormatting>
  <conditionalFormatting sqref="AZ16">
    <cfRule type="colorScale" priority="30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count="4">
    <dataValidation type="list" allowBlank="1" showInputMessage="1" showErrorMessage="1" sqref="S16 AI16 W16 U16 Y16 AD16 AL16 AN16" xr:uid="{00000000-0002-0000-0200-000000000000}">
      <formula1>"Not Required"</formula1>
    </dataValidation>
    <dataValidation type="date" operator="greaterThan" allowBlank="1" showInputMessage="1" showErrorMessage="1" sqref="AQ16" xr:uid="{84CAF07E-611F-428E-A050-3734154B80D9}">
      <formula1>40179</formula1>
    </dataValidation>
    <dataValidation type="list" allowBlank="1" showInputMessage="1" showErrorMessage="1" sqref="Q16" xr:uid="{00000000-0002-0000-0200-000002000000}">
      <formula1>IF(OR(AP16="Approved by Management",AP16="OK",BI16&gt;=6),$G$7:$J$7,$H$7:$J$7)</formula1>
    </dataValidation>
    <dataValidation type="list" allowBlank="1" showInputMessage="1" showErrorMessage="1" sqref="AP16" xr:uid="{39E65D18-AAB0-4C1B-988F-9AEFEA09DA20}">
      <formula1>IF(AR16&lt;&gt;"",$AP$6:$AT$6,$AR$6:$AT$6)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UpdatePrevalidation">
                <anchor>
                  <from>
                    <xdr:col>6</xdr:col>
                    <xdr:colOff>723900</xdr:colOff>
                    <xdr:row>11</xdr:row>
                    <xdr:rowOff>146050</xdr:rowOff>
                  </from>
                  <to>
                    <xdr:col>8</xdr:col>
                    <xdr:colOff>171450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RevertPrevalidation">
                <anchor>
                  <from>
                    <xdr:col>5</xdr:col>
                    <xdr:colOff>12700</xdr:colOff>
                    <xdr:row>11</xdr:row>
                    <xdr:rowOff>152400</xdr:rowOff>
                  </from>
                  <to>
                    <xdr:col>6</xdr:col>
                    <xdr:colOff>400050</xdr:colOff>
                    <xdr:row>13</xdr:row>
                    <xdr:rowOff>44450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6A10-8BA2-44AB-8F68-E21A3DBC656E}">
  <sheetPr codeName="Sheet19">
    <tabColor theme="6"/>
    <outlinePr summaryBelow="0" summaryRight="0"/>
  </sheetPr>
  <dimension ref="A1:CQ20"/>
  <sheetViews>
    <sheetView showGridLines="0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B28" sqref="B28"/>
    </sheetView>
  </sheetViews>
  <sheetFormatPr defaultColWidth="9.1796875" defaultRowHeight="14.5"/>
  <cols>
    <col min="1" max="1" width="8.54296875" style="24" customWidth="1"/>
    <col min="2" max="2" width="16.7265625" style="21" bestFit="1" customWidth="1"/>
    <col min="3" max="3" width="9.81640625" style="21" customWidth="1"/>
    <col min="4" max="9" width="14.1796875" style="21" customWidth="1"/>
    <col min="10" max="32" width="13.81640625" style="21" customWidth="1"/>
    <col min="33" max="33" width="51.1796875" style="23" bestFit="1" customWidth="1"/>
    <col min="34" max="34" width="5.7265625" style="23" customWidth="1"/>
    <col min="35" max="35" width="61.26953125" style="21" customWidth="1"/>
    <col min="36" max="36" width="5.7265625" style="23" customWidth="1" collapsed="1"/>
    <col min="37" max="37" width="18.1796875" style="23" customWidth="1"/>
    <col min="38" max="38" width="58.453125" style="23" customWidth="1"/>
    <col min="39" max="39" width="17" style="23" customWidth="1" collapsed="1"/>
    <col min="40" max="40" width="54.453125" style="23" customWidth="1"/>
    <col min="41" max="41" width="5.7265625" style="21" customWidth="1" collapsed="1"/>
    <col min="42" max="42" width="81.1796875" style="21" customWidth="1"/>
    <col min="43" max="43" width="17" style="23" customWidth="1" collapsed="1"/>
    <col min="44" max="44" width="15.81640625" style="21" customWidth="1"/>
    <col min="45" max="45" width="5.26953125" style="21" customWidth="1"/>
    <col min="46" max="46" width="32" style="21" customWidth="1"/>
    <col min="47" max="47" width="24.1796875" style="21" customWidth="1"/>
    <col min="48" max="48" width="6" style="21" customWidth="1"/>
    <col min="49" max="50" width="24.1796875" style="21" customWidth="1"/>
    <col min="51" max="51" width="5.7265625" style="21" customWidth="1" collapsed="1"/>
    <col min="52" max="52" width="49" style="21" customWidth="1"/>
    <col min="53" max="53" width="5.7265625" style="21" customWidth="1" collapsed="1"/>
    <col min="54" max="54" width="24.1796875" style="21" customWidth="1"/>
    <col min="55" max="55" width="8" style="21" customWidth="1"/>
    <col min="56" max="64" width="38.81640625" style="21" customWidth="1"/>
    <col min="65" max="65" width="24.1796875" style="21" customWidth="1"/>
    <col min="66" max="66" width="35" style="21" customWidth="1"/>
    <col min="67" max="67" width="4.26953125" style="23" customWidth="1" collapsed="1"/>
    <col min="68" max="68" width="31.1796875" style="21" customWidth="1"/>
    <col min="69" max="69" width="4.26953125" style="21" customWidth="1" collapsed="1"/>
    <col min="70" max="70" width="22.1796875" style="21" customWidth="1"/>
    <col min="71" max="71" width="7.7265625" style="21" customWidth="1"/>
    <col min="72" max="74" width="34.81640625" style="21" customWidth="1"/>
    <col min="75" max="75" width="20" style="21" customWidth="1"/>
    <col min="76" max="77" width="22.1796875" style="21" customWidth="1"/>
    <col min="78" max="78" width="13.26953125" style="21" bestFit="1" customWidth="1"/>
    <col min="79" max="79" width="22.1796875" style="21" customWidth="1"/>
    <col min="80" max="80" width="14.1796875" style="21" customWidth="1"/>
    <col min="81" max="84" width="4.26953125" style="32" customWidth="1"/>
    <col min="85" max="85" width="58.453125" style="22" customWidth="1"/>
    <col min="86" max="86" width="10" style="22" customWidth="1"/>
    <col min="87" max="87" width="41.81640625" style="22" customWidth="1"/>
    <col min="88" max="88" width="12.54296875" style="22" customWidth="1"/>
    <col min="89" max="89" width="19.453125" style="22" customWidth="1"/>
    <col min="90" max="90" width="57.453125" style="22" customWidth="1"/>
    <col min="91" max="91" width="22.26953125" style="22" customWidth="1"/>
    <col min="92" max="92" width="30.1796875" style="22" customWidth="1"/>
    <col min="93" max="93" width="47.7265625" style="22" customWidth="1"/>
    <col min="94" max="95" width="9.1796875" style="22"/>
    <col min="96" max="16384" width="9.1796875" style="20"/>
  </cols>
  <sheetData>
    <row r="1" spans="1:95" s="42" customFormat="1" hidden="1">
      <c r="A1" s="34" t="s">
        <v>4</v>
      </c>
      <c r="B1" s="35" t="s">
        <v>157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41"/>
      <c r="AK1" s="41"/>
      <c r="AL1" s="41"/>
      <c r="AM1" s="41"/>
    </row>
    <row r="2" spans="1:95" s="42" customFormat="1" hidden="1">
      <c r="A2" s="43" t="s">
        <v>7</v>
      </c>
      <c r="B2" s="40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41"/>
      <c r="AK2" s="41"/>
      <c r="AL2" s="41"/>
      <c r="AM2" s="41"/>
    </row>
    <row r="3" spans="1:95" s="42" customFormat="1" hidden="1">
      <c r="A3" s="46" t="s">
        <v>155</v>
      </c>
      <c r="B3" s="47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41"/>
      <c r="AH3" s="41"/>
      <c r="AI3" s="41"/>
      <c r="AJ3" s="41"/>
    </row>
    <row r="4" spans="1:95" s="50" customFormat="1" hidden="1">
      <c r="A4" s="49">
        <f>MATCH(A3,10:10,0)</f>
        <v>1</v>
      </c>
      <c r="B4" s="49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1"/>
      <c r="AH4" s="41"/>
      <c r="AI4" s="41"/>
      <c r="AJ4" s="41"/>
    </row>
    <row r="5" spans="1:95" s="50" customFormat="1" hidden="1">
      <c r="A5" s="49">
        <v>3475</v>
      </c>
      <c r="B5" s="49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1"/>
      <c r="AH5" s="41"/>
      <c r="AI5" s="41"/>
      <c r="AJ5" s="41"/>
    </row>
    <row r="6" spans="1:95" s="52" customFormat="1" hidden="1">
      <c r="A6" s="51" t="s">
        <v>5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6"/>
      <c r="AK6" s="56"/>
      <c r="AL6" s="56"/>
      <c r="AM6" s="56"/>
    </row>
    <row r="7" spans="1:95" s="52" customFormat="1" hidden="1">
      <c r="A7" s="54"/>
      <c r="B7" s="54" t="str">
        <f>IF(B8&lt;&gt;"","Operator","")</f>
        <v/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6"/>
      <c r="AK7" s="56"/>
      <c r="AL7" s="56"/>
      <c r="AM7" s="56"/>
    </row>
    <row r="8" spans="1:95" s="52" customFormat="1" hidden="1">
      <c r="A8" s="58"/>
      <c r="B8" s="58" t="str">
        <f>IF($C$13&lt;&gt;"",$C$13,"")</f>
        <v/>
      </c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6"/>
      <c r="AK8" s="56"/>
      <c r="AL8" s="56"/>
      <c r="AM8" s="56"/>
    </row>
    <row r="9" spans="1:95" s="61" customFormat="1" hidden="1">
      <c r="A9" s="59" t="s">
        <v>6</v>
      </c>
      <c r="B9" s="54"/>
      <c r="AM9" s="56"/>
      <c r="AN9" s="56"/>
      <c r="AO9" s="56"/>
      <c r="AP9" s="56"/>
    </row>
    <row r="10" spans="1:95" s="36" customFormat="1" hidden="1">
      <c r="A10" s="46" t="s">
        <v>155</v>
      </c>
      <c r="B10" s="63" t="s">
        <v>156</v>
      </c>
      <c r="AJ10" s="41"/>
      <c r="AK10" s="41"/>
      <c r="AL10" s="41"/>
      <c r="AM10" s="41"/>
    </row>
    <row r="11" spans="1:95" s="54" customFormat="1" hidden="1"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56"/>
      <c r="BT11" s="56"/>
      <c r="BU11" s="56"/>
      <c r="BV11" s="56"/>
    </row>
    <row r="12" spans="1:95" s="66" customFormat="1">
      <c r="A12" s="65"/>
      <c r="C12" s="67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70"/>
      <c r="BY12" s="70"/>
      <c r="BZ12" s="70"/>
      <c r="CA12" s="70"/>
    </row>
    <row r="13" spans="1:95" s="66" customFormat="1" ht="21">
      <c r="A13" s="71" t="s">
        <v>159</v>
      </c>
      <c r="B13" s="72"/>
      <c r="C13" s="71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4"/>
      <c r="CC13" s="74"/>
      <c r="CD13" s="74"/>
      <c r="CE13" s="74"/>
    </row>
    <row r="14" spans="1:95" s="77" customFormat="1" ht="15" customHeight="1">
      <c r="A14" s="75"/>
      <c r="B14" s="75" t="str">
        <f>IFERROR(IF(HLOOKUP(B10,$3:$3,1,FALSE)&lt;&gt;"",".",""),"")</f>
        <v/>
      </c>
      <c r="C14" s="75" t="str">
        <f>IFERROR(IF(HLOOKUP(#REF!,$3:$3,1,FALSE)&lt;&gt;"",".",""),"")</f>
        <v/>
      </c>
      <c r="D14" s="75" t="str">
        <f>IFERROR(IF(HLOOKUP(#REF!,$3:$3,1,FALSE)&lt;&gt;"",".",""),"")</f>
        <v/>
      </c>
      <c r="E14" s="75" t="str">
        <f>IFERROR(IF(HLOOKUP(#REF!,$3:$3,1,FALSE)&lt;&gt;"",".",""),"")</f>
        <v/>
      </c>
      <c r="F14" s="75" t="str">
        <f>IFERROR(IF(HLOOKUP(#REF!,$3:$3,1,FALSE)&lt;&gt;"",".",""),"")</f>
        <v/>
      </c>
      <c r="G14" s="75" t="str">
        <f>IFERROR(IF(HLOOKUP(#REF!,$3:$3,1,FALSE)&lt;&gt;"",".",""),"")</f>
        <v/>
      </c>
      <c r="H14" s="75" t="str">
        <f>IFERROR(IF(HLOOKUP(#REF!,$3:$3,1,FALSE)&lt;&gt;"",".",""),"")</f>
        <v/>
      </c>
      <c r="I14" s="75" t="str">
        <f>IFERROR(IF(HLOOKUP(#REF!,$3:$3,1,FALSE)&lt;&gt;"",".",""),"")</f>
        <v/>
      </c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</row>
    <row r="15" spans="1:95" s="96" customFormat="1" ht="54" customHeight="1">
      <c r="A15" s="78" t="s">
        <v>155</v>
      </c>
      <c r="B15" s="78" t="s">
        <v>156</v>
      </c>
    </row>
    <row r="16" spans="1:95">
      <c r="A16" s="143" t="s">
        <v>44</v>
      </c>
      <c r="B16" s="25" t="s">
        <v>158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</row>
    <row r="17" spans="1:2">
      <c r="A17" s="145" t="s">
        <v>36</v>
      </c>
      <c r="B17" s="146" t="s">
        <v>153</v>
      </c>
    </row>
    <row r="18" spans="1:2">
      <c r="A18" s="145" t="s">
        <v>35</v>
      </c>
      <c r="B18" s="146" t="s">
        <v>154</v>
      </c>
    </row>
    <row r="19" spans="1:2">
      <c r="A19" s="145" t="s">
        <v>43</v>
      </c>
      <c r="B19" s="146" t="s">
        <v>153</v>
      </c>
    </row>
    <row r="20" spans="1:2">
      <c r="A20" s="145" t="s">
        <v>39</v>
      </c>
      <c r="B20" s="146" t="s">
        <v>153</v>
      </c>
    </row>
  </sheetData>
  <sheetProtection insertColumns="0" insertRows="0" insertHyperlink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2.xml>�� 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729D1E-69B8-481A-980F-13E1DB8646B5}">
  <ds:schemaRefs>
    <ds:schemaRef ds:uri="http://purl.org/dc/dcmitype/"/>
    <ds:schemaRef ds:uri="http://schemas.microsoft.com/office/2006/metadata/properties"/>
    <ds:schemaRef ds:uri="http://purl.org/dc/terms/"/>
    <ds:schemaRef ds:uri="http://schemas.microsoft.com/office/2006/documentManagement/types"/>
    <ds:schemaRef ds:uri="7a19e65e-9de7-40b1-ad12-4e6965d24380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a390e121-60b8-4fd2-9983-43b87f4d395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Space Dashboard</vt:lpstr>
      <vt:lpstr>Validation</vt:lpstr>
      <vt:lpstr>File Extension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2019-02-01T05:20:13Z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